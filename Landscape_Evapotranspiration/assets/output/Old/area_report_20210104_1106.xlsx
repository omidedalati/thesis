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report\"/>
    </mc:Choice>
  </mc:AlternateContent>
  <xr:revisionPtr revIDLastSave="0" documentId="13_ncr:1_{2FE5DEF8-7654-45BE-B65C-CCDEEAF331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لکه" sheetId="1" r:id="rId1"/>
    <sheet name="Sheet1" sheetId="4" r:id="rId2"/>
    <sheet name="ناحیه" sheetId="2" r:id="rId3"/>
    <sheet name="منطقه" sheetId="3" r:id="rId4"/>
  </sheets>
  <definedNames>
    <definedName name="_xlnm._FilterDatabase" localSheetId="1" hidden="1">Sheet1!$A$1:$K$1</definedName>
    <definedName name="_xlnm._FilterDatabase" localSheetId="0" hidden="1">لکه!$A$1:$BV$2341</definedName>
    <definedName name="_xlchart.v1.0" hidden="1">لکه!$Y$2:$Y$59</definedName>
  </definedNames>
  <calcPr calcId="191029"/>
</workbook>
</file>

<file path=xl/calcChain.xml><?xml version="1.0" encoding="utf-8"?>
<calcChain xmlns="http://schemas.openxmlformats.org/spreadsheetml/2006/main">
  <c r="S29" i="1" l="1"/>
  <c r="T29" i="1" s="1"/>
  <c r="S30" i="1"/>
  <c r="S31" i="1"/>
  <c r="S2" i="1"/>
  <c r="S58" i="1"/>
  <c r="U58" i="1" s="1"/>
  <c r="S32" i="1"/>
  <c r="S33" i="1"/>
  <c r="T33" i="1" s="1"/>
  <c r="S35" i="1"/>
  <c r="S36" i="1"/>
  <c r="W36" i="1" s="1"/>
  <c r="S61" i="1"/>
  <c r="S62" i="1"/>
  <c r="T62" i="1" s="1"/>
  <c r="S37" i="1"/>
  <c r="U37" i="1" s="1"/>
  <c r="S38" i="1"/>
  <c r="S39" i="1"/>
  <c r="S40" i="1"/>
  <c r="S41" i="1"/>
  <c r="V41" i="1" s="1"/>
  <c r="S4" i="1"/>
  <c r="W4" i="1" s="1"/>
  <c r="S65" i="1"/>
  <c r="S67" i="1"/>
  <c r="V67" i="1" s="1"/>
  <c r="S18" i="1"/>
  <c r="U18" i="1" s="1"/>
  <c r="S43" i="1"/>
  <c r="U43" i="1" s="1"/>
  <c r="S44" i="1"/>
  <c r="S69" i="1"/>
  <c r="S73" i="1"/>
  <c r="S45" i="1"/>
  <c r="S46" i="1"/>
  <c r="W46" i="1" s="1"/>
  <c r="S47" i="1"/>
  <c r="V47" i="1" s="1"/>
  <c r="S74" i="1"/>
  <c r="U74" i="1" s="1"/>
  <c r="S78" i="1"/>
  <c r="S59" i="1"/>
  <c r="W59" i="1" s="1"/>
  <c r="S79" i="1"/>
  <c r="S80" i="1"/>
  <c r="S42" i="1"/>
  <c r="U42" i="1" s="1"/>
  <c r="S96" i="1"/>
  <c r="W96" i="1" s="1"/>
  <c r="S48" i="1"/>
  <c r="S49" i="1"/>
  <c r="S219" i="1"/>
  <c r="W219" i="1" s="1"/>
  <c r="S220" i="1"/>
  <c r="W220" i="1" s="1"/>
  <c r="S313" i="1"/>
  <c r="S389" i="1"/>
  <c r="S34" i="1"/>
  <c r="S51" i="1"/>
  <c r="S50" i="1"/>
  <c r="V50" i="1" s="1"/>
  <c r="S19" i="1"/>
  <c r="U19" i="1" s="1"/>
  <c r="S3" i="1"/>
  <c r="S52" i="1"/>
  <c r="S53" i="1"/>
  <c r="T53" i="1" s="1"/>
  <c r="S57" i="1"/>
  <c r="S14" i="1"/>
  <c r="U14" i="1" s="1"/>
  <c r="S745" i="1"/>
  <c r="S1421" i="1"/>
  <c r="T1421" i="1" s="1"/>
  <c r="S54" i="1"/>
  <c r="S5" i="1"/>
  <c r="W5" i="1" s="1"/>
  <c r="S63" i="1"/>
  <c r="S64" i="1"/>
  <c r="S6" i="1"/>
  <c r="S66" i="1"/>
  <c r="U66" i="1" s="1"/>
  <c r="S7" i="1"/>
  <c r="W7" i="1" s="1"/>
  <c r="S68" i="1"/>
  <c r="T68" i="1" s="1"/>
  <c r="S1651" i="1"/>
  <c r="S70" i="1"/>
  <c r="S71" i="1"/>
  <c r="S72" i="1"/>
  <c r="U72" i="1" s="1"/>
  <c r="S1963" i="1"/>
  <c r="W1963" i="1" s="1"/>
  <c r="U1963" i="1"/>
  <c r="S2244" i="1"/>
  <c r="V2244" i="1" s="1"/>
  <c r="W2244" i="1"/>
  <c r="S75" i="1"/>
  <c r="W75" i="1" s="1"/>
  <c r="S76" i="1"/>
  <c r="W76" i="1" s="1"/>
  <c r="S77" i="1"/>
  <c r="S20" i="1"/>
  <c r="S55" i="1"/>
  <c r="S15" i="1"/>
  <c r="S81" i="1"/>
  <c r="S82" i="1"/>
  <c r="W82" i="1" s="1"/>
  <c r="S83" i="1"/>
  <c r="V83" i="1" s="1"/>
  <c r="S84" i="1"/>
  <c r="S85" i="1"/>
  <c r="T85" i="1" s="1"/>
  <c r="S86" i="1"/>
  <c r="T86" i="1" s="1"/>
  <c r="S87" i="1"/>
  <c r="S88" i="1"/>
  <c r="S89" i="1"/>
  <c r="S90" i="1"/>
  <c r="W90" i="1" s="1"/>
  <c r="S91" i="1"/>
  <c r="V91" i="1" s="1"/>
  <c r="S92" i="1"/>
  <c r="V92" i="1" s="1"/>
  <c r="S93" i="1"/>
  <c r="W93" i="1" s="1"/>
  <c r="S94" i="1"/>
  <c r="W94" i="1" s="1"/>
  <c r="S95" i="1"/>
  <c r="V95" i="1" s="1"/>
  <c r="S8" i="1"/>
  <c r="T8" i="1" s="1"/>
  <c r="W8" i="1"/>
  <c r="S97" i="1"/>
  <c r="T97" i="1" s="1"/>
  <c r="S98" i="1"/>
  <c r="T98" i="1" s="1"/>
  <c r="S99" i="1"/>
  <c r="T99" i="1" s="1"/>
  <c r="S100" i="1"/>
  <c r="S101" i="1"/>
  <c r="S102" i="1"/>
  <c r="T102" i="1" s="1"/>
  <c r="S103" i="1"/>
  <c r="V103" i="1" s="1"/>
  <c r="S104" i="1"/>
  <c r="U104" i="1" s="1"/>
  <c r="S105" i="1"/>
  <c r="S106" i="1"/>
  <c r="S107" i="1"/>
  <c r="S108" i="1"/>
  <c r="U108" i="1" s="1"/>
  <c r="S109" i="1"/>
  <c r="S110" i="1"/>
  <c r="W110" i="1" s="1"/>
  <c r="S111" i="1"/>
  <c r="V111" i="1" s="1"/>
  <c r="S112" i="1"/>
  <c r="S113" i="1"/>
  <c r="V113" i="1" s="1"/>
  <c r="S114" i="1"/>
  <c r="W114" i="1" s="1"/>
  <c r="S115" i="1"/>
  <c r="S116" i="1"/>
  <c r="W116" i="1" s="1"/>
  <c r="S117" i="1"/>
  <c r="S118" i="1"/>
  <c r="S119" i="1"/>
  <c r="V119" i="1" s="1"/>
  <c r="S120" i="1"/>
  <c r="U120" i="1" s="1"/>
  <c r="S121" i="1"/>
  <c r="V121" i="1" s="1"/>
  <c r="S122" i="1"/>
  <c r="S123" i="1"/>
  <c r="V123" i="1" s="1"/>
  <c r="S124" i="1"/>
  <c r="S125" i="1"/>
  <c r="S126" i="1"/>
  <c r="S127" i="1"/>
  <c r="T127" i="1" s="1"/>
  <c r="W127" i="1"/>
  <c r="S128" i="1"/>
  <c r="U128" i="1" s="1"/>
  <c r="S129" i="1"/>
  <c r="V129" i="1" s="1"/>
  <c r="S130" i="1"/>
  <c r="W130" i="1" s="1"/>
  <c r="S131" i="1"/>
  <c r="S132" i="1"/>
  <c r="S133" i="1"/>
  <c r="T133" i="1" s="1"/>
  <c r="S134" i="1"/>
  <c r="S135" i="1"/>
  <c r="T135" i="1" s="1"/>
  <c r="S136" i="1"/>
  <c r="W136" i="1" s="1"/>
  <c r="S137" i="1"/>
  <c r="S138" i="1"/>
  <c r="S139" i="1"/>
  <c r="S140" i="1"/>
  <c r="S141" i="1"/>
  <c r="U141" i="1" s="1"/>
  <c r="S142" i="1"/>
  <c r="T142" i="1" s="1"/>
  <c r="S143" i="1"/>
  <c r="S144" i="1"/>
  <c r="S145" i="1"/>
  <c r="S146" i="1"/>
  <c r="V146" i="1" s="1"/>
  <c r="T146" i="1"/>
  <c r="S147" i="1"/>
  <c r="V147" i="1" s="1"/>
  <c r="S148" i="1"/>
  <c r="S149" i="1"/>
  <c r="T149" i="1" s="1"/>
  <c r="S150" i="1"/>
  <c r="S151" i="1"/>
  <c r="T151" i="1" s="1"/>
  <c r="W151" i="1"/>
  <c r="S152" i="1"/>
  <c r="S153" i="1"/>
  <c r="T153" i="1" s="1"/>
  <c r="S154" i="1"/>
  <c r="S155" i="1"/>
  <c r="T155" i="1" s="1"/>
  <c r="S156" i="1"/>
  <c r="V156" i="1" s="1"/>
  <c r="S157" i="1"/>
  <c r="S158" i="1"/>
  <c r="T158" i="1" s="1"/>
  <c r="S159" i="1"/>
  <c r="U159" i="1" s="1"/>
  <c r="S160" i="1"/>
  <c r="S161" i="1"/>
  <c r="V161" i="1" s="1"/>
  <c r="S162" i="1"/>
  <c r="T162" i="1" s="1"/>
  <c r="S163" i="1"/>
  <c r="U163" i="1" s="1"/>
  <c r="S164" i="1"/>
  <c r="S165" i="1"/>
  <c r="S166" i="1"/>
  <c r="S167" i="1"/>
  <c r="T167" i="1" s="1"/>
  <c r="S168" i="1"/>
  <c r="S169" i="1"/>
  <c r="T169" i="1" s="1"/>
  <c r="S170" i="1"/>
  <c r="T170" i="1" s="1"/>
  <c r="S171" i="1"/>
  <c r="S172" i="1"/>
  <c r="S173" i="1"/>
  <c r="S174" i="1"/>
  <c r="T174" i="1" s="1"/>
  <c r="S175" i="1"/>
  <c r="S176" i="1"/>
  <c r="S177" i="1"/>
  <c r="S178" i="1"/>
  <c r="V178" i="1" s="1"/>
  <c r="S179" i="1"/>
  <c r="S180" i="1"/>
  <c r="S181" i="1"/>
  <c r="W181" i="1" s="1"/>
  <c r="S182" i="1"/>
  <c r="U182" i="1" s="1"/>
  <c r="S183" i="1"/>
  <c r="S184" i="1"/>
  <c r="T184" i="1" s="1"/>
  <c r="S185" i="1"/>
  <c r="S186" i="1"/>
  <c r="S187" i="1"/>
  <c r="S188" i="1"/>
  <c r="S189" i="1"/>
  <c r="U189" i="1" s="1"/>
  <c r="S190" i="1"/>
  <c r="S191" i="1"/>
  <c r="S192" i="1"/>
  <c r="S193" i="1"/>
  <c r="V193" i="1" s="1"/>
  <c r="S194" i="1"/>
  <c r="T194" i="1" s="1"/>
  <c r="S195" i="1"/>
  <c r="S196" i="1"/>
  <c r="U196" i="1" s="1"/>
  <c r="S197" i="1"/>
  <c r="S198" i="1"/>
  <c r="S199" i="1"/>
  <c r="T199" i="1" s="1"/>
  <c r="S200" i="1"/>
  <c r="S201" i="1"/>
  <c r="T201" i="1" s="1"/>
  <c r="S202" i="1"/>
  <c r="S203" i="1"/>
  <c r="S204" i="1"/>
  <c r="V204" i="1" s="1"/>
  <c r="S205" i="1"/>
  <c r="W205" i="1" s="1"/>
  <c r="S206" i="1"/>
  <c r="S207" i="1"/>
  <c r="T207" i="1" s="1"/>
  <c r="S208" i="1"/>
  <c r="S209" i="1"/>
  <c r="W209" i="1" s="1"/>
  <c r="S210" i="1"/>
  <c r="T210" i="1" s="1"/>
  <c r="S211" i="1"/>
  <c r="S212" i="1"/>
  <c r="T212" i="1" s="1"/>
  <c r="S213" i="1"/>
  <c r="U213" i="1" s="1"/>
  <c r="S214" i="1"/>
  <c r="W214" i="1" s="1"/>
  <c r="S215" i="1"/>
  <c r="S216" i="1"/>
  <c r="T216" i="1" s="1"/>
  <c r="W216" i="1"/>
  <c r="S217" i="1"/>
  <c r="S218" i="1"/>
  <c r="T218" i="1" s="1"/>
  <c r="S10" i="1"/>
  <c r="S11" i="1"/>
  <c r="S221" i="1"/>
  <c r="U221" i="1" s="1"/>
  <c r="S222" i="1"/>
  <c r="T222" i="1" s="1"/>
  <c r="S223" i="1"/>
  <c r="T223" i="1" s="1"/>
  <c r="S224" i="1"/>
  <c r="S225" i="1"/>
  <c r="V225" i="1" s="1"/>
  <c r="S226" i="1"/>
  <c r="U226" i="1" s="1"/>
  <c r="S227" i="1"/>
  <c r="T227" i="1" s="1"/>
  <c r="S228" i="1"/>
  <c r="S229" i="1"/>
  <c r="S230" i="1"/>
  <c r="W230" i="1" s="1"/>
  <c r="S231" i="1"/>
  <c r="S232" i="1"/>
  <c r="V232" i="1" s="1"/>
  <c r="S233" i="1"/>
  <c r="S234" i="1"/>
  <c r="S235" i="1"/>
  <c r="S236" i="1"/>
  <c r="V236" i="1" s="1"/>
  <c r="S237" i="1"/>
  <c r="S238" i="1"/>
  <c r="S239" i="1"/>
  <c r="S240" i="1"/>
  <c r="V240" i="1" s="1"/>
  <c r="T240" i="1"/>
  <c r="W240" i="1"/>
  <c r="S241" i="1"/>
  <c r="S242" i="1"/>
  <c r="W242" i="1" s="1"/>
  <c r="S243" i="1"/>
  <c r="S244" i="1"/>
  <c r="T244" i="1" s="1"/>
  <c r="W244" i="1"/>
  <c r="S245" i="1"/>
  <c r="U245" i="1" s="1"/>
  <c r="S246" i="1"/>
  <c r="S247" i="1"/>
  <c r="W247" i="1" s="1"/>
  <c r="S248" i="1"/>
  <c r="S249" i="1"/>
  <c r="S250" i="1"/>
  <c r="T250" i="1" s="1"/>
  <c r="S251" i="1"/>
  <c r="S252" i="1"/>
  <c r="V252" i="1" s="1"/>
  <c r="S253" i="1"/>
  <c r="T253" i="1" s="1"/>
  <c r="S254" i="1"/>
  <c r="T254" i="1" s="1"/>
  <c r="S255" i="1"/>
  <c r="T255" i="1" s="1"/>
  <c r="S256" i="1"/>
  <c r="T256" i="1" s="1"/>
  <c r="U256" i="1"/>
  <c r="V256" i="1"/>
  <c r="S257" i="1"/>
  <c r="S258" i="1"/>
  <c r="S259" i="1"/>
  <c r="T259" i="1" s="1"/>
  <c r="S260" i="1"/>
  <c r="S261" i="1"/>
  <c r="S262" i="1"/>
  <c r="S263" i="1"/>
  <c r="S264" i="1"/>
  <c r="S265" i="1"/>
  <c r="S266" i="1"/>
  <c r="T266" i="1" s="1"/>
  <c r="S267" i="1"/>
  <c r="S268" i="1"/>
  <c r="T268" i="1" s="1"/>
  <c r="S269" i="1"/>
  <c r="U269" i="1" s="1"/>
  <c r="S270" i="1"/>
  <c r="S271" i="1"/>
  <c r="S272" i="1"/>
  <c r="S273" i="1"/>
  <c r="W273" i="1" s="1"/>
  <c r="S274" i="1"/>
  <c r="S275" i="1"/>
  <c r="S276" i="1"/>
  <c r="U276" i="1" s="1"/>
  <c r="S277" i="1"/>
  <c r="S278" i="1"/>
  <c r="V278" i="1" s="1"/>
  <c r="S279" i="1"/>
  <c r="T279" i="1" s="1"/>
  <c r="S280" i="1"/>
  <c r="S281" i="1"/>
  <c r="S282" i="1"/>
  <c r="S283" i="1"/>
  <c r="S284" i="1"/>
  <c r="S285" i="1"/>
  <c r="T285" i="1" s="1"/>
  <c r="S286" i="1"/>
  <c r="S287" i="1"/>
  <c r="T287" i="1" s="1"/>
  <c r="S288" i="1"/>
  <c r="T288" i="1" s="1"/>
  <c r="W288" i="1"/>
  <c r="S289" i="1"/>
  <c r="V289" i="1" s="1"/>
  <c r="S290" i="1"/>
  <c r="U290" i="1" s="1"/>
  <c r="S291" i="1"/>
  <c r="T291" i="1" s="1"/>
  <c r="S292" i="1"/>
  <c r="T292" i="1" s="1"/>
  <c r="S293" i="1"/>
  <c r="S294" i="1"/>
  <c r="S295" i="1"/>
  <c r="S296" i="1"/>
  <c r="W296" i="1" s="1"/>
  <c r="S297" i="1"/>
  <c r="U297" i="1" s="1"/>
  <c r="S298" i="1"/>
  <c r="T298" i="1" s="1"/>
  <c r="S299" i="1"/>
  <c r="U299" i="1" s="1"/>
  <c r="S300" i="1"/>
  <c r="S301" i="1"/>
  <c r="T301" i="1" s="1"/>
  <c r="S302" i="1"/>
  <c r="S303" i="1"/>
  <c r="S304" i="1"/>
  <c r="S305" i="1"/>
  <c r="S306" i="1"/>
  <c r="S307" i="1"/>
  <c r="S308" i="1"/>
  <c r="W308" i="1" s="1"/>
  <c r="S309" i="1"/>
  <c r="U309" i="1" s="1"/>
  <c r="S310" i="1"/>
  <c r="S311" i="1"/>
  <c r="S312" i="1"/>
  <c r="V312" i="1" s="1"/>
  <c r="S21" i="1"/>
  <c r="S314" i="1"/>
  <c r="S315" i="1"/>
  <c r="U315" i="1" s="1"/>
  <c r="W315" i="1"/>
  <c r="S316" i="1"/>
  <c r="S317" i="1"/>
  <c r="T317" i="1" s="1"/>
  <c r="S318" i="1"/>
  <c r="T318" i="1" s="1"/>
  <c r="S319" i="1"/>
  <c r="S320" i="1"/>
  <c r="W320" i="1" s="1"/>
  <c r="S321" i="1"/>
  <c r="S322" i="1"/>
  <c r="U322" i="1" s="1"/>
  <c r="S323" i="1"/>
  <c r="T323" i="1" s="1"/>
  <c r="S324" i="1"/>
  <c r="S325" i="1"/>
  <c r="S326" i="1"/>
  <c r="S327" i="1"/>
  <c r="W327" i="1" s="1"/>
  <c r="S328" i="1"/>
  <c r="V328" i="1" s="1"/>
  <c r="S329" i="1"/>
  <c r="S330" i="1"/>
  <c r="T330" i="1" s="1"/>
  <c r="S331" i="1"/>
  <c r="S332" i="1"/>
  <c r="S333" i="1"/>
  <c r="S334" i="1"/>
  <c r="S335" i="1"/>
  <c r="W335" i="1" s="1"/>
  <c r="S336" i="1"/>
  <c r="T336" i="1" s="1"/>
  <c r="V336" i="1"/>
  <c r="W336" i="1"/>
  <c r="S337" i="1"/>
  <c r="S338" i="1"/>
  <c r="S339" i="1"/>
  <c r="U339" i="1" s="1"/>
  <c r="S340" i="1"/>
  <c r="V340" i="1" s="1"/>
  <c r="S341" i="1"/>
  <c r="S342" i="1"/>
  <c r="V342" i="1" s="1"/>
  <c r="S343" i="1"/>
  <c r="W343" i="1" s="1"/>
  <c r="S344" i="1"/>
  <c r="V344" i="1" s="1"/>
  <c r="S345" i="1"/>
  <c r="S346" i="1"/>
  <c r="S347" i="1"/>
  <c r="S348" i="1"/>
  <c r="T348" i="1" s="1"/>
  <c r="S349" i="1"/>
  <c r="U349" i="1" s="1"/>
  <c r="S350" i="1"/>
  <c r="S351" i="1"/>
  <c r="T351" i="1" s="1"/>
  <c r="S352" i="1"/>
  <c r="T352" i="1" s="1"/>
  <c r="S353" i="1"/>
  <c r="V353" i="1" s="1"/>
  <c r="S354" i="1"/>
  <c r="S355" i="1"/>
  <c r="T355" i="1" s="1"/>
  <c r="S356" i="1"/>
  <c r="S357" i="1"/>
  <c r="S358" i="1"/>
  <c r="W358" i="1" s="1"/>
  <c r="S359" i="1"/>
  <c r="V359" i="1" s="1"/>
  <c r="S360" i="1"/>
  <c r="V360" i="1" s="1"/>
  <c r="S361" i="1"/>
  <c r="S362" i="1"/>
  <c r="S363" i="1"/>
  <c r="S364" i="1"/>
  <c r="T364" i="1" s="1"/>
  <c r="S365" i="1"/>
  <c r="W365" i="1" s="1"/>
  <c r="S366" i="1"/>
  <c r="S367" i="1"/>
  <c r="S368" i="1"/>
  <c r="V368" i="1" s="1"/>
  <c r="S369" i="1"/>
  <c r="S370" i="1"/>
  <c r="W370" i="1" s="1"/>
  <c r="S371" i="1"/>
  <c r="S372" i="1"/>
  <c r="T372" i="1" s="1"/>
  <c r="S373" i="1"/>
  <c r="U373" i="1" s="1"/>
  <c r="S374" i="1"/>
  <c r="S375" i="1"/>
  <c r="V375" i="1" s="1"/>
  <c r="S376" i="1"/>
  <c r="T376" i="1" s="1"/>
  <c r="S377" i="1"/>
  <c r="S378" i="1"/>
  <c r="W378" i="1" s="1"/>
  <c r="S379" i="1"/>
  <c r="T379" i="1" s="1"/>
  <c r="S380" i="1"/>
  <c r="T380" i="1" s="1"/>
  <c r="S381" i="1"/>
  <c r="U381" i="1" s="1"/>
  <c r="S382" i="1"/>
  <c r="T382" i="1" s="1"/>
  <c r="S383" i="1"/>
  <c r="T383" i="1" s="1"/>
  <c r="S384" i="1"/>
  <c r="W384" i="1" s="1"/>
  <c r="S385" i="1"/>
  <c r="S386" i="1"/>
  <c r="V386" i="1" s="1"/>
  <c r="S387" i="1"/>
  <c r="S388" i="1"/>
  <c r="U388" i="1" s="1"/>
  <c r="S12" i="1"/>
  <c r="W12" i="1" s="1"/>
  <c r="S390" i="1"/>
  <c r="S391" i="1"/>
  <c r="T391" i="1" s="1"/>
  <c r="S392" i="1"/>
  <c r="S393" i="1"/>
  <c r="T393" i="1" s="1"/>
  <c r="S394" i="1"/>
  <c r="S395" i="1"/>
  <c r="T395" i="1" s="1"/>
  <c r="S396" i="1"/>
  <c r="V396" i="1" s="1"/>
  <c r="S397" i="1"/>
  <c r="U397" i="1" s="1"/>
  <c r="S398" i="1"/>
  <c r="S399" i="1"/>
  <c r="T399" i="1" s="1"/>
  <c r="S400" i="1"/>
  <c r="U400" i="1" s="1"/>
  <c r="S401" i="1"/>
  <c r="S402" i="1"/>
  <c r="V402" i="1" s="1"/>
  <c r="S403" i="1"/>
  <c r="S404" i="1"/>
  <c r="U404" i="1" s="1"/>
  <c r="S405" i="1"/>
  <c r="S406" i="1"/>
  <c r="W406" i="1" s="1"/>
  <c r="S407" i="1"/>
  <c r="V407" i="1" s="1"/>
  <c r="T407" i="1"/>
  <c r="W407" i="1"/>
  <c r="S408" i="1"/>
  <c r="S409" i="1"/>
  <c r="S410" i="1"/>
  <c r="S411" i="1"/>
  <c r="V411" i="1" s="1"/>
  <c r="S412" i="1"/>
  <c r="W412" i="1" s="1"/>
  <c r="S413" i="1"/>
  <c r="S414" i="1"/>
  <c r="S415" i="1"/>
  <c r="W415" i="1" s="1"/>
  <c r="S416" i="1"/>
  <c r="U416" i="1" s="1"/>
  <c r="S417" i="1"/>
  <c r="W417" i="1" s="1"/>
  <c r="S418" i="1"/>
  <c r="V418" i="1" s="1"/>
  <c r="S419" i="1"/>
  <c r="S420" i="1"/>
  <c r="T420" i="1" s="1"/>
  <c r="S421" i="1"/>
  <c r="T421" i="1" s="1"/>
  <c r="S422" i="1"/>
  <c r="W422" i="1" s="1"/>
  <c r="S423" i="1"/>
  <c r="T423" i="1" s="1"/>
  <c r="U423" i="1"/>
  <c r="V423" i="1"/>
  <c r="S424" i="1"/>
  <c r="S425" i="1"/>
  <c r="U425" i="1" s="1"/>
  <c r="S426" i="1"/>
  <c r="T426" i="1" s="1"/>
  <c r="S427" i="1"/>
  <c r="S428" i="1"/>
  <c r="S429" i="1"/>
  <c r="U429" i="1" s="1"/>
  <c r="S430" i="1"/>
  <c r="V430" i="1" s="1"/>
  <c r="S431" i="1"/>
  <c r="S432" i="1"/>
  <c r="U432" i="1" s="1"/>
  <c r="S433" i="1"/>
  <c r="S434" i="1"/>
  <c r="V434" i="1" s="1"/>
  <c r="S435" i="1"/>
  <c r="S436" i="1"/>
  <c r="T436" i="1" s="1"/>
  <c r="W436" i="1"/>
  <c r="S437" i="1"/>
  <c r="S438" i="1"/>
  <c r="W438" i="1" s="1"/>
  <c r="S439" i="1"/>
  <c r="T439" i="1" s="1"/>
  <c r="S440" i="1"/>
  <c r="S441" i="1"/>
  <c r="U441" i="1" s="1"/>
  <c r="S442" i="1"/>
  <c r="S443" i="1"/>
  <c r="U443" i="1" s="1"/>
  <c r="S444" i="1"/>
  <c r="W444" i="1" s="1"/>
  <c r="S445" i="1"/>
  <c r="U445" i="1" s="1"/>
  <c r="W445" i="1"/>
  <c r="S446" i="1"/>
  <c r="S447" i="1"/>
  <c r="T447" i="1" s="1"/>
  <c r="S448" i="1"/>
  <c r="U448" i="1" s="1"/>
  <c r="S449" i="1"/>
  <c r="W449" i="1" s="1"/>
  <c r="S450" i="1"/>
  <c r="U450" i="1" s="1"/>
  <c r="S451" i="1"/>
  <c r="S452" i="1"/>
  <c r="W452" i="1" s="1"/>
  <c r="S453" i="1"/>
  <c r="T453" i="1" s="1"/>
  <c r="S454" i="1"/>
  <c r="W454" i="1" s="1"/>
  <c r="S455" i="1"/>
  <c r="W455" i="1" s="1"/>
  <c r="S456" i="1"/>
  <c r="T456" i="1" s="1"/>
  <c r="S457" i="1"/>
  <c r="S458" i="1"/>
  <c r="T458" i="1" s="1"/>
  <c r="S459" i="1"/>
  <c r="V459" i="1" s="1"/>
  <c r="S460" i="1"/>
  <c r="S461" i="1"/>
  <c r="S462" i="1"/>
  <c r="S463" i="1"/>
  <c r="W463" i="1" s="1"/>
  <c r="S464" i="1"/>
  <c r="U464" i="1" s="1"/>
  <c r="S465" i="1"/>
  <c r="S466" i="1"/>
  <c r="U466" i="1" s="1"/>
  <c r="S467" i="1"/>
  <c r="T467" i="1" s="1"/>
  <c r="S468" i="1"/>
  <c r="W468" i="1" s="1"/>
  <c r="S469" i="1"/>
  <c r="S470" i="1"/>
  <c r="W470" i="1" s="1"/>
  <c r="S471" i="1"/>
  <c r="W471" i="1" s="1"/>
  <c r="S472" i="1"/>
  <c r="S473" i="1"/>
  <c r="T473" i="1" s="1"/>
  <c r="S474" i="1"/>
  <c r="S475" i="1"/>
  <c r="V475" i="1" s="1"/>
  <c r="S476" i="1"/>
  <c r="W476" i="1" s="1"/>
  <c r="S477" i="1"/>
  <c r="V477" i="1" s="1"/>
  <c r="S478" i="1"/>
  <c r="V478" i="1" s="1"/>
  <c r="S479" i="1"/>
  <c r="T479" i="1" s="1"/>
  <c r="S480" i="1"/>
  <c r="U480" i="1" s="1"/>
  <c r="S481" i="1"/>
  <c r="W481" i="1" s="1"/>
  <c r="S482" i="1"/>
  <c r="V482" i="1" s="1"/>
  <c r="S483" i="1"/>
  <c r="W483" i="1" s="1"/>
  <c r="S484" i="1"/>
  <c r="T484" i="1" s="1"/>
  <c r="S485" i="1"/>
  <c r="T485" i="1" s="1"/>
  <c r="S486" i="1"/>
  <c r="W486" i="1" s="1"/>
  <c r="S487" i="1"/>
  <c r="T487" i="1" s="1"/>
  <c r="S488" i="1"/>
  <c r="V488" i="1" s="1"/>
  <c r="S489" i="1"/>
  <c r="U489" i="1" s="1"/>
  <c r="S490" i="1"/>
  <c r="T490" i="1" s="1"/>
  <c r="S491" i="1"/>
  <c r="V491" i="1" s="1"/>
  <c r="S492" i="1"/>
  <c r="S493" i="1"/>
  <c r="U493" i="1" s="1"/>
  <c r="S494" i="1"/>
  <c r="S495" i="1"/>
  <c r="T495" i="1" s="1"/>
  <c r="S496" i="1"/>
  <c r="U496" i="1" s="1"/>
  <c r="S497" i="1"/>
  <c r="S498" i="1"/>
  <c r="V498" i="1" s="1"/>
  <c r="S499" i="1"/>
  <c r="S500" i="1"/>
  <c r="T500" i="1" s="1"/>
  <c r="S501" i="1"/>
  <c r="S502" i="1"/>
  <c r="W502" i="1" s="1"/>
  <c r="S503" i="1"/>
  <c r="T503" i="1" s="1"/>
  <c r="S504" i="1"/>
  <c r="T504" i="1" s="1"/>
  <c r="S505" i="1"/>
  <c r="U505" i="1" s="1"/>
  <c r="S506" i="1"/>
  <c r="S507" i="1"/>
  <c r="U507" i="1" s="1"/>
  <c r="S508" i="1"/>
  <c r="W508" i="1" s="1"/>
  <c r="S509" i="1"/>
  <c r="U509" i="1" s="1"/>
  <c r="S510" i="1"/>
  <c r="S511" i="1"/>
  <c r="T511" i="1" s="1"/>
  <c r="S512" i="1"/>
  <c r="U512" i="1" s="1"/>
  <c r="S513" i="1"/>
  <c r="W513" i="1" s="1"/>
  <c r="S514" i="1"/>
  <c r="S515" i="1"/>
  <c r="V515" i="1" s="1"/>
  <c r="S516" i="1"/>
  <c r="S517" i="1"/>
  <c r="T517" i="1" s="1"/>
  <c r="S518" i="1"/>
  <c r="W518" i="1" s="1"/>
  <c r="S519" i="1"/>
  <c r="S520" i="1"/>
  <c r="T520" i="1" s="1"/>
  <c r="S521" i="1"/>
  <c r="W521" i="1" s="1"/>
  <c r="S522" i="1"/>
  <c r="T522" i="1" s="1"/>
  <c r="S523" i="1"/>
  <c r="U523" i="1" s="1"/>
  <c r="S524" i="1"/>
  <c r="S525" i="1"/>
  <c r="S526" i="1"/>
  <c r="S527" i="1"/>
  <c r="S528" i="1"/>
  <c r="U528" i="1" s="1"/>
  <c r="S529" i="1"/>
  <c r="S530" i="1"/>
  <c r="S531" i="1"/>
  <c r="U531" i="1" s="1"/>
  <c r="S532" i="1"/>
  <c r="S533" i="1"/>
  <c r="S534" i="1"/>
  <c r="W534" i="1" s="1"/>
  <c r="S535" i="1"/>
  <c r="S536" i="1"/>
  <c r="S537" i="1"/>
  <c r="S538" i="1"/>
  <c r="S539" i="1"/>
  <c r="S540" i="1"/>
  <c r="W540" i="1" s="1"/>
  <c r="S541" i="1"/>
  <c r="S542" i="1"/>
  <c r="S543" i="1"/>
  <c r="S544" i="1"/>
  <c r="U544" i="1" s="1"/>
  <c r="S545" i="1"/>
  <c r="W545" i="1" s="1"/>
  <c r="S546" i="1"/>
  <c r="V546" i="1" s="1"/>
  <c r="S547" i="1"/>
  <c r="T547" i="1" s="1"/>
  <c r="S548" i="1"/>
  <c r="S549" i="1"/>
  <c r="T549" i="1" s="1"/>
  <c r="S550" i="1"/>
  <c r="W550" i="1" s="1"/>
  <c r="S551" i="1"/>
  <c r="V551" i="1" s="1"/>
  <c r="S552" i="1"/>
  <c r="S553" i="1"/>
  <c r="S554" i="1"/>
  <c r="T554" i="1" s="1"/>
  <c r="S555" i="1"/>
  <c r="W555" i="1" s="1"/>
  <c r="S556" i="1"/>
  <c r="S557" i="1"/>
  <c r="W557" i="1"/>
  <c r="S558" i="1"/>
  <c r="S559" i="1"/>
  <c r="S560" i="1"/>
  <c r="U560" i="1" s="1"/>
  <c r="S561" i="1"/>
  <c r="S562" i="1"/>
  <c r="V562" i="1" s="1"/>
  <c r="U562" i="1"/>
  <c r="S563" i="1"/>
  <c r="S564" i="1"/>
  <c r="U564" i="1" s="1"/>
  <c r="S565" i="1"/>
  <c r="S566" i="1"/>
  <c r="W566" i="1" s="1"/>
  <c r="S567" i="1"/>
  <c r="S568" i="1"/>
  <c r="T568" i="1" s="1"/>
  <c r="S569" i="1"/>
  <c r="U569" i="1" s="1"/>
  <c r="S570" i="1"/>
  <c r="S571" i="1"/>
  <c r="V571" i="1" s="1"/>
  <c r="S572" i="1"/>
  <c r="W572" i="1" s="1"/>
  <c r="S573" i="1"/>
  <c r="S574" i="1"/>
  <c r="W574" i="1" s="1"/>
  <c r="S575" i="1"/>
  <c r="S576" i="1"/>
  <c r="U576" i="1" s="1"/>
  <c r="S577" i="1"/>
  <c r="W577" i="1" s="1"/>
  <c r="S578" i="1"/>
  <c r="S579" i="1"/>
  <c r="U579" i="1" s="1"/>
  <c r="S580" i="1"/>
  <c r="V580" i="1" s="1"/>
  <c r="S581" i="1"/>
  <c r="T581" i="1" s="1"/>
  <c r="S582" i="1"/>
  <c r="W582" i="1" s="1"/>
  <c r="S583" i="1"/>
  <c r="V583" i="1" s="1"/>
  <c r="S584" i="1"/>
  <c r="T584" i="1" s="1"/>
  <c r="V584" i="1"/>
  <c r="S585" i="1"/>
  <c r="W585" i="1" s="1"/>
  <c r="S586" i="1"/>
  <c r="T586" i="1" s="1"/>
  <c r="S587" i="1"/>
  <c r="S588" i="1"/>
  <c r="S589" i="1"/>
  <c r="W589" i="1" s="1"/>
  <c r="S590" i="1"/>
  <c r="T590" i="1" s="1"/>
  <c r="S591" i="1"/>
  <c r="S592" i="1"/>
  <c r="U592" i="1" s="1"/>
  <c r="S593" i="1"/>
  <c r="S594" i="1"/>
  <c r="U594" i="1" s="1"/>
  <c r="S595" i="1"/>
  <c r="V595" i="1" s="1"/>
  <c r="S596" i="1"/>
  <c r="S597" i="1"/>
  <c r="S598" i="1"/>
  <c r="W598" i="1" s="1"/>
  <c r="S599" i="1"/>
  <c r="V599" i="1" s="1"/>
  <c r="T599" i="1"/>
  <c r="S600" i="1"/>
  <c r="V600" i="1" s="1"/>
  <c r="S601" i="1"/>
  <c r="T601" i="1" s="1"/>
  <c r="S602" i="1"/>
  <c r="S603" i="1"/>
  <c r="T603" i="1" s="1"/>
  <c r="S604" i="1"/>
  <c r="W604" i="1" s="1"/>
  <c r="S605" i="1"/>
  <c r="S606" i="1"/>
  <c r="V606" i="1" s="1"/>
  <c r="W606" i="1"/>
  <c r="S607" i="1"/>
  <c r="T607" i="1" s="1"/>
  <c r="S608" i="1"/>
  <c r="U608" i="1" s="1"/>
  <c r="S609" i="1"/>
  <c r="W609" i="1" s="1"/>
  <c r="S610" i="1"/>
  <c r="W610" i="1" s="1"/>
  <c r="S611" i="1"/>
  <c r="U611" i="1" s="1"/>
  <c r="S612" i="1"/>
  <c r="T612" i="1" s="1"/>
  <c r="V612" i="1"/>
  <c r="S613" i="1"/>
  <c r="T613" i="1" s="1"/>
  <c r="S614" i="1"/>
  <c r="W614" i="1" s="1"/>
  <c r="S615" i="1"/>
  <c r="S616" i="1"/>
  <c r="S617" i="1"/>
  <c r="U617" i="1" s="1"/>
  <c r="S618" i="1"/>
  <c r="T618" i="1" s="1"/>
  <c r="S619" i="1"/>
  <c r="U619" i="1" s="1"/>
  <c r="S620" i="1"/>
  <c r="S621" i="1"/>
  <c r="S622" i="1"/>
  <c r="U622" i="1" s="1"/>
  <c r="S623" i="1"/>
  <c r="S624" i="1"/>
  <c r="U624" i="1" s="1"/>
  <c r="S625" i="1"/>
  <c r="S626" i="1"/>
  <c r="T626" i="1" s="1"/>
  <c r="S627" i="1"/>
  <c r="S628" i="1"/>
  <c r="S629" i="1"/>
  <c r="V629" i="1" s="1"/>
  <c r="S630" i="1"/>
  <c r="S631" i="1"/>
  <c r="U631" i="1" s="1"/>
  <c r="T631" i="1"/>
  <c r="V631" i="1"/>
  <c r="W631" i="1"/>
  <c r="S632" i="1"/>
  <c r="V632" i="1" s="1"/>
  <c r="S633" i="1"/>
  <c r="S634" i="1"/>
  <c r="S635" i="1"/>
  <c r="S636" i="1"/>
  <c r="W636" i="1" s="1"/>
  <c r="S637" i="1"/>
  <c r="S638" i="1"/>
  <c r="S639" i="1"/>
  <c r="U639" i="1" s="1"/>
  <c r="W639" i="1"/>
  <c r="S640" i="1"/>
  <c r="S641" i="1"/>
  <c r="S642" i="1"/>
  <c r="U642" i="1" s="1"/>
  <c r="S643" i="1"/>
  <c r="V643" i="1" s="1"/>
  <c r="S644" i="1"/>
  <c r="W644" i="1" s="1"/>
  <c r="V644" i="1"/>
  <c r="S645" i="1"/>
  <c r="S646" i="1"/>
  <c r="S647" i="1"/>
  <c r="T647" i="1" s="1"/>
  <c r="S648" i="1"/>
  <c r="T648" i="1" s="1"/>
  <c r="S649" i="1"/>
  <c r="V649" i="1" s="1"/>
  <c r="S650" i="1"/>
  <c r="S651" i="1"/>
  <c r="S652" i="1"/>
  <c r="S653" i="1"/>
  <c r="S654" i="1"/>
  <c r="S655" i="1"/>
  <c r="U655" i="1" s="1"/>
  <c r="S656" i="1"/>
  <c r="T656" i="1" s="1"/>
  <c r="S657" i="1"/>
  <c r="S658" i="1"/>
  <c r="W658" i="1" s="1"/>
  <c r="S659" i="1"/>
  <c r="T659" i="1" s="1"/>
  <c r="S660" i="1"/>
  <c r="S661" i="1"/>
  <c r="U661" i="1" s="1"/>
  <c r="S662" i="1"/>
  <c r="S663" i="1"/>
  <c r="S664" i="1"/>
  <c r="T664" i="1" s="1"/>
  <c r="S665" i="1"/>
  <c r="W665" i="1" s="1"/>
  <c r="V665" i="1"/>
  <c r="S666" i="1"/>
  <c r="W666" i="1" s="1"/>
  <c r="S667" i="1"/>
  <c r="U667" i="1" s="1"/>
  <c r="S668" i="1"/>
  <c r="U668" i="1" s="1"/>
  <c r="S669" i="1"/>
  <c r="U669" i="1" s="1"/>
  <c r="S670" i="1"/>
  <c r="W670" i="1"/>
  <c r="S671" i="1"/>
  <c r="S672" i="1"/>
  <c r="U672" i="1" s="1"/>
  <c r="S673" i="1"/>
  <c r="U673" i="1" s="1"/>
  <c r="S674" i="1"/>
  <c r="W674" i="1" s="1"/>
  <c r="S675" i="1"/>
  <c r="S676" i="1"/>
  <c r="S677" i="1"/>
  <c r="T677" i="1" s="1"/>
  <c r="S678" i="1"/>
  <c r="W678" i="1" s="1"/>
  <c r="S679" i="1"/>
  <c r="T679" i="1" s="1"/>
  <c r="S680" i="1"/>
  <c r="T680" i="1" s="1"/>
  <c r="S681" i="1"/>
  <c r="W681" i="1" s="1"/>
  <c r="S682" i="1"/>
  <c r="W682" i="1" s="1"/>
  <c r="S683" i="1"/>
  <c r="U683" i="1" s="1"/>
  <c r="S684" i="1"/>
  <c r="S685" i="1"/>
  <c r="U685" i="1" s="1"/>
  <c r="S686" i="1"/>
  <c r="W686" i="1" s="1"/>
  <c r="S687" i="1"/>
  <c r="T687" i="1" s="1"/>
  <c r="S688" i="1"/>
  <c r="V688" i="1" s="1"/>
  <c r="S689" i="1"/>
  <c r="S690" i="1"/>
  <c r="W690" i="1" s="1"/>
  <c r="S691" i="1"/>
  <c r="S692" i="1"/>
  <c r="T692" i="1" s="1"/>
  <c r="S693" i="1"/>
  <c r="T693" i="1" s="1"/>
  <c r="U693" i="1"/>
  <c r="S694" i="1"/>
  <c r="W694" i="1" s="1"/>
  <c r="S695" i="1"/>
  <c r="S696" i="1"/>
  <c r="T696" i="1" s="1"/>
  <c r="S697" i="1"/>
  <c r="S698" i="1"/>
  <c r="W698" i="1" s="1"/>
  <c r="S699" i="1"/>
  <c r="S700" i="1"/>
  <c r="U700" i="1" s="1"/>
  <c r="S701" i="1"/>
  <c r="W701" i="1" s="1"/>
  <c r="S702" i="1"/>
  <c r="W702" i="1" s="1"/>
  <c r="S703" i="1"/>
  <c r="S704" i="1"/>
  <c r="V704" i="1" s="1"/>
  <c r="S705" i="1"/>
  <c r="S706" i="1"/>
  <c r="W706" i="1" s="1"/>
  <c r="S707" i="1"/>
  <c r="U707" i="1" s="1"/>
  <c r="S708" i="1"/>
  <c r="T708" i="1" s="1"/>
  <c r="S709" i="1"/>
  <c r="T709" i="1" s="1"/>
  <c r="S710" i="1"/>
  <c r="S711" i="1"/>
  <c r="S712" i="1"/>
  <c r="T712" i="1" s="1"/>
  <c r="S713" i="1"/>
  <c r="S714" i="1"/>
  <c r="S715" i="1"/>
  <c r="S716" i="1"/>
  <c r="S717" i="1"/>
  <c r="W717" i="1" s="1"/>
  <c r="S718" i="1"/>
  <c r="S719" i="1"/>
  <c r="S720" i="1"/>
  <c r="V720" i="1" s="1"/>
  <c r="S721" i="1"/>
  <c r="S722" i="1"/>
  <c r="S723" i="1"/>
  <c r="U723" i="1" s="1"/>
  <c r="S724" i="1"/>
  <c r="S725" i="1"/>
  <c r="U725" i="1"/>
  <c r="S726" i="1"/>
  <c r="S727" i="1"/>
  <c r="S728" i="1"/>
  <c r="V728" i="1" s="1"/>
  <c r="S729" i="1"/>
  <c r="S730" i="1"/>
  <c r="S731" i="1"/>
  <c r="S732" i="1"/>
  <c r="S733" i="1"/>
  <c r="W733" i="1" s="1"/>
  <c r="S734" i="1"/>
  <c r="S735" i="1"/>
  <c r="S736" i="1"/>
  <c r="T736" i="1" s="1"/>
  <c r="S737" i="1"/>
  <c r="S738" i="1"/>
  <c r="S739" i="1"/>
  <c r="U739" i="1" s="1"/>
  <c r="W739" i="1"/>
  <c r="S740" i="1"/>
  <c r="T740" i="1" s="1"/>
  <c r="S741" i="1"/>
  <c r="T741" i="1" s="1"/>
  <c r="S742" i="1"/>
  <c r="S743" i="1"/>
  <c r="S744" i="1"/>
  <c r="S16" i="1"/>
  <c r="S746" i="1"/>
  <c r="S747" i="1"/>
  <c r="S748" i="1"/>
  <c r="U748" i="1" s="1"/>
  <c r="S749" i="1"/>
  <c r="S750" i="1"/>
  <c r="S751" i="1"/>
  <c r="W751" i="1" s="1"/>
  <c r="S752" i="1"/>
  <c r="V752" i="1" s="1"/>
  <c r="S753" i="1"/>
  <c r="V753" i="1" s="1"/>
  <c r="S754" i="1"/>
  <c r="W754" i="1" s="1"/>
  <c r="S755" i="1"/>
  <c r="S756" i="1"/>
  <c r="T756" i="1" s="1"/>
  <c r="S757" i="1"/>
  <c r="S758" i="1"/>
  <c r="V758" i="1" s="1"/>
  <c r="S759" i="1"/>
  <c r="W759" i="1" s="1"/>
  <c r="S760" i="1"/>
  <c r="U760" i="1" s="1"/>
  <c r="S761" i="1"/>
  <c r="S762" i="1"/>
  <c r="W762" i="1" s="1"/>
  <c r="S763" i="1"/>
  <c r="T763" i="1" s="1"/>
  <c r="S764" i="1"/>
  <c r="W764" i="1" s="1"/>
  <c r="S765" i="1"/>
  <c r="T765" i="1" s="1"/>
  <c r="W765" i="1"/>
  <c r="S766" i="1"/>
  <c r="V766" i="1" s="1"/>
  <c r="S767" i="1"/>
  <c r="T767" i="1" s="1"/>
  <c r="S768" i="1"/>
  <c r="T768" i="1" s="1"/>
  <c r="S769" i="1"/>
  <c r="U769" i="1" s="1"/>
  <c r="S770" i="1"/>
  <c r="V770" i="1" s="1"/>
  <c r="S771" i="1"/>
  <c r="T771" i="1" s="1"/>
  <c r="S772" i="1"/>
  <c r="V772" i="1" s="1"/>
  <c r="S773" i="1"/>
  <c r="S774" i="1"/>
  <c r="V774" i="1" s="1"/>
  <c r="S775" i="1"/>
  <c r="S776" i="1"/>
  <c r="S777" i="1"/>
  <c r="S778" i="1"/>
  <c r="S779" i="1"/>
  <c r="S780" i="1"/>
  <c r="V780" i="1" s="1"/>
  <c r="S781" i="1"/>
  <c r="U781" i="1" s="1"/>
  <c r="S782" i="1"/>
  <c r="S783" i="1"/>
  <c r="T783" i="1" s="1"/>
  <c r="W783" i="1"/>
  <c r="S784" i="1"/>
  <c r="T784" i="1" s="1"/>
  <c r="S785" i="1"/>
  <c r="V785" i="1" s="1"/>
  <c r="S786" i="1"/>
  <c r="V786" i="1" s="1"/>
  <c r="S787" i="1"/>
  <c r="T787" i="1" s="1"/>
  <c r="S788" i="1"/>
  <c r="S789" i="1"/>
  <c r="U789" i="1" s="1"/>
  <c r="S790" i="1"/>
  <c r="V790" i="1" s="1"/>
  <c r="S791" i="1"/>
  <c r="W791" i="1" s="1"/>
  <c r="S792" i="1"/>
  <c r="V792" i="1" s="1"/>
  <c r="S793" i="1"/>
  <c r="S794" i="1"/>
  <c r="W794" i="1" s="1"/>
  <c r="S795" i="1"/>
  <c r="T795" i="1" s="1"/>
  <c r="S796" i="1"/>
  <c r="S797" i="1"/>
  <c r="T797" i="1" s="1"/>
  <c r="S798" i="1"/>
  <c r="S799" i="1"/>
  <c r="S800" i="1"/>
  <c r="V800" i="1" s="1"/>
  <c r="S801" i="1"/>
  <c r="W801" i="1" s="1"/>
  <c r="S802" i="1"/>
  <c r="S803" i="1"/>
  <c r="T803" i="1" s="1"/>
  <c r="S804" i="1"/>
  <c r="W804" i="1" s="1"/>
  <c r="S805" i="1"/>
  <c r="T805" i="1" s="1"/>
  <c r="S806" i="1"/>
  <c r="V806" i="1" s="1"/>
  <c r="S807" i="1"/>
  <c r="W807" i="1" s="1"/>
  <c r="S808" i="1"/>
  <c r="W808" i="1" s="1"/>
  <c r="S809" i="1"/>
  <c r="S810" i="1"/>
  <c r="W810" i="1" s="1"/>
  <c r="S811" i="1"/>
  <c r="T811" i="1" s="1"/>
  <c r="S812" i="1"/>
  <c r="T812" i="1" s="1"/>
  <c r="S813" i="1"/>
  <c r="S814" i="1"/>
  <c r="V814" i="1" s="1"/>
  <c r="S815" i="1"/>
  <c r="S816" i="1"/>
  <c r="S817" i="1"/>
  <c r="U817" i="1" s="1"/>
  <c r="S818" i="1"/>
  <c r="S819" i="1"/>
  <c r="T819" i="1" s="1"/>
  <c r="S820" i="1"/>
  <c r="V820" i="1" s="1"/>
  <c r="S821" i="1"/>
  <c r="V821" i="1" s="1"/>
  <c r="S822" i="1"/>
  <c r="V822" i="1" s="1"/>
  <c r="S823" i="1"/>
  <c r="W823" i="1" s="1"/>
  <c r="S824" i="1"/>
  <c r="S825" i="1"/>
  <c r="U825" i="1" s="1"/>
  <c r="S826" i="1"/>
  <c r="U826" i="1" s="1"/>
  <c r="S827" i="1"/>
  <c r="V827" i="1" s="1"/>
  <c r="S828" i="1"/>
  <c r="T828" i="1" s="1"/>
  <c r="S829" i="1"/>
  <c r="T829" i="1" s="1"/>
  <c r="S830" i="1"/>
  <c r="S831" i="1"/>
  <c r="S832" i="1"/>
  <c r="W832" i="1" s="1"/>
  <c r="S833" i="1"/>
  <c r="T833" i="1" s="1"/>
  <c r="S834" i="1"/>
  <c r="W834" i="1" s="1"/>
  <c r="S835" i="1"/>
  <c r="S836" i="1"/>
  <c r="U836" i="1" s="1"/>
  <c r="S837" i="1"/>
  <c r="T837" i="1" s="1"/>
  <c r="S838" i="1"/>
  <c r="U838" i="1" s="1"/>
  <c r="S839" i="1"/>
  <c r="W839" i="1" s="1"/>
  <c r="S840" i="1"/>
  <c r="W840" i="1" s="1"/>
  <c r="S841" i="1"/>
  <c r="T841" i="1" s="1"/>
  <c r="S842" i="1"/>
  <c r="U842" i="1" s="1"/>
  <c r="S843" i="1"/>
  <c r="V843" i="1" s="1"/>
  <c r="S844" i="1"/>
  <c r="S845" i="1"/>
  <c r="T845" i="1" s="1"/>
  <c r="S846" i="1"/>
  <c r="V846" i="1" s="1"/>
  <c r="S847" i="1"/>
  <c r="S848" i="1"/>
  <c r="S849" i="1"/>
  <c r="T849" i="1" s="1"/>
  <c r="S850" i="1"/>
  <c r="S851" i="1"/>
  <c r="W851" i="1" s="1"/>
  <c r="S852" i="1"/>
  <c r="U852" i="1" s="1"/>
  <c r="S853" i="1"/>
  <c r="T853" i="1" s="1"/>
  <c r="S854" i="1"/>
  <c r="U854" i="1" s="1"/>
  <c r="S855" i="1"/>
  <c r="W855" i="1" s="1"/>
  <c r="S856" i="1"/>
  <c r="S857" i="1"/>
  <c r="T857" i="1" s="1"/>
  <c r="S858" i="1"/>
  <c r="U858" i="1" s="1"/>
  <c r="S859" i="1"/>
  <c r="V859" i="1" s="1"/>
  <c r="S860" i="1"/>
  <c r="U860" i="1" s="1"/>
  <c r="S861" i="1"/>
  <c r="T861" i="1" s="1"/>
  <c r="S862" i="1"/>
  <c r="V862" i="1" s="1"/>
  <c r="S863" i="1"/>
  <c r="S864" i="1"/>
  <c r="V864" i="1" s="1"/>
  <c r="S865" i="1"/>
  <c r="T865" i="1" s="1"/>
  <c r="S866" i="1"/>
  <c r="W866" i="1" s="1"/>
  <c r="S867" i="1"/>
  <c r="T867" i="1" s="1"/>
  <c r="W867" i="1"/>
  <c r="S868" i="1"/>
  <c r="S869" i="1"/>
  <c r="T869" i="1" s="1"/>
  <c r="S870" i="1"/>
  <c r="U870" i="1" s="1"/>
  <c r="S871" i="1"/>
  <c r="S872" i="1"/>
  <c r="S873" i="1"/>
  <c r="T873" i="1" s="1"/>
  <c r="S874" i="1"/>
  <c r="U874" i="1" s="1"/>
  <c r="S875" i="1"/>
  <c r="V875" i="1" s="1"/>
  <c r="S876" i="1"/>
  <c r="T876" i="1" s="1"/>
  <c r="S877" i="1"/>
  <c r="T877" i="1" s="1"/>
  <c r="S878" i="1"/>
  <c r="V878" i="1" s="1"/>
  <c r="S879" i="1"/>
  <c r="S880" i="1"/>
  <c r="S881" i="1"/>
  <c r="T881" i="1" s="1"/>
  <c r="S882" i="1"/>
  <c r="W882" i="1" s="1"/>
  <c r="S883" i="1"/>
  <c r="S884" i="1"/>
  <c r="T884" i="1" s="1"/>
  <c r="S885" i="1"/>
  <c r="T885" i="1" s="1"/>
  <c r="S886" i="1"/>
  <c r="U886" i="1" s="1"/>
  <c r="S887" i="1"/>
  <c r="W887" i="1" s="1"/>
  <c r="S888" i="1"/>
  <c r="U888" i="1" s="1"/>
  <c r="S889" i="1"/>
  <c r="T889" i="1" s="1"/>
  <c r="S890" i="1"/>
  <c r="U890" i="1" s="1"/>
  <c r="S891" i="1"/>
  <c r="V891" i="1" s="1"/>
  <c r="S892" i="1"/>
  <c r="T892" i="1" s="1"/>
  <c r="S893" i="1"/>
  <c r="T893" i="1" s="1"/>
  <c r="S894" i="1"/>
  <c r="S895" i="1"/>
  <c r="S896" i="1"/>
  <c r="W896" i="1" s="1"/>
  <c r="S897" i="1"/>
  <c r="T897" i="1" s="1"/>
  <c r="S898" i="1"/>
  <c r="W898" i="1" s="1"/>
  <c r="S899" i="1"/>
  <c r="S900" i="1"/>
  <c r="U900" i="1" s="1"/>
  <c r="S901" i="1"/>
  <c r="S902" i="1"/>
  <c r="U902" i="1" s="1"/>
  <c r="S903" i="1"/>
  <c r="W903" i="1" s="1"/>
  <c r="S904" i="1"/>
  <c r="W904" i="1" s="1"/>
  <c r="S905" i="1"/>
  <c r="T905" i="1" s="1"/>
  <c r="S906" i="1"/>
  <c r="U906" i="1" s="1"/>
  <c r="S907" i="1"/>
  <c r="V907" i="1" s="1"/>
  <c r="S908" i="1"/>
  <c r="S909" i="1"/>
  <c r="T909" i="1" s="1"/>
  <c r="S910" i="1"/>
  <c r="V910" i="1" s="1"/>
  <c r="S911" i="1"/>
  <c r="S912" i="1"/>
  <c r="S913" i="1"/>
  <c r="T913" i="1" s="1"/>
  <c r="S914" i="1"/>
  <c r="S915" i="1"/>
  <c r="S916" i="1"/>
  <c r="U916" i="1" s="1"/>
  <c r="S917" i="1"/>
  <c r="T917" i="1" s="1"/>
  <c r="S918" i="1"/>
  <c r="U918" i="1" s="1"/>
  <c r="S919" i="1"/>
  <c r="W919" i="1" s="1"/>
  <c r="S920" i="1"/>
  <c r="S921" i="1"/>
  <c r="T921" i="1" s="1"/>
  <c r="S922" i="1"/>
  <c r="U922" i="1" s="1"/>
  <c r="S923" i="1"/>
  <c r="V923" i="1" s="1"/>
  <c r="S924" i="1"/>
  <c r="U924" i="1" s="1"/>
  <c r="S925" i="1"/>
  <c r="T925" i="1" s="1"/>
  <c r="S926" i="1"/>
  <c r="S927" i="1"/>
  <c r="S928" i="1"/>
  <c r="S929" i="1"/>
  <c r="T929" i="1" s="1"/>
  <c r="S930" i="1"/>
  <c r="W930" i="1" s="1"/>
  <c r="S931" i="1"/>
  <c r="T931" i="1" s="1"/>
  <c r="W931" i="1"/>
  <c r="S932" i="1"/>
  <c r="S933" i="1"/>
  <c r="T933" i="1" s="1"/>
  <c r="S934" i="1"/>
  <c r="U934" i="1" s="1"/>
  <c r="S935" i="1"/>
  <c r="S936" i="1"/>
  <c r="U936" i="1" s="1"/>
  <c r="S937" i="1"/>
  <c r="S938" i="1"/>
  <c r="U938" i="1" s="1"/>
  <c r="S939" i="1"/>
  <c r="V939" i="1" s="1"/>
  <c r="S940" i="1"/>
  <c r="S941" i="1"/>
  <c r="T941" i="1" s="1"/>
  <c r="S942" i="1"/>
  <c r="U942" i="1" s="1"/>
  <c r="S943" i="1"/>
  <c r="V943" i="1" s="1"/>
  <c r="S944" i="1"/>
  <c r="T944" i="1" s="1"/>
  <c r="W944" i="1"/>
  <c r="S945" i="1"/>
  <c r="T945" i="1" s="1"/>
  <c r="S946" i="1"/>
  <c r="V946" i="1" s="1"/>
  <c r="S947" i="1"/>
  <c r="V947" i="1" s="1"/>
  <c r="S948" i="1"/>
  <c r="U948" i="1" s="1"/>
  <c r="V948" i="1"/>
  <c r="S949" i="1"/>
  <c r="S950" i="1"/>
  <c r="U950" i="1" s="1"/>
  <c r="V950" i="1"/>
  <c r="S951" i="1"/>
  <c r="S952" i="1"/>
  <c r="S953" i="1"/>
  <c r="T953" i="1" s="1"/>
  <c r="S954" i="1"/>
  <c r="U954" i="1" s="1"/>
  <c r="S955" i="1"/>
  <c r="V955" i="1" s="1"/>
  <c r="S956" i="1"/>
  <c r="S957" i="1"/>
  <c r="V957" i="1" s="1"/>
  <c r="S958" i="1"/>
  <c r="U958" i="1" s="1"/>
  <c r="S959" i="1"/>
  <c r="V959" i="1" s="1"/>
  <c r="S960" i="1"/>
  <c r="U960" i="1" s="1"/>
  <c r="S961" i="1"/>
  <c r="S962" i="1"/>
  <c r="W962" i="1" s="1"/>
  <c r="S963" i="1"/>
  <c r="V963" i="1" s="1"/>
  <c r="S964" i="1"/>
  <c r="V964" i="1" s="1"/>
  <c r="S965" i="1"/>
  <c r="T965" i="1" s="1"/>
  <c r="S966" i="1"/>
  <c r="U966" i="1" s="1"/>
  <c r="S967" i="1"/>
  <c r="T967" i="1" s="1"/>
  <c r="S968" i="1"/>
  <c r="U968" i="1" s="1"/>
  <c r="S969" i="1"/>
  <c r="S970" i="1"/>
  <c r="T970" i="1" s="1"/>
  <c r="S971" i="1"/>
  <c r="T971" i="1" s="1"/>
  <c r="S972" i="1"/>
  <c r="S973" i="1"/>
  <c r="S974" i="1"/>
  <c r="W974" i="1" s="1"/>
  <c r="S975" i="1"/>
  <c r="U975" i="1" s="1"/>
  <c r="S976" i="1"/>
  <c r="S977" i="1"/>
  <c r="W977" i="1" s="1"/>
  <c r="S978" i="1"/>
  <c r="W978" i="1" s="1"/>
  <c r="S979" i="1"/>
  <c r="T979" i="1" s="1"/>
  <c r="S980" i="1"/>
  <c r="S981" i="1"/>
  <c r="S982" i="1"/>
  <c r="W982" i="1" s="1"/>
  <c r="S983" i="1"/>
  <c r="S984" i="1"/>
  <c r="U984" i="1" s="1"/>
  <c r="S985" i="1"/>
  <c r="U985" i="1" s="1"/>
  <c r="S986" i="1"/>
  <c r="W986" i="1" s="1"/>
  <c r="S987" i="1"/>
  <c r="T987" i="1" s="1"/>
  <c r="S988" i="1"/>
  <c r="S989" i="1"/>
  <c r="W989" i="1" s="1"/>
  <c r="S990" i="1"/>
  <c r="W990" i="1" s="1"/>
  <c r="S991" i="1"/>
  <c r="T991" i="1" s="1"/>
  <c r="S992" i="1"/>
  <c r="V992" i="1" s="1"/>
  <c r="S993" i="1"/>
  <c r="U993" i="1" s="1"/>
  <c r="S994" i="1"/>
  <c r="W994" i="1" s="1"/>
  <c r="S995" i="1"/>
  <c r="V995" i="1" s="1"/>
  <c r="S996" i="1"/>
  <c r="W996" i="1" s="1"/>
  <c r="S997" i="1"/>
  <c r="W997" i="1" s="1"/>
  <c r="S998" i="1"/>
  <c r="W998" i="1" s="1"/>
  <c r="S999" i="1"/>
  <c r="W999" i="1" s="1"/>
  <c r="S1000" i="1"/>
  <c r="W1000" i="1" s="1"/>
  <c r="S1001" i="1"/>
  <c r="U1001" i="1" s="1"/>
  <c r="S1002" i="1"/>
  <c r="W1002" i="1" s="1"/>
  <c r="S1003" i="1"/>
  <c r="S1004" i="1"/>
  <c r="W1004" i="1" s="1"/>
  <c r="S1005" i="1"/>
  <c r="T1005" i="1" s="1"/>
  <c r="S1006" i="1"/>
  <c r="W1006" i="1" s="1"/>
  <c r="S1007" i="1"/>
  <c r="U1007" i="1" s="1"/>
  <c r="S1008" i="1"/>
  <c r="S1009" i="1"/>
  <c r="U1009" i="1" s="1"/>
  <c r="S1010" i="1"/>
  <c r="W1010" i="1" s="1"/>
  <c r="S1011" i="1"/>
  <c r="T1011" i="1" s="1"/>
  <c r="S1012" i="1"/>
  <c r="S1013" i="1"/>
  <c r="S1014" i="1"/>
  <c r="W1014" i="1" s="1"/>
  <c r="S1015" i="1"/>
  <c r="S1016" i="1"/>
  <c r="S1017" i="1"/>
  <c r="V1017" i="1" s="1"/>
  <c r="S1018" i="1"/>
  <c r="W1018" i="1" s="1"/>
  <c r="S1019" i="1"/>
  <c r="T1019" i="1" s="1"/>
  <c r="S1020" i="1"/>
  <c r="W1020" i="1" s="1"/>
  <c r="S1021" i="1"/>
  <c r="T1021" i="1" s="1"/>
  <c r="S1022" i="1"/>
  <c r="W1022" i="1" s="1"/>
  <c r="S1023" i="1"/>
  <c r="T1023" i="1" s="1"/>
  <c r="S1024" i="1"/>
  <c r="S1025" i="1"/>
  <c r="V1025" i="1" s="1"/>
  <c r="S1026" i="1"/>
  <c r="W1026" i="1" s="1"/>
  <c r="S1027" i="1"/>
  <c r="S1028" i="1"/>
  <c r="W1028" i="1" s="1"/>
  <c r="S1029" i="1"/>
  <c r="S1030" i="1"/>
  <c r="W1030" i="1" s="1"/>
  <c r="S1031" i="1"/>
  <c r="V1031" i="1" s="1"/>
  <c r="S1032" i="1"/>
  <c r="W1032" i="1" s="1"/>
  <c r="S1033" i="1"/>
  <c r="V1033" i="1" s="1"/>
  <c r="S1034" i="1"/>
  <c r="W1034" i="1" s="1"/>
  <c r="S1035" i="1"/>
  <c r="V1035" i="1" s="1"/>
  <c r="S1036" i="1"/>
  <c r="S1037" i="1"/>
  <c r="V1037" i="1" s="1"/>
  <c r="S1038" i="1"/>
  <c r="U1038" i="1" s="1"/>
  <c r="S1039" i="1"/>
  <c r="S1040" i="1"/>
  <c r="W1040" i="1" s="1"/>
  <c r="S1041" i="1"/>
  <c r="T1041" i="1" s="1"/>
  <c r="S1042" i="1"/>
  <c r="S1043" i="1"/>
  <c r="V1043" i="1" s="1"/>
  <c r="S1044" i="1"/>
  <c r="W1044" i="1" s="1"/>
  <c r="S1045" i="1"/>
  <c r="U1045" i="1" s="1"/>
  <c r="S1046" i="1"/>
  <c r="S1047" i="1"/>
  <c r="S1048" i="1"/>
  <c r="W1048" i="1" s="1"/>
  <c r="S1049" i="1"/>
  <c r="T1049" i="1" s="1"/>
  <c r="S1050" i="1"/>
  <c r="V1050" i="1" s="1"/>
  <c r="S1051" i="1"/>
  <c r="S1052" i="1"/>
  <c r="S1053" i="1"/>
  <c r="U1053" i="1" s="1"/>
  <c r="S1054" i="1"/>
  <c r="U1054" i="1" s="1"/>
  <c r="S1055" i="1"/>
  <c r="U1055" i="1" s="1"/>
  <c r="S1056" i="1"/>
  <c r="S1057" i="1"/>
  <c r="S1058" i="1"/>
  <c r="V1058" i="1" s="1"/>
  <c r="S1059" i="1"/>
  <c r="S1060" i="1"/>
  <c r="T1060" i="1" s="1"/>
  <c r="S1061" i="1"/>
  <c r="T1061" i="1" s="1"/>
  <c r="S1062" i="1"/>
  <c r="U1062" i="1" s="1"/>
  <c r="S1063" i="1"/>
  <c r="S1064" i="1"/>
  <c r="S1065" i="1"/>
  <c r="U1065" i="1" s="1"/>
  <c r="S1066" i="1"/>
  <c r="W1066" i="1" s="1"/>
  <c r="S1067" i="1"/>
  <c r="S1068" i="1"/>
  <c r="S1069" i="1"/>
  <c r="V1069" i="1" s="1"/>
  <c r="S1070" i="1"/>
  <c r="V1070" i="1" s="1"/>
  <c r="S1071" i="1"/>
  <c r="S1072" i="1"/>
  <c r="W1072" i="1" s="1"/>
  <c r="S1073" i="1"/>
  <c r="S1074" i="1"/>
  <c r="W1074" i="1" s="1"/>
  <c r="S1075" i="1"/>
  <c r="S1076" i="1"/>
  <c r="W1076" i="1" s="1"/>
  <c r="S1077" i="1"/>
  <c r="T1077" i="1" s="1"/>
  <c r="S1078" i="1"/>
  <c r="V1078" i="1" s="1"/>
  <c r="S1079" i="1"/>
  <c r="U1079" i="1" s="1"/>
  <c r="S1080" i="1"/>
  <c r="W1080" i="1" s="1"/>
  <c r="S1081" i="1"/>
  <c r="S1082" i="1"/>
  <c r="V1082" i="1" s="1"/>
  <c r="S1083" i="1"/>
  <c r="S1084" i="1"/>
  <c r="T1084" i="1" s="1"/>
  <c r="S1085" i="1"/>
  <c r="S1086" i="1"/>
  <c r="S1087" i="1"/>
  <c r="U1087" i="1" s="1"/>
  <c r="S1088" i="1"/>
  <c r="S1089" i="1"/>
  <c r="T1089" i="1" s="1"/>
  <c r="S1090" i="1"/>
  <c r="S1091" i="1"/>
  <c r="S1092" i="1"/>
  <c r="S1093" i="1"/>
  <c r="W1093" i="1" s="1"/>
  <c r="S1094" i="1"/>
  <c r="S1095" i="1"/>
  <c r="U1095" i="1" s="1"/>
  <c r="S1096" i="1"/>
  <c r="W1096" i="1" s="1"/>
  <c r="S1097" i="1"/>
  <c r="U1097" i="1" s="1"/>
  <c r="S1098" i="1"/>
  <c r="V1098" i="1" s="1"/>
  <c r="S1099" i="1"/>
  <c r="S1100" i="1"/>
  <c r="V1100" i="1" s="1"/>
  <c r="S1101" i="1"/>
  <c r="W1101" i="1" s="1"/>
  <c r="S1102" i="1"/>
  <c r="U1102" i="1" s="1"/>
  <c r="S1103" i="1"/>
  <c r="S1104" i="1"/>
  <c r="W1104" i="1" s="1"/>
  <c r="S1105" i="1"/>
  <c r="V1105" i="1" s="1"/>
  <c r="S1106" i="1"/>
  <c r="S1107" i="1"/>
  <c r="S1108" i="1"/>
  <c r="W1108" i="1" s="1"/>
  <c r="S1109" i="1"/>
  <c r="T1109" i="1" s="1"/>
  <c r="S1110" i="1"/>
  <c r="V1110" i="1" s="1"/>
  <c r="S1111" i="1"/>
  <c r="S1112" i="1"/>
  <c r="W1112" i="1" s="1"/>
  <c r="S1113" i="1"/>
  <c r="S1114" i="1"/>
  <c r="S1115" i="1"/>
  <c r="S1116" i="1"/>
  <c r="T1116" i="1" s="1"/>
  <c r="S1117" i="1"/>
  <c r="U1117" i="1" s="1"/>
  <c r="S1118" i="1"/>
  <c r="U1118" i="1" s="1"/>
  <c r="S1119" i="1"/>
  <c r="U1119" i="1" s="1"/>
  <c r="S1120" i="1"/>
  <c r="S1121" i="1"/>
  <c r="T1121" i="1" s="1"/>
  <c r="S1122" i="1"/>
  <c r="V1122" i="1" s="1"/>
  <c r="S1123" i="1"/>
  <c r="S1124" i="1"/>
  <c r="V1124" i="1" s="1"/>
  <c r="S1125" i="1"/>
  <c r="T1125" i="1" s="1"/>
  <c r="S1126" i="1"/>
  <c r="U1126" i="1" s="1"/>
  <c r="S1127" i="1"/>
  <c r="U1127" i="1" s="1"/>
  <c r="S1128" i="1"/>
  <c r="W1128" i="1" s="1"/>
  <c r="S1129" i="1"/>
  <c r="T1129" i="1" s="1"/>
  <c r="S1130" i="1"/>
  <c r="W1130" i="1" s="1"/>
  <c r="S1131" i="1"/>
  <c r="S1132" i="1"/>
  <c r="V1132" i="1" s="1"/>
  <c r="S1133" i="1"/>
  <c r="S1134" i="1"/>
  <c r="V1134" i="1" s="1"/>
  <c r="S1135" i="1"/>
  <c r="S1136" i="1"/>
  <c r="S1137" i="1"/>
  <c r="V1137" i="1" s="1"/>
  <c r="S1138" i="1"/>
  <c r="W1138" i="1" s="1"/>
  <c r="S1139" i="1"/>
  <c r="S1140" i="1"/>
  <c r="S1141" i="1"/>
  <c r="U1141" i="1" s="1"/>
  <c r="S1142" i="1"/>
  <c r="V1142" i="1" s="1"/>
  <c r="S1143" i="1"/>
  <c r="U1143" i="1" s="1"/>
  <c r="S1144" i="1"/>
  <c r="W1144" i="1" s="1"/>
  <c r="S1145" i="1"/>
  <c r="T1145" i="1" s="1"/>
  <c r="S1146" i="1"/>
  <c r="S1147" i="1"/>
  <c r="S1148" i="1"/>
  <c r="T1148" i="1" s="1"/>
  <c r="S1149" i="1"/>
  <c r="S1150" i="1"/>
  <c r="U1150" i="1" s="1"/>
  <c r="S1151" i="1"/>
  <c r="S1152" i="1"/>
  <c r="S1153" i="1"/>
  <c r="T1153" i="1" s="1"/>
  <c r="S1154" i="1"/>
  <c r="V1154" i="1" s="1"/>
  <c r="S1155" i="1"/>
  <c r="S1156" i="1"/>
  <c r="V1156" i="1" s="1"/>
  <c r="S1157" i="1"/>
  <c r="U1157" i="1" s="1"/>
  <c r="S1158" i="1"/>
  <c r="U1158" i="1" s="1"/>
  <c r="S1159" i="1"/>
  <c r="U1159" i="1" s="1"/>
  <c r="S1160" i="1"/>
  <c r="S1161" i="1"/>
  <c r="S1162" i="1"/>
  <c r="W1162" i="1" s="1"/>
  <c r="S1163" i="1"/>
  <c r="S1164" i="1"/>
  <c r="T1164" i="1" s="1"/>
  <c r="S1165" i="1"/>
  <c r="U1165" i="1" s="1"/>
  <c r="S1166" i="1"/>
  <c r="V1166" i="1" s="1"/>
  <c r="S1167" i="1"/>
  <c r="S1168" i="1"/>
  <c r="W1168" i="1" s="1"/>
  <c r="S1169" i="1"/>
  <c r="V1169" i="1" s="1"/>
  <c r="S1170" i="1"/>
  <c r="W1170" i="1" s="1"/>
  <c r="S1171" i="1"/>
  <c r="S1172" i="1"/>
  <c r="W1172" i="1" s="1"/>
  <c r="S1173" i="1"/>
  <c r="S1174" i="1"/>
  <c r="S1175" i="1"/>
  <c r="U1175" i="1" s="1"/>
  <c r="S1176" i="1"/>
  <c r="W1176" i="1" s="1"/>
  <c r="S1177" i="1"/>
  <c r="W1177" i="1" s="1"/>
  <c r="S1178" i="1"/>
  <c r="V1178" i="1" s="1"/>
  <c r="S1179" i="1"/>
  <c r="S1180" i="1"/>
  <c r="S1181" i="1"/>
  <c r="W1181" i="1" s="1"/>
  <c r="S1182" i="1"/>
  <c r="U1182" i="1" s="1"/>
  <c r="S1183" i="1"/>
  <c r="U1183" i="1" s="1"/>
  <c r="S1184" i="1"/>
  <c r="W1184" i="1" s="1"/>
  <c r="S1185" i="1"/>
  <c r="U1185" i="1" s="1"/>
  <c r="S1186" i="1"/>
  <c r="V1186" i="1" s="1"/>
  <c r="S1187" i="1"/>
  <c r="S1188" i="1"/>
  <c r="V1188" i="1" s="1"/>
  <c r="S1189" i="1"/>
  <c r="W1189" i="1" s="1"/>
  <c r="S1190" i="1"/>
  <c r="U1190" i="1" s="1"/>
  <c r="S1191" i="1"/>
  <c r="S1192" i="1"/>
  <c r="W1192" i="1" s="1"/>
  <c r="S1193" i="1"/>
  <c r="W1193" i="1" s="1"/>
  <c r="S1194" i="1"/>
  <c r="S1195" i="1"/>
  <c r="S1196" i="1"/>
  <c r="S1197" i="1"/>
  <c r="S1198" i="1"/>
  <c r="S1199" i="1"/>
  <c r="U1199" i="1" s="1"/>
  <c r="S1200" i="1"/>
  <c r="W1200" i="1" s="1"/>
  <c r="S1201" i="1"/>
  <c r="T1201" i="1" s="1"/>
  <c r="S1202" i="1"/>
  <c r="V1202" i="1" s="1"/>
  <c r="S1203" i="1"/>
  <c r="S1204" i="1"/>
  <c r="S1205" i="1"/>
  <c r="T1205" i="1" s="1"/>
  <c r="S1206" i="1"/>
  <c r="U1206" i="1" s="1"/>
  <c r="S1207" i="1"/>
  <c r="U1207" i="1" s="1"/>
  <c r="S1208" i="1"/>
  <c r="S1209" i="1"/>
  <c r="U1209" i="1" s="1"/>
  <c r="S1210" i="1"/>
  <c r="W1210" i="1" s="1"/>
  <c r="S1211" i="1"/>
  <c r="S1212" i="1"/>
  <c r="V1212" i="1" s="1"/>
  <c r="S1213" i="1"/>
  <c r="V1213" i="1" s="1"/>
  <c r="S1214" i="1"/>
  <c r="V1214" i="1" s="1"/>
  <c r="S1215" i="1"/>
  <c r="U1215" i="1" s="1"/>
  <c r="S1216" i="1"/>
  <c r="S1217" i="1"/>
  <c r="U1217" i="1" s="1"/>
  <c r="S1218" i="1"/>
  <c r="W1218" i="1" s="1"/>
  <c r="S1219" i="1"/>
  <c r="U1219" i="1" s="1"/>
  <c r="S1220" i="1"/>
  <c r="V1220" i="1" s="1"/>
  <c r="S1221" i="1"/>
  <c r="S1222" i="1"/>
  <c r="V1222" i="1" s="1"/>
  <c r="S1223" i="1"/>
  <c r="U1223" i="1" s="1"/>
  <c r="S1224" i="1"/>
  <c r="U1224" i="1" s="1"/>
  <c r="S1225" i="1"/>
  <c r="V1225" i="1" s="1"/>
  <c r="S1226" i="1"/>
  <c r="T1226" i="1" s="1"/>
  <c r="S1227" i="1"/>
  <c r="U1227" i="1" s="1"/>
  <c r="S1228" i="1"/>
  <c r="T1228" i="1" s="1"/>
  <c r="S1229" i="1"/>
  <c r="U1229" i="1" s="1"/>
  <c r="S1230" i="1"/>
  <c r="T1230" i="1" s="1"/>
  <c r="S1231" i="1"/>
  <c r="S1232" i="1"/>
  <c r="T1232" i="1" s="1"/>
  <c r="S1233" i="1"/>
  <c r="T1233" i="1" s="1"/>
  <c r="S1234" i="1"/>
  <c r="W1234" i="1" s="1"/>
  <c r="S1235" i="1"/>
  <c r="U1235" i="1" s="1"/>
  <c r="S1236" i="1"/>
  <c r="V1236" i="1" s="1"/>
  <c r="S1237" i="1"/>
  <c r="T1237" i="1" s="1"/>
  <c r="S1238" i="1"/>
  <c r="S1239" i="1"/>
  <c r="U1239" i="1" s="1"/>
  <c r="S1240" i="1"/>
  <c r="U1240" i="1" s="1"/>
  <c r="S1241" i="1"/>
  <c r="V1241" i="1" s="1"/>
  <c r="S1242" i="1"/>
  <c r="S1243" i="1"/>
  <c r="U1243" i="1" s="1"/>
  <c r="S1244" i="1"/>
  <c r="T1244" i="1" s="1"/>
  <c r="S1245" i="1"/>
  <c r="T1245" i="1" s="1"/>
  <c r="S1246" i="1"/>
  <c r="T1246" i="1" s="1"/>
  <c r="S1247" i="1"/>
  <c r="S1248" i="1"/>
  <c r="T1248" i="1" s="1"/>
  <c r="S1249" i="1"/>
  <c r="U1249" i="1" s="1"/>
  <c r="S1250" i="1"/>
  <c r="W1250" i="1" s="1"/>
  <c r="S1251" i="1"/>
  <c r="U1251" i="1" s="1"/>
  <c r="W1251" i="1"/>
  <c r="S1252" i="1"/>
  <c r="V1252" i="1" s="1"/>
  <c r="S1253" i="1"/>
  <c r="V1253" i="1" s="1"/>
  <c r="S1254" i="1"/>
  <c r="V1254" i="1" s="1"/>
  <c r="S1255" i="1"/>
  <c r="U1255" i="1" s="1"/>
  <c r="S1256" i="1"/>
  <c r="U1256" i="1" s="1"/>
  <c r="S1257" i="1"/>
  <c r="V1257" i="1" s="1"/>
  <c r="S1258" i="1"/>
  <c r="T1258" i="1" s="1"/>
  <c r="S1259" i="1"/>
  <c r="U1259" i="1" s="1"/>
  <c r="S1260" i="1"/>
  <c r="T1260" i="1" s="1"/>
  <c r="S1261" i="1"/>
  <c r="U1261" i="1" s="1"/>
  <c r="S1262" i="1"/>
  <c r="T1262" i="1" s="1"/>
  <c r="S1263" i="1"/>
  <c r="S1264" i="1"/>
  <c r="T1264" i="1" s="1"/>
  <c r="S1265" i="1"/>
  <c r="T1265" i="1" s="1"/>
  <c r="S1266" i="1"/>
  <c r="W1266" i="1" s="1"/>
  <c r="S1267" i="1"/>
  <c r="U1267" i="1" s="1"/>
  <c r="S1268" i="1"/>
  <c r="V1268" i="1" s="1"/>
  <c r="U1268" i="1"/>
  <c r="S1269" i="1"/>
  <c r="T1269" i="1" s="1"/>
  <c r="S1270" i="1"/>
  <c r="S1271" i="1"/>
  <c r="U1271" i="1" s="1"/>
  <c r="S1272" i="1"/>
  <c r="U1272" i="1" s="1"/>
  <c r="S1273" i="1"/>
  <c r="U1273" i="1" s="1"/>
  <c r="S1274" i="1"/>
  <c r="S1275" i="1"/>
  <c r="U1275" i="1" s="1"/>
  <c r="S1276" i="1"/>
  <c r="T1276" i="1" s="1"/>
  <c r="S1277" i="1"/>
  <c r="T1277" i="1" s="1"/>
  <c r="S1278" i="1"/>
  <c r="T1278" i="1" s="1"/>
  <c r="S1279" i="1"/>
  <c r="S1280" i="1"/>
  <c r="S1281" i="1"/>
  <c r="U1281" i="1" s="1"/>
  <c r="S1282" i="1"/>
  <c r="W1282" i="1" s="1"/>
  <c r="S1283" i="1"/>
  <c r="U1283" i="1" s="1"/>
  <c r="S1284" i="1"/>
  <c r="S1285" i="1"/>
  <c r="V1285" i="1" s="1"/>
  <c r="S1286" i="1"/>
  <c r="V1286" i="1" s="1"/>
  <c r="S1287" i="1"/>
  <c r="U1287" i="1" s="1"/>
  <c r="S1288" i="1"/>
  <c r="U1288" i="1" s="1"/>
  <c r="S1289" i="1"/>
  <c r="U1289" i="1" s="1"/>
  <c r="W1289" i="1"/>
  <c r="S1290" i="1"/>
  <c r="T1290" i="1" s="1"/>
  <c r="S1291" i="1"/>
  <c r="U1291" i="1" s="1"/>
  <c r="S1292" i="1"/>
  <c r="T1292" i="1" s="1"/>
  <c r="S1293" i="1"/>
  <c r="U1293" i="1" s="1"/>
  <c r="S1294" i="1"/>
  <c r="T1294" i="1" s="1"/>
  <c r="S1295" i="1"/>
  <c r="S1296" i="1"/>
  <c r="T1296" i="1" s="1"/>
  <c r="S1297" i="1"/>
  <c r="T1297" i="1" s="1"/>
  <c r="S1298" i="1"/>
  <c r="W1298" i="1" s="1"/>
  <c r="S1299" i="1"/>
  <c r="U1299" i="1" s="1"/>
  <c r="S1300" i="1"/>
  <c r="T1300" i="1" s="1"/>
  <c r="S1301" i="1"/>
  <c r="T1301" i="1" s="1"/>
  <c r="S1302" i="1"/>
  <c r="S1303" i="1"/>
  <c r="U1303" i="1" s="1"/>
  <c r="S1304" i="1"/>
  <c r="U1304" i="1" s="1"/>
  <c r="S1305" i="1"/>
  <c r="U1305" i="1" s="1"/>
  <c r="S1306" i="1"/>
  <c r="S1307" i="1"/>
  <c r="U1307" i="1" s="1"/>
  <c r="S1308" i="1"/>
  <c r="T1308" i="1" s="1"/>
  <c r="S1309" i="1"/>
  <c r="T1309" i="1" s="1"/>
  <c r="S1310" i="1"/>
  <c r="S1311" i="1"/>
  <c r="S1312" i="1"/>
  <c r="T1312" i="1" s="1"/>
  <c r="S1313" i="1"/>
  <c r="U1313" i="1" s="1"/>
  <c r="S1314" i="1"/>
  <c r="T1314" i="1" s="1"/>
  <c r="S1315" i="1"/>
  <c r="W1315" i="1" s="1"/>
  <c r="S1316" i="1"/>
  <c r="V1316" i="1" s="1"/>
  <c r="S1317" i="1"/>
  <c r="S1318" i="1"/>
  <c r="W1318" i="1" s="1"/>
  <c r="S1319" i="1"/>
  <c r="W1319" i="1" s="1"/>
  <c r="S1320" i="1"/>
  <c r="U1320" i="1" s="1"/>
  <c r="W1320" i="1"/>
  <c r="S1321" i="1"/>
  <c r="S1322" i="1"/>
  <c r="S1323" i="1"/>
  <c r="W1323" i="1" s="1"/>
  <c r="S1324" i="1"/>
  <c r="T1324" i="1" s="1"/>
  <c r="S1325" i="1"/>
  <c r="U1325" i="1" s="1"/>
  <c r="S1326" i="1"/>
  <c r="V1326" i="1" s="1"/>
  <c r="S1327" i="1"/>
  <c r="W1327" i="1" s="1"/>
  <c r="S1328" i="1"/>
  <c r="T1328" i="1" s="1"/>
  <c r="S1329" i="1"/>
  <c r="S1330" i="1"/>
  <c r="T1330" i="1" s="1"/>
  <c r="S1331" i="1"/>
  <c r="W1331" i="1" s="1"/>
  <c r="S1332" i="1"/>
  <c r="V1332" i="1" s="1"/>
  <c r="S1333" i="1"/>
  <c r="W1333" i="1" s="1"/>
  <c r="S1334" i="1"/>
  <c r="W1334" i="1" s="1"/>
  <c r="S1335" i="1"/>
  <c r="W1335" i="1" s="1"/>
  <c r="S1336" i="1"/>
  <c r="S1337" i="1"/>
  <c r="T1337" i="1" s="1"/>
  <c r="W1337" i="1"/>
  <c r="S1338" i="1"/>
  <c r="V1338" i="1" s="1"/>
  <c r="S1339" i="1"/>
  <c r="W1339" i="1" s="1"/>
  <c r="S1340" i="1"/>
  <c r="T1340" i="1" s="1"/>
  <c r="S1341" i="1"/>
  <c r="S1342" i="1"/>
  <c r="T1342" i="1" s="1"/>
  <c r="S1343" i="1"/>
  <c r="W1343" i="1" s="1"/>
  <c r="S1344" i="1"/>
  <c r="S1345" i="1"/>
  <c r="U1345" i="1" s="1"/>
  <c r="S1346" i="1"/>
  <c r="S1347" i="1"/>
  <c r="W1347" i="1" s="1"/>
  <c r="S1348" i="1"/>
  <c r="S1349" i="1"/>
  <c r="S1350" i="1"/>
  <c r="W1350" i="1" s="1"/>
  <c r="S1351" i="1"/>
  <c r="W1351" i="1" s="1"/>
  <c r="S1352" i="1"/>
  <c r="W1352" i="1" s="1"/>
  <c r="S1353" i="1"/>
  <c r="U1353" i="1" s="1"/>
  <c r="S1354" i="1"/>
  <c r="S1355" i="1"/>
  <c r="W1355" i="1" s="1"/>
  <c r="S1356" i="1"/>
  <c r="T1356" i="1" s="1"/>
  <c r="S1357" i="1"/>
  <c r="U1357" i="1" s="1"/>
  <c r="S1358" i="1"/>
  <c r="V1358" i="1" s="1"/>
  <c r="S1359" i="1"/>
  <c r="T1359" i="1" s="1"/>
  <c r="S1360" i="1"/>
  <c r="V1360" i="1" s="1"/>
  <c r="S1361" i="1"/>
  <c r="U1361" i="1" s="1"/>
  <c r="W1361" i="1"/>
  <c r="S1362" i="1"/>
  <c r="S1363" i="1"/>
  <c r="T1363" i="1" s="1"/>
  <c r="S1364" i="1"/>
  <c r="W1364" i="1" s="1"/>
  <c r="S1365" i="1"/>
  <c r="W1365" i="1" s="1"/>
  <c r="S1366" i="1"/>
  <c r="S1367" i="1"/>
  <c r="S1368" i="1"/>
  <c r="S1369" i="1"/>
  <c r="T1369" i="1" s="1"/>
  <c r="S1370" i="1"/>
  <c r="S1371" i="1"/>
  <c r="T1371" i="1" s="1"/>
  <c r="S1372" i="1"/>
  <c r="S1373" i="1"/>
  <c r="W1373" i="1" s="1"/>
  <c r="S1374" i="1"/>
  <c r="V1374" i="1" s="1"/>
  <c r="S1375" i="1"/>
  <c r="T1375" i="1" s="1"/>
  <c r="S1376" i="1"/>
  <c r="S1377" i="1"/>
  <c r="W1377" i="1" s="1"/>
  <c r="S1378" i="1"/>
  <c r="V1378" i="1" s="1"/>
  <c r="S1379" i="1"/>
  <c r="S1380" i="1"/>
  <c r="S1381" i="1"/>
  <c r="W1381" i="1" s="1"/>
  <c r="S1382" i="1"/>
  <c r="S1383" i="1"/>
  <c r="S1384" i="1"/>
  <c r="S1385" i="1"/>
  <c r="S1386" i="1"/>
  <c r="S1387" i="1"/>
  <c r="T1387" i="1" s="1"/>
  <c r="S1388" i="1"/>
  <c r="S1389" i="1"/>
  <c r="T1389" i="1" s="1"/>
  <c r="S1390" i="1"/>
  <c r="V1390" i="1" s="1"/>
  <c r="S1391" i="1"/>
  <c r="S1392" i="1"/>
  <c r="T1392" i="1" s="1"/>
  <c r="S1393" i="1"/>
  <c r="T1393" i="1" s="1"/>
  <c r="S1394" i="1"/>
  <c r="V1394" i="1" s="1"/>
  <c r="S1395" i="1"/>
  <c r="S1396" i="1"/>
  <c r="W1396" i="1" s="1"/>
  <c r="S1397" i="1"/>
  <c r="V1397" i="1" s="1"/>
  <c r="S1398" i="1"/>
  <c r="T1398" i="1" s="1"/>
  <c r="S1399" i="1"/>
  <c r="S1400" i="1"/>
  <c r="V1400" i="1" s="1"/>
  <c r="S1401" i="1"/>
  <c r="V1401" i="1" s="1"/>
  <c r="S1402" i="1"/>
  <c r="T1402" i="1" s="1"/>
  <c r="S1403" i="1"/>
  <c r="U1403" i="1" s="1"/>
  <c r="S1404" i="1"/>
  <c r="T1404" i="1" s="1"/>
  <c r="S1405" i="1"/>
  <c r="V1405" i="1" s="1"/>
  <c r="W1405" i="1"/>
  <c r="S1406" i="1"/>
  <c r="T1406" i="1" s="1"/>
  <c r="S1407" i="1"/>
  <c r="U1407" i="1" s="1"/>
  <c r="S1408" i="1"/>
  <c r="V1408" i="1" s="1"/>
  <c r="S1409" i="1"/>
  <c r="T1409" i="1" s="1"/>
  <c r="S1410" i="1"/>
  <c r="S1411" i="1"/>
  <c r="U1411" i="1" s="1"/>
  <c r="S1412" i="1"/>
  <c r="W1412" i="1" s="1"/>
  <c r="S1413" i="1"/>
  <c r="S1414" i="1"/>
  <c r="T1414" i="1" s="1"/>
  <c r="S1415" i="1"/>
  <c r="S1416" i="1"/>
  <c r="V1416" i="1" s="1"/>
  <c r="S1417" i="1"/>
  <c r="W1417" i="1" s="1"/>
  <c r="S1418" i="1"/>
  <c r="V1418" i="1" s="1"/>
  <c r="S1419" i="1"/>
  <c r="U1419" i="1" s="1"/>
  <c r="S1420" i="1"/>
  <c r="T1420" i="1" s="1"/>
  <c r="S22" i="1"/>
  <c r="T22" i="1" s="1"/>
  <c r="S1422" i="1"/>
  <c r="T1422" i="1" s="1"/>
  <c r="S1423" i="1"/>
  <c r="U1423" i="1" s="1"/>
  <c r="S1424" i="1"/>
  <c r="V1424" i="1" s="1"/>
  <c r="S1425" i="1"/>
  <c r="S1426" i="1"/>
  <c r="S1427" i="1"/>
  <c r="U1427" i="1" s="1"/>
  <c r="S1428" i="1"/>
  <c r="W1428" i="1" s="1"/>
  <c r="S1429" i="1"/>
  <c r="V1429" i="1" s="1"/>
  <c r="S1430" i="1"/>
  <c r="T1430" i="1" s="1"/>
  <c r="S1431" i="1"/>
  <c r="S1432" i="1"/>
  <c r="V1432" i="1" s="1"/>
  <c r="S1433" i="1"/>
  <c r="V1433" i="1" s="1"/>
  <c r="S1434" i="1"/>
  <c r="S1435" i="1"/>
  <c r="U1435" i="1" s="1"/>
  <c r="S1436" i="1"/>
  <c r="T1436" i="1" s="1"/>
  <c r="S1437" i="1"/>
  <c r="U1437" i="1" s="1"/>
  <c r="S1438" i="1"/>
  <c r="S1439" i="1"/>
  <c r="S1440" i="1"/>
  <c r="U1440" i="1" s="1"/>
  <c r="S1441" i="1"/>
  <c r="S1442" i="1"/>
  <c r="S1443" i="1"/>
  <c r="S1444" i="1"/>
  <c r="S1445" i="1"/>
  <c r="V1445" i="1" s="1"/>
  <c r="S1446" i="1"/>
  <c r="S1447" i="1"/>
  <c r="T1447" i="1" s="1"/>
  <c r="S1448" i="1"/>
  <c r="W1448" i="1" s="1"/>
  <c r="S1449" i="1"/>
  <c r="S1450" i="1"/>
  <c r="W1450" i="1" s="1"/>
  <c r="T1450" i="1"/>
  <c r="S1451" i="1"/>
  <c r="T1451" i="1" s="1"/>
  <c r="S1452" i="1"/>
  <c r="T1452" i="1"/>
  <c r="S1453" i="1"/>
  <c r="U1453" i="1" s="1"/>
  <c r="S1454" i="1"/>
  <c r="S1455" i="1"/>
  <c r="S1456" i="1"/>
  <c r="U1456" i="1" s="1"/>
  <c r="W1456" i="1"/>
  <c r="S1457" i="1"/>
  <c r="S1458" i="1"/>
  <c r="S1459" i="1"/>
  <c r="T1459" i="1" s="1"/>
  <c r="S1460" i="1"/>
  <c r="S1461" i="1"/>
  <c r="S1462" i="1"/>
  <c r="S1463" i="1"/>
  <c r="S1464" i="1"/>
  <c r="W1464" i="1" s="1"/>
  <c r="S1465" i="1"/>
  <c r="S1466" i="1"/>
  <c r="S1467" i="1"/>
  <c r="T1467" i="1" s="1"/>
  <c r="S1468" i="1"/>
  <c r="T1468" i="1" s="1"/>
  <c r="S1469" i="1"/>
  <c r="U1469" i="1" s="1"/>
  <c r="S1470" i="1"/>
  <c r="W1470" i="1" s="1"/>
  <c r="S1471" i="1"/>
  <c r="S1472" i="1"/>
  <c r="S1473" i="1"/>
  <c r="V1473" i="1" s="1"/>
  <c r="S1474" i="1"/>
  <c r="U1474" i="1" s="1"/>
  <c r="S1475" i="1"/>
  <c r="S1476" i="1"/>
  <c r="S1477" i="1"/>
  <c r="V1477" i="1" s="1"/>
  <c r="S1478" i="1"/>
  <c r="S1479" i="1"/>
  <c r="T1479" i="1" s="1"/>
  <c r="S1480" i="1"/>
  <c r="W1480" i="1" s="1"/>
  <c r="S1481" i="1"/>
  <c r="S1482" i="1"/>
  <c r="S1483" i="1"/>
  <c r="T1483" i="1" s="1"/>
  <c r="S1484" i="1"/>
  <c r="T1484" i="1" s="1"/>
  <c r="S1485" i="1"/>
  <c r="U1485" i="1" s="1"/>
  <c r="S1486" i="1"/>
  <c r="S1487" i="1"/>
  <c r="S1488" i="1"/>
  <c r="S1489" i="1"/>
  <c r="W1489" i="1" s="1"/>
  <c r="S1490" i="1"/>
  <c r="T1490" i="1" s="1"/>
  <c r="S1491" i="1"/>
  <c r="T1491" i="1" s="1"/>
  <c r="S1492" i="1"/>
  <c r="S1493" i="1"/>
  <c r="S1494" i="1"/>
  <c r="W1494" i="1" s="1"/>
  <c r="S1495" i="1"/>
  <c r="S1496" i="1"/>
  <c r="W1496" i="1" s="1"/>
  <c r="S1497" i="1"/>
  <c r="S1498" i="1"/>
  <c r="S1499" i="1"/>
  <c r="T1499" i="1" s="1"/>
  <c r="S1500" i="1"/>
  <c r="T1500" i="1" s="1"/>
  <c r="S1501" i="1"/>
  <c r="U1501" i="1" s="1"/>
  <c r="S1502" i="1"/>
  <c r="U1502" i="1" s="1"/>
  <c r="S1503" i="1"/>
  <c r="S1504" i="1"/>
  <c r="V1504" i="1"/>
  <c r="S1505" i="1"/>
  <c r="W1505" i="1" s="1"/>
  <c r="S1506" i="1"/>
  <c r="V1506" i="1" s="1"/>
  <c r="S1507" i="1"/>
  <c r="U1507" i="1" s="1"/>
  <c r="S1508" i="1"/>
  <c r="S1509" i="1"/>
  <c r="S1510" i="1"/>
  <c r="V1510" i="1" s="1"/>
  <c r="S1511" i="1"/>
  <c r="S1512" i="1"/>
  <c r="U1512" i="1" s="1"/>
  <c r="S1513" i="1"/>
  <c r="V1513" i="1" s="1"/>
  <c r="S1514" i="1"/>
  <c r="T1514" i="1" s="1"/>
  <c r="S1515" i="1"/>
  <c r="T1515" i="1" s="1"/>
  <c r="S1516" i="1"/>
  <c r="W1516" i="1" s="1"/>
  <c r="S1517" i="1"/>
  <c r="S1518" i="1"/>
  <c r="S1519" i="1"/>
  <c r="S1520" i="1"/>
  <c r="T1520" i="1" s="1"/>
  <c r="S1521" i="1"/>
  <c r="U1521" i="1" s="1"/>
  <c r="S1522" i="1"/>
  <c r="S1523" i="1"/>
  <c r="S1524" i="1"/>
  <c r="S1525" i="1"/>
  <c r="S1526" i="1"/>
  <c r="S1527" i="1"/>
  <c r="S1528" i="1"/>
  <c r="W1528" i="1" s="1"/>
  <c r="S1529" i="1"/>
  <c r="S1530" i="1"/>
  <c r="S1531" i="1"/>
  <c r="S1532" i="1"/>
  <c r="S1533" i="1"/>
  <c r="U1533" i="1" s="1"/>
  <c r="S1534" i="1"/>
  <c r="V1534" i="1" s="1"/>
  <c r="S1535" i="1"/>
  <c r="T1535" i="1" s="1"/>
  <c r="S1536" i="1"/>
  <c r="V1536" i="1" s="1"/>
  <c r="S1537" i="1"/>
  <c r="T1537" i="1" s="1"/>
  <c r="S1538" i="1"/>
  <c r="T1538" i="1" s="1"/>
  <c r="S1539" i="1"/>
  <c r="T1539" i="1" s="1"/>
  <c r="S1540" i="1"/>
  <c r="W1540" i="1" s="1"/>
  <c r="S1541" i="1"/>
  <c r="S1542" i="1"/>
  <c r="V1542" i="1" s="1"/>
  <c r="S1543" i="1"/>
  <c r="W1543" i="1" s="1"/>
  <c r="S1544" i="1"/>
  <c r="U1544" i="1" s="1"/>
  <c r="S1545" i="1"/>
  <c r="W1545" i="1" s="1"/>
  <c r="S1546" i="1"/>
  <c r="T1546" i="1" s="1"/>
  <c r="S1547" i="1"/>
  <c r="S1548" i="1"/>
  <c r="S1549" i="1"/>
  <c r="U1549" i="1" s="1"/>
  <c r="S1550" i="1"/>
  <c r="S1551" i="1"/>
  <c r="S1552" i="1"/>
  <c r="S1553" i="1"/>
  <c r="V1553" i="1" s="1"/>
  <c r="S1554" i="1"/>
  <c r="U1554" i="1" s="1"/>
  <c r="S1555" i="1"/>
  <c r="V1555" i="1" s="1"/>
  <c r="S1556" i="1"/>
  <c r="U1556" i="1" s="1"/>
  <c r="S1557" i="1"/>
  <c r="V1557" i="1" s="1"/>
  <c r="S1558" i="1"/>
  <c r="T1558" i="1" s="1"/>
  <c r="S1559" i="1"/>
  <c r="T1559" i="1" s="1"/>
  <c r="S1560" i="1"/>
  <c r="U1560" i="1" s="1"/>
  <c r="S1561" i="1"/>
  <c r="W1561" i="1" s="1"/>
  <c r="S1562" i="1"/>
  <c r="W1562" i="1" s="1"/>
  <c r="S1563" i="1"/>
  <c r="T1563" i="1" s="1"/>
  <c r="S1564" i="1"/>
  <c r="S1565" i="1"/>
  <c r="U1565" i="1" s="1"/>
  <c r="S1566" i="1"/>
  <c r="W1566" i="1" s="1"/>
  <c r="S1567" i="1"/>
  <c r="S1568" i="1"/>
  <c r="U1568" i="1" s="1"/>
  <c r="S1569" i="1"/>
  <c r="V1569" i="1" s="1"/>
  <c r="S1570" i="1"/>
  <c r="U1570" i="1" s="1"/>
  <c r="S1571" i="1"/>
  <c r="V1571" i="1" s="1"/>
  <c r="S1572" i="1"/>
  <c r="U1572" i="1" s="1"/>
  <c r="S1573" i="1"/>
  <c r="V1573" i="1" s="1"/>
  <c r="S1574" i="1"/>
  <c r="T1574" i="1" s="1"/>
  <c r="S1575" i="1"/>
  <c r="T1575" i="1" s="1"/>
  <c r="S1576" i="1"/>
  <c r="U1576" i="1" s="1"/>
  <c r="S1577" i="1"/>
  <c r="W1577" i="1" s="1"/>
  <c r="S1578" i="1"/>
  <c r="W1578" i="1" s="1"/>
  <c r="S1579" i="1"/>
  <c r="T1579" i="1" s="1"/>
  <c r="S1580" i="1"/>
  <c r="S1581" i="1"/>
  <c r="U1581" i="1" s="1"/>
  <c r="S1582" i="1"/>
  <c r="S1583" i="1"/>
  <c r="S1584" i="1"/>
  <c r="U1584" i="1" s="1"/>
  <c r="S1585" i="1"/>
  <c r="T1585" i="1" s="1"/>
  <c r="S1586" i="1"/>
  <c r="U1586" i="1" s="1"/>
  <c r="S1587" i="1"/>
  <c r="V1587" i="1" s="1"/>
  <c r="S1588" i="1"/>
  <c r="S1589" i="1"/>
  <c r="V1589" i="1" s="1"/>
  <c r="S1590" i="1"/>
  <c r="S1591" i="1"/>
  <c r="W1591" i="1" s="1"/>
  <c r="S1592" i="1"/>
  <c r="U1592" i="1" s="1"/>
  <c r="S1593" i="1"/>
  <c r="T1593" i="1" s="1"/>
  <c r="S1594" i="1"/>
  <c r="T1594" i="1" s="1"/>
  <c r="S1595" i="1"/>
  <c r="S1596" i="1"/>
  <c r="S1597" i="1"/>
  <c r="U1597" i="1" s="1"/>
  <c r="S1598" i="1"/>
  <c r="W1598" i="1" s="1"/>
  <c r="S1599" i="1"/>
  <c r="S1600" i="1"/>
  <c r="U1600" i="1" s="1"/>
  <c r="S1601" i="1"/>
  <c r="T1601" i="1" s="1"/>
  <c r="S1602" i="1"/>
  <c r="U1602" i="1" s="1"/>
  <c r="S1603" i="1"/>
  <c r="V1603" i="1" s="1"/>
  <c r="S1604" i="1"/>
  <c r="S1605" i="1"/>
  <c r="S1606" i="1"/>
  <c r="V1606" i="1" s="1"/>
  <c r="S1607" i="1"/>
  <c r="S1608" i="1"/>
  <c r="U1608" i="1" s="1"/>
  <c r="S1609" i="1"/>
  <c r="W1609" i="1" s="1"/>
  <c r="S1610" i="1"/>
  <c r="T1610" i="1" s="1"/>
  <c r="S1611" i="1"/>
  <c r="S1612" i="1"/>
  <c r="S1613" i="1"/>
  <c r="U1613" i="1" s="1"/>
  <c r="S1614" i="1"/>
  <c r="S1615" i="1"/>
  <c r="S1616" i="1"/>
  <c r="S1617" i="1"/>
  <c r="S1618" i="1"/>
  <c r="U1618" i="1" s="1"/>
  <c r="S1619" i="1"/>
  <c r="V1619" i="1" s="1"/>
  <c r="S1620" i="1"/>
  <c r="U1620" i="1" s="1"/>
  <c r="S1621" i="1"/>
  <c r="V1621" i="1" s="1"/>
  <c r="S1622" i="1"/>
  <c r="T1622" i="1" s="1"/>
  <c r="S1623" i="1"/>
  <c r="T1623" i="1" s="1"/>
  <c r="S1624" i="1"/>
  <c r="U1624" i="1" s="1"/>
  <c r="S1625" i="1"/>
  <c r="W1625" i="1" s="1"/>
  <c r="S1626" i="1"/>
  <c r="W1626" i="1"/>
  <c r="S1627" i="1"/>
  <c r="T1627" i="1" s="1"/>
  <c r="S1628" i="1"/>
  <c r="S1629" i="1"/>
  <c r="U1629" i="1" s="1"/>
  <c r="S1630" i="1"/>
  <c r="W1630" i="1" s="1"/>
  <c r="S1631" i="1"/>
  <c r="S1632" i="1"/>
  <c r="U1632" i="1" s="1"/>
  <c r="S1633" i="1"/>
  <c r="T1633" i="1" s="1"/>
  <c r="S1634" i="1"/>
  <c r="U1634" i="1" s="1"/>
  <c r="S1635" i="1"/>
  <c r="V1635" i="1" s="1"/>
  <c r="S1636" i="1"/>
  <c r="S1637" i="1"/>
  <c r="V1637" i="1" s="1"/>
  <c r="S1638" i="1"/>
  <c r="S1639" i="1"/>
  <c r="S1640" i="1"/>
  <c r="U1640" i="1" s="1"/>
  <c r="S1641" i="1"/>
  <c r="S1642" i="1"/>
  <c r="T1642" i="1" s="1"/>
  <c r="V1642" i="1"/>
  <c r="S1643" i="1"/>
  <c r="T1643" i="1" s="1"/>
  <c r="S1644" i="1"/>
  <c r="S1645" i="1"/>
  <c r="V1645" i="1" s="1"/>
  <c r="S1646" i="1"/>
  <c r="U1646" i="1" s="1"/>
  <c r="S1647" i="1"/>
  <c r="T1647" i="1" s="1"/>
  <c r="S1648" i="1"/>
  <c r="U1648" i="1" s="1"/>
  <c r="S1649" i="1"/>
  <c r="S1650" i="1"/>
  <c r="T1650" i="1" s="1"/>
  <c r="S56" i="1"/>
  <c r="T56" i="1" s="1"/>
  <c r="S1652" i="1"/>
  <c r="S1653" i="1"/>
  <c r="T1653" i="1" s="1"/>
  <c r="S1654" i="1"/>
  <c r="U1654" i="1" s="1"/>
  <c r="S1655" i="1"/>
  <c r="T1655" i="1" s="1"/>
  <c r="S1656" i="1"/>
  <c r="U1656" i="1" s="1"/>
  <c r="S1657" i="1"/>
  <c r="V1657" i="1" s="1"/>
  <c r="S1658" i="1"/>
  <c r="T1658" i="1" s="1"/>
  <c r="S1659" i="1"/>
  <c r="T1659" i="1" s="1"/>
  <c r="S1660" i="1"/>
  <c r="S1661" i="1"/>
  <c r="W1661" i="1" s="1"/>
  <c r="S1662" i="1"/>
  <c r="U1662" i="1" s="1"/>
  <c r="S1663" i="1"/>
  <c r="T1663" i="1" s="1"/>
  <c r="S1664" i="1"/>
  <c r="S1665" i="1"/>
  <c r="V1665" i="1" s="1"/>
  <c r="S1666" i="1"/>
  <c r="S1667" i="1"/>
  <c r="T1667" i="1" s="1"/>
  <c r="S1668" i="1"/>
  <c r="S1669" i="1"/>
  <c r="T1669" i="1" s="1"/>
  <c r="S1670" i="1"/>
  <c r="U1670" i="1" s="1"/>
  <c r="S1671" i="1"/>
  <c r="T1671" i="1" s="1"/>
  <c r="S1672" i="1"/>
  <c r="U1672" i="1" s="1"/>
  <c r="S1673" i="1"/>
  <c r="V1673" i="1" s="1"/>
  <c r="S1674" i="1"/>
  <c r="T1674" i="1" s="1"/>
  <c r="V1674" i="1"/>
  <c r="S1675" i="1"/>
  <c r="T1675" i="1" s="1"/>
  <c r="S1676" i="1"/>
  <c r="S1677" i="1"/>
  <c r="V1677" i="1" s="1"/>
  <c r="S1678" i="1"/>
  <c r="U1678" i="1" s="1"/>
  <c r="S1679" i="1"/>
  <c r="T1679" i="1" s="1"/>
  <c r="S1680" i="1"/>
  <c r="U1680" i="1" s="1"/>
  <c r="S1681" i="1"/>
  <c r="S1682" i="1"/>
  <c r="T1682" i="1" s="1"/>
  <c r="S1683" i="1"/>
  <c r="T1683" i="1" s="1"/>
  <c r="S1684" i="1"/>
  <c r="S1685" i="1"/>
  <c r="T1685" i="1" s="1"/>
  <c r="S1686" i="1"/>
  <c r="U1686" i="1" s="1"/>
  <c r="S1687" i="1"/>
  <c r="T1687" i="1" s="1"/>
  <c r="S1688" i="1"/>
  <c r="U1688" i="1" s="1"/>
  <c r="S1689" i="1"/>
  <c r="V1689" i="1" s="1"/>
  <c r="S1690" i="1"/>
  <c r="T1690" i="1" s="1"/>
  <c r="S1691" i="1"/>
  <c r="T1691" i="1" s="1"/>
  <c r="S1692" i="1"/>
  <c r="S1693" i="1"/>
  <c r="S1694" i="1"/>
  <c r="U1694" i="1" s="1"/>
  <c r="S1695" i="1"/>
  <c r="T1695" i="1" s="1"/>
  <c r="S1696" i="1"/>
  <c r="S1697" i="1"/>
  <c r="V1697" i="1" s="1"/>
  <c r="S1698" i="1"/>
  <c r="S1699" i="1"/>
  <c r="T1699" i="1" s="1"/>
  <c r="S1700" i="1"/>
  <c r="S1701" i="1"/>
  <c r="T1701" i="1" s="1"/>
  <c r="W1701" i="1"/>
  <c r="S1702" i="1"/>
  <c r="U1702" i="1" s="1"/>
  <c r="S1703" i="1"/>
  <c r="T1703" i="1" s="1"/>
  <c r="S1704" i="1"/>
  <c r="U1704" i="1" s="1"/>
  <c r="S1705" i="1"/>
  <c r="V1705" i="1" s="1"/>
  <c r="S1706" i="1"/>
  <c r="T1706" i="1" s="1"/>
  <c r="S1707" i="1"/>
  <c r="T1707" i="1" s="1"/>
  <c r="S1708" i="1"/>
  <c r="S1709" i="1"/>
  <c r="V1709" i="1" s="1"/>
  <c r="S1710" i="1"/>
  <c r="U1710" i="1" s="1"/>
  <c r="S1711" i="1"/>
  <c r="T1711" i="1" s="1"/>
  <c r="S1712" i="1"/>
  <c r="U1712" i="1" s="1"/>
  <c r="S1713" i="1"/>
  <c r="S1714" i="1"/>
  <c r="T1714" i="1" s="1"/>
  <c r="S1715" i="1"/>
  <c r="S1716" i="1"/>
  <c r="U1716" i="1" s="1"/>
  <c r="S1717" i="1"/>
  <c r="T1717" i="1" s="1"/>
  <c r="S1718" i="1"/>
  <c r="T1718" i="1" s="1"/>
  <c r="S1719" i="1"/>
  <c r="S1720" i="1"/>
  <c r="S1721" i="1"/>
  <c r="V1721" i="1" s="1"/>
  <c r="S1722" i="1"/>
  <c r="U1722" i="1" s="1"/>
  <c r="S1723" i="1"/>
  <c r="S1724" i="1"/>
  <c r="S1725" i="1"/>
  <c r="T1725" i="1" s="1"/>
  <c r="S1726" i="1"/>
  <c r="W1726" i="1" s="1"/>
  <c r="S1727" i="1"/>
  <c r="S1728" i="1"/>
  <c r="U1728" i="1" s="1"/>
  <c r="S1729" i="1"/>
  <c r="V1729" i="1" s="1"/>
  <c r="S1730" i="1"/>
  <c r="T1730" i="1" s="1"/>
  <c r="S1731" i="1"/>
  <c r="S1732" i="1"/>
  <c r="U1732" i="1" s="1"/>
  <c r="S1733" i="1"/>
  <c r="S1734" i="1"/>
  <c r="S1735" i="1"/>
  <c r="S1736" i="1"/>
  <c r="T1736" i="1" s="1"/>
  <c r="S1737" i="1"/>
  <c r="U1737" i="1" s="1"/>
  <c r="S1738" i="1"/>
  <c r="U1738" i="1" s="1"/>
  <c r="S1739" i="1"/>
  <c r="S1740" i="1"/>
  <c r="S1741" i="1"/>
  <c r="T1741" i="1" s="1"/>
  <c r="W1741" i="1"/>
  <c r="S1742" i="1"/>
  <c r="S1743" i="1"/>
  <c r="S1744" i="1"/>
  <c r="U1744" i="1" s="1"/>
  <c r="W1744" i="1"/>
  <c r="S1745" i="1"/>
  <c r="V1745" i="1" s="1"/>
  <c r="S1746" i="1"/>
  <c r="T1746" i="1" s="1"/>
  <c r="V1746" i="1"/>
  <c r="S1747" i="1"/>
  <c r="S1748" i="1"/>
  <c r="U1748" i="1" s="1"/>
  <c r="S1749" i="1"/>
  <c r="T1749" i="1" s="1"/>
  <c r="S1750" i="1"/>
  <c r="T1750" i="1" s="1"/>
  <c r="S1751" i="1"/>
  <c r="S1752" i="1"/>
  <c r="S1753" i="1"/>
  <c r="S1754" i="1"/>
  <c r="U1754" i="1" s="1"/>
  <c r="S1755" i="1"/>
  <c r="S1756" i="1"/>
  <c r="S1757" i="1"/>
  <c r="T1757" i="1" s="1"/>
  <c r="S1758" i="1"/>
  <c r="W1758" i="1" s="1"/>
  <c r="S1759" i="1"/>
  <c r="S1760" i="1"/>
  <c r="U1760" i="1" s="1"/>
  <c r="S1761" i="1"/>
  <c r="V1761" i="1" s="1"/>
  <c r="S1762" i="1"/>
  <c r="T1762" i="1" s="1"/>
  <c r="S1763" i="1"/>
  <c r="S1764" i="1"/>
  <c r="U1764" i="1" s="1"/>
  <c r="S1765" i="1"/>
  <c r="T1765" i="1" s="1"/>
  <c r="S1766" i="1"/>
  <c r="T1766" i="1" s="1"/>
  <c r="S1767" i="1"/>
  <c r="S1768" i="1"/>
  <c r="T1768" i="1" s="1"/>
  <c r="S1769" i="1"/>
  <c r="W1769" i="1" s="1"/>
  <c r="S1770" i="1"/>
  <c r="U1770" i="1" s="1"/>
  <c r="S1771" i="1"/>
  <c r="S1772" i="1"/>
  <c r="S1773" i="1"/>
  <c r="S1774" i="1"/>
  <c r="S1775" i="1"/>
  <c r="S1776" i="1"/>
  <c r="S1777" i="1"/>
  <c r="V1777" i="1" s="1"/>
  <c r="S1778" i="1"/>
  <c r="S1779" i="1"/>
  <c r="S1780" i="1"/>
  <c r="S1781" i="1"/>
  <c r="T1781" i="1" s="1"/>
  <c r="S1782" i="1"/>
  <c r="T1782" i="1" s="1"/>
  <c r="S1783" i="1"/>
  <c r="S1784" i="1"/>
  <c r="S1785" i="1"/>
  <c r="T1785" i="1" s="1"/>
  <c r="S1786" i="1"/>
  <c r="U1786" i="1" s="1"/>
  <c r="S1787" i="1"/>
  <c r="S1788" i="1"/>
  <c r="S1789" i="1"/>
  <c r="T1789" i="1" s="1"/>
  <c r="S1790" i="1"/>
  <c r="W1790" i="1" s="1"/>
  <c r="S1791" i="1"/>
  <c r="S1792" i="1"/>
  <c r="U1792" i="1" s="1"/>
  <c r="S1793" i="1"/>
  <c r="V1793" i="1" s="1"/>
  <c r="S1794" i="1"/>
  <c r="T1794" i="1" s="1"/>
  <c r="S1795" i="1"/>
  <c r="S1796" i="1"/>
  <c r="U1796" i="1" s="1"/>
  <c r="S1797" i="1"/>
  <c r="T1797" i="1" s="1"/>
  <c r="S1798" i="1"/>
  <c r="T1798" i="1" s="1"/>
  <c r="S1799" i="1"/>
  <c r="S1800" i="1"/>
  <c r="T1800" i="1" s="1"/>
  <c r="S1801" i="1"/>
  <c r="T1801" i="1" s="1"/>
  <c r="S1802" i="1"/>
  <c r="U1802" i="1" s="1"/>
  <c r="S1803" i="1"/>
  <c r="S1804" i="1"/>
  <c r="S1805" i="1"/>
  <c r="T1805" i="1" s="1"/>
  <c r="S1806" i="1"/>
  <c r="S1807" i="1"/>
  <c r="S1808" i="1"/>
  <c r="T1808" i="1" s="1"/>
  <c r="S1809" i="1"/>
  <c r="S1810" i="1"/>
  <c r="T1810" i="1" s="1"/>
  <c r="S1811" i="1"/>
  <c r="V1811" i="1" s="1"/>
  <c r="S1812" i="1"/>
  <c r="T1812" i="1" s="1"/>
  <c r="S1813" i="1"/>
  <c r="S1814" i="1"/>
  <c r="S1815" i="1"/>
  <c r="S1816" i="1"/>
  <c r="S1817" i="1"/>
  <c r="T1817" i="1" s="1"/>
  <c r="S1818" i="1"/>
  <c r="T1818" i="1" s="1"/>
  <c r="S1819" i="1"/>
  <c r="S1820" i="1"/>
  <c r="S1821" i="1"/>
  <c r="S1822" i="1"/>
  <c r="U1822" i="1" s="1"/>
  <c r="S1823" i="1"/>
  <c r="S1824" i="1"/>
  <c r="T1824" i="1" s="1"/>
  <c r="S1825" i="1"/>
  <c r="W1825" i="1" s="1"/>
  <c r="S1826" i="1"/>
  <c r="W1826" i="1" s="1"/>
  <c r="S1827" i="1"/>
  <c r="V1827" i="1" s="1"/>
  <c r="S1828" i="1"/>
  <c r="S1829" i="1"/>
  <c r="S1830" i="1"/>
  <c r="T1830" i="1" s="1"/>
  <c r="S1831" i="1"/>
  <c r="V1831" i="1" s="1"/>
  <c r="S1832" i="1"/>
  <c r="S1833" i="1"/>
  <c r="T1833" i="1" s="1"/>
  <c r="W1833" i="1"/>
  <c r="S1834" i="1"/>
  <c r="T1834" i="1" s="1"/>
  <c r="S1835" i="1"/>
  <c r="S1836" i="1"/>
  <c r="S1837" i="1"/>
  <c r="W1837" i="1" s="1"/>
  <c r="S1838" i="1"/>
  <c r="U1838" i="1" s="1"/>
  <c r="S1839" i="1"/>
  <c r="S1840" i="1"/>
  <c r="T1840" i="1" s="1"/>
  <c r="S1841" i="1"/>
  <c r="V1841" i="1" s="1"/>
  <c r="S1842" i="1"/>
  <c r="U1842" i="1" s="1"/>
  <c r="S1843" i="1"/>
  <c r="V1843" i="1" s="1"/>
  <c r="S1844" i="1"/>
  <c r="T1844" i="1" s="1"/>
  <c r="W1844" i="1"/>
  <c r="S1845" i="1"/>
  <c r="U1845" i="1" s="1"/>
  <c r="S1846" i="1"/>
  <c r="W1846" i="1" s="1"/>
  <c r="S1847" i="1"/>
  <c r="S1848" i="1"/>
  <c r="W1848" i="1" s="1"/>
  <c r="S1849" i="1"/>
  <c r="W1849" i="1" s="1"/>
  <c r="S1850" i="1"/>
  <c r="U1850" i="1" s="1"/>
  <c r="S1851" i="1"/>
  <c r="V1851" i="1" s="1"/>
  <c r="S1852" i="1"/>
  <c r="S1853" i="1"/>
  <c r="T1853" i="1" s="1"/>
  <c r="S1854" i="1"/>
  <c r="T1854" i="1" s="1"/>
  <c r="S1855" i="1"/>
  <c r="S1856" i="1"/>
  <c r="V1856" i="1" s="1"/>
  <c r="T1856" i="1"/>
  <c r="S1857" i="1"/>
  <c r="U1857" i="1" s="1"/>
  <c r="S1858" i="1"/>
  <c r="S1859" i="1"/>
  <c r="V1859" i="1" s="1"/>
  <c r="S1860" i="1"/>
  <c r="S1861" i="1"/>
  <c r="V1861" i="1" s="1"/>
  <c r="S1862" i="1"/>
  <c r="U1862" i="1" s="1"/>
  <c r="S1863" i="1"/>
  <c r="S1864" i="1"/>
  <c r="S1865" i="1"/>
  <c r="S1866" i="1"/>
  <c r="T1866" i="1" s="1"/>
  <c r="S1867" i="1"/>
  <c r="T1867" i="1" s="1"/>
  <c r="S1868" i="1"/>
  <c r="S1869" i="1"/>
  <c r="U1869" i="1" s="1"/>
  <c r="S1870" i="1"/>
  <c r="V1870" i="1" s="1"/>
  <c r="S1871" i="1"/>
  <c r="S1872" i="1"/>
  <c r="V1872" i="1" s="1"/>
  <c r="S1873" i="1"/>
  <c r="U1873" i="1" s="1"/>
  <c r="S1874" i="1"/>
  <c r="S1875" i="1"/>
  <c r="V1875" i="1" s="1"/>
  <c r="S1876" i="1"/>
  <c r="S1877" i="1"/>
  <c r="V1877" i="1" s="1"/>
  <c r="T1877" i="1"/>
  <c r="S1878" i="1"/>
  <c r="U1878" i="1" s="1"/>
  <c r="S1879" i="1"/>
  <c r="S1880" i="1"/>
  <c r="T1880" i="1" s="1"/>
  <c r="S1881" i="1"/>
  <c r="U1881" i="1" s="1"/>
  <c r="S1882" i="1"/>
  <c r="S1883" i="1"/>
  <c r="S1884" i="1"/>
  <c r="S1885" i="1"/>
  <c r="S1886" i="1"/>
  <c r="V1886" i="1" s="1"/>
  <c r="S1887" i="1"/>
  <c r="W1887" i="1" s="1"/>
  <c r="S1888" i="1"/>
  <c r="U1888" i="1" s="1"/>
  <c r="S1889" i="1"/>
  <c r="V1889" i="1" s="1"/>
  <c r="S1890" i="1"/>
  <c r="T1890" i="1" s="1"/>
  <c r="S1891" i="1"/>
  <c r="S1892" i="1"/>
  <c r="S1893" i="1"/>
  <c r="S1894" i="1"/>
  <c r="U1894" i="1" s="1"/>
  <c r="S1895" i="1"/>
  <c r="W1895" i="1" s="1"/>
  <c r="S1896" i="1"/>
  <c r="S1897" i="1"/>
  <c r="S1898" i="1"/>
  <c r="V1898" i="1" s="1"/>
  <c r="S1899" i="1"/>
  <c r="W1899" i="1" s="1"/>
  <c r="S1900" i="1"/>
  <c r="S1901" i="1"/>
  <c r="V1901" i="1" s="1"/>
  <c r="S1902" i="1"/>
  <c r="T1902" i="1" s="1"/>
  <c r="S1903" i="1"/>
  <c r="W1903" i="1" s="1"/>
  <c r="S1904" i="1"/>
  <c r="S1905" i="1"/>
  <c r="S1906" i="1"/>
  <c r="T1906" i="1" s="1"/>
  <c r="S1907" i="1"/>
  <c r="S1908" i="1"/>
  <c r="T1908" i="1" s="1"/>
  <c r="S1909" i="1"/>
  <c r="W1909" i="1" s="1"/>
  <c r="S1910" i="1"/>
  <c r="S1911" i="1"/>
  <c r="W1911" i="1" s="1"/>
  <c r="S1912" i="1"/>
  <c r="S1913" i="1"/>
  <c r="U1913" i="1" s="1"/>
  <c r="S1914" i="1"/>
  <c r="S1915" i="1"/>
  <c r="W1915" i="1" s="1"/>
  <c r="S1916" i="1"/>
  <c r="S1917" i="1"/>
  <c r="S1918" i="1"/>
  <c r="V1918" i="1" s="1"/>
  <c r="S1919" i="1"/>
  <c r="W1919" i="1" s="1"/>
  <c r="S1920" i="1"/>
  <c r="S1921" i="1"/>
  <c r="S1922" i="1"/>
  <c r="T1922" i="1" s="1"/>
  <c r="S1923" i="1"/>
  <c r="S1924" i="1"/>
  <c r="W1924" i="1" s="1"/>
  <c r="S1925" i="1"/>
  <c r="W1925" i="1" s="1"/>
  <c r="S1926" i="1"/>
  <c r="U1926" i="1" s="1"/>
  <c r="S1927" i="1"/>
  <c r="W1927" i="1" s="1"/>
  <c r="S1928" i="1"/>
  <c r="T1928" i="1" s="1"/>
  <c r="S1929" i="1"/>
  <c r="U1929" i="1" s="1"/>
  <c r="S1930" i="1"/>
  <c r="V1930" i="1" s="1"/>
  <c r="S1931" i="1"/>
  <c r="W1931" i="1" s="1"/>
  <c r="S1932" i="1"/>
  <c r="U1932" i="1" s="1"/>
  <c r="V1932" i="1"/>
  <c r="S1933" i="1"/>
  <c r="V1933" i="1" s="1"/>
  <c r="W1933" i="1"/>
  <c r="S1934" i="1"/>
  <c r="W1934" i="1" s="1"/>
  <c r="S1935" i="1"/>
  <c r="W1935" i="1" s="1"/>
  <c r="S1936" i="1"/>
  <c r="U1936" i="1" s="1"/>
  <c r="S1937" i="1"/>
  <c r="V1937" i="1" s="1"/>
  <c r="S1938" i="1"/>
  <c r="T1938" i="1" s="1"/>
  <c r="S1939" i="1"/>
  <c r="S1940" i="1"/>
  <c r="S1941" i="1"/>
  <c r="W1941" i="1" s="1"/>
  <c r="S1942" i="1"/>
  <c r="U1942" i="1" s="1"/>
  <c r="S1943" i="1"/>
  <c r="W1943" i="1" s="1"/>
  <c r="S1944" i="1"/>
  <c r="W1944" i="1" s="1"/>
  <c r="T1944" i="1"/>
  <c r="S1945" i="1"/>
  <c r="U1945" i="1" s="1"/>
  <c r="S1946" i="1"/>
  <c r="V1946" i="1" s="1"/>
  <c r="S1947" i="1"/>
  <c r="W1947" i="1" s="1"/>
  <c r="S1948" i="1"/>
  <c r="S1949" i="1"/>
  <c r="S1950" i="1"/>
  <c r="U1950" i="1" s="1"/>
  <c r="W1950" i="1"/>
  <c r="S1951" i="1"/>
  <c r="W1951" i="1" s="1"/>
  <c r="S1952" i="1"/>
  <c r="V1952" i="1"/>
  <c r="S1953" i="1"/>
  <c r="W1953" i="1" s="1"/>
  <c r="S1954" i="1"/>
  <c r="T1954" i="1" s="1"/>
  <c r="S1955" i="1"/>
  <c r="S1956" i="1"/>
  <c r="S1957" i="1"/>
  <c r="S1958" i="1"/>
  <c r="S1959" i="1"/>
  <c r="W1959" i="1" s="1"/>
  <c r="S1960" i="1"/>
  <c r="S1961" i="1"/>
  <c r="S1962" i="1"/>
  <c r="V1962" i="1" s="1"/>
  <c r="T1962" i="1"/>
  <c r="U1962" i="1"/>
  <c r="S17" i="1"/>
  <c r="W17" i="1" s="1"/>
  <c r="S1964" i="1"/>
  <c r="V1964" i="1" s="1"/>
  <c r="S1965" i="1"/>
  <c r="V1965" i="1" s="1"/>
  <c r="S1966" i="1"/>
  <c r="T1966" i="1" s="1"/>
  <c r="W1966" i="1"/>
  <c r="S1967" i="1"/>
  <c r="W1967" i="1" s="1"/>
  <c r="S1968" i="1"/>
  <c r="S1969" i="1"/>
  <c r="W1969" i="1" s="1"/>
  <c r="S1970" i="1"/>
  <c r="T1970" i="1" s="1"/>
  <c r="S1971" i="1"/>
  <c r="S1972" i="1"/>
  <c r="T1972" i="1" s="1"/>
  <c r="S1973" i="1"/>
  <c r="W1973" i="1" s="1"/>
  <c r="S1974" i="1"/>
  <c r="W1974" i="1" s="1"/>
  <c r="S1975" i="1"/>
  <c r="W1975" i="1" s="1"/>
  <c r="S1976" i="1"/>
  <c r="S1977" i="1"/>
  <c r="U1977" i="1" s="1"/>
  <c r="S1978" i="1"/>
  <c r="S1979" i="1"/>
  <c r="W1979" i="1" s="1"/>
  <c r="S1980" i="1"/>
  <c r="V1980" i="1" s="1"/>
  <c r="S1981" i="1"/>
  <c r="S1982" i="1"/>
  <c r="U1982" i="1" s="1"/>
  <c r="S1983" i="1"/>
  <c r="W1983" i="1" s="1"/>
  <c r="S1984" i="1"/>
  <c r="V1984" i="1" s="1"/>
  <c r="S1985" i="1"/>
  <c r="S1986" i="1"/>
  <c r="T1986" i="1" s="1"/>
  <c r="S1987" i="1"/>
  <c r="S1988" i="1"/>
  <c r="W1988" i="1" s="1"/>
  <c r="S1989" i="1"/>
  <c r="W1989" i="1" s="1"/>
  <c r="S1990" i="1"/>
  <c r="U1990" i="1" s="1"/>
  <c r="S1991" i="1"/>
  <c r="W1991" i="1" s="1"/>
  <c r="S1992" i="1"/>
  <c r="T1992" i="1" s="1"/>
  <c r="S1993" i="1"/>
  <c r="U1993" i="1" s="1"/>
  <c r="S1994" i="1"/>
  <c r="V1994" i="1" s="1"/>
  <c r="S1995" i="1"/>
  <c r="W1995" i="1" s="1"/>
  <c r="S1996" i="1"/>
  <c r="U1996" i="1" s="1"/>
  <c r="S1997" i="1"/>
  <c r="V1997" i="1" s="1"/>
  <c r="U1997" i="1"/>
  <c r="S1998" i="1"/>
  <c r="U1998" i="1" s="1"/>
  <c r="S1999" i="1"/>
  <c r="W1999" i="1"/>
  <c r="S2000" i="1"/>
  <c r="U2000" i="1" s="1"/>
  <c r="S2001" i="1"/>
  <c r="V2001" i="1" s="1"/>
  <c r="S2002" i="1"/>
  <c r="T2002" i="1" s="1"/>
  <c r="S2003" i="1"/>
  <c r="S2004" i="1"/>
  <c r="S2005" i="1"/>
  <c r="W2005" i="1" s="1"/>
  <c r="S2006" i="1"/>
  <c r="U2006" i="1" s="1"/>
  <c r="S2007" i="1"/>
  <c r="W2007" i="1" s="1"/>
  <c r="S2008" i="1"/>
  <c r="W2008" i="1" s="1"/>
  <c r="S2009" i="1"/>
  <c r="U2009" i="1" s="1"/>
  <c r="S2010" i="1"/>
  <c r="V2010" i="1" s="1"/>
  <c r="T2010" i="1"/>
  <c r="S2011" i="1"/>
  <c r="W2011" i="1" s="1"/>
  <c r="S2012" i="1"/>
  <c r="S2013" i="1"/>
  <c r="S2014" i="1"/>
  <c r="U2014" i="1" s="1"/>
  <c r="S2015" i="1"/>
  <c r="W2015" i="1" s="1"/>
  <c r="S2016" i="1"/>
  <c r="V2016" i="1" s="1"/>
  <c r="S2017" i="1"/>
  <c r="W2017" i="1" s="1"/>
  <c r="S2018" i="1"/>
  <c r="T2018" i="1" s="1"/>
  <c r="S2019" i="1"/>
  <c r="S2020" i="1"/>
  <c r="S2021" i="1"/>
  <c r="S2022" i="1"/>
  <c r="S2023" i="1"/>
  <c r="W2023" i="1" s="1"/>
  <c r="S2024" i="1"/>
  <c r="S2025" i="1"/>
  <c r="S2026" i="1"/>
  <c r="V2026" i="1" s="1"/>
  <c r="S2027" i="1"/>
  <c r="W2027" i="1" s="1"/>
  <c r="S2028" i="1"/>
  <c r="V2028" i="1"/>
  <c r="S2029" i="1"/>
  <c r="V2029" i="1" s="1"/>
  <c r="S2030" i="1"/>
  <c r="V2030" i="1" s="1"/>
  <c r="T2030" i="1"/>
  <c r="U2030" i="1"/>
  <c r="S2031" i="1"/>
  <c r="W2031" i="1" s="1"/>
  <c r="S2032" i="1"/>
  <c r="V2032" i="1" s="1"/>
  <c r="S2033" i="1"/>
  <c r="W2033" i="1"/>
  <c r="S2034" i="1"/>
  <c r="T2034" i="1" s="1"/>
  <c r="U2034" i="1"/>
  <c r="S2035" i="1"/>
  <c r="S2036" i="1"/>
  <c r="T2036" i="1" s="1"/>
  <c r="S2037" i="1"/>
  <c r="W2037" i="1" s="1"/>
  <c r="S2038" i="1"/>
  <c r="W2038" i="1"/>
  <c r="S2039" i="1"/>
  <c r="W2039" i="1" s="1"/>
  <c r="S2040" i="1"/>
  <c r="W2040" i="1" s="1"/>
  <c r="S2041" i="1"/>
  <c r="U2041" i="1" s="1"/>
  <c r="S2042" i="1"/>
  <c r="W2042" i="1" s="1"/>
  <c r="S2043" i="1"/>
  <c r="W2043" i="1" s="1"/>
  <c r="S2044" i="1"/>
  <c r="V2044" i="1" s="1"/>
  <c r="S2045" i="1"/>
  <c r="S2046" i="1"/>
  <c r="U2046" i="1" s="1"/>
  <c r="S2047" i="1"/>
  <c r="W2047" i="1" s="1"/>
  <c r="S2048" i="1"/>
  <c r="V2048" i="1" s="1"/>
  <c r="S2049" i="1"/>
  <c r="W2049" i="1" s="1"/>
  <c r="S2050" i="1"/>
  <c r="T2050" i="1" s="1"/>
  <c r="S2051" i="1"/>
  <c r="S2052" i="1"/>
  <c r="W2052" i="1" s="1"/>
  <c r="S2053" i="1"/>
  <c r="W2053" i="1" s="1"/>
  <c r="S2054" i="1"/>
  <c r="U2054" i="1" s="1"/>
  <c r="S2055" i="1"/>
  <c r="W2055" i="1" s="1"/>
  <c r="S2056" i="1"/>
  <c r="T2056" i="1" s="1"/>
  <c r="S2057" i="1"/>
  <c r="U2057" i="1"/>
  <c r="S2058" i="1"/>
  <c r="V2058" i="1" s="1"/>
  <c r="S2059" i="1"/>
  <c r="W2059" i="1" s="1"/>
  <c r="S2060" i="1"/>
  <c r="U2060" i="1" s="1"/>
  <c r="S2061" i="1"/>
  <c r="V2061" i="1" s="1"/>
  <c r="S2062" i="1"/>
  <c r="U2062" i="1" s="1"/>
  <c r="S2063" i="1"/>
  <c r="W2063" i="1"/>
  <c r="S2064" i="1"/>
  <c r="U2064" i="1" s="1"/>
  <c r="S2065" i="1"/>
  <c r="V2065" i="1" s="1"/>
  <c r="S2066" i="1"/>
  <c r="T2066" i="1" s="1"/>
  <c r="S2067" i="1"/>
  <c r="S2068" i="1"/>
  <c r="S2069" i="1"/>
  <c r="W2069" i="1" s="1"/>
  <c r="S2070" i="1"/>
  <c r="U2070" i="1" s="1"/>
  <c r="S2071" i="1"/>
  <c r="W2071" i="1" s="1"/>
  <c r="S2072" i="1"/>
  <c r="W2072" i="1" s="1"/>
  <c r="S2073" i="1"/>
  <c r="U2073" i="1" s="1"/>
  <c r="S2074" i="1"/>
  <c r="V2074" i="1" s="1"/>
  <c r="S2075" i="1"/>
  <c r="W2075" i="1" s="1"/>
  <c r="S2076" i="1"/>
  <c r="V2076" i="1" s="1"/>
  <c r="S2077" i="1"/>
  <c r="S2078" i="1"/>
  <c r="U2078" i="1" s="1"/>
  <c r="S2079" i="1"/>
  <c r="W2079" i="1" s="1"/>
  <c r="S2080" i="1"/>
  <c r="V2080" i="1" s="1"/>
  <c r="S2081" i="1"/>
  <c r="S2082" i="1"/>
  <c r="T2082" i="1" s="1"/>
  <c r="S2083" i="1"/>
  <c r="S2084" i="1"/>
  <c r="S2085" i="1"/>
  <c r="S2086" i="1"/>
  <c r="V2086" i="1" s="1"/>
  <c r="S2087" i="1"/>
  <c r="W2087" i="1" s="1"/>
  <c r="S2088" i="1"/>
  <c r="S2089" i="1"/>
  <c r="S2090" i="1"/>
  <c r="V2090" i="1" s="1"/>
  <c r="S2091" i="1"/>
  <c r="W2091" i="1" s="1"/>
  <c r="S2092" i="1"/>
  <c r="V2092" i="1"/>
  <c r="S2093" i="1"/>
  <c r="V2093" i="1" s="1"/>
  <c r="S2094" i="1"/>
  <c r="T2094" i="1" s="1"/>
  <c r="S2095" i="1"/>
  <c r="W2095" i="1" s="1"/>
  <c r="S2096" i="1"/>
  <c r="U2096" i="1" s="1"/>
  <c r="T2096" i="1"/>
  <c r="S2097" i="1"/>
  <c r="V2097" i="1" s="1"/>
  <c r="S2098" i="1"/>
  <c r="V2098" i="1" s="1"/>
  <c r="S2099" i="1"/>
  <c r="S2100" i="1"/>
  <c r="T2100" i="1" s="1"/>
  <c r="S2101" i="1"/>
  <c r="S2102" i="1"/>
  <c r="V2102" i="1" s="1"/>
  <c r="S2103" i="1"/>
  <c r="U2103" i="1" s="1"/>
  <c r="S2104" i="1"/>
  <c r="T2104" i="1" s="1"/>
  <c r="S2105" i="1"/>
  <c r="S2106" i="1"/>
  <c r="T2106" i="1" s="1"/>
  <c r="S2107" i="1"/>
  <c r="U2107" i="1" s="1"/>
  <c r="S2108" i="1"/>
  <c r="V2108" i="1" s="1"/>
  <c r="W2108" i="1"/>
  <c r="S2109" i="1"/>
  <c r="U2109" i="1" s="1"/>
  <c r="S2110" i="1"/>
  <c r="T2110" i="1" s="1"/>
  <c r="S2111" i="1"/>
  <c r="W2111" i="1" s="1"/>
  <c r="S2112" i="1"/>
  <c r="V2112" i="1" s="1"/>
  <c r="S2113" i="1"/>
  <c r="S2114" i="1"/>
  <c r="U2114" i="1" s="1"/>
  <c r="S2115" i="1"/>
  <c r="S2116" i="1"/>
  <c r="U2116" i="1" s="1"/>
  <c r="T2116" i="1"/>
  <c r="S2117" i="1"/>
  <c r="W2117" i="1" s="1"/>
  <c r="S2118" i="1"/>
  <c r="V2118" i="1" s="1"/>
  <c r="S2119" i="1"/>
  <c r="U2119" i="1" s="1"/>
  <c r="S2120" i="1"/>
  <c r="U2120" i="1" s="1"/>
  <c r="S2121" i="1"/>
  <c r="S2122" i="1"/>
  <c r="U2122" i="1" s="1"/>
  <c r="S2123" i="1"/>
  <c r="S2124" i="1"/>
  <c r="S2125" i="1"/>
  <c r="W2125" i="1" s="1"/>
  <c r="S2126" i="1"/>
  <c r="V2126" i="1" s="1"/>
  <c r="S2127" i="1"/>
  <c r="S2128" i="1"/>
  <c r="V2128" i="1" s="1"/>
  <c r="S2129" i="1"/>
  <c r="U2129" i="1" s="1"/>
  <c r="S2130" i="1"/>
  <c r="T2130" i="1" s="1"/>
  <c r="V2130" i="1"/>
  <c r="S2131" i="1"/>
  <c r="S2132" i="1"/>
  <c r="W2132" i="1" s="1"/>
  <c r="S2133" i="1"/>
  <c r="S2134" i="1"/>
  <c r="V2134" i="1" s="1"/>
  <c r="S2135" i="1"/>
  <c r="U2135" i="1" s="1"/>
  <c r="S2136" i="1"/>
  <c r="T2136" i="1" s="1"/>
  <c r="S2137" i="1"/>
  <c r="S2138" i="1"/>
  <c r="V2138" i="1" s="1"/>
  <c r="S2139" i="1"/>
  <c r="S2140" i="1"/>
  <c r="S2141" i="1"/>
  <c r="W2141" i="1" s="1"/>
  <c r="S2142" i="1"/>
  <c r="S2143" i="1"/>
  <c r="S2144" i="1"/>
  <c r="S2145" i="1"/>
  <c r="S2146" i="1"/>
  <c r="V2146" i="1" s="1"/>
  <c r="S2147" i="1"/>
  <c r="S2148" i="1"/>
  <c r="U2148" i="1" s="1"/>
  <c r="S2149" i="1"/>
  <c r="W2149" i="1" s="1"/>
  <c r="U2149" i="1"/>
  <c r="S2150" i="1"/>
  <c r="T2150" i="1" s="1"/>
  <c r="S2151" i="1"/>
  <c r="S2152" i="1"/>
  <c r="S2153" i="1"/>
  <c r="S2154" i="1"/>
  <c r="V2154" i="1" s="1"/>
  <c r="S2155" i="1"/>
  <c r="S2156" i="1"/>
  <c r="T2156" i="1" s="1"/>
  <c r="S2157" i="1"/>
  <c r="W2157" i="1" s="1"/>
  <c r="S2158" i="1"/>
  <c r="V2158" i="1" s="1"/>
  <c r="S2159" i="1"/>
  <c r="S2160" i="1"/>
  <c r="T2160" i="1" s="1"/>
  <c r="S2161" i="1"/>
  <c r="U2161" i="1" s="1"/>
  <c r="S2162" i="1"/>
  <c r="T2162" i="1" s="1"/>
  <c r="S2163" i="1"/>
  <c r="W2163" i="1" s="1"/>
  <c r="S2164" i="1"/>
  <c r="T2164" i="1" s="1"/>
  <c r="S2165" i="1"/>
  <c r="S2166" i="1"/>
  <c r="U2166" i="1" s="1"/>
  <c r="S2167" i="1"/>
  <c r="S2168" i="1"/>
  <c r="S2169" i="1"/>
  <c r="W2169" i="1" s="1"/>
  <c r="S2170" i="1"/>
  <c r="T2170" i="1" s="1"/>
  <c r="V2170" i="1"/>
  <c r="S2171" i="1"/>
  <c r="U2171" i="1" s="1"/>
  <c r="S2172" i="1"/>
  <c r="V2172" i="1" s="1"/>
  <c r="S2173" i="1"/>
  <c r="U2173" i="1" s="1"/>
  <c r="S2174" i="1"/>
  <c r="T2174" i="1" s="1"/>
  <c r="S2175" i="1"/>
  <c r="W2175" i="1" s="1"/>
  <c r="S2176" i="1"/>
  <c r="U2176" i="1" s="1"/>
  <c r="S2177" i="1"/>
  <c r="U2177" i="1" s="1"/>
  <c r="S2178" i="1"/>
  <c r="V2178" i="1" s="1"/>
  <c r="S2179" i="1"/>
  <c r="S2180" i="1"/>
  <c r="U2180" i="1" s="1"/>
  <c r="S2181" i="1"/>
  <c r="W2181" i="1" s="1"/>
  <c r="S2182" i="1"/>
  <c r="T2182" i="1" s="1"/>
  <c r="S2183" i="1"/>
  <c r="U2183" i="1" s="1"/>
  <c r="S2184" i="1"/>
  <c r="U2184" i="1" s="1"/>
  <c r="S2185" i="1"/>
  <c r="W2185" i="1" s="1"/>
  <c r="S2186" i="1"/>
  <c r="V2186" i="1" s="1"/>
  <c r="U2186" i="1"/>
  <c r="W2186" i="1"/>
  <c r="S2187" i="1"/>
  <c r="U2187" i="1" s="1"/>
  <c r="S2188" i="1"/>
  <c r="U2188" i="1" s="1"/>
  <c r="S2189" i="1"/>
  <c r="W2189" i="1" s="1"/>
  <c r="S2190" i="1"/>
  <c r="V2190" i="1" s="1"/>
  <c r="S2191" i="1"/>
  <c r="W2191" i="1" s="1"/>
  <c r="S2192" i="1"/>
  <c r="U2192" i="1" s="1"/>
  <c r="S2193" i="1"/>
  <c r="U2193" i="1" s="1"/>
  <c r="S2194" i="1"/>
  <c r="U2194" i="1" s="1"/>
  <c r="S2195" i="1"/>
  <c r="S2196" i="1"/>
  <c r="U2196" i="1" s="1"/>
  <c r="S2197" i="1"/>
  <c r="W2197" i="1" s="1"/>
  <c r="S2198" i="1"/>
  <c r="T2198" i="1" s="1"/>
  <c r="S2199" i="1"/>
  <c r="W2199" i="1" s="1"/>
  <c r="S2200" i="1"/>
  <c r="U2200" i="1" s="1"/>
  <c r="S2201" i="1"/>
  <c r="S2202" i="1"/>
  <c r="U2202" i="1" s="1"/>
  <c r="T2202" i="1"/>
  <c r="S2203" i="1"/>
  <c r="U2203" i="1" s="1"/>
  <c r="S2204" i="1"/>
  <c r="U2204" i="1" s="1"/>
  <c r="S2205" i="1"/>
  <c r="U2205" i="1" s="1"/>
  <c r="S2206" i="1"/>
  <c r="U2206" i="1" s="1"/>
  <c r="S2207" i="1"/>
  <c r="W2207" i="1" s="1"/>
  <c r="S2208" i="1"/>
  <c r="U2208" i="1" s="1"/>
  <c r="S2209" i="1"/>
  <c r="U2209" i="1" s="1"/>
  <c r="S2210" i="1"/>
  <c r="T2210" i="1" s="1"/>
  <c r="S2211" i="1"/>
  <c r="W2211" i="1" s="1"/>
  <c r="S2212" i="1"/>
  <c r="U2212" i="1" s="1"/>
  <c r="S2213" i="1"/>
  <c r="W2213" i="1" s="1"/>
  <c r="S2214" i="1"/>
  <c r="U2214" i="1" s="1"/>
  <c r="S2215" i="1"/>
  <c r="U2215" i="1" s="1"/>
  <c r="S2216" i="1"/>
  <c r="U2216" i="1" s="1"/>
  <c r="S2217" i="1"/>
  <c r="S2218" i="1"/>
  <c r="T2218" i="1" s="1"/>
  <c r="S2219" i="1"/>
  <c r="U2219" i="1" s="1"/>
  <c r="S2220" i="1"/>
  <c r="U2220" i="1" s="1"/>
  <c r="S2221" i="1"/>
  <c r="W2221" i="1" s="1"/>
  <c r="U2221" i="1"/>
  <c r="S2222" i="1"/>
  <c r="T2222" i="1" s="1"/>
  <c r="S2223" i="1"/>
  <c r="W2223" i="1" s="1"/>
  <c r="S2224" i="1"/>
  <c r="U2224" i="1" s="1"/>
  <c r="S2225" i="1"/>
  <c r="U2225" i="1" s="1"/>
  <c r="S2226" i="1"/>
  <c r="T2226" i="1" s="1"/>
  <c r="S2227" i="1"/>
  <c r="W2227" i="1" s="1"/>
  <c r="S2228" i="1"/>
  <c r="U2228" i="1" s="1"/>
  <c r="W2228" i="1"/>
  <c r="S2229" i="1"/>
  <c r="W2229" i="1" s="1"/>
  <c r="S2230" i="1"/>
  <c r="T2230" i="1" s="1"/>
  <c r="S2231" i="1"/>
  <c r="W2231" i="1" s="1"/>
  <c r="S2232" i="1"/>
  <c r="U2232" i="1" s="1"/>
  <c r="S2233" i="1"/>
  <c r="W2233" i="1" s="1"/>
  <c r="S2234" i="1"/>
  <c r="T2234" i="1" s="1"/>
  <c r="S2235" i="1"/>
  <c r="U2235" i="1" s="1"/>
  <c r="S2236" i="1"/>
  <c r="U2236" i="1" s="1"/>
  <c r="S2237" i="1"/>
  <c r="W2237" i="1" s="1"/>
  <c r="S2238" i="1"/>
  <c r="S2239" i="1"/>
  <c r="W2239" i="1" s="1"/>
  <c r="S2240" i="1"/>
  <c r="U2240" i="1" s="1"/>
  <c r="S2241" i="1"/>
  <c r="U2241" i="1" s="1"/>
  <c r="S2242" i="1"/>
  <c r="T2242" i="1" s="1"/>
  <c r="S2243" i="1"/>
  <c r="S13" i="1"/>
  <c r="U13" i="1" s="1"/>
  <c r="S2245" i="1"/>
  <c r="W2245" i="1" s="1"/>
  <c r="S2246" i="1"/>
  <c r="U2246" i="1" s="1"/>
  <c r="S2247" i="1"/>
  <c r="U2247" i="1" s="1"/>
  <c r="S2248" i="1"/>
  <c r="U2248" i="1" s="1"/>
  <c r="S2249" i="1"/>
  <c r="W2249" i="1" s="1"/>
  <c r="S2250" i="1"/>
  <c r="T2250" i="1" s="1"/>
  <c r="S2251" i="1"/>
  <c r="U2251" i="1" s="1"/>
  <c r="S2252" i="1"/>
  <c r="U2252" i="1" s="1"/>
  <c r="S2253" i="1"/>
  <c r="U2253" i="1" s="1"/>
  <c r="S2254" i="1"/>
  <c r="U2254" i="1" s="1"/>
  <c r="S2255" i="1"/>
  <c r="W2255" i="1" s="1"/>
  <c r="S2256" i="1"/>
  <c r="S2257" i="1"/>
  <c r="U2257" i="1" s="1"/>
  <c r="W2257" i="1"/>
  <c r="S2258" i="1"/>
  <c r="S2259" i="1"/>
  <c r="S2260" i="1"/>
  <c r="U2260" i="1" s="1"/>
  <c r="S2261" i="1"/>
  <c r="W2261" i="1" s="1"/>
  <c r="S2262" i="1"/>
  <c r="V2262" i="1" s="1"/>
  <c r="U2262" i="1"/>
  <c r="S2263" i="1"/>
  <c r="U2263" i="1" s="1"/>
  <c r="S2264" i="1"/>
  <c r="U2264" i="1" s="1"/>
  <c r="S2265" i="1"/>
  <c r="S2266" i="1"/>
  <c r="T2266" i="1" s="1"/>
  <c r="S2267" i="1"/>
  <c r="U2267" i="1" s="1"/>
  <c r="W2267" i="1"/>
  <c r="S2268" i="1"/>
  <c r="U2268" i="1" s="1"/>
  <c r="S2269" i="1"/>
  <c r="U2269" i="1" s="1"/>
  <c r="S2270" i="1"/>
  <c r="U2270" i="1" s="1"/>
  <c r="S2271" i="1"/>
  <c r="W2271" i="1" s="1"/>
  <c r="S2272" i="1"/>
  <c r="U2272" i="1" s="1"/>
  <c r="S2273" i="1"/>
  <c r="U2273" i="1" s="1"/>
  <c r="S2274" i="1"/>
  <c r="T2274" i="1" s="1"/>
  <c r="S2275" i="1"/>
  <c r="W2275" i="1" s="1"/>
  <c r="S2276" i="1"/>
  <c r="U2276" i="1" s="1"/>
  <c r="S2277" i="1"/>
  <c r="W2277" i="1" s="1"/>
  <c r="S2278" i="1"/>
  <c r="T2278" i="1" s="1"/>
  <c r="S2279" i="1"/>
  <c r="W2279" i="1" s="1"/>
  <c r="S2280" i="1"/>
  <c r="U2280" i="1" s="1"/>
  <c r="S2281" i="1"/>
  <c r="S2282" i="1"/>
  <c r="U2282" i="1" s="1"/>
  <c r="T2282" i="1"/>
  <c r="S2283" i="1"/>
  <c r="U2283" i="1" s="1"/>
  <c r="S2284" i="1"/>
  <c r="U2284" i="1" s="1"/>
  <c r="S2285" i="1"/>
  <c r="W2285" i="1" s="1"/>
  <c r="S2286" i="1"/>
  <c r="V2286" i="1" s="1"/>
  <c r="S2287" i="1"/>
  <c r="W2287" i="1" s="1"/>
  <c r="S2288" i="1"/>
  <c r="S2289" i="1"/>
  <c r="U2289" i="1" s="1"/>
  <c r="W2289" i="1"/>
  <c r="S2290" i="1"/>
  <c r="T2290" i="1" s="1"/>
  <c r="S2291" i="1"/>
  <c r="S2292" i="1"/>
  <c r="U2292" i="1" s="1"/>
  <c r="S2293" i="1"/>
  <c r="S2294" i="1"/>
  <c r="T2294" i="1" s="1"/>
  <c r="S2295" i="1"/>
  <c r="W2295" i="1" s="1"/>
  <c r="S2296" i="1"/>
  <c r="U2296" i="1" s="1"/>
  <c r="S2297" i="1"/>
  <c r="S2298" i="1"/>
  <c r="U2298" i="1" s="1"/>
  <c r="S2299" i="1"/>
  <c r="U2299" i="1" s="1"/>
  <c r="S2300" i="1"/>
  <c r="U2300" i="1" s="1"/>
  <c r="S2301" i="1"/>
  <c r="W2301" i="1" s="1"/>
  <c r="S2302" i="1"/>
  <c r="T2302" i="1" s="1"/>
  <c r="S2303" i="1"/>
  <c r="W2303" i="1" s="1"/>
  <c r="S2304" i="1"/>
  <c r="U2304" i="1" s="1"/>
  <c r="S2305" i="1"/>
  <c r="U2305" i="1" s="1"/>
  <c r="S2306" i="1"/>
  <c r="T2306" i="1" s="1"/>
  <c r="S2307" i="1"/>
  <c r="S2308" i="1"/>
  <c r="U2308" i="1" s="1"/>
  <c r="S2309" i="1"/>
  <c r="W2309" i="1" s="1"/>
  <c r="S2310" i="1"/>
  <c r="T2310" i="1" s="1"/>
  <c r="S2311" i="1"/>
  <c r="T2311" i="1" s="1"/>
  <c r="S2312" i="1"/>
  <c r="U2312" i="1" s="1"/>
  <c r="S2313" i="1"/>
  <c r="V2313" i="1" s="1"/>
  <c r="S2314" i="1"/>
  <c r="T2314" i="1" s="1"/>
  <c r="S2315" i="1"/>
  <c r="T2315" i="1" s="1"/>
  <c r="V2315" i="1"/>
  <c r="S2316" i="1"/>
  <c r="U2316" i="1" s="1"/>
  <c r="S2317" i="1"/>
  <c r="V2317" i="1" s="1"/>
  <c r="S2318" i="1"/>
  <c r="U2318" i="1" s="1"/>
  <c r="S2319" i="1"/>
  <c r="T2319" i="1" s="1"/>
  <c r="S2320" i="1"/>
  <c r="T2320" i="1" s="1"/>
  <c r="S2321" i="1"/>
  <c r="V2321" i="1" s="1"/>
  <c r="S2322" i="1"/>
  <c r="U2322" i="1" s="1"/>
  <c r="S2323" i="1"/>
  <c r="T2323" i="1" s="1"/>
  <c r="S2324" i="1"/>
  <c r="T2324" i="1" s="1"/>
  <c r="S2325" i="1"/>
  <c r="V2325" i="1" s="1"/>
  <c r="S2326" i="1"/>
  <c r="U2326" i="1" s="1"/>
  <c r="S2327" i="1"/>
  <c r="T2327" i="1" s="1"/>
  <c r="S2328" i="1"/>
  <c r="V2328" i="1" s="1"/>
  <c r="S2329" i="1"/>
  <c r="V2329" i="1" s="1"/>
  <c r="S2330" i="1"/>
  <c r="U2330" i="1" s="1"/>
  <c r="S2331" i="1"/>
  <c r="T2331" i="1" s="1"/>
  <c r="S2332" i="1"/>
  <c r="U2332" i="1" s="1"/>
  <c r="S2333" i="1"/>
  <c r="V2333" i="1" s="1"/>
  <c r="S2334" i="1"/>
  <c r="U2334" i="1" s="1"/>
  <c r="S2335" i="1"/>
  <c r="T2335" i="1" s="1"/>
  <c r="S2336" i="1"/>
  <c r="T2336" i="1" s="1"/>
  <c r="W2336" i="1"/>
  <c r="S2337" i="1"/>
  <c r="V2337" i="1" s="1"/>
  <c r="U2337" i="1"/>
  <c r="S2338" i="1"/>
  <c r="U2338" i="1" s="1"/>
  <c r="S2339" i="1"/>
  <c r="T2339" i="1" s="1"/>
  <c r="S2340" i="1"/>
  <c r="T2340" i="1" s="1"/>
  <c r="S60" i="1"/>
  <c r="V60" i="1" s="1"/>
  <c r="U60" i="1"/>
  <c r="S9" i="1"/>
  <c r="T9" i="1" s="1"/>
  <c r="S24" i="1"/>
  <c r="U24" i="1" s="1"/>
  <c r="S25" i="1"/>
  <c r="T25" i="1" s="1"/>
  <c r="S26" i="1"/>
  <c r="V26" i="1" s="1"/>
  <c r="S2341" i="1"/>
  <c r="V2341" i="1" s="1"/>
  <c r="S27" i="1"/>
  <c r="U27" i="1" s="1"/>
  <c r="S28" i="1"/>
  <c r="T28" i="1" s="1"/>
  <c r="BE24" i="1"/>
  <c r="BE25" i="1"/>
  <c r="BE26" i="1"/>
  <c r="BE2341" i="1"/>
  <c r="BE27" i="1"/>
  <c r="BE28" i="1"/>
  <c r="BE9" i="1"/>
  <c r="BE29" i="1"/>
  <c r="BE30" i="1"/>
  <c r="BE31" i="1"/>
  <c r="BE2" i="1"/>
  <c r="BE58" i="1"/>
  <c r="BE32" i="1"/>
  <c r="BE33" i="1"/>
  <c r="BE35" i="1"/>
  <c r="BE36" i="1"/>
  <c r="BE61" i="1"/>
  <c r="BE62" i="1"/>
  <c r="BE37" i="1"/>
  <c r="BE38" i="1"/>
  <c r="BE39" i="1"/>
  <c r="BE40" i="1"/>
  <c r="BE41" i="1"/>
  <c r="BE4" i="1"/>
  <c r="BE65" i="1"/>
  <c r="BE67" i="1"/>
  <c r="BE18" i="1"/>
  <c r="BE43" i="1"/>
  <c r="BE44" i="1"/>
  <c r="BE69" i="1"/>
  <c r="BE73" i="1"/>
  <c r="BE45" i="1"/>
  <c r="BE46" i="1"/>
  <c r="BE47" i="1"/>
  <c r="BE74" i="1"/>
  <c r="BE78" i="1"/>
  <c r="BE59" i="1"/>
  <c r="BE79" i="1"/>
  <c r="BE80" i="1"/>
  <c r="BE42" i="1"/>
  <c r="BE96" i="1"/>
  <c r="BE48" i="1"/>
  <c r="BE49" i="1"/>
  <c r="BE219" i="1"/>
  <c r="BE220" i="1"/>
  <c r="BE313" i="1"/>
  <c r="BE389" i="1"/>
  <c r="BE34" i="1"/>
  <c r="BE51" i="1"/>
  <c r="BE50" i="1"/>
  <c r="BE19" i="1"/>
  <c r="BE3" i="1"/>
  <c r="BE52" i="1"/>
  <c r="BE53" i="1"/>
  <c r="BE57" i="1"/>
  <c r="BE14" i="1"/>
  <c r="BE745" i="1"/>
  <c r="BE1421" i="1"/>
  <c r="BE54" i="1"/>
  <c r="BE5" i="1"/>
  <c r="BE63" i="1"/>
  <c r="BE64" i="1"/>
  <c r="BE6" i="1"/>
  <c r="BE66" i="1"/>
  <c r="BE7" i="1"/>
  <c r="BE68" i="1"/>
  <c r="BE1651" i="1"/>
  <c r="BE70" i="1"/>
  <c r="BE71" i="1"/>
  <c r="BE72" i="1"/>
  <c r="BE1963" i="1"/>
  <c r="BE2244" i="1"/>
  <c r="BE75" i="1"/>
  <c r="BE76" i="1"/>
  <c r="BE77" i="1"/>
  <c r="BE20" i="1"/>
  <c r="BE55" i="1"/>
  <c r="BE15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8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10" i="1"/>
  <c r="BE11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21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12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16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22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1510" i="1"/>
  <c r="BE1511" i="1"/>
  <c r="BE1512" i="1"/>
  <c r="BE1513" i="1"/>
  <c r="BE1514" i="1"/>
  <c r="BE1515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38" i="1"/>
  <c r="BE1539" i="1"/>
  <c r="BE1540" i="1"/>
  <c r="BE1541" i="1"/>
  <c r="BE1542" i="1"/>
  <c r="BE1543" i="1"/>
  <c r="BE1544" i="1"/>
  <c r="BE1545" i="1"/>
  <c r="BE1546" i="1"/>
  <c r="BE1547" i="1"/>
  <c r="BE1548" i="1"/>
  <c r="BE1549" i="1"/>
  <c r="BE1550" i="1"/>
  <c r="BE1551" i="1"/>
  <c r="BE1552" i="1"/>
  <c r="BE1553" i="1"/>
  <c r="BE1554" i="1"/>
  <c r="BE1555" i="1"/>
  <c r="BE1556" i="1"/>
  <c r="BE1557" i="1"/>
  <c r="BE1558" i="1"/>
  <c r="BE1559" i="1"/>
  <c r="BE1560" i="1"/>
  <c r="BE1561" i="1"/>
  <c r="BE1562" i="1"/>
  <c r="BE1563" i="1"/>
  <c r="BE1564" i="1"/>
  <c r="BE1565" i="1"/>
  <c r="BE1566" i="1"/>
  <c r="BE1567" i="1"/>
  <c r="BE1568" i="1"/>
  <c r="BE1569" i="1"/>
  <c r="BE1570" i="1"/>
  <c r="BE1571" i="1"/>
  <c r="BE1572" i="1"/>
  <c r="BE1573" i="1"/>
  <c r="BE1574" i="1"/>
  <c r="BE1575" i="1"/>
  <c r="BE1576" i="1"/>
  <c r="BE1577" i="1"/>
  <c r="BE1578" i="1"/>
  <c r="BE1579" i="1"/>
  <c r="BE1580" i="1"/>
  <c r="BE1581" i="1"/>
  <c r="BE1582" i="1"/>
  <c r="BE1583" i="1"/>
  <c r="BE1584" i="1"/>
  <c r="BE1585" i="1"/>
  <c r="BE1586" i="1"/>
  <c r="BE1587" i="1"/>
  <c r="BE1588" i="1"/>
  <c r="BE1589" i="1"/>
  <c r="BE1590" i="1"/>
  <c r="BE1591" i="1"/>
  <c r="BE1592" i="1"/>
  <c r="BE1593" i="1"/>
  <c r="BE1594" i="1"/>
  <c r="BE1595" i="1"/>
  <c r="BE1596" i="1"/>
  <c r="BE1597" i="1"/>
  <c r="BE1598" i="1"/>
  <c r="BE1599" i="1"/>
  <c r="BE1600" i="1"/>
  <c r="BE1601" i="1"/>
  <c r="BE1602" i="1"/>
  <c r="BE1603" i="1"/>
  <c r="BE1604" i="1"/>
  <c r="BE1605" i="1"/>
  <c r="BE1606" i="1"/>
  <c r="BE1607" i="1"/>
  <c r="BE1608" i="1"/>
  <c r="BE1609" i="1"/>
  <c r="BE1610" i="1"/>
  <c r="BE1611" i="1"/>
  <c r="BE1612" i="1"/>
  <c r="BE1613" i="1"/>
  <c r="BE1614" i="1"/>
  <c r="BE1615" i="1"/>
  <c r="BE1616" i="1"/>
  <c r="BE1617" i="1"/>
  <c r="BE1618" i="1"/>
  <c r="BE1619" i="1"/>
  <c r="BE1620" i="1"/>
  <c r="BE1621" i="1"/>
  <c r="BE1622" i="1"/>
  <c r="BE1623" i="1"/>
  <c r="BE1624" i="1"/>
  <c r="BE1625" i="1"/>
  <c r="BE1626" i="1"/>
  <c r="BE1627" i="1"/>
  <c r="BE1628" i="1"/>
  <c r="BE1629" i="1"/>
  <c r="BE1630" i="1"/>
  <c r="BE1631" i="1"/>
  <c r="BE1632" i="1"/>
  <c r="BE1633" i="1"/>
  <c r="BE1634" i="1"/>
  <c r="BE1635" i="1"/>
  <c r="BE1636" i="1"/>
  <c r="BE1637" i="1"/>
  <c r="BE1638" i="1"/>
  <c r="BE1639" i="1"/>
  <c r="BE1640" i="1"/>
  <c r="BE1641" i="1"/>
  <c r="BE1642" i="1"/>
  <c r="BE1643" i="1"/>
  <c r="BE1644" i="1"/>
  <c r="BE1645" i="1"/>
  <c r="BE1646" i="1"/>
  <c r="BE1647" i="1"/>
  <c r="BE1648" i="1"/>
  <c r="BE1649" i="1"/>
  <c r="BE1650" i="1"/>
  <c r="BE56" i="1"/>
  <c r="BE1652" i="1"/>
  <c r="BE1653" i="1"/>
  <c r="BE1654" i="1"/>
  <c r="BE1655" i="1"/>
  <c r="BE1656" i="1"/>
  <c r="BE1657" i="1"/>
  <c r="BE1658" i="1"/>
  <c r="BE1659" i="1"/>
  <c r="BE1660" i="1"/>
  <c r="BE1661" i="1"/>
  <c r="BE1662" i="1"/>
  <c r="BE1663" i="1"/>
  <c r="BE1664" i="1"/>
  <c r="BE1665" i="1"/>
  <c r="BE1666" i="1"/>
  <c r="BE1667" i="1"/>
  <c r="BE1668" i="1"/>
  <c r="BE1669" i="1"/>
  <c r="BE1670" i="1"/>
  <c r="BE1671" i="1"/>
  <c r="BE1672" i="1"/>
  <c r="BE1673" i="1"/>
  <c r="BE1674" i="1"/>
  <c r="BE1675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E1723" i="1"/>
  <c r="BE1724" i="1"/>
  <c r="BE1725" i="1"/>
  <c r="BE1726" i="1"/>
  <c r="BE1727" i="1"/>
  <c r="BE1728" i="1"/>
  <c r="BE1729" i="1"/>
  <c r="BE1730" i="1"/>
  <c r="BE1731" i="1"/>
  <c r="BE1732" i="1"/>
  <c r="BE1733" i="1"/>
  <c r="BE1734" i="1"/>
  <c r="BE1735" i="1"/>
  <c r="BE1736" i="1"/>
  <c r="BE1737" i="1"/>
  <c r="BE1738" i="1"/>
  <c r="BE1739" i="1"/>
  <c r="BE1740" i="1"/>
  <c r="BE1741" i="1"/>
  <c r="BE1742" i="1"/>
  <c r="BE1743" i="1"/>
  <c r="BE1744" i="1"/>
  <c r="BE1745" i="1"/>
  <c r="BE1746" i="1"/>
  <c r="BE1747" i="1"/>
  <c r="BE1748" i="1"/>
  <c r="BE1749" i="1"/>
  <c r="BE1750" i="1"/>
  <c r="BE1751" i="1"/>
  <c r="BE1752" i="1"/>
  <c r="BE1753" i="1"/>
  <c r="BE1754" i="1"/>
  <c r="BE1755" i="1"/>
  <c r="BE1756" i="1"/>
  <c r="BE1757" i="1"/>
  <c r="BE1758" i="1"/>
  <c r="BE1759" i="1"/>
  <c r="BE1760" i="1"/>
  <c r="BE1761" i="1"/>
  <c r="BE1762" i="1"/>
  <c r="BE1763" i="1"/>
  <c r="BE1764" i="1"/>
  <c r="BE1765" i="1"/>
  <c r="BE1766" i="1"/>
  <c r="BE1767" i="1"/>
  <c r="BE1768" i="1"/>
  <c r="BE1769" i="1"/>
  <c r="BE1770" i="1"/>
  <c r="BE1771" i="1"/>
  <c r="BE1772" i="1"/>
  <c r="BE1773" i="1"/>
  <c r="BE1774" i="1"/>
  <c r="BE1775" i="1"/>
  <c r="BE1776" i="1"/>
  <c r="BE1777" i="1"/>
  <c r="BE1778" i="1"/>
  <c r="BE1779" i="1"/>
  <c r="BE1780" i="1"/>
  <c r="BE1781" i="1"/>
  <c r="BE1782" i="1"/>
  <c r="BE1783" i="1"/>
  <c r="BE1784" i="1"/>
  <c r="BE1785" i="1"/>
  <c r="BE1786" i="1"/>
  <c r="BE1787" i="1"/>
  <c r="BE1788" i="1"/>
  <c r="BE1789" i="1"/>
  <c r="BE1790" i="1"/>
  <c r="BE1791" i="1"/>
  <c r="BE1792" i="1"/>
  <c r="BE1793" i="1"/>
  <c r="BE1794" i="1"/>
  <c r="BE1795" i="1"/>
  <c r="BE1796" i="1"/>
  <c r="BE1797" i="1"/>
  <c r="BE1798" i="1"/>
  <c r="BE1799" i="1"/>
  <c r="BE1800" i="1"/>
  <c r="BE1801" i="1"/>
  <c r="BE1802" i="1"/>
  <c r="BE1803" i="1"/>
  <c r="BE1804" i="1"/>
  <c r="BE1805" i="1"/>
  <c r="BE1806" i="1"/>
  <c r="BE1807" i="1"/>
  <c r="BE1808" i="1"/>
  <c r="BE1809" i="1"/>
  <c r="BE1810" i="1"/>
  <c r="BE1811" i="1"/>
  <c r="BE1812" i="1"/>
  <c r="BE1813" i="1"/>
  <c r="BE1814" i="1"/>
  <c r="BE1815" i="1"/>
  <c r="BE1816" i="1"/>
  <c r="BE1817" i="1"/>
  <c r="BE1818" i="1"/>
  <c r="BE1819" i="1"/>
  <c r="BE1820" i="1"/>
  <c r="BE1821" i="1"/>
  <c r="BE1822" i="1"/>
  <c r="BE1823" i="1"/>
  <c r="BE1824" i="1"/>
  <c r="BE1825" i="1"/>
  <c r="BE1826" i="1"/>
  <c r="BE1827" i="1"/>
  <c r="BE1828" i="1"/>
  <c r="BE1829" i="1"/>
  <c r="BE1830" i="1"/>
  <c r="BE1831" i="1"/>
  <c r="BE1832" i="1"/>
  <c r="BE1833" i="1"/>
  <c r="BE1834" i="1"/>
  <c r="BE1835" i="1"/>
  <c r="BE1836" i="1"/>
  <c r="BE1837" i="1"/>
  <c r="BE1838" i="1"/>
  <c r="BE1839" i="1"/>
  <c r="BE1840" i="1"/>
  <c r="BE1841" i="1"/>
  <c r="BE1842" i="1"/>
  <c r="BE1843" i="1"/>
  <c r="BE1844" i="1"/>
  <c r="BE1845" i="1"/>
  <c r="BE1846" i="1"/>
  <c r="BE1847" i="1"/>
  <c r="BE1848" i="1"/>
  <c r="BE1849" i="1"/>
  <c r="BE1850" i="1"/>
  <c r="BE1851" i="1"/>
  <c r="BE1852" i="1"/>
  <c r="BE1853" i="1"/>
  <c r="BE1854" i="1"/>
  <c r="BE1855" i="1"/>
  <c r="BE1856" i="1"/>
  <c r="BE1857" i="1"/>
  <c r="BE1858" i="1"/>
  <c r="BE1859" i="1"/>
  <c r="BE1860" i="1"/>
  <c r="BE1861" i="1"/>
  <c r="BE1862" i="1"/>
  <c r="BE1863" i="1"/>
  <c r="BE1864" i="1"/>
  <c r="BE1865" i="1"/>
  <c r="BE1866" i="1"/>
  <c r="BE1867" i="1"/>
  <c r="BE1868" i="1"/>
  <c r="BE1869" i="1"/>
  <c r="BE1870" i="1"/>
  <c r="BE1871" i="1"/>
  <c r="BE1872" i="1"/>
  <c r="BE1873" i="1"/>
  <c r="BE1874" i="1"/>
  <c r="BE1875" i="1"/>
  <c r="BE1876" i="1"/>
  <c r="BE1877" i="1"/>
  <c r="BE1878" i="1"/>
  <c r="BE1879" i="1"/>
  <c r="BE1880" i="1"/>
  <c r="BE1881" i="1"/>
  <c r="BE1882" i="1"/>
  <c r="BE1883" i="1"/>
  <c r="BE1884" i="1"/>
  <c r="BE1885" i="1"/>
  <c r="BE1886" i="1"/>
  <c r="BE1887" i="1"/>
  <c r="BE1888" i="1"/>
  <c r="BE1889" i="1"/>
  <c r="BE1890" i="1"/>
  <c r="BE1891" i="1"/>
  <c r="BE1892" i="1"/>
  <c r="BE1893" i="1"/>
  <c r="BE1894" i="1"/>
  <c r="BE1895" i="1"/>
  <c r="BE1896" i="1"/>
  <c r="BE1897" i="1"/>
  <c r="BE1898" i="1"/>
  <c r="BE1899" i="1"/>
  <c r="BE1900" i="1"/>
  <c r="BE1901" i="1"/>
  <c r="BE1902" i="1"/>
  <c r="BE1903" i="1"/>
  <c r="BE1904" i="1"/>
  <c r="BE1905" i="1"/>
  <c r="BE1906" i="1"/>
  <c r="BE1907" i="1"/>
  <c r="BE1908" i="1"/>
  <c r="BE1909" i="1"/>
  <c r="BE1910" i="1"/>
  <c r="BE1911" i="1"/>
  <c r="BE1912" i="1"/>
  <c r="BE1913" i="1"/>
  <c r="BE1914" i="1"/>
  <c r="BE1915" i="1"/>
  <c r="BE1916" i="1"/>
  <c r="BE1917" i="1"/>
  <c r="BE1918" i="1"/>
  <c r="BE1919" i="1"/>
  <c r="BE1920" i="1"/>
  <c r="BE1921" i="1"/>
  <c r="BE1922" i="1"/>
  <c r="BE1923" i="1"/>
  <c r="BE1924" i="1"/>
  <c r="BE1925" i="1"/>
  <c r="BE1926" i="1"/>
  <c r="BE1927" i="1"/>
  <c r="BE1928" i="1"/>
  <c r="BE1929" i="1"/>
  <c r="BE1930" i="1"/>
  <c r="BE1931" i="1"/>
  <c r="BE1932" i="1"/>
  <c r="BE1933" i="1"/>
  <c r="BE1934" i="1"/>
  <c r="BE1935" i="1"/>
  <c r="BE1936" i="1"/>
  <c r="BE1937" i="1"/>
  <c r="BE1938" i="1"/>
  <c r="BE1939" i="1"/>
  <c r="BE1940" i="1"/>
  <c r="BE1941" i="1"/>
  <c r="BE1942" i="1"/>
  <c r="BE1943" i="1"/>
  <c r="BE1944" i="1"/>
  <c r="BE1945" i="1"/>
  <c r="BE1946" i="1"/>
  <c r="BE1947" i="1"/>
  <c r="BE1948" i="1"/>
  <c r="BE1949" i="1"/>
  <c r="BE1950" i="1"/>
  <c r="BE1951" i="1"/>
  <c r="BE1952" i="1"/>
  <c r="BE1953" i="1"/>
  <c r="BE1954" i="1"/>
  <c r="BE1955" i="1"/>
  <c r="BE1956" i="1"/>
  <c r="BE1957" i="1"/>
  <c r="BE1958" i="1"/>
  <c r="BE1959" i="1"/>
  <c r="BE1960" i="1"/>
  <c r="BE1961" i="1"/>
  <c r="BE1962" i="1"/>
  <c r="BE17" i="1"/>
  <c r="BE1964" i="1"/>
  <c r="BE1965" i="1"/>
  <c r="BE1966" i="1"/>
  <c r="BE1967" i="1"/>
  <c r="BE1968" i="1"/>
  <c r="BE1969" i="1"/>
  <c r="BE1970" i="1"/>
  <c r="BE1971" i="1"/>
  <c r="BE1972" i="1"/>
  <c r="BE1973" i="1"/>
  <c r="BE1974" i="1"/>
  <c r="BE1975" i="1"/>
  <c r="BE1976" i="1"/>
  <c r="BE1977" i="1"/>
  <c r="BE1978" i="1"/>
  <c r="BE1979" i="1"/>
  <c r="BE1980" i="1"/>
  <c r="BE1981" i="1"/>
  <c r="BE1982" i="1"/>
  <c r="BE1983" i="1"/>
  <c r="BE1984" i="1"/>
  <c r="BE1985" i="1"/>
  <c r="BE1986" i="1"/>
  <c r="BE1987" i="1"/>
  <c r="BE1988" i="1"/>
  <c r="BE1989" i="1"/>
  <c r="BE1990" i="1"/>
  <c r="BE1991" i="1"/>
  <c r="BE1992" i="1"/>
  <c r="BE1993" i="1"/>
  <c r="BE1994" i="1"/>
  <c r="BE1995" i="1"/>
  <c r="BE1996" i="1"/>
  <c r="BE1997" i="1"/>
  <c r="BE1998" i="1"/>
  <c r="BE1999" i="1"/>
  <c r="BE2000" i="1"/>
  <c r="BE2001" i="1"/>
  <c r="BE2002" i="1"/>
  <c r="BE2003" i="1"/>
  <c r="BE2004" i="1"/>
  <c r="BE2005" i="1"/>
  <c r="BE2006" i="1"/>
  <c r="BE2007" i="1"/>
  <c r="BE2008" i="1"/>
  <c r="BE2009" i="1"/>
  <c r="BE2010" i="1"/>
  <c r="BE2011" i="1"/>
  <c r="BE2012" i="1"/>
  <c r="BE2013" i="1"/>
  <c r="BE2014" i="1"/>
  <c r="BE2015" i="1"/>
  <c r="BE2016" i="1"/>
  <c r="BE2017" i="1"/>
  <c r="BE2018" i="1"/>
  <c r="BE2019" i="1"/>
  <c r="BE2020" i="1"/>
  <c r="BE2021" i="1"/>
  <c r="BE2022" i="1"/>
  <c r="BE2023" i="1"/>
  <c r="BE2024" i="1"/>
  <c r="BE2025" i="1"/>
  <c r="BE2026" i="1"/>
  <c r="BE2027" i="1"/>
  <c r="BE2028" i="1"/>
  <c r="BE2029" i="1"/>
  <c r="BE2030" i="1"/>
  <c r="BE2031" i="1"/>
  <c r="BE2032" i="1"/>
  <c r="BE2033" i="1"/>
  <c r="BE2034" i="1"/>
  <c r="BE2035" i="1"/>
  <c r="BE2036" i="1"/>
  <c r="BE2037" i="1"/>
  <c r="BE2038" i="1"/>
  <c r="BE2039" i="1"/>
  <c r="BE2040" i="1"/>
  <c r="BE2041" i="1"/>
  <c r="BE2042" i="1"/>
  <c r="BE2043" i="1"/>
  <c r="BE2044" i="1"/>
  <c r="BE2045" i="1"/>
  <c r="BE2046" i="1"/>
  <c r="BE2047" i="1"/>
  <c r="BE2048" i="1"/>
  <c r="BE2049" i="1"/>
  <c r="BE2050" i="1"/>
  <c r="BE2051" i="1"/>
  <c r="BE2052" i="1"/>
  <c r="BE2053" i="1"/>
  <c r="BE2054" i="1"/>
  <c r="BE2055" i="1"/>
  <c r="BE2056" i="1"/>
  <c r="BE2057" i="1"/>
  <c r="BE2058" i="1"/>
  <c r="BE2059" i="1"/>
  <c r="BE2060" i="1"/>
  <c r="BE2061" i="1"/>
  <c r="BE2062" i="1"/>
  <c r="BE2063" i="1"/>
  <c r="BE2064" i="1"/>
  <c r="BE2065" i="1"/>
  <c r="BE2066" i="1"/>
  <c r="BE2067" i="1"/>
  <c r="BE2068" i="1"/>
  <c r="BE2069" i="1"/>
  <c r="BE2070" i="1"/>
  <c r="BE2071" i="1"/>
  <c r="BE2072" i="1"/>
  <c r="BE2073" i="1"/>
  <c r="BE2074" i="1"/>
  <c r="BE2075" i="1"/>
  <c r="BE2076" i="1"/>
  <c r="BE2077" i="1"/>
  <c r="BE2078" i="1"/>
  <c r="BE2079" i="1"/>
  <c r="BE2080" i="1"/>
  <c r="BE2081" i="1"/>
  <c r="BE2082" i="1"/>
  <c r="BE2083" i="1"/>
  <c r="BE2084" i="1"/>
  <c r="BE2085" i="1"/>
  <c r="BE2086" i="1"/>
  <c r="BE2087" i="1"/>
  <c r="BE2088" i="1"/>
  <c r="BE2089" i="1"/>
  <c r="BE2090" i="1"/>
  <c r="BE2091" i="1"/>
  <c r="BE2092" i="1"/>
  <c r="BE2093" i="1"/>
  <c r="BE2094" i="1"/>
  <c r="BE2095" i="1"/>
  <c r="BE2096" i="1"/>
  <c r="BE2097" i="1"/>
  <c r="BE2098" i="1"/>
  <c r="BE2099" i="1"/>
  <c r="BE2100" i="1"/>
  <c r="BE2101" i="1"/>
  <c r="BE2102" i="1"/>
  <c r="BE2103" i="1"/>
  <c r="BE2104" i="1"/>
  <c r="BE2105" i="1"/>
  <c r="BE2106" i="1"/>
  <c r="BE2107" i="1"/>
  <c r="BE2108" i="1"/>
  <c r="BE2109" i="1"/>
  <c r="BE2110" i="1"/>
  <c r="BE2111" i="1"/>
  <c r="BE2112" i="1"/>
  <c r="BE2113" i="1"/>
  <c r="BE2114" i="1"/>
  <c r="BE2115" i="1"/>
  <c r="BE2116" i="1"/>
  <c r="BE2117" i="1"/>
  <c r="BE2118" i="1"/>
  <c r="BE2119" i="1"/>
  <c r="BE2120" i="1"/>
  <c r="BE2121" i="1"/>
  <c r="BE2122" i="1"/>
  <c r="BE2123" i="1"/>
  <c r="BE2124" i="1"/>
  <c r="BE2125" i="1"/>
  <c r="BE2126" i="1"/>
  <c r="BE2127" i="1"/>
  <c r="BE2128" i="1"/>
  <c r="BE2129" i="1"/>
  <c r="BE2130" i="1"/>
  <c r="BE2131" i="1"/>
  <c r="BE2132" i="1"/>
  <c r="BE2133" i="1"/>
  <c r="BE2134" i="1"/>
  <c r="BE2135" i="1"/>
  <c r="BE2136" i="1"/>
  <c r="BE2137" i="1"/>
  <c r="BE2138" i="1"/>
  <c r="BE2139" i="1"/>
  <c r="BE2140" i="1"/>
  <c r="BE2141" i="1"/>
  <c r="BE2142" i="1"/>
  <c r="BE2143" i="1"/>
  <c r="BE2144" i="1"/>
  <c r="BE2145" i="1"/>
  <c r="BE2146" i="1"/>
  <c r="BE2147" i="1"/>
  <c r="BE2148" i="1"/>
  <c r="BE2149" i="1"/>
  <c r="BE2150" i="1"/>
  <c r="BE2151" i="1"/>
  <c r="BE2152" i="1"/>
  <c r="BE2153" i="1"/>
  <c r="BE2154" i="1"/>
  <c r="BE2155" i="1"/>
  <c r="BE2156" i="1"/>
  <c r="BE2157" i="1"/>
  <c r="BE2158" i="1"/>
  <c r="BE2159" i="1"/>
  <c r="BE2160" i="1"/>
  <c r="BE2161" i="1"/>
  <c r="BE2162" i="1"/>
  <c r="BE2163" i="1"/>
  <c r="BE2164" i="1"/>
  <c r="BE2165" i="1"/>
  <c r="BE2166" i="1"/>
  <c r="BE2167" i="1"/>
  <c r="BE2168" i="1"/>
  <c r="BE2169" i="1"/>
  <c r="BE2170" i="1"/>
  <c r="BE2171" i="1"/>
  <c r="BE2172" i="1"/>
  <c r="BE2173" i="1"/>
  <c r="BE2174" i="1"/>
  <c r="BE2175" i="1"/>
  <c r="BE2176" i="1"/>
  <c r="BE2177" i="1"/>
  <c r="BE2178" i="1"/>
  <c r="BE2179" i="1"/>
  <c r="BE2180" i="1"/>
  <c r="BE2181" i="1"/>
  <c r="BE2182" i="1"/>
  <c r="BE2183" i="1"/>
  <c r="BE2184" i="1"/>
  <c r="BE2185" i="1"/>
  <c r="BE2186" i="1"/>
  <c r="BE2187" i="1"/>
  <c r="BE2188" i="1"/>
  <c r="BE2189" i="1"/>
  <c r="BE2190" i="1"/>
  <c r="BE2191" i="1"/>
  <c r="BE2192" i="1"/>
  <c r="BE2193" i="1"/>
  <c r="BE2194" i="1"/>
  <c r="BE2195" i="1"/>
  <c r="BE2196" i="1"/>
  <c r="BE2197" i="1"/>
  <c r="BE2198" i="1"/>
  <c r="BE2199" i="1"/>
  <c r="BE2200" i="1"/>
  <c r="BE2201" i="1"/>
  <c r="BE2202" i="1"/>
  <c r="BE2203" i="1"/>
  <c r="BE2204" i="1"/>
  <c r="BE2205" i="1"/>
  <c r="BE2206" i="1"/>
  <c r="BE2207" i="1"/>
  <c r="BE2208" i="1"/>
  <c r="BE2209" i="1"/>
  <c r="BE2210" i="1"/>
  <c r="BE2211" i="1"/>
  <c r="BE2212" i="1"/>
  <c r="BE2213" i="1"/>
  <c r="BE2214" i="1"/>
  <c r="BE2215" i="1"/>
  <c r="BE2216" i="1"/>
  <c r="BE2217" i="1"/>
  <c r="BE2218" i="1"/>
  <c r="BE2219" i="1"/>
  <c r="BE2220" i="1"/>
  <c r="BE2221" i="1"/>
  <c r="BE2222" i="1"/>
  <c r="BE2223" i="1"/>
  <c r="BE2224" i="1"/>
  <c r="BE2225" i="1"/>
  <c r="BE2226" i="1"/>
  <c r="BE2227" i="1"/>
  <c r="BE2228" i="1"/>
  <c r="BE2229" i="1"/>
  <c r="BE2230" i="1"/>
  <c r="BE2231" i="1"/>
  <c r="BE2232" i="1"/>
  <c r="BE2233" i="1"/>
  <c r="BE2234" i="1"/>
  <c r="BE2235" i="1"/>
  <c r="BE2236" i="1"/>
  <c r="BE2237" i="1"/>
  <c r="BE2238" i="1"/>
  <c r="BE2239" i="1"/>
  <c r="BE2240" i="1"/>
  <c r="BE2241" i="1"/>
  <c r="BE2242" i="1"/>
  <c r="BE2243" i="1"/>
  <c r="BE13" i="1"/>
  <c r="BE2245" i="1"/>
  <c r="BE2246" i="1"/>
  <c r="BE2247" i="1"/>
  <c r="BE2248" i="1"/>
  <c r="BE2249" i="1"/>
  <c r="BE2250" i="1"/>
  <c r="BE2251" i="1"/>
  <c r="BE2252" i="1"/>
  <c r="BE2253" i="1"/>
  <c r="BE2254" i="1"/>
  <c r="BE2255" i="1"/>
  <c r="BE2256" i="1"/>
  <c r="BE2257" i="1"/>
  <c r="BE2258" i="1"/>
  <c r="BE2259" i="1"/>
  <c r="BE2260" i="1"/>
  <c r="BE2261" i="1"/>
  <c r="BE2262" i="1"/>
  <c r="BE2263" i="1"/>
  <c r="BE2264" i="1"/>
  <c r="BE2265" i="1"/>
  <c r="BE2266" i="1"/>
  <c r="BE2267" i="1"/>
  <c r="BE2268" i="1"/>
  <c r="BE2269" i="1"/>
  <c r="BE2270" i="1"/>
  <c r="BE2271" i="1"/>
  <c r="BE2272" i="1"/>
  <c r="BE2273" i="1"/>
  <c r="BE2274" i="1"/>
  <c r="BE2275" i="1"/>
  <c r="BE2276" i="1"/>
  <c r="BE2277" i="1"/>
  <c r="BE2278" i="1"/>
  <c r="BE2279" i="1"/>
  <c r="BE2280" i="1"/>
  <c r="BE2281" i="1"/>
  <c r="BE2282" i="1"/>
  <c r="BE2283" i="1"/>
  <c r="BE2284" i="1"/>
  <c r="BE2285" i="1"/>
  <c r="BE2286" i="1"/>
  <c r="BE2287" i="1"/>
  <c r="BE2288" i="1"/>
  <c r="BE2289" i="1"/>
  <c r="BE2290" i="1"/>
  <c r="BE2291" i="1"/>
  <c r="BE2292" i="1"/>
  <c r="BE2293" i="1"/>
  <c r="BE2294" i="1"/>
  <c r="BE2295" i="1"/>
  <c r="BE2296" i="1"/>
  <c r="BE2297" i="1"/>
  <c r="BE2298" i="1"/>
  <c r="BE2299" i="1"/>
  <c r="BE2300" i="1"/>
  <c r="BE2301" i="1"/>
  <c r="BE2302" i="1"/>
  <c r="BE2303" i="1"/>
  <c r="BE2304" i="1"/>
  <c r="BE2305" i="1"/>
  <c r="BE2306" i="1"/>
  <c r="BE2307" i="1"/>
  <c r="BE2308" i="1"/>
  <c r="BE2309" i="1"/>
  <c r="BE2310" i="1"/>
  <c r="BE2311" i="1"/>
  <c r="BE2312" i="1"/>
  <c r="BE2313" i="1"/>
  <c r="BE2314" i="1"/>
  <c r="BE2315" i="1"/>
  <c r="BE2316" i="1"/>
  <c r="BE2317" i="1"/>
  <c r="BE2318" i="1"/>
  <c r="BE2319" i="1"/>
  <c r="BE2320" i="1"/>
  <c r="BE2321" i="1"/>
  <c r="BE2322" i="1"/>
  <c r="BE2323" i="1"/>
  <c r="BE2324" i="1"/>
  <c r="BE2325" i="1"/>
  <c r="BE2326" i="1"/>
  <c r="BE2327" i="1"/>
  <c r="BE2328" i="1"/>
  <c r="BE2329" i="1"/>
  <c r="BE2330" i="1"/>
  <c r="BE2331" i="1"/>
  <c r="BE2332" i="1"/>
  <c r="BE2333" i="1"/>
  <c r="BE2334" i="1"/>
  <c r="BE2335" i="1"/>
  <c r="BE2336" i="1"/>
  <c r="BE2337" i="1"/>
  <c r="BE2338" i="1"/>
  <c r="BE2339" i="1"/>
  <c r="BE2340" i="1"/>
  <c r="BE60" i="1"/>
  <c r="BE23" i="1"/>
  <c r="S23" i="1"/>
  <c r="U23" i="1" s="1"/>
  <c r="BT72" i="1"/>
  <c r="BU107" i="1"/>
  <c r="BV107" i="1" s="1"/>
  <c r="BU2325" i="1"/>
  <c r="BV2325" i="1" s="1"/>
  <c r="BU197" i="1"/>
  <c r="BV197" i="1" s="1"/>
  <c r="BU188" i="1"/>
  <c r="BV188" i="1" s="1"/>
  <c r="BU2288" i="1"/>
  <c r="BV2288" i="1" s="1"/>
  <c r="BU2277" i="1"/>
  <c r="BV2277" i="1" s="1"/>
  <c r="BU2272" i="1"/>
  <c r="BV2272" i="1" s="1"/>
  <c r="BU2255" i="1"/>
  <c r="BV2255" i="1" s="1"/>
  <c r="BU544" i="1"/>
  <c r="BV544" i="1" s="1"/>
  <c r="BU2229" i="1"/>
  <c r="BV2229" i="1" s="1"/>
  <c r="BU2226" i="1"/>
  <c r="BV2226" i="1" s="1"/>
  <c r="BU125" i="1"/>
  <c r="BV125" i="1" s="1"/>
  <c r="BU2214" i="1"/>
  <c r="BV2214" i="1" s="1"/>
  <c r="BU2201" i="1"/>
  <c r="BV2201" i="1" s="1"/>
  <c r="BU479" i="1"/>
  <c r="BV479" i="1" s="1"/>
  <c r="BU2189" i="1"/>
  <c r="BV2189" i="1" s="1"/>
  <c r="BU2183" i="1"/>
  <c r="BV2183" i="1" s="1"/>
  <c r="BU2182" i="1"/>
  <c r="BV2182" i="1" s="1"/>
  <c r="BU2181" i="1"/>
  <c r="BV2181" i="1" s="1"/>
  <c r="BU2180" i="1"/>
  <c r="BV2180" i="1" s="1"/>
  <c r="BU2176" i="1"/>
  <c r="BV2176" i="1" s="1"/>
  <c r="BU2171" i="1"/>
  <c r="BV2171" i="1" s="1"/>
  <c r="BU1056" i="1"/>
  <c r="BV1056" i="1" s="1"/>
  <c r="BU2166" i="1"/>
  <c r="BV2166" i="1" s="1"/>
  <c r="BU2159" i="1"/>
  <c r="BV2159" i="1" s="1"/>
  <c r="BU1158" i="1"/>
  <c r="BV1158" i="1" s="1"/>
  <c r="BU2122" i="1"/>
  <c r="BV2122" i="1" s="1"/>
  <c r="BU2118" i="1"/>
  <c r="BV2118" i="1" s="1"/>
  <c r="BU2112" i="1"/>
  <c r="BV2112" i="1" s="1"/>
  <c r="BU2099" i="1"/>
  <c r="BV2099" i="1" s="1"/>
  <c r="BU390" i="1"/>
  <c r="BV390" i="1" s="1"/>
  <c r="BU388" i="1"/>
  <c r="BV388" i="1" s="1"/>
  <c r="BU2093" i="1"/>
  <c r="BV2093" i="1" s="1"/>
  <c r="BU1198" i="1"/>
  <c r="BV1198" i="1" s="1"/>
  <c r="BU2089" i="1"/>
  <c r="BV2089" i="1" s="1"/>
  <c r="BU523" i="1"/>
  <c r="BV523" i="1" s="1"/>
  <c r="BU2088" i="1"/>
  <c r="BV2088" i="1" s="1"/>
  <c r="BU2078" i="1"/>
  <c r="BV2078" i="1" s="1"/>
  <c r="BU286" i="1"/>
  <c r="BV286" i="1" s="1"/>
  <c r="BU2077" i="1"/>
  <c r="BV2077" i="1" s="1"/>
  <c r="BU2072" i="1"/>
  <c r="BV2072" i="1" s="1"/>
  <c r="BU2069" i="1"/>
  <c r="BV2069" i="1" s="1"/>
  <c r="BU2061" i="1"/>
  <c r="BV2061" i="1" s="1"/>
  <c r="BU2059" i="1"/>
  <c r="BV2059" i="1" s="1"/>
  <c r="BU2057" i="1"/>
  <c r="BV2057" i="1" s="1"/>
  <c r="BU1094" i="1"/>
  <c r="BV1094" i="1" s="1"/>
  <c r="BU2055" i="1"/>
  <c r="BV2055" i="1" s="1"/>
  <c r="BU2049" i="1"/>
  <c r="BV2049" i="1" s="1"/>
  <c r="BU2045" i="1"/>
  <c r="BV2045" i="1" s="1"/>
  <c r="BU2042" i="1"/>
  <c r="BV2042" i="1" s="1"/>
  <c r="BU2037" i="1"/>
  <c r="BV2037" i="1" s="1"/>
  <c r="BU2028" i="1"/>
  <c r="BV2028" i="1" s="1"/>
  <c r="BU1155" i="1"/>
  <c r="BV1155" i="1" s="1"/>
  <c r="BU2024" i="1"/>
  <c r="BV2024" i="1" s="1"/>
  <c r="BU2014" i="1"/>
  <c r="BV2014" i="1" s="1"/>
  <c r="BU2001" i="1"/>
  <c r="BV2001" i="1" s="1"/>
  <c r="BU1999" i="1"/>
  <c r="BV1999" i="1" s="1"/>
  <c r="BU1991" i="1"/>
  <c r="BV1991" i="1" s="1"/>
  <c r="BU643" i="1"/>
  <c r="BV643" i="1" s="1"/>
  <c r="BU1985" i="1"/>
  <c r="BV1985" i="1" s="1"/>
  <c r="BU1964" i="1"/>
  <c r="BV1964" i="1" s="1"/>
  <c r="BU1954" i="1"/>
  <c r="BV1954" i="1" s="1"/>
  <c r="BU1269" i="1"/>
  <c r="BV1269" i="1" s="1"/>
  <c r="BU573" i="1"/>
  <c r="BV573" i="1" s="1"/>
  <c r="BU1949" i="1"/>
  <c r="BV1949" i="1" s="1"/>
  <c r="BU1255" i="1"/>
  <c r="BV1255" i="1" s="1"/>
  <c r="BU1232" i="1"/>
  <c r="BV1232" i="1" s="1"/>
  <c r="BU239" i="1"/>
  <c r="BV239" i="1" s="1"/>
  <c r="BU1948" i="1"/>
  <c r="BV1948" i="1" s="1"/>
  <c r="BU315" i="1"/>
  <c r="BV315" i="1" s="1"/>
  <c r="BU1942" i="1"/>
  <c r="BV1942" i="1" s="1"/>
  <c r="BU1940" i="1"/>
  <c r="BV1940" i="1" s="1"/>
  <c r="BU360" i="1"/>
  <c r="BV360" i="1" s="1"/>
  <c r="BU1933" i="1"/>
  <c r="BV1933" i="1" s="1"/>
  <c r="BU1214" i="1"/>
  <c r="BV1214" i="1" s="1"/>
  <c r="BU1928" i="1"/>
  <c r="BV1928" i="1" s="1"/>
  <c r="BU1927" i="1"/>
  <c r="BV1927" i="1" s="1"/>
  <c r="BU1153" i="1"/>
  <c r="BV1153" i="1" s="1"/>
  <c r="BU1921" i="1"/>
  <c r="BV1921" i="1" s="1"/>
  <c r="BU1912" i="1"/>
  <c r="BV1912" i="1" s="1"/>
  <c r="BU1903" i="1"/>
  <c r="BV1903" i="1" s="1"/>
  <c r="BU1902" i="1"/>
  <c r="BV1902" i="1" s="1"/>
  <c r="BU1897" i="1"/>
  <c r="BV1897" i="1" s="1"/>
  <c r="BU1896" i="1"/>
  <c r="BV1896" i="1" s="1"/>
  <c r="BU12" i="1"/>
  <c r="BV12" i="1" s="1"/>
  <c r="BU1894" i="1"/>
  <c r="BV1894" i="1" s="1"/>
  <c r="BU1891" i="1"/>
  <c r="BV1891" i="1" s="1"/>
  <c r="BU1889" i="1"/>
  <c r="BV1889" i="1" s="1"/>
  <c r="BU1881" i="1"/>
  <c r="BV1881" i="1" s="1"/>
  <c r="BU1880" i="1"/>
  <c r="BV1880" i="1" s="1"/>
  <c r="BU357" i="1"/>
  <c r="BV357" i="1" s="1"/>
  <c r="BU1879" i="1"/>
  <c r="BV1879" i="1" s="1"/>
  <c r="BU1249" i="1"/>
  <c r="BV1249" i="1" s="1"/>
  <c r="BU1075" i="1"/>
  <c r="BV1075" i="1" s="1"/>
  <c r="BU1878" i="1"/>
  <c r="BV1878" i="1" s="1"/>
  <c r="BU1875" i="1"/>
  <c r="BV1875" i="1" s="1"/>
  <c r="BU1867" i="1"/>
  <c r="BV1867" i="1" s="1"/>
  <c r="BU1866" i="1"/>
  <c r="BV1866" i="1" s="1"/>
  <c r="BU1864" i="1"/>
  <c r="BV1864" i="1" s="1"/>
  <c r="BU1861" i="1"/>
  <c r="BV1861" i="1" s="1"/>
  <c r="BU1248" i="1"/>
  <c r="BV1248" i="1" s="1"/>
  <c r="BU1859" i="1"/>
  <c r="BV1859" i="1" s="1"/>
  <c r="BU1856" i="1"/>
  <c r="BV1856" i="1" s="1"/>
  <c r="BU818" i="1"/>
  <c r="BV818" i="1" s="1"/>
  <c r="BU1850" i="1"/>
  <c r="BV1850" i="1" s="1"/>
  <c r="BU1848" i="1"/>
  <c r="BV1848" i="1" s="1"/>
  <c r="BU1841" i="1"/>
  <c r="BV1841" i="1" s="1"/>
  <c r="BU1840" i="1"/>
  <c r="BV1840" i="1" s="1"/>
  <c r="BU724" i="1"/>
  <c r="BV724" i="1" s="1"/>
  <c r="BU1839" i="1"/>
  <c r="BV1839" i="1" s="1"/>
  <c r="BU1833" i="1"/>
  <c r="BV1833" i="1" s="1"/>
  <c r="BU1822" i="1"/>
  <c r="BV1822" i="1" s="1"/>
  <c r="BU1817" i="1"/>
  <c r="BV1817" i="1" s="1"/>
  <c r="BU1815" i="1"/>
  <c r="BV1815" i="1" s="1"/>
  <c r="BU1259" i="1"/>
  <c r="BV1259" i="1" s="1"/>
  <c r="BU1810" i="1"/>
  <c r="BV1810" i="1" s="1"/>
  <c r="BU1808" i="1"/>
  <c r="BV1808" i="1" s="1"/>
  <c r="BU450" i="1"/>
  <c r="BV450" i="1" s="1"/>
  <c r="BU1806" i="1"/>
  <c r="BV1806" i="1" s="1"/>
  <c r="BU1802" i="1"/>
  <c r="BV1802" i="1" s="1"/>
  <c r="BU1801" i="1"/>
  <c r="BV1801" i="1" s="1"/>
  <c r="BU1264" i="1"/>
  <c r="BV1264" i="1" s="1"/>
  <c r="BU1799" i="1"/>
  <c r="BV1799" i="1" s="1"/>
  <c r="BU699" i="1"/>
  <c r="BV699" i="1" s="1"/>
  <c r="BU1798" i="1"/>
  <c r="BV1798" i="1" s="1"/>
  <c r="BU1794" i="1"/>
  <c r="BV1794" i="1" s="1"/>
  <c r="BU1787" i="1"/>
  <c r="BV1787" i="1" s="1"/>
  <c r="BU1785" i="1"/>
  <c r="BV1785" i="1" s="1"/>
  <c r="BU1773" i="1"/>
  <c r="BV1773" i="1" s="1"/>
  <c r="BU1769" i="1"/>
  <c r="BV1769" i="1" s="1"/>
  <c r="BU1764" i="1"/>
  <c r="BV1764" i="1" s="1"/>
  <c r="BU1762" i="1"/>
  <c r="BV1762" i="1" s="1"/>
  <c r="BU1760" i="1"/>
  <c r="BV1760" i="1" s="1"/>
  <c r="BU1757" i="1"/>
  <c r="BV1757" i="1" s="1"/>
  <c r="BU1752" i="1"/>
  <c r="BV1752" i="1" s="1"/>
  <c r="BU337" i="1"/>
  <c r="BV337" i="1" s="1"/>
  <c r="BU1751" i="1"/>
  <c r="BV1751" i="1" s="1"/>
  <c r="BU1746" i="1"/>
  <c r="BV1746" i="1" s="1"/>
  <c r="BU1738" i="1"/>
  <c r="BV1738" i="1" s="1"/>
  <c r="BU1734" i="1"/>
  <c r="BV1734" i="1" s="1"/>
  <c r="BU161" i="1"/>
  <c r="BV161" i="1" s="1"/>
  <c r="BU728" i="1"/>
  <c r="BV728" i="1" s="1"/>
  <c r="BU1731" i="1"/>
  <c r="BV1731" i="1" s="1"/>
  <c r="BU363" i="1"/>
  <c r="BV363" i="1" s="1"/>
  <c r="BU1729" i="1"/>
  <c r="BV1729" i="1" s="1"/>
  <c r="BU1728" i="1"/>
  <c r="BV1728" i="1" s="1"/>
  <c r="BU1725" i="1"/>
  <c r="BV1725" i="1" s="1"/>
  <c r="BU1716" i="1"/>
  <c r="BV1716" i="1" s="1"/>
  <c r="BU1715" i="1"/>
  <c r="BV1715" i="1" s="1"/>
  <c r="BU1709" i="1"/>
  <c r="BV1709" i="1" s="1"/>
  <c r="BU448" i="1"/>
  <c r="BV448" i="1" s="1"/>
  <c r="BU1703" i="1"/>
  <c r="BV1703" i="1" s="1"/>
  <c r="BU1696" i="1"/>
  <c r="BV1696" i="1" s="1"/>
  <c r="BU1689" i="1"/>
  <c r="BV1689" i="1" s="1"/>
  <c r="BU1169" i="1"/>
  <c r="BV1169" i="1" s="1"/>
  <c r="BU1688" i="1"/>
  <c r="BV1688" i="1" s="1"/>
  <c r="BU1687" i="1"/>
  <c r="BV1687" i="1" s="1"/>
  <c r="BU1685" i="1"/>
  <c r="BV1685" i="1" s="1"/>
  <c r="BU1683" i="1"/>
  <c r="BV1683" i="1" s="1"/>
  <c r="BU1674" i="1"/>
  <c r="BV1674" i="1" s="1"/>
  <c r="BU1667" i="1"/>
  <c r="BV1667" i="1" s="1"/>
  <c r="BU1663" i="1"/>
  <c r="BV1663" i="1" s="1"/>
  <c r="BU1656" i="1"/>
  <c r="BV1656" i="1" s="1"/>
  <c r="BU1654" i="1"/>
  <c r="BV1654" i="1" s="1"/>
  <c r="BU920" i="1"/>
  <c r="BV920" i="1" s="1"/>
  <c r="BU406" i="1"/>
  <c r="BV406" i="1" s="1"/>
  <c r="BU1653" i="1"/>
  <c r="BV1653" i="1" s="1"/>
  <c r="BU399" i="1"/>
  <c r="BV399" i="1" s="1"/>
  <c r="BU1652" i="1"/>
  <c r="BV1652" i="1" s="1"/>
  <c r="BU1649" i="1"/>
  <c r="BV1649" i="1" s="1"/>
  <c r="BU1644" i="1"/>
  <c r="BV1644" i="1" s="1"/>
  <c r="BU1263" i="1"/>
  <c r="BV1263" i="1" s="1"/>
  <c r="BU1643" i="1"/>
  <c r="BV1643" i="1" s="1"/>
  <c r="BU1639" i="1"/>
  <c r="BV1639" i="1" s="1"/>
  <c r="BU1637" i="1"/>
  <c r="BV1637" i="1" s="1"/>
  <c r="BU1163" i="1"/>
  <c r="BV1163" i="1" s="1"/>
  <c r="BU358" i="1"/>
  <c r="BV358" i="1" s="1"/>
  <c r="BU639" i="1"/>
  <c r="BV639" i="1" s="1"/>
  <c r="BU1632" i="1"/>
  <c r="BV1632" i="1" s="1"/>
  <c r="BU355" i="1"/>
  <c r="BV355" i="1" s="1"/>
  <c r="BU1128" i="1"/>
  <c r="BV1128" i="1" s="1"/>
  <c r="BU1619" i="1"/>
  <c r="BV1619" i="1" s="1"/>
  <c r="BU1614" i="1"/>
  <c r="BV1614" i="1" s="1"/>
  <c r="BU1611" i="1"/>
  <c r="BV1611" i="1" s="1"/>
  <c r="BU1610" i="1"/>
  <c r="BV1610" i="1" s="1"/>
  <c r="BU1606" i="1"/>
  <c r="BV1606" i="1" s="1"/>
  <c r="BU1589" i="1"/>
  <c r="BV1589" i="1" s="1"/>
  <c r="BU965" i="1"/>
  <c r="BV965" i="1" s="1"/>
  <c r="BU1586" i="1"/>
  <c r="BV1586" i="1" s="1"/>
  <c r="BU1576" i="1"/>
  <c r="BV1576" i="1" s="1"/>
  <c r="BU1574" i="1"/>
  <c r="BV1574" i="1" s="1"/>
  <c r="BU1566" i="1"/>
  <c r="BV1566" i="1" s="1"/>
  <c r="BU1563" i="1"/>
  <c r="BV1563" i="1" s="1"/>
  <c r="BU1544" i="1"/>
  <c r="BV1544" i="1" s="1"/>
  <c r="BU1532" i="1"/>
  <c r="BV1532" i="1" s="1"/>
  <c r="BU1530" i="1"/>
  <c r="BV1530" i="1" s="1"/>
  <c r="BU1529" i="1"/>
  <c r="BV1529" i="1" s="1"/>
  <c r="BU1525" i="1"/>
  <c r="BV1525" i="1" s="1"/>
  <c r="BU1524" i="1"/>
  <c r="BV1524" i="1" s="1"/>
  <c r="BU1522" i="1"/>
  <c r="BV1522" i="1" s="1"/>
  <c r="BU1517" i="1"/>
  <c r="BV1517" i="1" s="1"/>
  <c r="BU362" i="1"/>
  <c r="BV362" i="1" s="1"/>
  <c r="BU1509" i="1"/>
  <c r="BV1509" i="1" s="1"/>
  <c r="BU1498" i="1"/>
  <c r="BV1498" i="1" s="1"/>
  <c r="BU1495" i="1"/>
  <c r="BV1495" i="1" s="1"/>
  <c r="BU1488" i="1"/>
  <c r="BV1488" i="1" s="1"/>
  <c r="BU1487" i="1"/>
  <c r="BV1487" i="1" s="1"/>
  <c r="BU1486" i="1"/>
  <c r="BV1486" i="1" s="1"/>
  <c r="BU1482" i="1"/>
  <c r="BV1482" i="1" s="1"/>
  <c r="BU1479" i="1"/>
  <c r="BV1479" i="1" s="1"/>
  <c r="BU1470" i="1"/>
  <c r="BV1470" i="1" s="1"/>
  <c r="BU1466" i="1"/>
  <c r="BV1466" i="1" s="1"/>
  <c r="BU217" i="1"/>
  <c r="BV217" i="1" s="1"/>
  <c r="BU1464" i="1"/>
  <c r="BV1464" i="1" s="1"/>
  <c r="BU1438" i="1"/>
  <c r="BV1438" i="1" s="1"/>
  <c r="BU1431" i="1"/>
  <c r="BV1431" i="1" s="1"/>
  <c r="BU1429" i="1"/>
  <c r="BV1429" i="1" s="1"/>
  <c r="BU1428" i="1"/>
  <c r="BV1428" i="1" s="1"/>
  <c r="BU1190" i="1"/>
  <c r="BV1190" i="1" s="1"/>
  <c r="BU1427" i="1"/>
  <c r="BV1427" i="1" s="1"/>
  <c r="BU642" i="1"/>
  <c r="BV642" i="1" s="1"/>
  <c r="BU1426" i="1"/>
  <c r="BV1426" i="1" s="1"/>
  <c r="BU1423" i="1"/>
  <c r="BV1423" i="1" s="1"/>
  <c r="BU1415" i="1"/>
  <c r="BV1415" i="1" s="1"/>
  <c r="BU485" i="1"/>
  <c r="BV485" i="1" s="1"/>
  <c r="BU1261" i="1"/>
  <c r="BV1261" i="1" s="1"/>
  <c r="BU697" i="1"/>
  <c r="BV697" i="1" s="1"/>
  <c r="BU1409" i="1"/>
  <c r="BV1409" i="1" s="1"/>
  <c r="BU1247" i="1"/>
  <c r="BV1247" i="1" s="1"/>
  <c r="BU1397" i="1"/>
  <c r="BV1397" i="1" s="1"/>
  <c r="BU1392" i="1"/>
  <c r="BV1392" i="1" s="1"/>
  <c r="BU1045" i="1"/>
  <c r="BV1045" i="1" s="1"/>
  <c r="BU1391" i="1"/>
  <c r="BV1391" i="1" s="1"/>
  <c r="BU1389" i="1"/>
  <c r="BV1389" i="1" s="1"/>
  <c r="BU1043" i="1"/>
  <c r="BV1043" i="1" s="1"/>
  <c r="BU397" i="1"/>
  <c r="BV397" i="1" s="1"/>
  <c r="BU1385" i="1"/>
  <c r="BV1385" i="1" s="1"/>
  <c r="BU518" i="1"/>
  <c r="BV518" i="1" s="1"/>
  <c r="BU1380" i="1"/>
  <c r="BV1380" i="1" s="1"/>
  <c r="BU1371" i="1"/>
  <c r="BV1371" i="1" s="1"/>
  <c r="BU1366" i="1"/>
  <c r="BV1366" i="1" s="1"/>
  <c r="BU160" i="1"/>
  <c r="BV160" i="1" s="1"/>
  <c r="BU106" i="1"/>
  <c r="BV106" i="1" s="1"/>
  <c r="BU126" i="1"/>
  <c r="BV126" i="1" s="1"/>
  <c r="BU641" i="1"/>
  <c r="BV641" i="1" s="1"/>
  <c r="BU856" i="1"/>
  <c r="BV856" i="1" s="1"/>
  <c r="BU606" i="1"/>
  <c r="BV606" i="1" s="1"/>
  <c r="BU287" i="1"/>
  <c r="BV287" i="1" s="1"/>
  <c r="BU237" i="1"/>
  <c r="BV237" i="1" s="1"/>
  <c r="BU1103" i="1"/>
  <c r="BV1103" i="1" s="1"/>
  <c r="BU396" i="1"/>
  <c r="BV396" i="1" s="1"/>
  <c r="BU532" i="1"/>
  <c r="BV532" i="1" s="1"/>
  <c r="BU325" i="1"/>
  <c r="BV325" i="1" s="1"/>
  <c r="BU927" i="1"/>
  <c r="BV927" i="1" s="1"/>
  <c r="BU466" i="1"/>
  <c r="BV466" i="1" s="1"/>
  <c r="BU255" i="1"/>
  <c r="BV255" i="1" s="1"/>
  <c r="BU152" i="1"/>
  <c r="BV152" i="1" s="1"/>
  <c r="BU997" i="1"/>
  <c r="BV997" i="1" s="1"/>
  <c r="BU1360" i="1"/>
  <c r="BV1360" i="1" s="1"/>
  <c r="BU1350" i="1"/>
  <c r="BV1350" i="1" s="1"/>
  <c r="BU696" i="1"/>
  <c r="BV696" i="1" s="1"/>
  <c r="BU1330" i="1"/>
  <c r="BV1330" i="1" s="1"/>
  <c r="BU1077" i="1"/>
  <c r="BV1077" i="1" s="1"/>
  <c r="BU1328" i="1"/>
  <c r="BV1328" i="1" s="1"/>
  <c r="BU814" i="1"/>
  <c r="BV814" i="1" s="1"/>
  <c r="BU204" i="1"/>
  <c r="BV204" i="1" s="1"/>
  <c r="BU1323" i="1"/>
  <c r="BV1323" i="1" s="1"/>
  <c r="BU1317" i="1"/>
  <c r="BV1317" i="1" s="1"/>
  <c r="BU700" i="1"/>
  <c r="BV700" i="1" s="1"/>
  <c r="BU645" i="1"/>
  <c r="BV645" i="1" s="1"/>
  <c r="BU596" i="1"/>
  <c r="BV596" i="1" s="1"/>
  <c r="BU1308" i="1"/>
  <c r="BV1308" i="1" s="1"/>
  <c r="BU253" i="1"/>
  <c r="BV253" i="1" s="1"/>
  <c r="BU198" i="1"/>
  <c r="BV198" i="1" s="1"/>
  <c r="BU438" i="1"/>
  <c r="BV438" i="1" s="1"/>
  <c r="BU640" i="1"/>
  <c r="BV640" i="1" s="1"/>
  <c r="BU1301" i="1"/>
  <c r="BV1301" i="1" s="1"/>
  <c r="BU517" i="1"/>
  <c r="BV517" i="1" s="1"/>
  <c r="BU629" i="1"/>
  <c r="BV629" i="1" s="1"/>
  <c r="BU283" i="1"/>
  <c r="BV283" i="1" s="1"/>
  <c r="BU159" i="1"/>
  <c r="BV159" i="1" s="1"/>
  <c r="BU336" i="1"/>
  <c r="BV336" i="1" s="1"/>
  <c r="BU224" i="1"/>
  <c r="BV224" i="1" s="1"/>
  <c r="BU1048" i="1"/>
  <c r="BV1048" i="1" s="1"/>
  <c r="BU510" i="1"/>
  <c r="BV510" i="1" s="1"/>
  <c r="BU310" i="1"/>
  <c r="BV310" i="1" s="1"/>
  <c r="BU556" i="1"/>
  <c r="BV556" i="1" s="1"/>
  <c r="BU1236" i="1"/>
  <c r="BV1236" i="1" s="1"/>
  <c r="BU1300" i="1"/>
  <c r="BV1300" i="1" s="1"/>
  <c r="BU213" i="1"/>
  <c r="BV213" i="1" s="1"/>
  <c r="BU964" i="1"/>
  <c r="BV964" i="1" s="1"/>
  <c r="BU1299" i="1"/>
  <c r="BV1299" i="1" s="1"/>
  <c r="BU398" i="1"/>
  <c r="BV398" i="1" s="1"/>
  <c r="BU1064" i="1"/>
  <c r="BV1064" i="1" s="1"/>
  <c r="BU974" i="1"/>
  <c r="BV974" i="1" s="1"/>
  <c r="BU963" i="1"/>
  <c r="BV963" i="1" s="1"/>
  <c r="BU491" i="1"/>
  <c r="BV491" i="1" s="1"/>
  <c r="BU898" i="1"/>
  <c r="BV898" i="1" s="1"/>
  <c r="BU338" i="1"/>
  <c r="BV338" i="1" s="1"/>
  <c r="BU311" i="1"/>
  <c r="BV311" i="1" s="1"/>
  <c r="BU408" i="1"/>
  <c r="BV408" i="1" s="1"/>
  <c r="BU223" i="1"/>
  <c r="BV223" i="1" s="1"/>
  <c r="BU638" i="1"/>
  <c r="BV638" i="1" s="1"/>
  <c r="BU502" i="1"/>
  <c r="BV502" i="1" s="1"/>
  <c r="BU755" i="1"/>
  <c r="BV755" i="1" s="1"/>
  <c r="BU238" i="1"/>
  <c r="BV238" i="1" s="1"/>
  <c r="BU359" i="1"/>
  <c r="BV359" i="1" s="1"/>
  <c r="BU524" i="1"/>
  <c r="BV524" i="1" s="1"/>
  <c r="BU729" i="1"/>
  <c r="BV729" i="1" s="1"/>
  <c r="BU1015" i="1"/>
  <c r="BV1015" i="1" s="1"/>
  <c r="BU1298" i="1"/>
  <c r="BV1298" i="1" s="1"/>
  <c r="BU449" i="1"/>
  <c r="BV449" i="1" s="1"/>
  <c r="BU484" i="1"/>
  <c r="BV484" i="1" s="1"/>
  <c r="BU1291" i="1"/>
  <c r="BV1291" i="1" s="1"/>
  <c r="BU400" i="1"/>
  <c r="BV400" i="1" s="1"/>
  <c r="BU644" i="1"/>
  <c r="BV644" i="1" s="1"/>
  <c r="BU335" i="1"/>
  <c r="BV335" i="1" s="1"/>
  <c r="BU489" i="1"/>
  <c r="BV489" i="1" s="1"/>
  <c r="BU490" i="1"/>
  <c r="BV490" i="1" s="1"/>
  <c r="BU84" i="1"/>
  <c r="BV84" i="1" s="1"/>
  <c r="BU595" i="1"/>
  <c r="BV595" i="1" s="1"/>
  <c r="BU407" i="1"/>
  <c r="BV407" i="1" s="1"/>
  <c r="BU254" i="1"/>
  <c r="BV254" i="1" s="1"/>
  <c r="BU98" i="1"/>
  <c r="BV98" i="1" s="1"/>
  <c r="BU405" i="1"/>
  <c r="BV405" i="1" s="1"/>
  <c r="BU695" i="1"/>
  <c r="BV695" i="1" s="1"/>
  <c r="BU1127" i="1"/>
  <c r="BV1127" i="1" s="1"/>
  <c r="BU1233" i="1"/>
  <c r="BV1233" i="1" s="1"/>
  <c r="BU361" i="1"/>
  <c r="BV361" i="1" s="1"/>
  <c r="BU316" i="1"/>
  <c r="BV316" i="1" s="1"/>
  <c r="BU723" i="1"/>
  <c r="BV723" i="1" s="1"/>
  <c r="BU240" i="1"/>
  <c r="BV240" i="1" s="1"/>
  <c r="BU285" i="1"/>
  <c r="BV285" i="1" s="1"/>
  <c r="BU428" i="1"/>
  <c r="BV428" i="1" s="1"/>
  <c r="BU356" i="1"/>
  <c r="BV356" i="1" s="1"/>
  <c r="BU233" i="1"/>
  <c r="BV233" i="1" s="1"/>
  <c r="BU511" i="1"/>
  <c r="BV511" i="1" s="1"/>
  <c r="BU284" i="1"/>
  <c r="BV284" i="1" s="1"/>
  <c r="BU1281" i="1"/>
  <c r="BV1281" i="1" s="1"/>
  <c r="BU940" i="1"/>
  <c r="BV940" i="1" s="1"/>
  <c r="BU427" i="1"/>
  <c r="BV427" i="1" s="1"/>
  <c r="BU597" i="1"/>
  <c r="BV597" i="1" s="1"/>
  <c r="BU135" i="1"/>
  <c r="BV135" i="1" s="1"/>
  <c r="BU139" i="1"/>
  <c r="BV139" i="1" s="1"/>
  <c r="BU698" i="1"/>
  <c r="BV698" i="1" s="1"/>
  <c r="BU212" i="1"/>
  <c r="BV212" i="1" s="1"/>
  <c r="BU225" i="1"/>
  <c r="BV225" i="1" s="1"/>
  <c r="BU1279" i="1"/>
  <c r="BV1279" i="1" s="1"/>
  <c r="BU461" i="1"/>
  <c r="BV461" i="1" s="1"/>
  <c r="BU1272" i="1"/>
  <c r="BV1272" i="1" s="1"/>
  <c r="BU1063" i="1"/>
  <c r="BV1063" i="1" s="1"/>
  <c r="BU1018" i="1"/>
  <c r="BV1018" i="1" s="1"/>
  <c r="BU555" i="1"/>
  <c r="BV555" i="1" s="1"/>
  <c r="BU616" i="1"/>
  <c r="BV616" i="1" s="1"/>
  <c r="M84" i="4"/>
  <c r="BT24" i="1"/>
  <c r="BU24" i="1" s="1"/>
  <c r="BV24" i="1" s="1"/>
  <c r="BT23" i="1"/>
  <c r="BU23" i="1" s="1"/>
  <c r="BV23" i="1" s="1"/>
  <c r="BS24" i="1"/>
  <c r="BS25" i="1"/>
  <c r="BS26" i="1"/>
  <c r="BS2341" i="1"/>
  <c r="BS27" i="1"/>
  <c r="BS28" i="1"/>
  <c r="BS9" i="1"/>
  <c r="BS29" i="1"/>
  <c r="BS30" i="1"/>
  <c r="BS31" i="1"/>
  <c r="BS2" i="1"/>
  <c r="BS58" i="1"/>
  <c r="BS32" i="1"/>
  <c r="BS33" i="1"/>
  <c r="BS35" i="1"/>
  <c r="BS36" i="1"/>
  <c r="BS61" i="1"/>
  <c r="BS62" i="1"/>
  <c r="BS37" i="1"/>
  <c r="BS38" i="1"/>
  <c r="BS39" i="1"/>
  <c r="BS40" i="1"/>
  <c r="BS41" i="1"/>
  <c r="BS4" i="1"/>
  <c r="BS65" i="1"/>
  <c r="BS67" i="1"/>
  <c r="BS18" i="1"/>
  <c r="BS43" i="1"/>
  <c r="BS44" i="1"/>
  <c r="BS69" i="1"/>
  <c r="BS73" i="1"/>
  <c r="BS45" i="1"/>
  <c r="BS46" i="1"/>
  <c r="BS47" i="1"/>
  <c r="BS74" i="1"/>
  <c r="BS78" i="1"/>
  <c r="BS59" i="1"/>
  <c r="BS79" i="1"/>
  <c r="BS80" i="1"/>
  <c r="BS42" i="1"/>
  <c r="BS96" i="1"/>
  <c r="BS48" i="1"/>
  <c r="BS49" i="1"/>
  <c r="BS219" i="1"/>
  <c r="BS220" i="1"/>
  <c r="BS313" i="1"/>
  <c r="BS389" i="1"/>
  <c r="BS34" i="1"/>
  <c r="BS51" i="1"/>
  <c r="BS50" i="1"/>
  <c r="BS19" i="1"/>
  <c r="BS3" i="1"/>
  <c r="BS52" i="1"/>
  <c r="BS53" i="1"/>
  <c r="BS57" i="1"/>
  <c r="BS14" i="1"/>
  <c r="BS745" i="1"/>
  <c r="BS1421" i="1"/>
  <c r="BS54" i="1"/>
  <c r="BS5" i="1"/>
  <c r="BS63" i="1"/>
  <c r="BS64" i="1"/>
  <c r="BS6" i="1"/>
  <c r="BS66" i="1"/>
  <c r="BS7" i="1"/>
  <c r="BS68" i="1"/>
  <c r="BS1651" i="1"/>
  <c r="BS70" i="1"/>
  <c r="BS71" i="1"/>
  <c r="BS72" i="1"/>
  <c r="BS1963" i="1"/>
  <c r="BS2244" i="1"/>
  <c r="BS75" i="1"/>
  <c r="BS76" i="1"/>
  <c r="BS77" i="1"/>
  <c r="BS20" i="1"/>
  <c r="BS55" i="1"/>
  <c r="BS15" i="1"/>
  <c r="BS81" i="1"/>
  <c r="BS82" i="1"/>
  <c r="BS83" i="1"/>
  <c r="BS616" i="1"/>
  <c r="BS85" i="1"/>
  <c r="BS86" i="1"/>
  <c r="BS87" i="1"/>
  <c r="BS88" i="1"/>
  <c r="BS89" i="1"/>
  <c r="BS90" i="1"/>
  <c r="BS91" i="1"/>
  <c r="BS92" i="1"/>
  <c r="BS93" i="1"/>
  <c r="BS94" i="1"/>
  <c r="BS95" i="1"/>
  <c r="BS8" i="1"/>
  <c r="BS97" i="1"/>
  <c r="BS555" i="1"/>
  <c r="BS99" i="1"/>
  <c r="BS100" i="1"/>
  <c r="BS101" i="1"/>
  <c r="BS102" i="1"/>
  <c r="BS103" i="1"/>
  <c r="BS104" i="1"/>
  <c r="BS105" i="1"/>
  <c r="BS1018" i="1"/>
  <c r="BS1063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72" i="1"/>
  <c r="BS461" i="1"/>
  <c r="BS127" i="1"/>
  <c r="BS128" i="1"/>
  <c r="BS129" i="1"/>
  <c r="BS130" i="1"/>
  <c r="BS131" i="1"/>
  <c r="BS132" i="1"/>
  <c r="BS133" i="1"/>
  <c r="BS134" i="1"/>
  <c r="BS1279" i="1"/>
  <c r="BS136" i="1"/>
  <c r="BS137" i="1"/>
  <c r="BS138" i="1"/>
  <c r="BS225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212" i="1"/>
  <c r="BS153" i="1"/>
  <c r="BS154" i="1"/>
  <c r="BS155" i="1"/>
  <c r="BS156" i="1"/>
  <c r="BS157" i="1"/>
  <c r="BS158" i="1"/>
  <c r="BS698" i="1"/>
  <c r="BS139" i="1"/>
  <c r="BS135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597" i="1"/>
  <c r="BS189" i="1"/>
  <c r="BS190" i="1"/>
  <c r="BS191" i="1"/>
  <c r="BS192" i="1"/>
  <c r="BS193" i="1"/>
  <c r="BS194" i="1"/>
  <c r="BS195" i="1"/>
  <c r="BS196" i="1"/>
  <c r="BS427" i="1"/>
  <c r="BS940" i="1"/>
  <c r="BS199" i="1"/>
  <c r="BS200" i="1"/>
  <c r="BS201" i="1"/>
  <c r="BS202" i="1"/>
  <c r="BS203" i="1"/>
  <c r="BS1281" i="1"/>
  <c r="BS205" i="1"/>
  <c r="BS206" i="1"/>
  <c r="BS207" i="1"/>
  <c r="BS208" i="1"/>
  <c r="BS209" i="1"/>
  <c r="BS210" i="1"/>
  <c r="BS211" i="1"/>
  <c r="BS284" i="1"/>
  <c r="BS511" i="1"/>
  <c r="BS214" i="1"/>
  <c r="BS215" i="1"/>
  <c r="BS216" i="1"/>
  <c r="BS233" i="1"/>
  <c r="BS218" i="1"/>
  <c r="BS10" i="1"/>
  <c r="BS11" i="1"/>
  <c r="BS221" i="1"/>
  <c r="BS222" i="1"/>
  <c r="BS356" i="1"/>
  <c r="BS428" i="1"/>
  <c r="BS285" i="1"/>
  <c r="BS226" i="1"/>
  <c r="BS227" i="1"/>
  <c r="BS228" i="1"/>
  <c r="BS229" i="1"/>
  <c r="BS230" i="1"/>
  <c r="BS231" i="1"/>
  <c r="BS232" i="1"/>
  <c r="BS240" i="1"/>
  <c r="BS234" i="1"/>
  <c r="BS235" i="1"/>
  <c r="BS236" i="1"/>
  <c r="BS723" i="1"/>
  <c r="BS316" i="1"/>
  <c r="BS361" i="1"/>
  <c r="BS1233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1127" i="1"/>
  <c r="BS695" i="1"/>
  <c r="BS40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98" i="1"/>
  <c r="BS254" i="1"/>
  <c r="BS407" i="1"/>
  <c r="BS595" i="1"/>
  <c r="BS84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490" i="1"/>
  <c r="BS489" i="1"/>
  <c r="BS312" i="1"/>
  <c r="BS21" i="1"/>
  <c r="BS314" i="1"/>
  <c r="BS335" i="1"/>
  <c r="BS644" i="1"/>
  <c r="BS317" i="1"/>
  <c r="BS318" i="1"/>
  <c r="BS319" i="1"/>
  <c r="BS320" i="1"/>
  <c r="BS321" i="1"/>
  <c r="BS322" i="1"/>
  <c r="BS323" i="1"/>
  <c r="BS324" i="1"/>
  <c r="BS400" i="1"/>
  <c r="BS326" i="1"/>
  <c r="BS327" i="1"/>
  <c r="BS328" i="1"/>
  <c r="BS329" i="1"/>
  <c r="BS330" i="1"/>
  <c r="BS331" i="1"/>
  <c r="BS332" i="1"/>
  <c r="BS333" i="1"/>
  <c r="BS334" i="1"/>
  <c r="BS1291" i="1"/>
  <c r="BS484" i="1"/>
  <c r="BS449" i="1"/>
  <c r="BS129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1015" i="1"/>
  <c r="BS729" i="1"/>
  <c r="BS524" i="1"/>
  <c r="BS359" i="1"/>
  <c r="BS238" i="1"/>
  <c r="BS755" i="1"/>
  <c r="BS502" i="1"/>
  <c r="BS638" i="1"/>
  <c r="BS22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408" i="1"/>
  <c r="BS311" i="1"/>
  <c r="BS338" i="1"/>
  <c r="BS391" i="1"/>
  <c r="BS392" i="1"/>
  <c r="BS393" i="1"/>
  <c r="BS394" i="1"/>
  <c r="BS395" i="1"/>
  <c r="BS898" i="1"/>
  <c r="BS491" i="1"/>
  <c r="BS963" i="1"/>
  <c r="BS974" i="1"/>
  <c r="BS1064" i="1"/>
  <c r="BS401" i="1"/>
  <c r="BS402" i="1"/>
  <c r="BS403" i="1"/>
  <c r="BS404" i="1"/>
  <c r="BS398" i="1"/>
  <c r="BS1299" i="1"/>
  <c r="BS964" i="1"/>
  <c r="BS213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1300" i="1"/>
  <c r="BS1236" i="1"/>
  <c r="BS429" i="1"/>
  <c r="BS430" i="1"/>
  <c r="BS431" i="1"/>
  <c r="BS432" i="1"/>
  <c r="BS433" i="1"/>
  <c r="BS434" i="1"/>
  <c r="BS435" i="1"/>
  <c r="BS436" i="1"/>
  <c r="BS437" i="1"/>
  <c r="BS556" i="1"/>
  <c r="BS439" i="1"/>
  <c r="BS440" i="1"/>
  <c r="BS441" i="1"/>
  <c r="BS442" i="1"/>
  <c r="BS443" i="1"/>
  <c r="BS444" i="1"/>
  <c r="BS445" i="1"/>
  <c r="BS446" i="1"/>
  <c r="BS447" i="1"/>
  <c r="BS310" i="1"/>
  <c r="BS510" i="1"/>
  <c r="BS1048" i="1"/>
  <c r="BS451" i="1"/>
  <c r="BS452" i="1"/>
  <c r="BS453" i="1"/>
  <c r="BS454" i="1"/>
  <c r="BS455" i="1"/>
  <c r="BS456" i="1"/>
  <c r="BS457" i="1"/>
  <c r="BS458" i="1"/>
  <c r="BS459" i="1"/>
  <c r="BS460" i="1"/>
  <c r="BS224" i="1"/>
  <c r="BS462" i="1"/>
  <c r="BS463" i="1"/>
  <c r="BS464" i="1"/>
  <c r="BS465" i="1"/>
  <c r="BS33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159" i="1"/>
  <c r="BS480" i="1"/>
  <c r="BS481" i="1"/>
  <c r="BS482" i="1"/>
  <c r="BS483" i="1"/>
  <c r="BS283" i="1"/>
  <c r="BS629" i="1"/>
  <c r="BS486" i="1"/>
  <c r="BS487" i="1"/>
  <c r="BS488" i="1"/>
  <c r="BS517" i="1"/>
  <c r="BS1301" i="1"/>
  <c r="BS640" i="1"/>
  <c r="BS492" i="1"/>
  <c r="BS493" i="1"/>
  <c r="BS494" i="1"/>
  <c r="BS495" i="1"/>
  <c r="BS496" i="1"/>
  <c r="BS497" i="1"/>
  <c r="BS498" i="1"/>
  <c r="BS499" i="1"/>
  <c r="BS500" i="1"/>
  <c r="BS501" i="1"/>
  <c r="BS438" i="1"/>
  <c r="BS503" i="1"/>
  <c r="BS504" i="1"/>
  <c r="BS505" i="1"/>
  <c r="BS506" i="1"/>
  <c r="BS507" i="1"/>
  <c r="BS508" i="1"/>
  <c r="BS509" i="1"/>
  <c r="BS198" i="1"/>
  <c r="BS253" i="1"/>
  <c r="BS512" i="1"/>
  <c r="BS513" i="1"/>
  <c r="BS514" i="1"/>
  <c r="BS515" i="1"/>
  <c r="BS516" i="1"/>
  <c r="BS1308" i="1"/>
  <c r="BS596" i="1"/>
  <c r="BS519" i="1"/>
  <c r="BS520" i="1"/>
  <c r="BS521" i="1"/>
  <c r="BS522" i="1"/>
  <c r="BS645" i="1"/>
  <c r="BS700" i="1"/>
  <c r="BS525" i="1"/>
  <c r="BS526" i="1"/>
  <c r="BS527" i="1"/>
  <c r="BS528" i="1"/>
  <c r="BS529" i="1"/>
  <c r="BS530" i="1"/>
  <c r="BS531" i="1"/>
  <c r="BS1317" i="1"/>
  <c r="BS533" i="1"/>
  <c r="BS534" i="1"/>
  <c r="BS535" i="1"/>
  <c r="BS536" i="1"/>
  <c r="BS537" i="1"/>
  <c r="BS538" i="1"/>
  <c r="BS539" i="1"/>
  <c r="BS540" i="1"/>
  <c r="BS541" i="1"/>
  <c r="BS542" i="1"/>
  <c r="BS543" i="1"/>
  <c r="BS1323" i="1"/>
  <c r="BS545" i="1"/>
  <c r="BS546" i="1"/>
  <c r="BS547" i="1"/>
  <c r="BS548" i="1"/>
  <c r="BS549" i="1"/>
  <c r="BS550" i="1"/>
  <c r="BS551" i="1"/>
  <c r="BS552" i="1"/>
  <c r="BS553" i="1"/>
  <c r="BS554" i="1"/>
  <c r="BS204" i="1"/>
  <c r="BS814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1328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1077" i="1"/>
  <c r="BS1330" i="1"/>
  <c r="BS696" i="1"/>
  <c r="BS598" i="1"/>
  <c r="BS599" i="1"/>
  <c r="BS600" i="1"/>
  <c r="BS601" i="1"/>
  <c r="BS602" i="1"/>
  <c r="BS603" i="1"/>
  <c r="BS604" i="1"/>
  <c r="BS605" i="1"/>
  <c r="BS1350" i="1"/>
  <c r="BS607" i="1"/>
  <c r="BS608" i="1"/>
  <c r="BS609" i="1"/>
  <c r="BS610" i="1"/>
  <c r="BS611" i="1"/>
  <c r="BS612" i="1"/>
  <c r="BS613" i="1"/>
  <c r="BS614" i="1"/>
  <c r="BS615" i="1"/>
  <c r="BS1360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997" i="1"/>
  <c r="BS630" i="1"/>
  <c r="BS631" i="1"/>
  <c r="BS632" i="1"/>
  <c r="BS633" i="1"/>
  <c r="BS634" i="1"/>
  <c r="BS635" i="1"/>
  <c r="BS636" i="1"/>
  <c r="BS637" i="1"/>
  <c r="BS152" i="1"/>
  <c r="BS255" i="1"/>
  <c r="BS466" i="1"/>
  <c r="BS927" i="1"/>
  <c r="BS325" i="1"/>
  <c r="BS532" i="1"/>
  <c r="BS396" i="1"/>
  <c r="BS1103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237" i="1"/>
  <c r="BS287" i="1"/>
  <c r="BS606" i="1"/>
  <c r="BS856" i="1"/>
  <c r="BS641" i="1"/>
  <c r="BS126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106" i="1"/>
  <c r="BS160" i="1"/>
  <c r="BS725" i="1"/>
  <c r="BS726" i="1"/>
  <c r="BS727" i="1"/>
  <c r="BS1366" i="1"/>
  <c r="BS1371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16" i="1"/>
  <c r="BS746" i="1"/>
  <c r="BS747" i="1"/>
  <c r="BS748" i="1"/>
  <c r="BS749" i="1"/>
  <c r="BS750" i="1"/>
  <c r="BS751" i="1"/>
  <c r="BS752" i="1"/>
  <c r="BS753" i="1"/>
  <c r="BS754" i="1"/>
  <c r="BS1380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518" i="1"/>
  <c r="BS815" i="1"/>
  <c r="BS816" i="1"/>
  <c r="BS817" i="1"/>
  <c r="BS1385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397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1043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1389" i="1"/>
  <c r="BS921" i="1"/>
  <c r="BS922" i="1"/>
  <c r="BS923" i="1"/>
  <c r="BS924" i="1"/>
  <c r="BS925" i="1"/>
  <c r="BS926" i="1"/>
  <c r="BS1391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1045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1392" i="1"/>
  <c r="BS1397" i="1"/>
  <c r="BS1247" i="1"/>
  <c r="BS966" i="1"/>
  <c r="BS967" i="1"/>
  <c r="BS968" i="1"/>
  <c r="BS969" i="1"/>
  <c r="BS970" i="1"/>
  <c r="BS971" i="1"/>
  <c r="BS972" i="1"/>
  <c r="BS973" i="1"/>
  <c r="BS1409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697" i="1"/>
  <c r="BS998" i="1"/>
  <c r="BS999" i="1"/>
  <c r="BS1000" i="1"/>
  <c r="BS1001" i="1"/>
  <c r="BS1002" i="1"/>
  <c r="BS1003" i="1"/>
  <c r="BS1004" i="1"/>
  <c r="BS1005" i="1"/>
  <c r="BS1006" i="1"/>
  <c r="BS1007" i="1"/>
  <c r="BS1008" i="1"/>
  <c r="BS1009" i="1"/>
  <c r="BS1010" i="1"/>
  <c r="BS1011" i="1"/>
  <c r="BS1012" i="1"/>
  <c r="BS1013" i="1"/>
  <c r="BS1014" i="1"/>
  <c r="BS1261" i="1"/>
  <c r="BS1016" i="1"/>
  <c r="BS1017" i="1"/>
  <c r="BS485" i="1"/>
  <c r="BS1019" i="1"/>
  <c r="BS1020" i="1"/>
  <c r="BS1021" i="1"/>
  <c r="BS1022" i="1"/>
  <c r="BS1023" i="1"/>
  <c r="BS1024" i="1"/>
  <c r="BS1025" i="1"/>
  <c r="BS1026" i="1"/>
  <c r="BS1027" i="1"/>
  <c r="BS1028" i="1"/>
  <c r="BS1029" i="1"/>
  <c r="BS1030" i="1"/>
  <c r="BS1031" i="1"/>
  <c r="BS1032" i="1"/>
  <c r="BS1033" i="1"/>
  <c r="BS1034" i="1"/>
  <c r="BS1035" i="1"/>
  <c r="BS1036" i="1"/>
  <c r="BS1037" i="1"/>
  <c r="BS1038" i="1"/>
  <c r="BS1039" i="1"/>
  <c r="BS1040" i="1"/>
  <c r="BS1041" i="1"/>
  <c r="BS1042" i="1"/>
  <c r="BS1415" i="1"/>
  <c r="BS1044" i="1"/>
  <c r="BS1423" i="1"/>
  <c r="BS1046" i="1"/>
  <c r="BS1047" i="1"/>
  <c r="BS1426" i="1"/>
  <c r="BS1049" i="1"/>
  <c r="BS1050" i="1"/>
  <c r="BS1051" i="1"/>
  <c r="BS1052" i="1"/>
  <c r="BS1053" i="1"/>
  <c r="BS1054" i="1"/>
  <c r="BS1055" i="1"/>
  <c r="BS642" i="1"/>
  <c r="BS1057" i="1"/>
  <c r="BS1058" i="1"/>
  <c r="BS1059" i="1"/>
  <c r="BS1060" i="1"/>
  <c r="BS1061" i="1"/>
  <c r="BS1062" i="1"/>
  <c r="BS1427" i="1"/>
  <c r="BS1190" i="1"/>
  <c r="BS1065" i="1"/>
  <c r="BS1066" i="1"/>
  <c r="BS1067" i="1"/>
  <c r="BS1068" i="1"/>
  <c r="BS1069" i="1"/>
  <c r="BS1070" i="1"/>
  <c r="BS1071" i="1"/>
  <c r="BS1072" i="1"/>
  <c r="BS1073" i="1"/>
  <c r="BS1074" i="1"/>
  <c r="BS1428" i="1"/>
  <c r="BS1076" i="1"/>
  <c r="BS1429" i="1"/>
  <c r="BS1078" i="1"/>
  <c r="BS1079" i="1"/>
  <c r="BS1080" i="1"/>
  <c r="BS1081" i="1"/>
  <c r="BS1082" i="1"/>
  <c r="BS1083" i="1"/>
  <c r="BS1084" i="1"/>
  <c r="BS1085" i="1"/>
  <c r="BS1086" i="1"/>
  <c r="BS1087" i="1"/>
  <c r="BS1088" i="1"/>
  <c r="BS1089" i="1"/>
  <c r="BS1090" i="1"/>
  <c r="BS1091" i="1"/>
  <c r="BS1092" i="1"/>
  <c r="BS1093" i="1"/>
  <c r="BS1431" i="1"/>
  <c r="BS1095" i="1"/>
  <c r="BS1096" i="1"/>
  <c r="BS1097" i="1"/>
  <c r="BS1098" i="1"/>
  <c r="BS1099" i="1"/>
  <c r="BS1100" i="1"/>
  <c r="BS1101" i="1"/>
  <c r="BS1102" i="1"/>
  <c r="BS1438" i="1"/>
  <c r="BS1104" i="1"/>
  <c r="BS1105" i="1"/>
  <c r="BS1106" i="1"/>
  <c r="BS1107" i="1"/>
  <c r="BS1108" i="1"/>
  <c r="BS1109" i="1"/>
  <c r="BS1110" i="1"/>
  <c r="BS1111" i="1"/>
  <c r="BS1112" i="1"/>
  <c r="BS1113" i="1"/>
  <c r="BS1114" i="1"/>
  <c r="BS1115" i="1"/>
  <c r="BS1116" i="1"/>
  <c r="BS1117" i="1"/>
  <c r="BS1118" i="1"/>
  <c r="BS1119" i="1"/>
  <c r="BS1120" i="1"/>
  <c r="BS1121" i="1"/>
  <c r="BS1122" i="1"/>
  <c r="BS1123" i="1"/>
  <c r="BS1124" i="1"/>
  <c r="BS1125" i="1"/>
  <c r="BS1126" i="1"/>
  <c r="BS1464" i="1"/>
  <c r="BS217" i="1"/>
  <c r="BS1129" i="1"/>
  <c r="BS1130" i="1"/>
  <c r="BS1131" i="1"/>
  <c r="BS1132" i="1"/>
  <c r="BS1133" i="1"/>
  <c r="BS1134" i="1"/>
  <c r="BS1135" i="1"/>
  <c r="BS1136" i="1"/>
  <c r="BS1137" i="1"/>
  <c r="BS1138" i="1"/>
  <c r="BS1139" i="1"/>
  <c r="BS1140" i="1"/>
  <c r="BS1141" i="1"/>
  <c r="BS1142" i="1"/>
  <c r="BS1143" i="1"/>
  <c r="BS1144" i="1"/>
  <c r="BS1145" i="1"/>
  <c r="BS1146" i="1"/>
  <c r="BS1147" i="1"/>
  <c r="BS1148" i="1"/>
  <c r="BS1149" i="1"/>
  <c r="BS1150" i="1"/>
  <c r="BS1151" i="1"/>
  <c r="BS1152" i="1"/>
  <c r="BS1466" i="1"/>
  <c r="BS1154" i="1"/>
  <c r="BS1470" i="1"/>
  <c r="BS1156" i="1"/>
  <c r="BS1157" i="1"/>
  <c r="BS1479" i="1"/>
  <c r="BS1159" i="1"/>
  <c r="BS1160" i="1"/>
  <c r="BS1161" i="1"/>
  <c r="BS1162" i="1"/>
  <c r="BS1482" i="1"/>
  <c r="BS1164" i="1"/>
  <c r="BS1165" i="1"/>
  <c r="BS1166" i="1"/>
  <c r="BS1167" i="1"/>
  <c r="BS1168" i="1"/>
  <c r="BS1486" i="1"/>
  <c r="BS1170" i="1"/>
  <c r="BS1171" i="1"/>
  <c r="BS1172" i="1"/>
  <c r="BS1173" i="1"/>
  <c r="BS1174" i="1"/>
  <c r="BS1175" i="1"/>
  <c r="BS1176" i="1"/>
  <c r="BS1177" i="1"/>
  <c r="BS1178" i="1"/>
  <c r="BS1179" i="1"/>
  <c r="BS1180" i="1"/>
  <c r="BS1181" i="1"/>
  <c r="BS1182" i="1"/>
  <c r="BS1183" i="1"/>
  <c r="BS1184" i="1"/>
  <c r="BS1185" i="1"/>
  <c r="BS1186" i="1"/>
  <c r="BS1187" i="1"/>
  <c r="BS1188" i="1"/>
  <c r="BS1189" i="1"/>
  <c r="BS1487" i="1"/>
  <c r="BS1191" i="1"/>
  <c r="BS1192" i="1"/>
  <c r="BS1193" i="1"/>
  <c r="BS1194" i="1"/>
  <c r="BS1195" i="1"/>
  <c r="BS1196" i="1"/>
  <c r="BS1197" i="1"/>
  <c r="BS1488" i="1"/>
  <c r="BS1199" i="1"/>
  <c r="BS1200" i="1"/>
  <c r="BS1201" i="1"/>
  <c r="BS1202" i="1"/>
  <c r="BS1203" i="1"/>
  <c r="BS1204" i="1"/>
  <c r="BS1205" i="1"/>
  <c r="BS1206" i="1"/>
  <c r="BS1207" i="1"/>
  <c r="BS1208" i="1"/>
  <c r="BS1209" i="1"/>
  <c r="BS1210" i="1"/>
  <c r="BS1211" i="1"/>
  <c r="BS1212" i="1"/>
  <c r="BS1213" i="1"/>
  <c r="BS1495" i="1"/>
  <c r="BS1215" i="1"/>
  <c r="BS1216" i="1"/>
  <c r="BS1217" i="1"/>
  <c r="BS1218" i="1"/>
  <c r="BS1219" i="1"/>
  <c r="BS1220" i="1"/>
  <c r="BS1221" i="1"/>
  <c r="BS1222" i="1"/>
  <c r="BS1223" i="1"/>
  <c r="BS1224" i="1"/>
  <c r="BS1225" i="1"/>
  <c r="BS1226" i="1"/>
  <c r="BS1227" i="1"/>
  <c r="BS1228" i="1"/>
  <c r="BS1229" i="1"/>
  <c r="BS1230" i="1"/>
  <c r="BS1231" i="1"/>
  <c r="BS1498" i="1"/>
  <c r="BS1509" i="1"/>
  <c r="BS1234" i="1"/>
  <c r="BS1235" i="1"/>
  <c r="BS362" i="1"/>
  <c r="BS1237" i="1"/>
  <c r="BS1238" i="1"/>
  <c r="BS1239" i="1"/>
  <c r="BS1240" i="1"/>
  <c r="BS1241" i="1"/>
  <c r="BS1242" i="1"/>
  <c r="BS1243" i="1"/>
  <c r="BS1244" i="1"/>
  <c r="BS1245" i="1"/>
  <c r="BS1246" i="1"/>
  <c r="BS1517" i="1"/>
  <c r="BS1522" i="1"/>
  <c r="BS1524" i="1"/>
  <c r="BS1250" i="1"/>
  <c r="BS1251" i="1"/>
  <c r="BS1252" i="1"/>
  <c r="BS1253" i="1"/>
  <c r="BS1254" i="1"/>
  <c r="BS1525" i="1"/>
  <c r="BS1256" i="1"/>
  <c r="BS1257" i="1"/>
  <c r="BS1258" i="1"/>
  <c r="BS1529" i="1"/>
  <c r="BS1260" i="1"/>
  <c r="BS1530" i="1"/>
  <c r="BS1262" i="1"/>
  <c r="BS1532" i="1"/>
  <c r="BS1544" i="1"/>
  <c r="BS1265" i="1"/>
  <c r="BS1266" i="1"/>
  <c r="BS1267" i="1"/>
  <c r="BS1268" i="1"/>
  <c r="BS1563" i="1"/>
  <c r="BS1270" i="1"/>
  <c r="BS1271" i="1"/>
  <c r="BS1566" i="1"/>
  <c r="BS1273" i="1"/>
  <c r="BS1274" i="1"/>
  <c r="BS1275" i="1"/>
  <c r="BS1276" i="1"/>
  <c r="BS1277" i="1"/>
  <c r="BS1278" i="1"/>
  <c r="BS1574" i="1"/>
  <c r="BS1280" i="1"/>
  <c r="BS1576" i="1"/>
  <c r="BS1282" i="1"/>
  <c r="BS1283" i="1"/>
  <c r="BS1284" i="1"/>
  <c r="BS1285" i="1"/>
  <c r="BS1286" i="1"/>
  <c r="BS1287" i="1"/>
  <c r="BS1288" i="1"/>
  <c r="BS1289" i="1"/>
  <c r="BS1290" i="1"/>
  <c r="BS1586" i="1"/>
  <c r="BS1292" i="1"/>
  <c r="BS1293" i="1"/>
  <c r="BS1294" i="1"/>
  <c r="BS1295" i="1"/>
  <c r="BS1296" i="1"/>
  <c r="BS1297" i="1"/>
  <c r="BS965" i="1"/>
  <c r="BS1589" i="1"/>
  <c r="BS1606" i="1"/>
  <c r="BS1610" i="1"/>
  <c r="BS1302" i="1"/>
  <c r="BS1303" i="1"/>
  <c r="BS1304" i="1"/>
  <c r="BS1305" i="1"/>
  <c r="BS1306" i="1"/>
  <c r="BS1307" i="1"/>
  <c r="BS1611" i="1"/>
  <c r="BS1309" i="1"/>
  <c r="BS1310" i="1"/>
  <c r="BS1311" i="1"/>
  <c r="BS1312" i="1"/>
  <c r="BS1313" i="1"/>
  <c r="BS1314" i="1"/>
  <c r="BS1315" i="1"/>
  <c r="BS1316" i="1"/>
  <c r="BS1614" i="1"/>
  <c r="BS1318" i="1"/>
  <c r="BS1319" i="1"/>
  <c r="BS1320" i="1"/>
  <c r="BS1321" i="1"/>
  <c r="BS1322" i="1"/>
  <c r="BS1619" i="1"/>
  <c r="BS1324" i="1"/>
  <c r="BS1325" i="1"/>
  <c r="BS1326" i="1"/>
  <c r="BS1327" i="1"/>
  <c r="BS1128" i="1"/>
  <c r="BS1329" i="1"/>
  <c r="BS355" i="1"/>
  <c r="BS1331" i="1"/>
  <c r="BS1332" i="1"/>
  <c r="BS1333" i="1"/>
  <c r="BS1334" i="1"/>
  <c r="BS1335" i="1"/>
  <c r="BS1336" i="1"/>
  <c r="BS1337" i="1"/>
  <c r="BS1338" i="1"/>
  <c r="BS1339" i="1"/>
  <c r="BS1340" i="1"/>
  <c r="BS1341" i="1"/>
  <c r="BS1342" i="1"/>
  <c r="BS1343" i="1"/>
  <c r="BS1344" i="1"/>
  <c r="BS1345" i="1"/>
  <c r="BS1346" i="1"/>
  <c r="BS1347" i="1"/>
  <c r="BS1348" i="1"/>
  <c r="BS1349" i="1"/>
  <c r="BS1632" i="1"/>
  <c r="BS1351" i="1"/>
  <c r="BS1352" i="1"/>
  <c r="BS1353" i="1"/>
  <c r="BS1354" i="1"/>
  <c r="BS1355" i="1"/>
  <c r="BS1356" i="1"/>
  <c r="BS1357" i="1"/>
  <c r="BS1358" i="1"/>
  <c r="BS1359" i="1"/>
  <c r="BS639" i="1"/>
  <c r="BS1361" i="1"/>
  <c r="BS1362" i="1"/>
  <c r="BS1363" i="1"/>
  <c r="BS1364" i="1"/>
  <c r="BS1365" i="1"/>
  <c r="BS358" i="1"/>
  <c r="BS1367" i="1"/>
  <c r="BS1368" i="1"/>
  <c r="BS1369" i="1"/>
  <c r="BS1370" i="1"/>
  <c r="BS1163" i="1"/>
  <c r="BS1372" i="1"/>
  <c r="BS1373" i="1"/>
  <c r="BS1374" i="1"/>
  <c r="BS1375" i="1"/>
  <c r="BS1376" i="1"/>
  <c r="BS1377" i="1"/>
  <c r="BS1378" i="1"/>
  <c r="BS1379" i="1"/>
  <c r="BS1637" i="1"/>
  <c r="BS1381" i="1"/>
  <c r="BS1382" i="1"/>
  <c r="BS1383" i="1"/>
  <c r="BS1384" i="1"/>
  <c r="BS1639" i="1"/>
  <c r="BS1386" i="1"/>
  <c r="BS1387" i="1"/>
  <c r="BS1388" i="1"/>
  <c r="BS1643" i="1"/>
  <c r="BS1390" i="1"/>
  <c r="BS1263" i="1"/>
  <c r="BS1644" i="1"/>
  <c r="BS1393" i="1"/>
  <c r="BS1394" i="1"/>
  <c r="BS1395" i="1"/>
  <c r="BS1396" i="1"/>
  <c r="BS1649" i="1"/>
  <c r="BS1398" i="1"/>
  <c r="BS1399" i="1"/>
  <c r="BS1400" i="1"/>
  <c r="BS1401" i="1"/>
  <c r="BS1402" i="1"/>
  <c r="BS1403" i="1"/>
  <c r="BS1404" i="1"/>
  <c r="BS1405" i="1"/>
  <c r="BS1406" i="1"/>
  <c r="BS1407" i="1"/>
  <c r="BS1408" i="1"/>
  <c r="BS1652" i="1"/>
  <c r="BS1410" i="1"/>
  <c r="BS1411" i="1"/>
  <c r="BS1412" i="1"/>
  <c r="BS1413" i="1"/>
  <c r="BS1414" i="1"/>
  <c r="BS399" i="1"/>
  <c r="BS1416" i="1"/>
  <c r="BS1417" i="1"/>
  <c r="BS1418" i="1"/>
  <c r="BS1419" i="1"/>
  <c r="BS1420" i="1"/>
  <c r="BS22" i="1"/>
  <c r="BS1422" i="1"/>
  <c r="BS1653" i="1"/>
  <c r="BS1424" i="1"/>
  <c r="BS1425" i="1"/>
  <c r="BS406" i="1"/>
  <c r="BS920" i="1"/>
  <c r="BS1654" i="1"/>
  <c r="BS1656" i="1"/>
  <c r="BS1430" i="1"/>
  <c r="BS1663" i="1"/>
  <c r="BS1432" i="1"/>
  <c r="BS1433" i="1"/>
  <c r="BS1434" i="1"/>
  <c r="BS1435" i="1"/>
  <c r="BS1436" i="1"/>
  <c r="BS1437" i="1"/>
  <c r="BS1667" i="1"/>
  <c r="BS1439" i="1"/>
  <c r="BS1440" i="1"/>
  <c r="BS1441" i="1"/>
  <c r="BS1442" i="1"/>
  <c r="BS1443" i="1"/>
  <c r="BS1444" i="1"/>
  <c r="BS1445" i="1"/>
  <c r="BS1446" i="1"/>
  <c r="BS1447" i="1"/>
  <c r="BS1448" i="1"/>
  <c r="BS1449" i="1"/>
  <c r="BS1450" i="1"/>
  <c r="BS1451" i="1"/>
  <c r="BS1452" i="1"/>
  <c r="BS1453" i="1"/>
  <c r="BS1454" i="1"/>
  <c r="BS1455" i="1"/>
  <c r="BS1456" i="1"/>
  <c r="BS1457" i="1"/>
  <c r="BS1458" i="1"/>
  <c r="BS1459" i="1"/>
  <c r="BS1460" i="1"/>
  <c r="BS1461" i="1"/>
  <c r="BS1462" i="1"/>
  <c r="BS1463" i="1"/>
  <c r="BS1674" i="1"/>
  <c r="BS1465" i="1"/>
  <c r="BS1683" i="1"/>
  <c r="BS1467" i="1"/>
  <c r="BS1468" i="1"/>
  <c r="BS1469" i="1"/>
  <c r="BS1685" i="1"/>
  <c r="BS1471" i="1"/>
  <c r="BS1472" i="1"/>
  <c r="BS1473" i="1"/>
  <c r="BS1474" i="1"/>
  <c r="BS1475" i="1"/>
  <c r="BS1476" i="1"/>
  <c r="BS1477" i="1"/>
  <c r="BS1478" i="1"/>
  <c r="BS1687" i="1"/>
  <c r="BS1480" i="1"/>
  <c r="BS1481" i="1"/>
  <c r="BS1688" i="1"/>
  <c r="BS1483" i="1"/>
  <c r="BS1484" i="1"/>
  <c r="BS1485" i="1"/>
  <c r="BS1169" i="1"/>
  <c r="BS1689" i="1"/>
  <c r="BS1696" i="1"/>
  <c r="BS1489" i="1"/>
  <c r="BS1490" i="1"/>
  <c r="BS1491" i="1"/>
  <c r="BS1492" i="1"/>
  <c r="BS1493" i="1"/>
  <c r="BS1494" i="1"/>
  <c r="BS1703" i="1"/>
  <c r="BS1496" i="1"/>
  <c r="BS1497" i="1"/>
  <c r="BS448" i="1"/>
  <c r="BS1499" i="1"/>
  <c r="BS1500" i="1"/>
  <c r="BS1501" i="1"/>
  <c r="BS1502" i="1"/>
  <c r="BS1503" i="1"/>
  <c r="BS1504" i="1"/>
  <c r="BS1505" i="1"/>
  <c r="BS1506" i="1"/>
  <c r="BS1507" i="1"/>
  <c r="BS1508" i="1"/>
  <c r="BS1709" i="1"/>
  <c r="BS1510" i="1"/>
  <c r="BS1511" i="1"/>
  <c r="BS1512" i="1"/>
  <c r="BS1513" i="1"/>
  <c r="BS1514" i="1"/>
  <c r="BS1515" i="1"/>
  <c r="BS1516" i="1"/>
  <c r="BS1715" i="1"/>
  <c r="BS1518" i="1"/>
  <c r="BS1519" i="1"/>
  <c r="BS1520" i="1"/>
  <c r="BS1521" i="1"/>
  <c r="BS1716" i="1"/>
  <c r="BS1523" i="1"/>
  <c r="BS1725" i="1"/>
  <c r="BS1728" i="1"/>
  <c r="BS1526" i="1"/>
  <c r="BS1527" i="1"/>
  <c r="BS1528" i="1"/>
  <c r="BS1729" i="1"/>
  <c r="BS363" i="1"/>
  <c r="BS1531" i="1"/>
  <c r="BS1731" i="1"/>
  <c r="BS1533" i="1"/>
  <c r="BS1534" i="1"/>
  <c r="BS1535" i="1"/>
  <c r="BS1536" i="1"/>
  <c r="BS1537" i="1"/>
  <c r="BS1538" i="1"/>
  <c r="BS1539" i="1"/>
  <c r="BS1540" i="1"/>
  <c r="BS1541" i="1"/>
  <c r="BS1542" i="1"/>
  <c r="BS1543" i="1"/>
  <c r="BS728" i="1"/>
  <c r="BS1545" i="1"/>
  <c r="BS1546" i="1"/>
  <c r="BS1547" i="1"/>
  <c r="BS1548" i="1"/>
  <c r="BS1549" i="1"/>
  <c r="BS1550" i="1"/>
  <c r="BS1551" i="1"/>
  <c r="BS1552" i="1"/>
  <c r="BS1553" i="1"/>
  <c r="BS1554" i="1"/>
  <c r="BS1555" i="1"/>
  <c r="BS1556" i="1"/>
  <c r="BS1557" i="1"/>
  <c r="BS1558" i="1"/>
  <c r="BS1559" i="1"/>
  <c r="BS1560" i="1"/>
  <c r="BS1561" i="1"/>
  <c r="BS1562" i="1"/>
  <c r="BS161" i="1"/>
  <c r="BS1564" i="1"/>
  <c r="BS1565" i="1"/>
  <c r="BS1734" i="1"/>
  <c r="BS1567" i="1"/>
  <c r="BS1568" i="1"/>
  <c r="BS1569" i="1"/>
  <c r="BS1570" i="1"/>
  <c r="BS1571" i="1"/>
  <c r="BS1572" i="1"/>
  <c r="BS1573" i="1"/>
  <c r="BS1738" i="1"/>
  <c r="BS1575" i="1"/>
  <c r="BS1746" i="1"/>
  <c r="BS1577" i="1"/>
  <c r="BS1578" i="1"/>
  <c r="BS1579" i="1"/>
  <c r="BS1580" i="1"/>
  <c r="BS1581" i="1"/>
  <c r="BS1582" i="1"/>
  <c r="BS1583" i="1"/>
  <c r="BS1584" i="1"/>
  <c r="BS1585" i="1"/>
  <c r="BS1751" i="1"/>
  <c r="BS1587" i="1"/>
  <c r="BS1588" i="1"/>
  <c r="BS337" i="1"/>
  <c r="BS1590" i="1"/>
  <c r="BS1591" i="1"/>
  <c r="BS1592" i="1"/>
  <c r="BS1593" i="1"/>
  <c r="BS1594" i="1"/>
  <c r="BS1595" i="1"/>
  <c r="BS1596" i="1"/>
  <c r="BS1597" i="1"/>
  <c r="BS1598" i="1"/>
  <c r="BS1599" i="1"/>
  <c r="BS1600" i="1"/>
  <c r="BS1601" i="1"/>
  <c r="BS1602" i="1"/>
  <c r="BS1603" i="1"/>
  <c r="BS1604" i="1"/>
  <c r="BS1605" i="1"/>
  <c r="BS1752" i="1"/>
  <c r="BS1607" i="1"/>
  <c r="BS1608" i="1"/>
  <c r="BS1609" i="1"/>
  <c r="BS1757" i="1"/>
  <c r="BS1760" i="1"/>
  <c r="BS1612" i="1"/>
  <c r="BS1613" i="1"/>
  <c r="BS1762" i="1"/>
  <c r="BS1615" i="1"/>
  <c r="BS1616" i="1"/>
  <c r="BS1617" i="1"/>
  <c r="BS1618" i="1"/>
  <c r="BS1764" i="1"/>
  <c r="BS1620" i="1"/>
  <c r="BS1621" i="1"/>
  <c r="BS1622" i="1"/>
  <c r="BS1623" i="1"/>
  <c r="BS1624" i="1"/>
  <c r="BS1625" i="1"/>
  <c r="BS1626" i="1"/>
  <c r="BS1627" i="1"/>
  <c r="BS1628" i="1"/>
  <c r="BS1629" i="1"/>
  <c r="BS1630" i="1"/>
  <c r="BS1631" i="1"/>
  <c r="BS1769" i="1"/>
  <c r="BS1633" i="1"/>
  <c r="BS1634" i="1"/>
  <c r="BS1635" i="1"/>
  <c r="BS1636" i="1"/>
  <c r="BS1773" i="1"/>
  <c r="BS1638" i="1"/>
  <c r="BS1785" i="1"/>
  <c r="BS1640" i="1"/>
  <c r="BS1641" i="1"/>
  <c r="BS1642" i="1"/>
  <c r="BS1787" i="1"/>
  <c r="BS1794" i="1"/>
  <c r="BS1645" i="1"/>
  <c r="BS1646" i="1"/>
  <c r="BS1647" i="1"/>
  <c r="BS1648" i="1"/>
  <c r="BS1798" i="1"/>
  <c r="BS1650" i="1"/>
  <c r="BS56" i="1"/>
  <c r="BS699" i="1"/>
  <c r="BS1799" i="1"/>
  <c r="BS1264" i="1"/>
  <c r="BS1655" i="1"/>
  <c r="BS1801" i="1"/>
  <c r="BS1657" i="1"/>
  <c r="BS1658" i="1"/>
  <c r="BS1659" i="1"/>
  <c r="BS1660" i="1"/>
  <c r="BS1661" i="1"/>
  <c r="BS1662" i="1"/>
  <c r="BS1802" i="1"/>
  <c r="BS1664" i="1"/>
  <c r="BS1665" i="1"/>
  <c r="BS1666" i="1"/>
  <c r="BS1806" i="1"/>
  <c r="BS1668" i="1"/>
  <c r="BS1669" i="1"/>
  <c r="BS1670" i="1"/>
  <c r="BS1671" i="1"/>
  <c r="BS1672" i="1"/>
  <c r="BS1673" i="1"/>
  <c r="BS450" i="1"/>
  <c r="BS1675" i="1"/>
  <c r="BS1676" i="1"/>
  <c r="BS1677" i="1"/>
  <c r="BS1678" i="1"/>
  <c r="BS1679" i="1"/>
  <c r="BS1680" i="1"/>
  <c r="BS1681" i="1"/>
  <c r="BS1682" i="1"/>
  <c r="BS1808" i="1"/>
  <c r="BS1684" i="1"/>
  <c r="BS1810" i="1"/>
  <c r="BS1686" i="1"/>
  <c r="BS1259" i="1"/>
  <c r="BS1815" i="1"/>
  <c r="BS1817" i="1"/>
  <c r="BS1690" i="1"/>
  <c r="BS1691" i="1"/>
  <c r="BS1692" i="1"/>
  <c r="BS1693" i="1"/>
  <c r="BS1694" i="1"/>
  <c r="BS1695" i="1"/>
  <c r="BS1822" i="1"/>
  <c r="BS1697" i="1"/>
  <c r="BS1698" i="1"/>
  <c r="BS1699" i="1"/>
  <c r="BS1700" i="1"/>
  <c r="BS1701" i="1"/>
  <c r="BS1702" i="1"/>
  <c r="BS1833" i="1"/>
  <c r="BS1704" i="1"/>
  <c r="BS1705" i="1"/>
  <c r="BS1706" i="1"/>
  <c r="BS1707" i="1"/>
  <c r="BS1708" i="1"/>
  <c r="BS1839" i="1"/>
  <c r="BS1710" i="1"/>
  <c r="BS1711" i="1"/>
  <c r="BS1712" i="1"/>
  <c r="BS1713" i="1"/>
  <c r="BS1714" i="1"/>
  <c r="BS724" i="1"/>
  <c r="BS1840" i="1"/>
  <c r="BS1717" i="1"/>
  <c r="BS1718" i="1"/>
  <c r="BS1719" i="1"/>
  <c r="BS1720" i="1"/>
  <c r="BS1721" i="1"/>
  <c r="BS1722" i="1"/>
  <c r="BS1723" i="1"/>
  <c r="BS1724" i="1"/>
  <c r="BS1841" i="1"/>
  <c r="BS1726" i="1"/>
  <c r="BS1727" i="1"/>
  <c r="BS1848" i="1"/>
  <c r="BS1850" i="1"/>
  <c r="BS1730" i="1"/>
  <c r="BS818" i="1"/>
  <c r="BS1732" i="1"/>
  <c r="BS1733" i="1"/>
  <c r="BS1856" i="1"/>
  <c r="BS1735" i="1"/>
  <c r="BS1736" i="1"/>
  <c r="BS1737" i="1"/>
  <c r="BS1859" i="1"/>
  <c r="BS1739" i="1"/>
  <c r="BS1740" i="1"/>
  <c r="BS1741" i="1"/>
  <c r="BS1742" i="1"/>
  <c r="BS1743" i="1"/>
  <c r="BS1744" i="1"/>
  <c r="BS1745" i="1"/>
  <c r="BS1248" i="1"/>
  <c r="BS1747" i="1"/>
  <c r="BS1748" i="1"/>
  <c r="BS1749" i="1"/>
  <c r="BS1750" i="1"/>
  <c r="BS1861" i="1"/>
  <c r="BS1864" i="1"/>
  <c r="BS1753" i="1"/>
  <c r="BS1754" i="1"/>
  <c r="BS1755" i="1"/>
  <c r="BS1756" i="1"/>
  <c r="BS1866" i="1"/>
  <c r="BS1758" i="1"/>
  <c r="BS1759" i="1"/>
  <c r="BS1867" i="1"/>
  <c r="BS1761" i="1"/>
  <c r="BS1875" i="1"/>
  <c r="BS1763" i="1"/>
  <c r="BS1878" i="1"/>
  <c r="BS1765" i="1"/>
  <c r="BS1766" i="1"/>
  <c r="BS1767" i="1"/>
  <c r="BS1768" i="1"/>
  <c r="BS1075" i="1"/>
  <c r="BS1770" i="1"/>
  <c r="BS1771" i="1"/>
  <c r="BS1772" i="1"/>
  <c r="BS1249" i="1"/>
  <c r="BS1774" i="1"/>
  <c r="BS1775" i="1"/>
  <c r="BS1776" i="1"/>
  <c r="BS1777" i="1"/>
  <c r="BS1778" i="1"/>
  <c r="BS1779" i="1"/>
  <c r="BS1780" i="1"/>
  <c r="BS1781" i="1"/>
  <c r="BS1782" i="1"/>
  <c r="BS1783" i="1"/>
  <c r="BS1784" i="1"/>
  <c r="BS1879" i="1"/>
  <c r="BS1786" i="1"/>
  <c r="BS357" i="1"/>
  <c r="BS1788" i="1"/>
  <c r="BS1789" i="1"/>
  <c r="BS1790" i="1"/>
  <c r="BS1791" i="1"/>
  <c r="BS1792" i="1"/>
  <c r="BS1793" i="1"/>
  <c r="BS1880" i="1"/>
  <c r="BS1795" i="1"/>
  <c r="BS1796" i="1"/>
  <c r="BS1797" i="1"/>
  <c r="BS1881" i="1"/>
  <c r="BS1889" i="1"/>
  <c r="BS1800" i="1"/>
  <c r="BS1891" i="1"/>
  <c r="BS1894" i="1"/>
  <c r="BS1803" i="1"/>
  <c r="BS1804" i="1"/>
  <c r="BS1805" i="1"/>
  <c r="BS12" i="1"/>
  <c r="BS1807" i="1"/>
  <c r="BS1896" i="1"/>
  <c r="BS1809" i="1"/>
  <c r="BS1897" i="1"/>
  <c r="BS1811" i="1"/>
  <c r="BS1812" i="1"/>
  <c r="BS1813" i="1"/>
  <c r="BS1814" i="1"/>
  <c r="BS1902" i="1"/>
  <c r="BS1816" i="1"/>
  <c r="BS1903" i="1"/>
  <c r="BS1818" i="1"/>
  <c r="BS1819" i="1"/>
  <c r="BS1820" i="1"/>
  <c r="BS1821" i="1"/>
  <c r="BS1912" i="1"/>
  <c r="BS1823" i="1"/>
  <c r="BS1824" i="1"/>
  <c r="BS1825" i="1"/>
  <c r="BS1826" i="1"/>
  <c r="BS1827" i="1"/>
  <c r="BS1828" i="1"/>
  <c r="BS1829" i="1"/>
  <c r="BS1830" i="1"/>
  <c r="BS1831" i="1"/>
  <c r="BS1832" i="1"/>
  <c r="BS1921" i="1"/>
  <c r="BS1834" i="1"/>
  <c r="BS1835" i="1"/>
  <c r="BS1836" i="1"/>
  <c r="BS1837" i="1"/>
  <c r="BS1838" i="1"/>
  <c r="BS1153" i="1"/>
  <c r="BS1927" i="1"/>
  <c r="BS1928" i="1"/>
  <c r="BS1842" i="1"/>
  <c r="BS1843" i="1"/>
  <c r="BS1844" i="1"/>
  <c r="BS1845" i="1"/>
  <c r="BS1846" i="1"/>
  <c r="BS1847" i="1"/>
  <c r="BS1214" i="1"/>
  <c r="BS1849" i="1"/>
  <c r="BS1933" i="1"/>
  <c r="BS1851" i="1"/>
  <c r="BS1852" i="1"/>
  <c r="BS1853" i="1"/>
  <c r="BS1854" i="1"/>
  <c r="BS1855" i="1"/>
  <c r="BS360" i="1"/>
  <c r="BS1857" i="1"/>
  <c r="BS1858" i="1"/>
  <c r="BS1940" i="1"/>
  <c r="BS1860" i="1"/>
  <c r="BS1942" i="1"/>
  <c r="BS1862" i="1"/>
  <c r="BS1863" i="1"/>
  <c r="BS315" i="1"/>
  <c r="BS1865" i="1"/>
  <c r="BS1948" i="1"/>
  <c r="BS239" i="1"/>
  <c r="BS1868" i="1"/>
  <c r="BS1869" i="1"/>
  <c r="BS1870" i="1"/>
  <c r="BS1871" i="1"/>
  <c r="BS1872" i="1"/>
  <c r="BS1873" i="1"/>
  <c r="BS1874" i="1"/>
  <c r="BS1232" i="1"/>
  <c r="BS1876" i="1"/>
  <c r="BS1877" i="1"/>
  <c r="BS1255" i="1"/>
  <c r="BS1949" i="1"/>
  <c r="BS573" i="1"/>
  <c r="BS1269" i="1"/>
  <c r="BS1882" i="1"/>
  <c r="BS1883" i="1"/>
  <c r="BS1884" i="1"/>
  <c r="BS1885" i="1"/>
  <c r="BS1886" i="1"/>
  <c r="BS1887" i="1"/>
  <c r="BS1888" i="1"/>
  <c r="BS1954" i="1"/>
  <c r="BS1890" i="1"/>
  <c r="BS1964" i="1"/>
  <c r="BS1892" i="1"/>
  <c r="BS1893" i="1"/>
  <c r="BS1985" i="1"/>
  <c r="BS1895" i="1"/>
  <c r="BS643" i="1"/>
  <c r="BS1991" i="1"/>
  <c r="BS1898" i="1"/>
  <c r="BS1899" i="1"/>
  <c r="BS1900" i="1"/>
  <c r="BS1901" i="1"/>
  <c r="BS1999" i="1"/>
  <c r="BS2001" i="1"/>
  <c r="BS1904" i="1"/>
  <c r="BS1905" i="1"/>
  <c r="BS1906" i="1"/>
  <c r="BS1907" i="1"/>
  <c r="BS1908" i="1"/>
  <c r="BS1909" i="1"/>
  <c r="BS1910" i="1"/>
  <c r="BS1911" i="1"/>
  <c r="BS2014" i="1"/>
  <c r="BS1913" i="1"/>
  <c r="BS1914" i="1"/>
  <c r="BS1915" i="1"/>
  <c r="BS1916" i="1"/>
  <c r="BS1917" i="1"/>
  <c r="BS1918" i="1"/>
  <c r="BS1919" i="1"/>
  <c r="BS1920" i="1"/>
  <c r="BS2024" i="1"/>
  <c r="BS1922" i="1"/>
  <c r="BS1923" i="1"/>
  <c r="BS1924" i="1"/>
  <c r="BS1925" i="1"/>
  <c r="BS1926" i="1"/>
  <c r="BS1155" i="1"/>
  <c r="BS2028" i="1"/>
  <c r="BS1929" i="1"/>
  <c r="BS1930" i="1"/>
  <c r="BS1931" i="1"/>
  <c r="BS1932" i="1"/>
  <c r="BS2037" i="1"/>
  <c r="BS1934" i="1"/>
  <c r="BS1935" i="1"/>
  <c r="BS1936" i="1"/>
  <c r="BS1937" i="1"/>
  <c r="BS1938" i="1"/>
  <c r="BS1939" i="1"/>
  <c r="BS2042" i="1"/>
  <c r="BS1941" i="1"/>
  <c r="BS2045" i="1"/>
  <c r="BS1943" i="1"/>
  <c r="BS1944" i="1"/>
  <c r="BS1945" i="1"/>
  <c r="BS1946" i="1"/>
  <c r="BS1947" i="1"/>
  <c r="BS2049" i="1"/>
  <c r="BS2055" i="1"/>
  <c r="BS1950" i="1"/>
  <c r="BS1951" i="1"/>
  <c r="BS1952" i="1"/>
  <c r="BS1953" i="1"/>
  <c r="BS1094" i="1"/>
  <c r="BS1955" i="1"/>
  <c r="BS1956" i="1"/>
  <c r="BS1957" i="1"/>
  <c r="BS1958" i="1"/>
  <c r="BS1959" i="1"/>
  <c r="BS1960" i="1"/>
  <c r="BS1961" i="1"/>
  <c r="BS1962" i="1"/>
  <c r="BS17" i="1"/>
  <c r="BS2057" i="1"/>
  <c r="BS1965" i="1"/>
  <c r="BS1966" i="1"/>
  <c r="BS1967" i="1"/>
  <c r="BS1968" i="1"/>
  <c r="BS1969" i="1"/>
  <c r="BS1970" i="1"/>
  <c r="BS1971" i="1"/>
  <c r="BS1972" i="1"/>
  <c r="BS1973" i="1"/>
  <c r="BS1974" i="1"/>
  <c r="BS1975" i="1"/>
  <c r="BS1976" i="1"/>
  <c r="BS1977" i="1"/>
  <c r="BS1978" i="1"/>
  <c r="BS1979" i="1"/>
  <c r="BS1980" i="1"/>
  <c r="BS1981" i="1"/>
  <c r="BS1982" i="1"/>
  <c r="BS1983" i="1"/>
  <c r="BS1984" i="1"/>
  <c r="BS2059" i="1"/>
  <c r="BS1986" i="1"/>
  <c r="BS1987" i="1"/>
  <c r="BS1988" i="1"/>
  <c r="BS1989" i="1"/>
  <c r="BS1990" i="1"/>
  <c r="BS2061" i="1"/>
  <c r="BS1992" i="1"/>
  <c r="BS1993" i="1"/>
  <c r="BS1994" i="1"/>
  <c r="BS1995" i="1"/>
  <c r="BS1996" i="1"/>
  <c r="BS1997" i="1"/>
  <c r="BS1998" i="1"/>
  <c r="BS2069" i="1"/>
  <c r="BS2000" i="1"/>
  <c r="BS2072" i="1"/>
  <c r="BS2002" i="1"/>
  <c r="BS2003" i="1"/>
  <c r="BS2004" i="1"/>
  <c r="BS2005" i="1"/>
  <c r="BS2006" i="1"/>
  <c r="BS2007" i="1"/>
  <c r="BS2008" i="1"/>
  <c r="BS2009" i="1"/>
  <c r="BS2010" i="1"/>
  <c r="BS2011" i="1"/>
  <c r="BS2012" i="1"/>
  <c r="BS2013" i="1"/>
  <c r="BS2077" i="1"/>
  <c r="BS2015" i="1"/>
  <c r="BS2016" i="1"/>
  <c r="BS2017" i="1"/>
  <c r="BS2018" i="1"/>
  <c r="BS2019" i="1"/>
  <c r="BS2020" i="1"/>
  <c r="BS2021" i="1"/>
  <c r="BS2022" i="1"/>
  <c r="BS2023" i="1"/>
  <c r="BS286" i="1"/>
  <c r="BS2025" i="1"/>
  <c r="BS2026" i="1"/>
  <c r="BS2027" i="1"/>
  <c r="BS2078" i="1"/>
  <c r="BS2029" i="1"/>
  <c r="BS2030" i="1"/>
  <c r="BS2031" i="1"/>
  <c r="BS2032" i="1"/>
  <c r="BS2033" i="1"/>
  <c r="BS2034" i="1"/>
  <c r="BS2035" i="1"/>
  <c r="BS2036" i="1"/>
  <c r="BS2088" i="1"/>
  <c r="BS2038" i="1"/>
  <c r="BS2039" i="1"/>
  <c r="BS2040" i="1"/>
  <c r="BS2041" i="1"/>
  <c r="BS523" i="1"/>
  <c r="BS2043" i="1"/>
  <c r="BS2044" i="1"/>
  <c r="BS2089" i="1"/>
  <c r="BS2046" i="1"/>
  <c r="BS2047" i="1"/>
  <c r="BS2048" i="1"/>
  <c r="BS1198" i="1"/>
  <c r="BS2050" i="1"/>
  <c r="BS2051" i="1"/>
  <c r="BS2052" i="1"/>
  <c r="BS2053" i="1"/>
  <c r="BS2054" i="1"/>
  <c r="BS2093" i="1"/>
  <c r="BS2056" i="1"/>
  <c r="BS388" i="1"/>
  <c r="BS2058" i="1"/>
  <c r="BS390" i="1"/>
  <c r="BS2060" i="1"/>
  <c r="BS2099" i="1"/>
  <c r="BS2062" i="1"/>
  <c r="BS2063" i="1"/>
  <c r="BS2064" i="1"/>
  <c r="BS2065" i="1"/>
  <c r="BS2066" i="1"/>
  <c r="BS2067" i="1"/>
  <c r="BS2068" i="1"/>
  <c r="BS2112" i="1"/>
  <c r="BS2070" i="1"/>
  <c r="BS2071" i="1"/>
  <c r="BS2118" i="1"/>
  <c r="BS2073" i="1"/>
  <c r="BS2074" i="1"/>
  <c r="BS2075" i="1"/>
  <c r="BS2076" i="1"/>
  <c r="BS2122" i="1"/>
  <c r="BS1158" i="1"/>
  <c r="BS2079" i="1"/>
  <c r="BS2080" i="1"/>
  <c r="BS2081" i="1"/>
  <c r="BS2082" i="1"/>
  <c r="BS2083" i="1"/>
  <c r="BS2084" i="1"/>
  <c r="BS2085" i="1"/>
  <c r="BS2086" i="1"/>
  <c r="BS2087" i="1"/>
  <c r="BS2159" i="1"/>
  <c r="BS2166" i="1"/>
  <c r="BS2090" i="1"/>
  <c r="BS2091" i="1"/>
  <c r="BS2092" i="1"/>
  <c r="BS1056" i="1"/>
  <c r="BS2094" i="1"/>
  <c r="BS2095" i="1"/>
  <c r="BS2096" i="1"/>
  <c r="BS2097" i="1"/>
  <c r="BS2098" i="1"/>
  <c r="BS2171" i="1"/>
  <c r="BS2100" i="1"/>
  <c r="BS2101" i="1"/>
  <c r="BS2102" i="1"/>
  <c r="BS2103" i="1"/>
  <c r="BS2104" i="1"/>
  <c r="BS2105" i="1"/>
  <c r="BS2106" i="1"/>
  <c r="BS2107" i="1"/>
  <c r="BS2108" i="1"/>
  <c r="BS2109" i="1"/>
  <c r="BS2110" i="1"/>
  <c r="BS2111" i="1"/>
  <c r="BS2176" i="1"/>
  <c r="BS2113" i="1"/>
  <c r="BS2114" i="1"/>
  <c r="BS2115" i="1"/>
  <c r="BS2116" i="1"/>
  <c r="BS2117" i="1"/>
  <c r="BS2180" i="1"/>
  <c r="BS2119" i="1"/>
  <c r="BS2120" i="1"/>
  <c r="BS2121" i="1"/>
  <c r="BS2181" i="1"/>
  <c r="BS2123" i="1"/>
  <c r="BS2124" i="1"/>
  <c r="BS2125" i="1"/>
  <c r="BS2126" i="1"/>
  <c r="BS2127" i="1"/>
  <c r="BS2128" i="1"/>
  <c r="BS2129" i="1"/>
  <c r="BS2130" i="1"/>
  <c r="BS2131" i="1"/>
  <c r="BS2132" i="1"/>
  <c r="BS2133" i="1"/>
  <c r="BS2134" i="1"/>
  <c r="BS2135" i="1"/>
  <c r="BS2136" i="1"/>
  <c r="BS2137" i="1"/>
  <c r="BS2138" i="1"/>
  <c r="BS2139" i="1"/>
  <c r="BS2140" i="1"/>
  <c r="BS2141" i="1"/>
  <c r="BS2142" i="1"/>
  <c r="BS2143" i="1"/>
  <c r="BS2144" i="1"/>
  <c r="BS2145" i="1"/>
  <c r="BS2146" i="1"/>
  <c r="BS2147" i="1"/>
  <c r="BS2148" i="1"/>
  <c r="BS2149" i="1"/>
  <c r="BS2150" i="1"/>
  <c r="BS2151" i="1"/>
  <c r="BS2152" i="1"/>
  <c r="BS2153" i="1"/>
  <c r="BS2154" i="1"/>
  <c r="BS2155" i="1"/>
  <c r="BS2156" i="1"/>
  <c r="BS2157" i="1"/>
  <c r="BS2158" i="1"/>
  <c r="BS2182" i="1"/>
  <c r="BS2160" i="1"/>
  <c r="BS2161" i="1"/>
  <c r="BS2162" i="1"/>
  <c r="BS2163" i="1"/>
  <c r="BS2164" i="1"/>
  <c r="BS2165" i="1"/>
  <c r="BS2183" i="1"/>
  <c r="BS2167" i="1"/>
  <c r="BS2168" i="1"/>
  <c r="BS2169" i="1"/>
  <c r="BS2170" i="1"/>
  <c r="BS2189" i="1"/>
  <c r="BS2172" i="1"/>
  <c r="BS2173" i="1"/>
  <c r="BS2174" i="1"/>
  <c r="BS2175" i="1"/>
  <c r="BS479" i="1"/>
  <c r="BS2177" i="1"/>
  <c r="BS2178" i="1"/>
  <c r="BS2179" i="1"/>
  <c r="BS2201" i="1"/>
  <c r="BS2214" i="1"/>
  <c r="BS125" i="1"/>
  <c r="BS2226" i="1"/>
  <c r="BS2184" i="1"/>
  <c r="BS2185" i="1"/>
  <c r="BS2186" i="1"/>
  <c r="BS2187" i="1"/>
  <c r="BS2188" i="1"/>
  <c r="BS2229" i="1"/>
  <c r="BS2190" i="1"/>
  <c r="BS2191" i="1"/>
  <c r="BS2192" i="1"/>
  <c r="BS2193" i="1"/>
  <c r="BS2194" i="1"/>
  <c r="BS2195" i="1"/>
  <c r="BS2196" i="1"/>
  <c r="BS2197" i="1"/>
  <c r="BS2198" i="1"/>
  <c r="BS2199" i="1"/>
  <c r="BS2200" i="1"/>
  <c r="BS544" i="1"/>
  <c r="BS2202" i="1"/>
  <c r="BS2203" i="1"/>
  <c r="BS2204" i="1"/>
  <c r="BS2205" i="1"/>
  <c r="BS2206" i="1"/>
  <c r="BS2207" i="1"/>
  <c r="BS2208" i="1"/>
  <c r="BS2209" i="1"/>
  <c r="BS2210" i="1"/>
  <c r="BS2211" i="1"/>
  <c r="BS2212" i="1"/>
  <c r="BS2213" i="1"/>
  <c r="BS2255" i="1"/>
  <c r="BS2215" i="1"/>
  <c r="BS2216" i="1"/>
  <c r="BS2217" i="1"/>
  <c r="BS2218" i="1"/>
  <c r="BS2219" i="1"/>
  <c r="BS2220" i="1"/>
  <c r="BS2221" i="1"/>
  <c r="BS2222" i="1"/>
  <c r="BS2223" i="1"/>
  <c r="BS2224" i="1"/>
  <c r="BS2225" i="1"/>
  <c r="BS2272" i="1"/>
  <c r="BS2227" i="1"/>
  <c r="BS2228" i="1"/>
  <c r="BS2277" i="1"/>
  <c r="BS2230" i="1"/>
  <c r="BS2231" i="1"/>
  <c r="BS2232" i="1"/>
  <c r="BS2233" i="1"/>
  <c r="BS2234" i="1"/>
  <c r="BS2235" i="1"/>
  <c r="BS2236" i="1"/>
  <c r="BS2237" i="1"/>
  <c r="BS2238" i="1"/>
  <c r="BS2239" i="1"/>
  <c r="BS2240" i="1"/>
  <c r="BS2241" i="1"/>
  <c r="BS2242" i="1"/>
  <c r="BS2243" i="1"/>
  <c r="BS13" i="1"/>
  <c r="BS2245" i="1"/>
  <c r="BS2246" i="1"/>
  <c r="BS2247" i="1"/>
  <c r="BS2248" i="1"/>
  <c r="BS2249" i="1"/>
  <c r="BS2250" i="1"/>
  <c r="BS2251" i="1"/>
  <c r="BS2252" i="1"/>
  <c r="BS2253" i="1"/>
  <c r="BS2254" i="1"/>
  <c r="BS2288" i="1"/>
  <c r="BS2256" i="1"/>
  <c r="BS2257" i="1"/>
  <c r="BS2258" i="1"/>
  <c r="BS2259" i="1"/>
  <c r="BS2260" i="1"/>
  <c r="BS2261" i="1"/>
  <c r="BS2262" i="1"/>
  <c r="BS2263" i="1"/>
  <c r="BS2264" i="1"/>
  <c r="BS2265" i="1"/>
  <c r="BS2266" i="1"/>
  <c r="BS2267" i="1"/>
  <c r="BS2268" i="1"/>
  <c r="BS2269" i="1"/>
  <c r="BS2270" i="1"/>
  <c r="BS2271" i="1"/>
  <c r="BS188" i="1"/>
  <c r="BS2273" i="1"/>
  <c r="BS2274" i="1"/>
  <c r="BS2275" i="1"/>
  <c r="BS2276" i="1"/>
  <c r="BS197" i="1"/>
  <c r="BS2278" i="1"/>
  <c r="BS2279" i="1"/>
  <c r="BS2280" i="1"/>
  <c r="BS2281" i="1"/>
  <c r="BS2282" i="1"/>
  <c r="BS2283" i="1"/>
  <c r="BS2284" i="1"/>
  <c r="BS2285" i="1"/>
  <c r="BS2286" i="1"/>
  <c r="BS2287" i="1"/>
  <c r="BS2325" i="1"/>
  <c r="BS2289" i="1"/>
  <c r="BS2290" i="1"/>
  <c r="BS2291" i="1"/>
  <c r="BS2292" i="1"/>
  <c r="BS2293" i="1"/>
  <c r="BS2294" i="1"/>
  <c r="BS2295" i="1"/>
  <c r="BS2296" i="1"/>
  <c r="BS2297" i="1"/>
  <c r="BS2298" i="1"/>
  <c r="BS2299" i="1"/>
  <c r="BS2300" i="1"/>
  <c r="BS2301" i="1"/>
  <c r="BS2302" i="1"/>
  <c r="BS2303" i="1"/>
  <c r="BS2304" i="1"/>
  <c r="BS2305" i="1"/>
  <c r="BS2306" i="1"/>
  <c r="BS2307" i="1"/>
  <c r="BS2308" i="1"/>
  <c r="BS2309" i="1"/>
  <c r="BS2310" i="1"/>
  <c r="BS2311" i="1"/>
  <c r="BS2312" i="1"/>
  <c r="BS2313" i="1"/>
  <c r="BS2314" i="1"/>
  <c r="BS2315" i="1"/>
  <c r="BS2316" i="1"/>
  <c r="BS2317" i="1"/>
  <c r="BS2318" i="1"/>
  <c r="BS2319" i="1"/>
  <c r="BS2320" i="1"/>
  <c r="BS2321" i="1"/>
  <c r="BS2322" i="1"/>
  <c r="BS2323" i="1"/>
  <c r="BS2324" i="1"/>
  <c r="BS107" i="1"/>
  <c r="BS2326" i="1"/>
  <c r="BS2327" i="1"/>
  <c r="BS2328" i="1"/>
  <c r="BS2329" i="1"/>
  <c r="BS2330" i="1"/>
  <c r="BS2331" i="1"/>
  <c r="BS2332" i="1"/>
  <c r="BS2333" i="1"/>
  <c r="BS2334" i="1"/>
  <c r="BS2335" i="1"/>
  <c r="BS2336" i="1"/>
  <c r="BS2337" i="1"/>
  <c r="BS2338" i="1"/>
  <c r="BS2339" i="1"/>
  <c r="BS2340" i="1"/>
  <c r="BS60" i="1"/>
  <c r="BS23" i="1"/>
  <c r="T2246" i="1" l="1"/>
  <c r="U2191" i="1"/>
  <c r="U2174" i="1"/>
  <c r="W2161" i="1"/>
  <c r="T2072" i="1"/>
  <c r="W2061" i="1"/>
  <c r="W1859" i="1"/>
  <c r="U1718" i="1"/>
  <c r="W1479" i="1"/>
  <c r="W1225" i="1"/>
  <c r="T1220" i="1"/>
  <c r="W1213" i="1"/>
  <c r="V1165" i="1"/>
  <c r="W1145" i="1"/>
  <c r="W1125" i="1"/>
  <c r="W1119" i="1"/>
  <c r="T916" i="1"/>
  <c r="W909" i="1"/>
  <c r="T836" i="1"/>
  <c r="V769" i="1"/>
  <c r="U765" i="1"/>
  <c r="W643" i="1"/>
  <c r="V66" i="1"/>
  <c r="T43" i="1"/>
  <c r="U2210" i="1"/>
  <c r="U2178" i="1"/>
  <c r="W2094" i="1"/>
  <c r="W2078" i="1"/>
  <c r="U2061" i="1"/>
  <c r="U1954" i="1"/>
  <c r="W1932" i="1"/>
  <c r="U1886" i="1"/>
  <c r="W1880" i="1"/>
  <c r="W1801" i="1"/>
  <c r="W1764" i="1"/>
  <c r="W1672" i="1"/>
  <c r="W1593" i="1"/>
  <c r="W22" i="1"/>
  <c r="W1257" i="1"/>
  <c r="W1244" i="1"/>
  <c r="U1225" i="1"/>
  <c r="T1213" i="1"/>
  <c r="T1165" i="1"/>
  <c r="W1061" i="1"/>
  <c r="W878" i="1"/>
  <c r="W780" i="1"/>
  <c r="X780" i="1" s="1"/>
  <c r="Y780" i="1" s="1"/>
  <c r="W728" i="1"/>
  <c r="W696" i="1"/>
  <c r="W668" i="1"/>
  <c r="U511" i="1"/>
  <c r="U439" i="1"/>
  <c r="W348" i="1"/>
  <c r="U336" i="1"/>
  <c r="U285" i="1"/>
  <c r="T163" i="1"/>
  <c r="W156" i="1"/>
  <c r="W135" i="1"/>
  <c r="T72" i="1"/>
  <c r="V14" i="1"/>
  <c r="T2284" i="1"/>
  <c r="T2270" i="1"/>
  <c r="W2230" i="1"/>
  <c r="W2184" i="1"/>
  <c r="T2178" i="1"/>
  <c r="T2132" i="1"/>
  <c r="V2094" i="1"/>
  <c r="W2090" i="1"/>
  <c r="U2065" i="1"/>
  <c r="V2050" i="1"/>
  <c r="T2006" i="1"/>
  <c r="W1898" i="1"/>
  <c r="T1737" i="1"/>
  <c r="W1717" i="1"/>
  <c r="V1690" i="1"/>
  <c r="V1633" i="1"/>
  <c r="W1563" i="1"/>
  <c r="W1535" i="1"/>
  <c r="V22" i="1"/>
  <c r="V1402" i="1"/>
  <c r="V1381" i="1"/>
  <c r="W1353" i="1"/>
  <c r="W1305" i="1"/>
  <c r="W1236" i="1"/>
  <c r="U1205" i="1"/>
  <c r="U1061" i="1"/>
  <c r="W959" i="1"/>
  <c r="U921" i="1"/>
  <c r="V892" i="1"/>
  <c r="T820" i="1"/>
  <c r="W792" i="1"/>
  <c r="U780" i="1"/>
  <c r="U696" i="1"/>
  <c r="V668" i="1"/>
  <c r="W647" i="1"/>
  <c r="U546" i="1"/>
  <c r="W531" i="1"/>
  <c r="W495" i="1"/>
  <c r="W368" i="1"/>
  <c r="V348" i="1"/>
  <c r="W290" i="1"/>
  <c r="U2094" i="1"/>
  <c r="U2090" i="1"/>
  <c r="X2090" i="1" s="1"/>
  <c r="Y2090" i="1" s="1"/>
  <c r="V2060" i="1"/>
  <c r="V1986" i="1"/>
  <c r="T1942" i="1"/>
  <c r="T1932" i="1"/>
  <c r="U1898" i="1"/>
  <c r="T1857" i="1"/>
  <c r="W1785" i="1"/>
  <c r="W1709" i="1"/>
  <c r="U1633" i="1"/>
  <c r="W1627" i="1"/>
  <c r="W1584" i="1"/>
  <c r="V1512" i="1"/>
  <c r="V1414" i="1"/>
  <c r="V1353" i="1"/>
  <c r="V1305" i="1"/>
  <c r="W1277" i="1"/>
  <c r="V1249" i="1"/>
  <c r="U1236" i="1"/>
  <c r="T1065" i="1"/>
  <c r="W1031" i="1"/>
  <c r="W971" i="1"/>
  <c r="W964" i="1"/>
  <c r="T959" i="1"/>
  <c r="U933" i="1"/>
  <c r="W805" i="1"/>
  <c r="U792" i="1"/>
  <c r="T780" i="1"/>
  <c r="W748" i="1"/>
  <c r="W707" i="1"/>
  <c r="V531" i="1"/>
  <c r="V495" i="1"/>
  <c r="V443" i="1"/>
  <c r="W423" i="1"/>
  <c r="W352" i="1"/>
  <c r="T276" i="1"/>
  <c r="W103" i="1"/>
  <c r="T42" i="1"/>
  <c r="U67" i="1"/>
  <c r="W2302" i="1"/>
  <c r="W2262" i="1"/>
  <c r="T2208" i="1"/>
  <c r="W2164" i="1"/>
  <c r="U2158" i="1"/>
  <c r="W2116" i="1"/>
  <c r="U2097" i="1"/>
  <c r="T2090" i="1"/>
  <c r="T2070" i="1"/>
  <c r="T2060" i="1"/>
  <c r="X2060" i="1" s="1"/>
  <c r="Y2060" i="1" s="1"/>
  <c r="U2018" i="1"/>
  <c r="T1898" i="1"/>
  <c r="U1721" i="1"/>
  <c r="U1709" i="1"/>
  <c r="W1689" i="1"/>
  <c r="T1540" i="1"/>
  <c r="W1440" i="1"/>
  <c r="T1353" i="1"/>
  <c r="W1127" i="1"/>
  <c r="W1122" i="1"/>
  <c r="U1070" i="1"/>
  <c r="W1053" i="1"/>
  <c r="U964" i="1"/>
  <c r="V945" i="1"/>
  <c r="V861" i="1"/>
  <c r="U805" i="1"/>
  <c r="W767" i="1"/>
  <c r="T720" i="1"/>
  <c r="T707" i="1"/>
  <c r="W700" i="1"/>
  <c r="T667" i="1"/>
  <c r="W622" i="1"/>
  <c r="T531" i="1"/>
  <c r="X531" i="1" s="1"/>
  <c r="Y531" i="1" s="1"/>
  <c r="U495" i="1"/>
  <c r="W397" i="1"/>
  <c r="U352" i="1"/>
  <c r="W268" i="1"/>
  <c r="V212" i="1"/>
  <c r="W182" i="1"/>
  <c r="W167" i="1"/>
  <c r="U103" i="1"/>
  <c r="W53" i="1"/>
  <c r="W62" i="1"/>
  <c r="W2328" i="1"/>
  <c r="V2192" i="1"/>
  <c r="U2175" i="1"/>
  <c r="U2157" i="1"/>
  <c r="U1701" i="1"/>
  <c r="W1688" i="1"/>
  <c r="W1445" i="1"/>
  <c r="W1423" i="1"/>
  <c r="U1405" i="1"/>
  <c r="W1281" i="1"/>
  <c r="V1226" i="1"/>
  <c r="W1188" i="1"/>
  <c r="V1181" i="1"/>
  <c r="T1132" i="1"/>
  <c r="V1126" i="1"/>
  <c r="W1069" i="1"/>
  <c r="W1021" i="1"/>
  <c r="T823" i="1"/>
  <c r="W770" i="1"/>
  <c r="T760" i="1"/>
  <c r="W441" i="1"/>
  <c r="T415" i="1"/>
  <c r="T232" i="1"/>
  <c r="U8" i="1"/>
  <c r="U2340" i="1"/>
  <c r="U2328" i="1"/>
  <c r="V2314" i="1"/>
  <c r="T2292" i="1"/>
  <c r="V2246" i="1"/>
  <c r="V2240" i="1"/>
  <c r="T2052" i="1"/>
  <c r="T1996" i="1"/>
  <c r="U1933" i="1"/>
  <c r="T1924" i="1"/>
  <c r="V1881" i="1"/>
  <c r="W1817" i="1"/>
  <c r="V1810" i="1"/>
  <c r="W1745" i="1"/>
  <c r="W1673" i="1"/>
  <c r="T1625" i="1"/>
  <c r="W1581" i="1"/>
  <c r="V1559" i="1"/>
  <c r="V1377" i="1"/>
  <c r="W1314" i="1"/>
  <c r="W1307" i="1"/>
  <c r="U1220" i="1"/>
  <c r="W1165" i="1"/>
  <c r="T936" i="1"/>
  <c r="T851" i="1"/>
  <c r="U2325" i="1"/>
  <c r="W2296" i="1"/>
  <c r="U2295" i="1"/>
  <c r="W2293" i="1"/>
  <c r="U2293" i="1"/>
  <c r="U2256" i="1"/>
  <c r="T2256" i="1"/>
  <c r="T2248" i="1"/>
  <c r="V2296" i="1"/>
  <c r="T2258" i="1"/>
  <c r="U2258" i="1"/>
  <c r="W2326" i="1"/>
  <c r="W2320" i="1"/>
  <c r="X2320" i="1" s="1"/>
  <c r="Y2320" i="1" s="1"/>
  <c r="U2317" i="1"/>
  <c r="V2304" i="1"/>
  <c r="T2296" i="1"/>
  <c r="U2294" i="1"/>
  <c r="U2286" i="1"/>
  <c r="T2286" i="1"/>
  <c r="W2266" i="1"/>
  <c r="T2238" i="1"/>
  <c r="W2238" i="1"/>
  <c r="W2234" i="1"/>
  <c r="U2231" i="1"/>
  <c r="U2229" i="1"/>
  <c r="W2209" i="1"/>
  <c r="U2288" i="1"/>
  <c r="T2288" i="1"/>
  <c r="T2194" i="1"/>
  <c r="V1601" i="1"/>
  <c r="V1597" i="1"/>
  <c r="V1574" i="1"/>
  <c r="V1525" i="1"/>
  <c r="U1525" i="1"/>
  <c r="U1522" i="1"/>
  <c r="T1522" i="1"/>
  <c r="V1493" i="1"/>
  <c r="W1493" i="1"/>
  <c r="V1486" i="1"/>
  <c r="U1486" i="1"/>
  <c r="U1472" i="1"/>
  <c r="V1472" i="1"/>
  <c r="V1966" i="1"/>
  <c r="V1922" i="1"/>
  <c r="W1889" i="1"/>
  <c r="W1872" i="1"/>
  <c r="V1869" i="1"/>
  <c r="V1854" i="1"/>
  <c r="W1851" i="1"/>
  <c r="U1841" i="1"/>
  <c r="V1797" i="1"/>
  <c r="V1785" i="1"/>
  <c r="W1762" i="1"/>
  <c r="V1749" i="1"/>
  <c r="V1730" i="1"/>
  <c r="W1728" i="1"/>
  <c r="W1721" i="1"/>
  <c r="V1701" i="1"/>
  <c r="W1657" i="1"/>
  <c r="U1622" i="1"/>
  <c r="W1620" i="1"/>
  <c r="V1610" i="1"/>
  <c r="U1601" i="1"/>
  <c r="T1597" i="1"/>
  <c r="V1575" i="1"/>
  <c r="U1574" i="1"/>
  <c r="W1572" i="1"/>
  <c r="U1537" i="1"/>
  <c r="U1528" i="1"/>
  <c r="X1528" i="1" s="1"/>
  <c r="T1528" i="1"/>
  <c r="U1524" i="1"/>
  <c r="T1524" i="1"/>
  <c r="U1504" i="1"/>
  <c r="T1504" i="1"/>
  <c r="W1504" i="1"/>
  <c r="U1488" i="1"/>
  <c r="V1488" i="1"/>
  <c r="T1475" i="1"/>
  <c r="W1475" i="1"/>
  <c r="W1379" i="1"/>
  <c r="T1379" i="1"/>
  <c r="V1349" i="1"/>
  <c r="U1349" i="1"/>
  <c r="W2046" i="1"/>
  <c r="W2014" i="1"/>
  <c r="W1970" i="1"/>
  <c r="U1966" i="1"/>
  <c r="X1966" i="1" s="1"/>
  <c r="W1906" i="1"/>
  <c r="U1785" i="1"/>
  <c r="V1348" i="1"/>
  <c r="U1348" i="1"/>
  <c r="W2246" i="1"/>
  <c r="T2204" i="1"/>
  <c r="V2198" i="1"/>
  <c r="W2192" i="1"/>
  <c r="W2178" i="1"/>
  <c r="V2174" i="1"/>
  <c r="U2154" i="1"/>
  <c r="T2148" i="1"/>
  <c r="U2141" i="1"/>
  <c r="T2134" i="1"/>
  <c r="W2129" i="1"/>
  <c r="U2106" i="1"/>
  <c r="U2082" i="1"/>
  <c r="W2060" i="1"/>
  <c r="W2034" i="1"/>
  <c r="W2030" i="1"/>
  <c r="X2030" i="1" s="1"/>
  <c r="Y2030" i="1" s="1"/>
  <c r="T2026" i="1"/>
  <c r="T2008" i="1"/>
  <c r="V1996" i="1"/>
  <c r="T1988" i="1"/>
  <c r="W1982" i="1"/>
  <c r="U1970" i="1"/>
  <c r="U1937" i="1"/>
  <c r="U1906" i="1"/>
  <c r="U1890" i="1"/>
  <c r="V1888" i="1"/>
  <c r="T1873" i="1"/>
  <c r="W1857" i="1"/>
  <c r="T1848" i="1"/>
  <c r="W1831" i="1"/>
  <c r="V1798" i="1"/>
  <c r="T1796" i="1"/>
  <c r="U1766" i="1"/>
  <c r="V1750" i="1"/>
  <c r="T1748" i="1"/>
  <c r="W1737" i="1"/>
  <c r="T1721" i="1"/>
  <c r="W1718" i="1"/>
  <c r="U1717" i="1"/>
  <c r="W1714" i="1"/>
  <c r="W1705" i="1"/>
  <c r="V1658" i="1"/>
  <c r="W1656" i="1"/>
  <c r="W1653" i="1"/>
  <c r="V1623" i="1"/>
  <c r="W1597" i="1"/>
  <c r="W1579" i="1"/>
  <c r="W1574" i="1"/>
  <c r="W1573" i="1"/>
  <c r="T1561" i="1"/>
  <c r="V1546" i="1"/>
  <c r="V1538" i="1"/>
  <c r="V1522" i="1"/>
  <c r="V1505" i="1"/>
  <c r="U1505" i="1"/>
  <c r="W1486" i="1"/>
  <c r="V1454" i="1"/>
  <c r="W1454" i="1"/>
  <c r="V1388" i="1"/>
  <c r="U1388" i="1"/>
  <c r="W1241" i="1"/>
  <c r="V841" i="1"/>
  <c r="V420" i="1"/>
  <c r="W399" i="1"/>
  <c r="U368" i="1"/>
  <c r="V322" i="1"/>
  <c r="U312" i="1"/>
  <c r="V292" i="1"/>
  <c r="W146" i="1"/>
  <c r="W133" i="1"/>
  <c r="W123" i="1"/>
  <c r="W111" i="1"/>
  <c r="V108" i="1"/>
  <c r="W99" i="1"/>
  <c r="X99" i="1" s="1"/>
  <c r="Y99" i="1" s="1"/>
  <c r="V8" i="1"/>
  <c r="T82" i="1"/>
  <c r="W66" i="1"/>
  <c r="T14" i="1"/>
  <c r="V53" i="1"/>
  <c r="V42" i="1"/>
  <c r="W47" i="1"/>
  <c r="W67" i="1"/>
  <c r="X67" i="1" s="1"/>
  <c r="Y67" i="1" s="1"/>
  <c r="V62" i="1"/>
  <c r="W1340" i="1"/>
  <c r="W1316" i="1"/>
  <c r="W1273" i="1"/>
  <c r="W1249" i="1"/>
  <c r="U1241" i="1"/>
  <c r="T1225" i="1"/>
  <c r="X1225" i="1" s="1"/>
  <c r="Y1225" i="1" s="1"/>
  <c r="U1213" i="1"/>
  <c r="X1213" i="1" s="1"/>
  <c r="Y1213" i="1" s="1"/>
  <c r="W1207" i="1"/>
  <c r="W1205" i="1"/>
  <c r="W1186" i="1"/>
  <c r="V1162" i="1"/>
  <c r="V1130" i="1"/>
  <c r="W1117" i="1"/>
  <c r="U1069" i="1"/>
  <c r="V1066" i="1"/>
  <c r="U1040" i="1"/>
  <c r="W1023" i="1"/>
  <c r="V971" i="1"/>
  <c r="W948" i="1"/>
  <c r="U944" i="1"/>
  <c r="W925" i="1"/>
  <c r="T922" i="1"/>
  <c r="U917" i="1"/>
  <c r="V893" i="1"/>
  <c r="U892" i="1"/>
  <c r="W873" i="1"/>
  <c r="W861" i="1"/>
  <c r="V845" i="1"/>
  <c r="T842" i="1"/>
  <c r="U841" i="1"/>
  <c r="U800" i="1"/>
  <c r="V797" i="1"/>
  <c r="W772" i="1"/>
  <c r="T739" i="1"/>
  <c r="V696" i="1"/>
  <c r="W680" i="1"/>
  <c r="V677" i="1"/>
  <c r="W655" i="1"/>
  <c r="W612" i="1"/>
  <c r="W595" i="1"/>
  <c r="U574" i="1"/>
  <c r="V564" i="1"/>
  <c r="U555" i="1"/>
  <c r="W523" i="1"/>
  <c r="W507" i="1"/>
  <c r="W504" i="1"/>
  <c r="U478" i="1"/>
  <c r="W467" i="1"/>
  <c r="W443" i="1"/>
  <c r="U420" i="1"/>
  <c r="V399" i="1"/>
  <c r="U386" i="1"/>
  <c r="W376" i="1"/>
  <c r="T368" i="1"/>
  <c r="V352" i="1"/>
  <c r="W340" i="1"/>
  <c r="T322" i="1"/>
  <c r="T312" i="1"/>
  <c r="U292" i="1"/>
  <c r="V290" i="1"/>
  <c r="V288" i="1"/>
  <c r="U236" i="1"/>
  <c r="U123" i="1"/>
  <c r="V99" i="1"/>
  <c r="U47" i="1"/>
  <c r="W1309" i="1"/>
  <c r="V1117" i="1"/>
  <c r="U971" i="1"/>
  <c r="W877" i="1"/>
  <c r="V873" i="1"/>
  <c r="W712" i="1"/>
  <c r="W692" i="1"/>
  <c r="V655" i="1"/>
  <c r="V523" i="1"/>
  <c r="V507" i="1"/>
  <c r="W505" i="1"/>
  <c r="V489" i="1"/>
  <c r="W487" i="1"/>
  <c r="V467" i="1"/>
  <c r="W256" i="1"/>
  <c r="V244" i="1"/>
  <c r="T236" i="1"/>
  <c r="T226" i="1"/>
  <c r="V216" i="1"/>
  <c r="W199" i="1"/>
  <c r="V184" i="1"/>
  <c r="V163" i="1"/>
  <c r="T147" i="1"/>
  <c r="T123" i="1"/>
  <c r="U99" i="1"/>
  <c r="T47" i="1"/>
  <c r="T67" i="1"/>
  <c r="V1345" i="1"/>
  <c r="V1309" i="1"/>
  <c r="W1283" i="1"/>
  <c r="V1281" i="1"/>
  <c r="W1268" i="1"/>
  <c r="W1259" i="1"/>
  <c r="U1257" i="1"/>
  <c r="W1157" i="1"/>
  <c r="U1134" i="1"/>
  <c r="T1117" i="1"/>
  <c r="W1065" i="1"/>
  <c r="V1061" i="1"/>
  <c r="W1007" i="1"/>
  <c r="W993" i="1"/>
  <c r="V921" i="1"/>
  <c r="W916" i="1"/>
  <c r="W892" i="1"/>
  <c r="V877" i="1"/>
  <c r="T874" i="1"/>
  <c r="U873" i="1"/>
  <c r="W841" i="1"/>
  <c r="T826" i="1"/>
  <c r="U801" i="1"/>
  <c r="W758" i="1"/>
  <c r="U712" i="1"/>
  <c r="W693" i="1"/>
  <c r="U692" i="1"/>
  <c r="X692" i="1" s="1"/>
  <c r="W672" i="1"/>
  <c r="W659" i="1"/>
  <c r="U656" i="1"/>
  <c r="T655" i="1"/>
  <c r="U606" i="1"/>
  <c r="W569" i="1"/>
  <c r="T523" i="1"/>
  <c r="T507" i="1"/>
  <c r="V505" i="1"/>
  <c r="V503" i="1"/>
  <c r="T489" i="1"/>
  <c r="V487" i="1"/>
  <c r="U467" i="1"/>
  <c r="T443" i="1"/>
  <c r="V441" i="1"/>
  <c r="W425" i="1"/>
  <c r="X425" i="1" s="1"/>
  <c r="U395" i="1"/>
  <c r="W381" i="1"/>
  <c r="U364" i="1"/>
  <c r="V317" i="1"/>
  <c r="W312" i="1"/>
  <c r="W292" i="1"/>
  <c r="W1902" i="1"/>
  <c r="V1446" i="1"/>
  <c r="W1446" i="1"/>
  <c r="T1310" i="1"/>
  <c r="W1310" i="1"/>
  <c r="T1173" i="1"/>
  <c r="U1173" i="1"/>
  <c r="U1161" i="1"/>
  <c r="V1161" i="1"/>
  <c r="W1161" i="1"/>
  <c r="T1149" i="1"/>
  <c r="U1149" i="1"/>
  <c r="V1133" i="1"/>
  <c r="U1133" i="1"/>
  <c r="W1133" i="1"/>
  <c r="U1085" i="1"/>
  <c r="V1085" i="1"/>
  <c r="W951" i="1"/>
  <c r="T951" i="1"/>
  <c r="T937" i="1"/>
  <c r="V937" i="1"/>
  <c r="T724" i="1"/>
  <c r="U724" i="1"/>
  <c r="W724" i="1"/>
  <c r="V575" i="1"/>
  <c r="W575" i="1"/>
  <c r="U559" i="1"/>
  <c r="T559" i="1"/>
  <c r="V559" i="1"/>
  <c r="W559" i="1"/>
  <c r="T536" i="1"/>
  <c r="W536" i="1"/>
  <c r="V451" i="1"/>
  <c r="W451" i="1"/>
  <c r="T431" i="1"/>
  <c r="U431" i="1"/>
  <c r="V431" i="1"/>
  <c r="W431" i="1"/>
  <c r="T387" i="1"/>
  <c r="V387" i="1"/>
  <c r="V249" i="1"/>
  <c r="U249" i="1"/>
  <c r="V215" i="1"/>
  <c r="W215" i="1"/>
  <c r="T183" i="1"/>
  <c r="V183" i="1"/>
  <c r="W183" i="1"/>
  <c r="T168" i="1"/>
  <c r="W168" i="1"/>
  <c r="T152" i="1"/>
  <c r="W152" i="1"/>
  <c r="V2320" i="1"/>
  <c r="X2178" i="1"/>
  <c r="W2000" i="1"/>
  <c r="V1902" i="1"/>
  <c r="W1845" i="1"/>
  <c r="V1801" i="1"/>
  <c r="W1781" i="1"/>
  <c r="V1685" i="1"/>
  <c r="V1669" i="1"/>
  <c r="V1653" i="1"/>
  <c r="W1613" i="1"/>
  <c r="W1549" i="1"/>
  <c r="W1514" i="1"/>
  <c r="W1502" i="1"/>
  <c r="T1486" i="1"/>
  <c r="X1486" i="1" s="1"/>
  <c r="U1460" i="1"/>
  <c r="V1460" i="1"/>
  <c r="T1418" i="1"/>
  <c r="W1418" i="1"/>
  <c r="U1393" i="1"/>
  <c r="V1393" i="1"/>
  <c r="W1393" i="1"/>
  <c r="T1346" i="1"/>
  <c r="W1346" i="1"/>
  <c r="U1101" i="1"/>
  <c r="X1101" i="1" s="1"/>
  <c r="T1101" i="1"/>
  <c r="V1101" i="1"/>
  <c r="V1024" i="1"/>
  <c r="U1024" i="1"/>
  <c r="U977" i="1"/>
  <c r="T977" i="1"/>
  <c r="V977" i="1"/>
  <c r="T940" i="1"/>
  <c r="U940" i="1"/>
  <c r="V940" i="1"/>
  <c r="V928" i="1"/>
  <c r="T928" i="1"/>
  <c r="U928" i="1"/>
  <c r="T915" i="1"/>
  <c r="W915" i="1"/>
  <c r="U872" i="1"/>
  <c r="V872" i="1"/>
  <c r="T788" i="1"/>
  <c r="U788" i="1"/>
  <c r="V776" i="1"/>
  <c r="U776" i="1"/>
  <c r="U768" i="1"/>
  <c r="V768" i="1"/>
  <c r="W768" i="1"/>
  <c r="V757" i="1"/>
  <c r="U757" i="1"/>
  <c r="V749" i="1"/>
  <c r="W749" i="1"/>
  <c r="U732" i="1"/>
  <c r="W732" i="1"/>
  <c r="U691" i="1"/>
  <c r="W691" i="1"/>
  <c r="U671" i="1"/>
  <c r="T671" i="1"/>
  <c r="T654" i="1"/>
  <c r="W654" i="1"/>
  <c r="W623" i="1"/>
  <c r="V623" i="1"/>
  <c r="V558" i="1"/>
  <c r="T558" i="1"/>
  <c r="U558" i="1"/>
  <c r="W558" i="1"/>
  <c r="T539" i="1"/>
  <c r="U539" i="1"/>
  <c r="W539" i="1"/>
  <c r="T440" i="1"/>
  <c r="V440" i="1"/>
  <c r="W440" i="1"/>
  <c r="V390" i="1"/>
  <c r="U390" i="1"/>
  <c r="W390" i="1"/>
  <c r="V332" i="1"/>
  <c r="W332" i="1"/>
  <c r="T316" i="1"/>
  <c r="V316" i="1"/>
  <c r="W316" i="1"/>
  <c r="T272" i="1"/>
  <c r="U272" i="1"/>
  <c r="V272" i="1"/>
  <c r="W272" i="1"/>
  <c r="T248" i="1"/>
  <c r="U248" i="1"/>
  <c r="V248" i="1"/>
  <c r="W248" i="1"/>
  <c r="T11" i="1"/>
  <c r="W11" i="1"/>
  <c r="T200" i="1"/>
  <c r="V200" i="1"/>
  <c r="W200" i="1"/>
  <c r="T175" i="1"/>
  <c r="W175" i="1"/>
  <c r="V171" i="1"/>
  <c r="W171" i="1"/>
  <c r="V89" i="1"/>
  <c r="W89" i="1"/>
  <c r="U1438" i="1"/>
  <c r="V1438" i="1"/>
  <c r="T1197" i="1"/>
  <c r="V1197" i="1"/>
  <c r="W1197" i="1"/>
  <c r="W26" i="1"/>
  <c r="W2340" i="1"/>
  <c r="U2320" i="1"/>
  <c r="W2318" i="1"/>
  <c r="X2296" i="1"/>
  <c r="W2294" i="1"/>
  <c r="X2294" i="1" s="1"/>
  <c r="W2288" i="1"/>
  <c r="X2288" i="1" s="1"/>
  <c r="W2210" i="1"/>
  <c r="W2190" i="1"/>
  <c r="W2183" i="1"/>
  <c r="W2150" i="1"/>
  <c r="W2126" i="1"/>
  <c r="W2120" i="1"/>
  <c r="W2109" i="1"/>
  <c r="X2094" i="1"/>
  <c r="W2064" i="1"/>
  <c r="V2000" i="1"/>
  <c r="W1936" i="1"/>
  <c r="W1918" i="1"/>
  <c r="U1902" i="1"/>
  <c r="X1902" i="1" s="1"/>
  <c r="X1898" i="1"/>
  <c r="Y1898" i="1" s="1"/>
  <c r="W1873" i="1"/>
  <c r="X1873" i="1" s="1"/>
  <c r="V1857" i="1"/>
  <c r="V1845" i="1"/>
  <c r="W1834" i="1"/>
  <c r="W1830" i="1"/>
  <c r="W1818" i="1"/>
  <c r="U1801" i="1"/>
  <c r="W1782" i="1"/>
  <c r="X1782" i="1" s="1"/>
  <c r="V1781" i="1"/>
  <c r="W1765" i="1"/>
  <c r="V1737" i="1"/>
  <c r="W1706" i="1"/>
  <c r="U1685" i="1"/>
  <c r="W1677" i="1"/>
  <c r="U1669" i="1"/>
  <c r="U1653" i="1"/>
  <c r="X1653" i="1" s="1"/>
  <c r="Y1653" i="1" s="1"/>
  <c r="W1645" i="1"/>
  <c r="V1613" i="1"/>
  <c r="W1594" i="1"/>
  <c r="W1585" i="1"/>
  <c r="W1558" i="1"/>
  <c r="V1549" i="1"/>
  <c r="W1537" i="1"/>
  <c r="V1528" i="1"/>
  <c r="W1524" i="1"/>
  <c r="V1502" i="1"/>
  <c r="W1490" i="1"/>
  <c r="U1476" i="1"/>
  <c r="V1476" i="1"/>
  <c r="W1476" i="1"/>
  <c r="T1474" i="1"/>
  <c r="W1474" i="1"/>
  <c r="X1474" i="1" s="1"/>
  <c r="T1463" i="1"/>
  <c r="W1463" i="1"/>
  <c r="V1441" i="1"/>
  <c r="U1441" i="1"/>
  <c r="W1438" i="1"/>
  <c r="T1395" i="1"/>
  <c r="W1395" i="1"/>
  <c r="T1381" i="1"/>
  <c r="X1381" i="1" s="1"/>
  <c r="Y1381" i="1" s="1"/>
  <c r="U1381" i="1"/>
  <c r="W1366" i="1"/>
  <c r="V1366" i="1"/>
  <c r="U1337" i="1"/>
  <c r="X1337" i="1" s="1"/>
  <c r="Y1337" i="1" s="1"/>
  <c r="V1337" i="1"/>
  <c r="U1321" i="1"/>
  <c r="W1321" i="1"/>
  <c r="V1300" i="1"/>
  <c r="U1300" i="1"/>
  <c r="X1300" i="1" s="1"/>
  <c r="W1300" i="1"/>
  <c r="T1280" i="1"/>
  <c r="U1280" i="1"/>
  <c r="U1189" i="1"/>
  <c r="T1189" i="1"/>
  <c r="V1189" i="1"/>
  <c r="T1181" i="1"/>
  <c r="U1181" i="1"/>
  <c r="W1173" i="1"/>
  <c r="W1149" i="1"/>
  <c r="U1093" i="1"/>
  <c r="X1093" i="1" s="1"/>
  <c r="Y1093" i="1" s="1"/>
  <c r="T1093" i="1"/>
  <c r="V1093" i="1"/>
  <c r="W1085" i="1"/>
  <c r="U1077" i="1"/>
  <c r="X1077" i="1" s="1"/>
  <c r="Y1077" i="1" s="1"/>
  <c r="V1077" i="1"/>
  <c r="W1077" i="1"/>
  <c r="V1068" i="1"/>
  <c r="T1068" i="1"/>
  <c r="V1027" i="1"/>
  <c r="T1027" i="1"/>
  <c r="W1027" i="1"/>
  <c r="V880" i="1"/>
  <c r="U880" i="1"/>
  <c r="T825" i="1"/>
  <c r="W825" i="1"/>
  <c r="U816" i="1"/>
  <c r="W816" i="1"/>
  <c r="W793" i="1"/>
  <c r="U793" i="1"/>
  <c r="W779" i="1"/>
  <c r="T779" i="1"/>
  <c r="W1685" i="1"/>
  <c r="W1669" i="1"/>
  <c r="V1457" i="1"/>
  <c r="U1457" i="1"/>
  <c r="T1385" i="1"/>
  <c r="U1385" i="1"/>
  <c r="V1385" i="1"/>
  <c r="V1380" i="1"/>
  <c r="T1380" i="1"/>
  <c r="U1380" i="1"/>
  <c r="V1368" i="1"/>
  <c r="W1368" i="1"/>
  <c r="T1344" i="1"/>
  <c r="U1344" i="1"/>
  <c r="U1039" i="1"/>
  <c r="T1039" i="1"/>
  <c r="V1039" i="1"/>
  <c r="T901" i="1"/>
  <c r="U901" i="1"/>
  <c r="V798" i="1"/>
  <c r="W798" i="1"/>
  <c r="V782" i="1"/>
  <c r="W782" i="1"/>
  <c r="W773" i="1"/>
  <c r="U773" i="1"/>
  <c r="U621" i="1"/>
  <c r="V621" i="1"/>
  <c r="V494" i="1"/>
  <c r="U494" i="1"/>
  <c r="T403" i="1"/>
  <c r="U403" i="1"/>
  <c r="T356" i="1"/>
  <c r="W356" i="1"/>
  <c r="V295" i="1"/>
  <c r="U295" i="1"/>
  <c r="W295" i="1"/>
  <c r="T115" i="1"/>
  <c r="W115" i="1"/>
  <c r="V49" i="1"/>
  <c r="U49" i="1"/>
  <c r="W49" i="1"/>
  <c r="U26" i="1"/>
  <c r="V2340" i="1"/>
  <c r="T2332" i="1"/>
  <c r="V2318" i="1"/>
  <c r="V2310" i="1"/>
  <c r="V2294" i="1"/>
  <c r="V2288" i="1"/>
  <c r="W2286" i="1"/>
  <c r="X2286" i="1" s="1"/>
  <c r="U2285" i="1"/>
  <c r="V2280" i="1"/>
  <c r="W2258" i="1"/>
  <c r="V2236" i="1"/>
  <c r="W2226" i="1"/>
  <c r="W2220" i="1"/>
  <c r="V2210" i="1"/>
  <c r="U2190" i="1"/>
  <c r="V2180" i="1"/>
  <c r="W2174" i="1"/>
  <c r="X2174" i="1" s="1"/>
  <c r="Y2174" i="1" s="1"/>
  <c r="V2150" i="1"/>
  <c r="W2148" i="1"/>
  <c r="X2148" i="1" s="1"/>
  <c r="U2146" i="1"/>
  <c r="W2136" i="1"/>
  <c r="T2126" i="1"/>
  <c r="T2120" i="1"/>
  <c r="W2107" i="1"/>
  <c r="W2096" i="1"/>
  <c r="X2096" i="1" s="1"/>
  <c r="T2074" i="1"/>
  <c r="T2064" i="1"/>
  <c r="W2026" i="1"/>
  <c r="U2001" i="1"/>
  <c r="T2000" i="1"/>
  <c r="W1996" i="1"/>
  <c r="W1962" i="1"/>
  <c r="T1946" i="1"/>
  <c r="T1936" i="1"/>
  <c r="U1918" i="1"/>
  <c r="V1894" i="1"/>
  <c r="W1886" i="1"/>
  <c r="V1873" i="1"/>
  <c r="W1861" i="1"/>
  <c r="V1853" i="1"/>
  <c r="V1846" i="1"/>
  <c r="T1845" i="1"/>
  <c r="W1841" i="1"/>
  <c r="V1834" i="1"/>
  <c r="U1830" i="1"/>
  <c r="V1818" i="1"/>
  <c r="W1805" i="1"/>
  <c r="V1794" i="1"/>
  <c r="W1792" i="1"/>
  <c r="U1782" i="1"/>
  <c r="U1781" i="1"/>
  <c r="W1766" i="1"/>
  <c r="U1765" i="1"/>
  <c r="X1765" i="1" s="1"/>
  <c r="W1746" i="1"/>
  <c r="T1732" i="1"/>
  <c r="W1716" i="1"/>
  <c r="V1706" i="1"/>
  <c r="W1704" i="1"/>
  <c r="W1690" i="1"/>
  <c r="W1682" i="1"/>
  <c r="U1677" i="1"/>
  <c r="W1674" i="1"/>
  <c r="W1650" i="1"/>
  <c r="U1645" i="1"/>
  <c r="W1642" i="1"/>
  <c r="W1633" i="1"/>
  <c r="W1629" i="1"/>
  <c r="W1622" i="1"/>
  <c r="T1613" i="1"/>
  <c r="X1613" i="1" s="1"/>
  <c r="Y1613" i="1" s="1"/>
  <c r="W1610" i="1"/>
  <c r="W1601" i="1"/>
  <c r="V1594" i="1"/>
  <c r="U1585" i="1"/>
  <c r="X1585" i="1" s="1"/>
  <c r="U1558" i="1"/>
  <c r="W1556" i="1"/>
  <c r="T1549" i="1"/>
  <c r="W1546" i="1"/>
  <c r="V1537" i="1"/>
  <c r="V1524" i="1"/>
  <c r="W1522" i="1"/>
  <c r="W1515" i="1"/>
  <c r="T1502" i="1"/>
  <c r="U1490" i="1"/>
  <c r="U1444" i="1"/>
  <c r="W1444" i="1"/>
  <c r="T1438" i="1"/>
  <c r="W1401" i="1"/>
  <c r="V1392" i="1"/>
  <c r="U1392" i="1"/>
  <c r="X1392" i="1" s="1"/>
  <c r="Y1392" i="1" s="1"/>
  <c r="W1392" i="1"/>
  <c r="W1385" i="1"/>
  <c r="W1380" i="1"/>
  <c r="T1368" i="1"/>
  <c r="T1341" i="1"/>
  <c r="V1341" i="1"/>
  <c r="V1317" i="1"/>
  <c r="T1317" i="1"/>
  <c r="W1317" i="1"/>
  <c r="V1284" i="1"/>
  <c r="T1284" i="1"/>
  <c r="W1284" i="1"/>
  <c r="V1221" i="1"/>
  <c r="U1221" i="1"/>
  <c r="W1221" i="1"/>
  <c r="V1173" i="1"/>
  <c r="U1166" i="1"/>
  <c r="X1165" i="1"/>
  <c r="V1164" i="1"/>
  <c r="W1164" i="1"/>
  <c r="T1161" i="1"/>
  <c r="V1149" i="1"/>
  <c r="V1141" i="1"/>
  <c r="W1141" i="1"/>
  <c r="U1129" i="1"/>
  <c r="V1129" i="1"/>
  <c r="W1129" i="1"/>
  <c r="W1109" i="1"/>
  <c r="T1085" i="1"/>
  <c r="W1039" i="1"/>
  <c r="V985" i="1"/>
  <c r="V926" i="1"/>
  <c r="W926" i="1"/>
  <c r="X916" i="1"/>
  <c r="U824" i="1"/>
  <c r="T824" i="1"/>
  <c r="X824" i="1" s="1"/>
  <c r="W824" i="1"/>
  <c r="T796" i="1"/>
  <c r="U796" i="1"/>
  <c r="V761" i="1"/>
  <c r="W761" i="1"/>
  <c r="T755" i="1"/>
  <c r="W755" i="1"/>
  <c r="V744" i="1"/>
  <c r="U744" i="1"/>
  <c r="W744" i="1"/>
  <c r="T728" i="1"/>
  <c r="U728" i="1"/>
  <c r="X728" i="1" s="1"/>
  <c r="Y728" i="1" s="1"/>
  <c r="T725" i="1"/>
  <c r="W725" i="1"/>
  <c r="W1473" i="1"/>
  <c r="T1456" i="1"/>
  <c r="X1456" i="1" s="1"/>
  <c r="U1454" i="1"/>
  <c r="T1440" i="1"/>
  <c r="V1423" i="1"/>
  <c r="T1405" i="1"/>
  <c r="X1405" i="1" s="1"/>
  <c r="Y1405" i="1" s="1"/>
  <c r="T1316" i="1"/>
  <c r="V1314" i="1"/>
  <c r="T1305" i="1"/>
  <c r="V1278" i="1"/>
  <c r="T1268" i="1"/>
  <c r="T1257" i="1"/>
  <c r="W1245" i="1"/>
  <c r="T1241" i="1"/>
  <c r="X1241" i="1" s="1"/>
  <c r="Y1241" i="1" s="1"/>
  <c r="V1230" i="1"/>
  <c r="W1227" i="1"/>
  <c r="V1185" i="1"/>
  <c r="W1095" i="1"/>
  <c r="W1087" i="1"/>
  <c r="W1049" i="1"/>
  <c r="U1023" i="1"/>
  <c r="V1009" i="1"/>
  <c r="T993" i="1"/>
  <c r="V968" i="1"/>
  <c r="U965" i="1"/>
  <c r="U955" i="1"/>
  <c r="T948" i="1"/>
  <c r="W814" i="1"/>
  <c r="T772" i="1"/>
  <c r="U716" i="1"/>
  <c r="W716" i="1"/>
  <c r="T660" i="1"/>
  <c r="U660" i="1"/>
  <c r="W660" i="1"/>
  <c r="X660" i="1" s="1"/>
  <c r="T634" i="1"/>
  <c r="W634" i="1"/>
  <c r="U567" i="1"/>
  <c r="T567" i="1"/>
  <c r="V567" i="1"/>
  <c r="W567" i="1"/>
  <c r="V414" i="1"/>
  <c r="T414" i="1"/>
  <c r="T362" i="1"/>
  <c r="W362" i="1"/>
  <c r="U354" i="1"/>
  <c r="T354" i="1"/>
  <c r="X354" i="1" s="1"/>
  <c r="W354" i="1"/>
  <c r="T264" i="1"/>
  <c r="W264" i="1"/>
  <c r="U132" i="1"/>
  <c r="V132" i="1"/>
  <c r="U78" i="1"/>
  <c r="T78" i="1"/>
  <c r="V78" i="1"/>
  <c r="W921" i="1"/>
  <c r="T676" i="1"/>
  <c r="V676" i="1"/>
  <c r="V637" i="1"/>
  <c r="W637" i="1"/>
  <c r="U573" i="1"/>
  <c r="W573" i="1"/>
  <c r="U563" i="1"/>
  <c r="V563" i="1"/>
  <c r="W419" i="1"/>
  <c r="V419" i="1"/>
  <c r="U385" i="1"/>
  <c r="W385" i="1"/>
  <c r="V311" i="1"/>
  <c r="U311" i="1"/>
  <c r="V195" i="1"/>
  <c r="W195" i="1"/>
  <c r="W177" i="1"/>
  <c r="V177" i="1"/>
  <c r="U173" i="1"/>
  <c r="T173" i="1"/>
  <c r="V173" i="1"/>
  <c r="U612" i="1"/>
  <c r="V569" i="1"/>
  <c r="X523" i="1"/>
  <c r="Y523" i="1" s="1"/>
  <c r="W515" i="1"/>
  <c r="V504" i="1"/>
  <c r="U503" i="1"/>
  <c r="W500" i="1"/>
  <c r="T471" i="1"/>
  <c r="V439" i="1"/>
  <c r="W434" i="1"/>
  <c r="T425" i="1"/>
  <c r="U348" i="1"/>
  <c r="X276" i="1"/>
  <c r="T668" i="1"/>
  <c r="V648" i="1"/>
  <c r="V619" i="1"/>
  <c r="T579" i="1"/>
  <c r="T569" i="1"/>
  <c r="W551" i="1"/>
  <c r="X495" i="1"/>
  <c r="W489" i="1"/>
  <c r="X489" i="1" s="1"/>
  <c r="Y489" i="1" s="1"/>
  <c r="U487" i="1"/>
  <c r="W459" i="1"/>
  <c r="V429" i="1"/>
  <c r="V381" i="1"/>
  <c r="W375" i="1"/>
  <c r="W360" i="1"/>
  <c r="U323" i="1"/>
  <c r="V301" i="1"/>
  <c r="U288" i="1"/>
  <c r="W163" i="1"/>
  <c r="U158" i="1"/>
  <c r="W147" i="1"/>
  <c r="V141" i="1"/>
  <c r="V127" i="1"/>
  <c r="U110" i="1"/>
  <c r="T103" i="1"/>
  <c r="W72" i="1"/>
  <c r="T66" i="1"/>
  <c r="X668" i="1"/>
  <c r="W599" i="1"/>
  <c r="W584" i="1"/>
  <c r="W503" i="1"/>
  <c r="X423" i="1"/>
  <c r="Y423" i="1" s="1"/>
  <c r="W420" i="1"/>
  <c r="W395" i="1"/>
  <c r="W364" i="1"/>
  <c r="X364" i="1" s="1"/>
  <c r="W317" i="1"/>
  <c r="V285" i="1"/>
  <c r="W276" i="1"/>
  <c r="U240" i="1"/>
  <c r="X240" i="1" s="1"/>
  <c r="Y240" i="1" s="1"/>
  <c r="U232" i="1"/>
  <c r="V226" i="1"/>
  <c r="W212" i="1"/>
  <c r="U147" i="1"/>
  <c r="U146" i="1"/>
  <c r="V72" i="1"/>
  <c r="V43" i="1"/>
  <c r="U2167" i="1"/>
  <c r="W2167" i="1"/>
  <c r="U2152" i="1"/>
  <c r="T2152" i="1"/>
  <c r="W2152" i="1"/>
  <c r="T2142" i="1"/>
  <c r="U2142" i="1"/>
  <c r="U2139" i="1"/>
  <c r="W2139" i="1"/>
  <c r="V2081" i="1"/>
  <c r="U2081" i="1"/>
  <c r="V2045" i="1"/>
  <c r="U2045" i="1"/>
  <c r="U2022" i="1"/>
  <c r="W2022" i="1"/>
  <c r="T2022" i="1"/>
  <c r="U2012" i="1"/>
  <c r="T2012" i="1"/>
  <c r="W2012" i="1"/>
  <c r="T2004" i="1"/>
  <c r="W2004" i="1"/>
  <c r="V1985" i="1"/>
  <c r="U1985" i="1"/>
  <c r="V1978" i="1"/>
  <c r="U1978" i="1"/>
  <c r="U1968" i="1"/>
  <c r="W1968" i="1"/>
  <c r="T1968" i="1"/>
  <c r="U1958" i="1"/>
  <c r="T1958" i="1"/>
  <c r="W1958" i="1"/>
  <c r="U1948" i="1"/>
  <c r="W1948" i="1"/>
  <c r="T1948" i="1"/>
  <c r="T1940" i="1"/>
  <c r="W1940" i="1"/>
  <c r="V1917" i="1"/>
  <c r="U1917" i="1"/>
  <c r="U1910" i="1"/>
  <c r="V1910" i="1"/>
  <c r="W1910" i="1"/>
  <c r="U1904" i="1"/>
  <c r="T1904" i="1"/>
  <c r="V1904" i="1"/>
  <c r="W1904" i="1"/>
  <c r="T1896" i="1"/>
  <c r="W1896" i="1"/>
  <c r="T1882" i="1"/>
  <c r="V1882" i="1"/>
  <c r="T1821" i="1"/>
  <c r="X1821" i="1" s="1"/>
  <c r="Y1821" i="1" s="1"/>
  <c r="U1821" i="1"/>
  <c r="V1821" i="1"/>
  <c r="T1778" i="1"/>
  <c r="V1778" i="1"/>
  <c r="W1778" i="1"/>
  <c r="T1753" i="1"/>
  <c r="U1753" i="1"/>
  <c r="V1753" i="1"/>
  <c r="T1734" i="1"/>
  <c r="U1734" i="1"/>
  <c r="V1734" i="1"/>
  <c r="W1734" i="1"/>
  <c r="T1693" i="1"/>
  <c r="U1693" i="1"/>
  <c r="V1693" i="1"/>
  <c r="U1636" i="1"/>
  <c r="W1636" i="1"/>
  <c r="U1604" i="1"/>
  <c r="W1604" i="1"/>
  <c r="V1518" i="1"/>
  <c r="T1518" i="1"/>
  <c r="U1518" i="1"/>
  <c r="W1518" i="1"/>
  <c r="V1413" i="1"/>
  <c r="W1413" i="1"/>
  <c r="W28" i="1"/>
  <c r="T26" i="1"/>
  <c r="X26" i="1" s="1"/>
  <c r="Y26" i="1" s="1"/>
  <c r="W2330" i="1"/>
  <c r="T2328" i="1"/>
  <c r="X2328" i="1" s="1"/>
  <c r="Y2328" i="1" s="1"/>
  <c r="V2326" i="1"/>
  <c r="W2322" i="1"/>
  <c r="U2321" i="1"/>
  <c r="U2315" i="1"/>
  <c r="U2314" i="1"/>
  <c r="U2310" i="1"/>
  <c r="T2308" i="1"/>
  <c r="W2305" i="1"/>
  <c r="T2304" i="1"/>
  <c r="V2302" i="1"/>
  <c r="U2301" i="1"/>
  <c r="T2280" i="1"/>
  <c r="W2278" i="1"/>
  <c r="U2277" i="1"/>
  <c r="W2272" i="1"/>
  <c r="T2262" i="1"/>
  <c r="X2258" i="1"/>
  <c r="W2250" i="1"/>
  <c r="T13" i="1"/>
  <c r="W2241" i="1"/>
  <c r="T2240" i="1"/>
  <c r="V2238" i="1"/>
  <c r="U2237" i="1"/>
  <c r="T2236" i="1"/>
  <c r="V2234" i="1"/>
  <c r="V2228" i="1"/>
  <c r="V2226" i="1"/>
  <c r="W2222" i="1"/>
  <c r="V2220" i="1"/>
  <c r="W2218" i="1"/>
  <c r="T2214" i="1"/>
  <c r="X2210" i="1"/>
  <c r="W2202" i="1"/>
  <c r="W2200" i="1"/>
  <c r="U2199" i="1"/>
  <c r="U2198" i="1"/>
  <c r="W2196" i="1"/>
  <c r="T2190" i="1"/>
  <c r="W2188" i="1"/>
  <c r="T2186" i="1"/>
  <c r="X2186" i="1" s="1"/>
  <c r="Y2186" i="1" s="1"/>
  <c r="V2184" i="1"/>
  <c r="W2180" i="1"/>
  <c r="U2151" i="1"/>
  <c r="W2151" i="1"/>
  <c r="V2114" i="1"/>
  <c r="T2114" i="1"/>
  <c r="W2114" i="1"/>
  <c r="T2098" i="1"/>
  <c r="U2098" i="1"/>
  <c r="W2098" i="1"/>
  <c r="U2086" i="1"/>
  <c r="T2086" i="1"/>
  <c r="W2086" i="1"/>
  <c r="U2076" i="1"/>
  <c r="W2076" i="1"/>
  <c r="T2076" i="1"/>
  <c r="T2068" i="1"/>
  <c r="W2068" i="1"/>
  <c r="T2062" i="1"/>
  <c r="V2062" i="1"/>
  <c r="V2049" i="1"/>
  <c r="U2049" i="1"/>
  <c r="V2042" i="1"/>
  <c r="U2042" i="1"/>
  <c r="U2032" i="1"/>
  <c r="T2032" i="1"/>
  <c r="W2032" i="1"/>
  <c r="T2024" i="1"/>
  <c r="W2024" i="1"/>
  <c r="U2016" i="1"/>
  <c r="W2016" i="1"/>
  <c r="T2016" i="1"/>
  <c r="V2014" i="1"/>
  <c r="T2014" i="1"/>
  <c r="V1998" i="1"/>
  <c r="T1998" i="1"/>
  <c r="U1980" i="1"/>
  <c r="W1980" i="1"/>
  <c r="T1980" i="1"/>
  <c r="T1960" i="1"/>
  <c r="W1960" i="1"/>
  <c r="U1952" i="1"/>
  <c r="T1952" i="1"/>
  <c r="X1952" i="1" s="1"/>
  <c r="Y1952" i="1" s="1"/>
  <c r="W1952" i="1"/>
  <c r="T1950" i="1"/>
  <c r="X1950" i="1" s="1"/>
  <c r="V1950" i="1"/>
  <c r="U1916" i="1"/>
  <c r="T1916" i="1"/>
  <c r="V1916" i="1"/>
  <c r="W1916" i="1"/>
  <c r="U1900" i="1"/>
  <c r="X1900" i="1" s="1"/>
  <c r="T1900" i="1"/>
  <c r="V1900" i="1"/>
  <c r="W1900" i="1"/>
  <c r="U1885" i="1"/>
  <c r="T1885" i="1"/>
  <c r="V1835" i="1"/>
  <c r="W1835" i="1"/>
  <c r="V1815" i="1"/>
  <c r="W1815" i="1"/>
  <c r="T1773" i="1"/>
  <c r="W1773" i="1"/>
  <c r="T1733" i="1"/>
  <c r="U1733" i="1"/>
  <c r="V1733" i="1"/>
  <c r="W1733" i="1"/>
  <c r="T1698" i="1"/>
  <c r="X1698" i="1" s="1"/>
  <c r="Y1698" i="1" s="1"/>
  <c r="V1698" i="1"/>
  <c r="W1698" i="1"/>
  <c r="V1681" i="1"/>
  <c r="W1681" i="1"/>
  <c r="U1664" i="1"/>
  <c r="W1664" i="1"/>
  <c r="T1639" i="1"/>
  <c r="V1639" i="1"/>
  <c r="W1639" i="1"/>
  <c r="T1607" i="1"/>
  <c r="V1607" i="1"/>
  <c r="W1607" i="1"/>
  <c r="U1492" i="1"/>
  <c r="V1492" i="1"/>
  <c r="W1492" i="1"/>
  <c r="V2330" i="1"/>
  <c r="V2322" i="1"/>
  <c r="U2302" i="1"/>
  <c r="X2302" i="1" s="1"/>
  <c r="W2298" i="1"/>
  <c r="V2278" i="1"/>
  <c r="V2272" i="1"/>
  <c r="X2246" i="1"/>
  <c r="U2238" i="1"/>
  <c r="U2234" i="1"/>
  <c r="X2234" i="1" s="1"/>
  <c r="W2232" i="1"/>
  <c r="U2226" i="1"/>
  <c r="X2226" i="1" s="1"/>
  <c r="V2222" i="1"/>
  <c r="V2218" i="1"/>
  <c r="V2200" i="1"/>
  <c r="V2196" i="1"/>
  <c r="V2188" i="1"/>
  <c r="W2173" i="1"/>
  <c r="V2166" i="1"/>
  <c r="W2166" i="1"/>
  <c r="T2166" i="1"/>
  <c r="V2144" i="1"/>
  <c r="W2144" i="1"/>
  <c r="T2138" i="1"/>
  <c r="U2138" i="1"/>
  <c r="W2138" i="1"/>
  <c r="X2138" i="1" s="1"/>
  <c r="Y2138" i="1" s="1"/>
  <c r="V2122" i="1"/>
  <c r="W2122" i="1"/>
  <c r="T2122" i="1"/>
  <c r="T2118" i="1"/>
  <c r="W2118" i="1"/>
  <c r="U2118" i="1"/>
  <c r="T2088" i="1"/>
  <c r="W2088" i="1"/>
  <c r="U2080" i="1"/>
  <c r="T2080" i="1"/>
  <c r="W2080" i="1"/>
  <c r="T2078" i="1"/>
  <c r="X2078" i="1" s="1"/>
  <c r="V2078" i="1"/>
  <c r="U2044" i="1"/>
  <c r="T2044" i="1"/>
  <c r="W2044" i="1"/>
  <c r="V2013" i="1"/>
  <c r="W2013" i="1"/>
  <c r="X1996" i="1"/>
  <c r="U1984" i="1"/>
  <c r="W1984" i="1"/>
  <c r="T1984" i="1"/>
  <c r="T1982" i="1"/>
  <c r="X1982" i="1" s="1"/>
  <c r="V1982" i="1"/>
  <c r="Y1982" i="1" s="1"/>
  <c r="U1974" i="1"/>
  <c r="V1974" i="1"/>
  <c r="V1969" i="1"/>
  <c r="U1969" i="1"/>
  <c r="U1964" i="1"/>
  <c r="W1964" i="1"/>
  <c r="T1964" i="1"/>
  <c r="X1962" i="1"/>
  <c r="Y1962" i="1" s="1"/>
  <c r="V1949" i="1"/>
  <c r="W1949" i="1"/>
  <c r="V1921" i="1"/>
  <c r="U1921" i="1"/>
  <c r="W1921" i="1"/>
  <c r="T1828" i="1"/>
  <c r="W1828" i="1"/>
  <c r="V1819" i="1"/>
  <c r="W1819" i="1"/>
  <c r="T1814" i="1"/>
  <c r="U1814" i="1"/>
  <c r="V1814" i="1"/>
  <c r="W1814" i="1"/>
  <c r="U1780" i="1"/>
  <c r="T1780" i="1"/>
  <c r="W1780" i="1"/>
  <c r="U1776" i="1"/>
  <c r="W1776" i="1"/>
  <c r="T1769" i="1"/>
  <c r="U1769" i="1"/>
  <c r="V1769" i="1"/>
  <c r="T1661" i="1"/>
  <c r="U1661" i="1"/>
  <c r="V1661" i="1"/>
  <c r="V1649" i="1"/>
  <c r="W1649" i="1"/>
  <c r="T1638" i="1"/>
  <c r="U1638" i="1"/>
  <c r="V1638" i="1"/>
  <c r="W1638" i="1"/>
  <c r="T1617" i="1"/>
  <c r="W1617" i="1"/>
  <c r="U1617" i="1"/>
  <c r="V1617" i="1"/>
  <c r="T1590" i="1"/>
  <c r="U1590" i="1"/>
  <c r="W1590" i="1"/>
  <c r="V1590" i="1"/>
  <c r="T1532" i="1"/>
  <c r="U1532" i="1"/>
  <c r="W1532" i="1"/>
  <c r="V1532" i="1"/>
  <c r="U1508" i="1"/>
  <c r="T1508" i="1"/>
  <c r="W1508" i="1"/>
  <c r="V1508" i="1"/>
  <c r="T27" i="1"/>
  <c r="X2340" i="1"/>
  <c r="T2334" i="1"/>
  <c r="T2330" i="1"/>
  <c r="W2325" i="1"/>
  <c r="W2323" i="1"/>
  <c r="T2322" i="1"/>
  <c r="W2315" i="1"/>
  <c r="W2314" i="1"/>
  <c r="U2313" i="1"/>
  <c r="W2310" i="1"/>
  <c r="U2309" i="1"/>
  <c r="W2304" i="1"/>
  <c r="T2300" i="1"/>
  <c r="T2298" i="1"/>
  <c r="X2298" i="1" s="1"/>
  <c r="W2282" i="1"/>
  <c r="X2282" i="1" s="1"/>
  <c r="W2280" i="1"/>
  <c r="U2279" i="1"/>
  <c r="U2278" i="1"/>
  <c r="X2278" i="1" s="1"/>
  <c r="T2276" i="1"/>
  <c r="W2273" i="1"/>
  <c r="T2272" i="1"/>
  <c r="T2264" i="1"/>
  <c r="V2258" i="1"/>
  <c r="T2254" i="1"/>
  <c r="W2251" i="1"/>
  <c r="W2240" i="1"/>
  <c r="W2236" i="1"/>
  <c r="V2232" i="1"/>
  <c r="U2223" i="1"/>
  <c r="U2222" i="1"/>
  <c r="W2219" i="1"/>
  <c r="U2218" i="1"/>
  <c r="W2215" i="1"/>
  <c r="T2206" i="1"/>
  <c r="X2202" i="1"/>
  <c r="T2200" i="1"/>
  <c r="W2198" i="1"/>
  <c r="U2197" i="1"/>
  <c r="T2196" i="1"/>
  <c r="X2196" i="1" s="1"/>
  <c r="U2189" i="1"/>
  <c r="T2188" i="1"/>
  <c r="U2181" i="1"/>
  <c r="T2168" i="1"/>
  <c r="W2168" i="1"/>
  <c r="V2152" i="1"/>
  <c r="W2143" i="1"/>
  <c r="U2143" i="1"/>
  <c r="W2119" i="1"/>
  <c r="W2112" i="1"/>
  <c r="U2092" i="1"/>
  <c r="W2092" i="1"/>
  <c r="T2092" i="1"/>
  <c r="W2081" i="1"/>
  <c r="V2077" i="1"/>
  <c r="W2077" i="1"/>
  <c r="W2062" i="1"/>
  <c r="U2048" i="1"/>
  <c r="T2048" i="1"/>
  <c r="W2048" i="1"/>
  <c r="V2046" i="1"/>
  <c r="T2046" i="1"/>
  <c r="X2046" i="1" s="1"/>
  <c r="U2038" i="1"/>
  <c r="V2038" i="1"/>
  <c r="V2033" i="1"/>
  <c r="U2033" i="1"/>
  <c r="U2028" i="1"/>
  <c r="T2028" i="1"/>
  <c r="W2028" i="1"/>
  <c r="V2022" i="1"/>
  <c r="V2017" i="1"/>
  <c r="U2017" i="1"/>
  <c r="V2012" i="1"/>
  <c r="W1998" i="1"/>
  <c r="W1985" i="1"/>
  <c r="V1981" i="1"/>
  <c r="U1981" i="1"/>
  <c r="W1978" i="1"/>
  <c r="V1968" i="1"/>
  <c r="V1958" i="1"/>
  <c r="V1953" i="1"/>
  <c r="U1953" i="1"/>
  <c r="V1948" i="1"/>
  <c r="T1934" i="1"/>
  <c r="U1934" i="1"/>
  <c r="V1934" i="1"/>
  <c r="U1920" i="1"/>
  <c r="T1920" i="1"/>
  <c r="V1920" i="1"/>
  <c r="W1920" i="1"/>
  <c r="V1914" i="1"/>
  <c r="U1914" i="1"/>
  <c r="W1914" i="1"/>
  <c r="V1905" i="1"/>
  <c r="U1905" i="1"/>
  <c r="W1905" i="1"/>
  <c r="U1865" i="1"/>
  <c r="T1865" i="1"/>
  <c r="T1849" i="1"/>
  <c r="U1849" i="1"/>
  <c r="X1849" i="1" s="1"/>
  <c r="V1849" i="1"/>
  <c r="T1837" i="1"/>
  <c r="U1837" i="1"/>
  <c r="V1837" i="1"/>
  <c r="T1825" i="1"/>
  <c r="U1825" i="1"/>
  <c r="V1825" i="1"/>
  <c r="W1821" i="1"/>
  <c r="T1813" i="1"/>
  <c r="U1813" i="1"/>
  <c r="V1813" i="1"/>
  <c r="W1813" i="1"/>
  <c r="W1753" i="1"/>
  <c r="V1713" i="1"/>
  <c r="W1713" i="1"/>
  <c r="U1696" i="1"/>
  <c r="W1696" i="1"/>
  <c r="W1693" i="1"/>
  <c r="T1666" i="1"/>
  <c r="V1666" i="1"/>
  <c r="W1666" i="1"/>
  <c r="U1552" i="1"/>
  <c r="W1552" i="1"/>
  <c r="T1547" i="1"/>
  <c r="W1547" i="1"/>
  <c r="T1511" i="1"/>
  <c r="U1511" i="1"/>
  <c r="W1511" i="1"/>
  <c r="W2158" i="1"/>
  <c r="W2154" i="1"/>
  <c r="V2148" i="1"/>
  <c r="W2146" i="1"/>
  <c r="W2130" i="1"/>
  <c r="U2126" i="1"/>
  <c r="X2126" i="1" s="1"/>
  <c r="Y2126" i="1" s="1"/>
  <c r="V2120" i="1"/>
  <c r="V2116" i="1"/>
  <c r="W2097" i="1"/>
  <c r="V2096" i="1"/>
  <c r="W2001" i="1"/>
  <c r="W1986" i="1"/>
  <c r="V1970" i="1"/>
  <c r="T1918" i="1"/>
  <c r="X1918" i="1" s="1"/>
  <c r="Y1918" i="1" s="1"/>
  <c r="T1894" i="1"/>
  <c r="U1889" i="1"/>
  <c r="T1888" i="1"/>
  <c r="T1886" i="1"/>
  <c r="W1881" i="1"/>
  <c r="W1870" i="1"/>
  <c r="V1866" i="1"/>
  <c r="U1861" i="1"/>
  <c r="X1857" i="1"/>
  <c r="U1854" i="1"/>
  <c r="U1853" i="1"/>
  <c r="T1841" i="1"/>
  <c r="X1841" i="1" s="1"/>
  <c r="Y1841" i="1" s="1"/>
  <c r="U1798" i="1"/>
  <c r="U1797" i="1"/>
  <c r="X1785" i="1"/>
  <c r="Y1785" i="1" s="1"/>
  <c r="W1777" i="1"/>
  <c r="V1766" i="1"/>
  <c r="V1765" i="1"/>
  <c r="T1764" i="1"/>
  <c r="V1762" i="1"/>
  <c r="W1760" i="1"/>
  <c r="U1750" i="1"/>
  <c r="U1749" i="1"/>
  <c r="W1732" i="1"/>
  <c r="X1732" i="1" s="1"/>
  <c r="W1730" i="1"/>
  <c r="V1718" i="1"/>
  <c r="V1717" i="1"/>
  <c r="T1716" i="1"/>
  <c r="X1716" i="1" s="1"/>
  <c r="V1714" i="1"/>
  <c r="W1712" i="1"/>
  <c r="T1709" i="1"/>
  <c r="X1701" i="1"/>
  <c r="Y1701" i="1" s="1"/>
  <c r="W1697" i="1"/>
  <c r="V1682" i="1"/>
  <c r="W1680" i="1"/>
  <c r="T1677" i="1"/>
  <c r="X1669" i="1"/>
  <c r="W1665" i="1"/>
  <c r="V1650" i="1"/>
  <c r="W1648" i="1"/>
  <c r="T1645" i="1"/>
  <c r="X1645" i="1" s="1"/>
  <c r="Y1645" i="1" s="1"/>
  <c r="W1637" i="1"/>
  <c r="U1616" i="1"/>
  <c r="W1616" i="1"/>
  <c r="T1611" i="1"/>
  <c r="W1611" i="1"/>
  <c r="T1565" i="1"/>
  <c r="V1565" i="1"/>
  <c r="T1542" i="1"/>
  <c r="U1542" i="1"/>
  <c r="X1542" i="1" s="1"/>
  <c r="Y1542" i="1" s="1"/>
  <c r="W1542" i="1"/>
  <c r="T1531" i="1"/>
  <c r="W1531" i="1"/>
  <c r="X1522" i="1"/>
  <c r="V1478" i="1"/>
  <c r="W1478" i="1"/>
  <c r="T1470" i="1"/>
  <c r="U1470" i="1"/>
  <c r="V1470" i="1"/>
  <c r="X1932" i="1"/>
  <c r="X1717" i="1"/>
  <c r="V1629" i="1"/>
  <c r="T1629" i="1"/>
  <c r="X1629" i="1" s="1"/>
  <c r="T1606" i="1"/>
  <c r="W1606" i="1"/>
  <c r="U1606" i="1"/>
  <c r="X1606" i="1" s="1"/>
  <c r="Y1606" i="1" s="1"/>
  <c r="T1595" i="1"/>
  <c r="W1595" i="1"/>
  <c r="T1591" i="1"/>
  <c r="V1591" i="1"/>
  <c r="U1588" i="1"/>
  <c r="W1588" i="1"/>
  <c r="T1581" i="1"/>
  <c r="X1581" i="1" s="1"/>
  <c r="V1581" i="1"/>
  <c r="T1562" i="1"/>
  <c r="V1562" i="1"/>
  <c r="V1541" i="1"/>
  <c r="W1541" i="1"/>
  <c r="T1526" i="1"/>
  <c r="W1526" i="1"/>
  <c r="V1509" i="1"/>
  <c r="W1509" i="1"/>
  <c r="V1489" i="1"/>
  <c r="U1489" i="1"/>
  <c r="T1443" i="1"/>
  <c r="W1443" i="1"/>
  <c r="T1434" i="1"/>
  <c r="V1434" i="1"/>
  <c r="W1434" i="1"/>
  <c r="W2170" i="1"/>
  <c r="W2065" i="1"/>
  <c r="V2064" i="1"/>
  <c r="W2050" i="1"/>
  <c r="V2034" i="1"/>
  <c r="U2026" i="1"/>
  <c r="X2026" i="1" s="1"/>
  <c r="Y2026" i="1" s="1"/>
  <c r="W1997" i="1"/>
  <c r="W1937" i="1"/>
  <c r="V1936" i="1"/>
  <c r="W1922" i="1"/>
  <c r="V1906" i="1"/>
  <c r="W1894" i="1"/>
  <c r="W1888" i="1"/>
  <c r="X1888" i="1" s="1"/>
  <c r="W1869" i="1"/>
  <c r="W1854" i="1"/>
  <c r="W1853" i="1"/>
  <c r="V1830" i="1"/>
  <c r="W1810" i="1"/>
  <c r="W1798" i="1"/>
  <c r="W1797" i="1"/>
  <c r="W1796" i="1"/>
  <c r="X1796" i="1" s="1"/>
  <c r="W1794" i="1"/>
  <c r="V1782" i="1"/>
  <c r="W1750" i="1"/>
  <c r="W1749" i="1"/>
  <c r="W1748" i="1"/>
  <c r="X1748" i="1" s="1"/>
  <c r="X1721" i="1"/>
  <c r="Y1721" i="1" s="1"/>
  <c r="X1685" i="1"/>
  <c r="Y1685" i="1" s="1"/>
  <c r="W1658" i="1"/>
  <c r="T1626" i="1"/>
  <c r="V1626" i="1"/>
  <c r="V1605" i="1"/>
  <c r="W1605" i="1"/>
  <c r="T1578" i="1"/>
  <c r="V1578" i="1"/>
  <c r="T1569" i="1"/>
  <c r="W1569" i="1"/>
  <c r="U1569" i="1"/>
  <c r="W1565" i="1"/>
  <c r="T1553" i="1"/>
  <c r="U1553" i="1"/>
  <c r="W1553" i="1"/>
  <c r="T1543" i="1"/>
  <c r="V1543" i="1"/>
  <c r="T1506" i="1"/>
  <c r="W1506" i="1"/>
  <c r="U1506" i="1"/>
  <c r="X1502" i="1"/>
  <c r="T1495" i="1"/>
  <c r="W1495" i="1"/>
  <c r="T1482" i="1"/>
  <c r="W1482" i="1"/>
  <c r="V1461" i="1"/>
  <c r="W1461" i="1"/>
  <c r="T1458" i="1"/>
  <c r="U1458" i="1"/>
  <c r="V1458" i="1"/>
  <c r="W1458" i="1"/>
  <c r="T1442" i="1"/>
  <c r="U1442" i="1"/>
  <c r="V1442" i="1"/>
  <c r="W1442" i="1"/>
  <c r="W1402" i="1"/>
  <c r="V1398" i="1"/>
  <c r="W1389" i="1"/>
  <c r="W1388" i="1"/>
  <c r="W1375" i="1"/>
  <c r="T1373" i="1"/>
  <c r="U1368" i="1"/>
  <c r="T1361" i="1"/>
  <c r="X1361" i="1" s="1"/>
  <c r="T1360" i="1"/>
  <c r="U1352" i="1"/>
  <c r="W1349" i="1"/>
  <c r="W1348" i="1"/>
  <c r="W1345" i="1"/>
  <c r="W1341" i="1"/>
  <c r="T1332" i="1"/>
  <c r="V1330" i="1"/>
  <c r="T1321" i="1"/>
  <c r="U1317" i="1"/>
  <c r="U1316" i="1"/>
  <c r="X1316" i="1" s="1"/>
  <c r="Y1316" i="1" s="1"/>
  <c r="V1313" i="1"/>
  <c r="W1291" i="1"/>
  <c r="T1289" i="1"/>
  <c r="X1289" i="1" s="1"/>
  <c r="W1276" i="1"/>
  <c r="T1273" i="1"/>
  <c r="X1273" i="1" s="1"/>
  <c r="V1262" i="1"/>
  <c r="V1258" i="1"/>
  <c r="X1257" i="1"/>
  <c r="Y1257" i="1" s="1"/>
  <c r="U1253" i="1"/>
  <c r="T1252" i="1"/>
  <c r="U1248" i="1"/>
  <c r="V1246" i="1"/>
  <c r="W1230" i="1"/>
  <c r="W1226" i="1"/>
  <c r="W1224" i="1"/>
  <c r="U1214" i="1"/>
  <c r="T1212" i="1"/>
  <c r="V1210" i="1"/>
  <c r="T1209" i="1"/>
  <c r="V1205" i="1"/>
  <c r="V1190" i="1"/>
  <c r="W1185" i="1"/>
  <c r="T1177" i="1"/>
  <c r="W1175" i="1"/>
  <c r="W1159" i="1"/>
  <c r="T1157" i="1"/>
  <c r="X1157" i="1" s="1"/>
  <c r="W1623" i="1"/>
  <c r="V1622" i="1"/>
  <c r="V1585" i="1"/>
  <c r="W1575" i="1"/>
  <c r="W1525" i="1"/>
  <c r="V1490" i="1"/>
  <c r="T1488" i="1"/>
  <c r="W1477" i="1"/>
  <c r="V1474" i="1"/>
  <c r="U1473" i="1"/>
  <c r="T1472" i="1"/>
  <c r="W1460" i="1"/>
  <c r="W1457" i="1"/>
  <c r="V1456" i="1"/>
  <c r="T1454" i="1"/>
  <c r="W1447" i="1"/>
  <c r="V1444" i="1"/>
  <c r="W1441" i="1"/>
  <c r="V1440" i="1"/>
  <c r="W1433" i="1"/>
  <c r="U22" i="1"/>
  <c r="X22" i="1" s="1"/>
  <c r="Y22" i="1" s="1"/>
  <c r="W1409" i="1"/>
  <c r="W1407" i="1"/>
  <c r="V1389" i="1"/>
  <c r="X1205" i="1"/>
  <c r="T1141" i="1"/>
  <c r="T1133" i="1"/>
  <c r="X1133" i="1" s="1"/>
  <c r="Y1133" i="1" s="1"/>
  <c r="V1125" i="1"/>
  <c r="W1124" i="1"/>
  <c r="V1109" i="1"/>
  <c r="W1105" i="1"/>
  <c r="W1097" i="1"/>
  <c r="V1089" i="1"/>
  <c r="T1069" i="1"/>
  <c r="X1069" i="1" s="1"/>
  <c r="Y1069" i="1" s="1"/>
  <c r="U1047" i="1"/>
  <c r="W1047" i="1"/>
  <c r="V1045" i="1"/>
  <c r="T1045" i="1"/>
  <c r="W1036" i="1"/>
  <c r="U1036" i="1"/>
  <c r="V1430" i="1"/>
  <c r="V1407" i="1"/>
  <c r="U1389" i="1"/>
  <c r="W1363" i="1"/>
  <c r="V1361" i="1"/>
  <c r="W1360" i="1"/>
  <c r="T1349" i="1"/>
  <c r="T1348" i="1"/>
  <c r="V1346" i="1"/>
  <c r="W1342" i="1"/>
  <c r="W1332" i="1"/>
  <c r="V1321" i="1"/>
  <c r="U1312" i="1"/>
  <c r="V1310" i="1"/>
  <c r="W1294" i="1"/>
  <c r="W1290" i="1"/>
  <c r="V1289" i="1"/>
  <c r="W1288" i="1"/>
  <c r="W1285" i="1"/>
  <c r="U1284" i="1"/>
  <c r="W1278" i="1"/>
  <c r="V1277" i="1"/>
  <c r="W1275" i="1"/>
  <c r="V1273" i="1"/>
  <c r="X1268" i="1"/>
  <c r="Y1268" i="1" s="1"/>
  <c r="W1252" i="1"/>
  <c r="W1217" i="1"/>
  <c r="W1209" i="1"/>
  <c r="U1197" i="1"/>
  <c r="X1197" i="1" s="1"/>
  <c r="Y1197" i="1" s="1"/>
  <c r="V1158" i="1"/>
  <c r="V1157" i="1"/>
  <c r="W1156" i="1"/>
  <c r="W1154" i="1"/>
  <c r="W1137" i="1"/>
  <c r="U1125" i="1"/>
  <c r="V1121" i="1"/>
  <c r="U1109" i="1"/>
  <c r="V1102" i="1"/>
  <c r="W1100" i="1"/>
  <c r="W1098" i="1"/>
  <c r="V1097" i="1"/>
  <c r="V1053" i="1"/>
  <c r="T1053" i="1"/>
  <c r="X1053" i="1" s="1"/>
  <c r="U1033" i="1"/>
  <c r="T1033" i="1"/>
  <c r="W1033" i="1"/>
  <c r="U1025" i="1"/>
  <c r="T1025" i="1"/>
  <c r="W1025" i="1"/>
  <c r="U1017" i="1"/>
  <c r="T1017" i="1"/>
  <c r="W1017" i="1"/>
  <c r="W1559" i="1"/>
  <c r="V1558" i="1"/>
  <c r="W1538" i="1"/>
  <c r="W1512" i="1"/>
  <c r="X1490" i="1"/>
  <c r="W1488" i="1"/>
  <c r="W1472" i="1"/>
  <c r="X1472" i="1" s="1"/>
  <c r="X1438" i="1"/>
  <c r="U1360" i="1"/>
  <c r="U1332" i="1"/>
  <c r="W1330" i="1"/>
  <c r="W1313" i="1"/>
  <c r="W1308" i="1"/>
  <c r="V1294" i="1"/>
  <c r="V1290" i="1"/>
  <c r="U1285" i="1"/>
  <c r="W1262" i="1"/>
  <c r="W1258" i="1"/>
  <c r="W1256" i="1"/>
  <c r="W1253" i="1"/>
  <c r="U1252" i="1"/>
  <c r="W1246" i="1"/>
  <c r="V1245" i="1"/>
  <c r="W1243" i="1"/>
  <c r="T1236" i="1"/>
  <c r="X1236" i="1" s="1"/>
  <c r="W1220" i="1"/>
  <c r="W1219" i="1"/>
  <c r="V1217" i="1"/>
  <c r="W1212" i="1"/>
  <c r="V1209" i="1"/>
  <c r="T1156" i="1"/>
  <c r="W1132" i="1"/>
  <c r="T1100" i="1"/>
  <c r="T1097" i="1"/>
  <c r="W1068" i="1"/>
  <c r="V1065" i="1"/>
  <c r="U1063" i="1"/>
  <c r="W1063" i="1"/>
  <c r="W1045" i="1"/>
  <c r="W1043" i="1"/>
  <c r="T1035" i="1"/>
  <c r="W1035" i="1"/>
  <c r="U1035" i="1"/>
  <c r="X1061" i="1"/>
  <c r="Y1061" i="1" s="1"/>
  <c r="U1027" i="1"/>
  <c r="W1024" i="1"/>
  <c r="V1023" i="1"/>
  <c r="W1009" i="1"/>
  <c r="X1009" i="1" s="1"/>
  <c r="Y1009" i="1" s="1"/>
  <c r="T1001" i="1"/>
  <c r="V999" i="1"/>
  <c r="T995" i="1"/>
  <c r="V993" i="1"/>
  <c r="U992" i="1"/>
  <c r="U991" i="1"/>
  <c r="T989" i="1"/>
  <c r="T985" i="1"/>
  <c r="X985" i="1" s="1"/>
  <c r="Y985" i="1" s="1"/>
  <c r="W975" i="1"/>
  <c r="X971" i="1"/>
  <c r="T968" i="1"/>
  <c r="V966" i="1"/>
  <c r="T964" i="1"/>
  <c r="T938" i="1"/>
  <c r="U937" i="1"/>
  <c r="V925" i="1"/>
  <c r="W905" i="1"/>
  <c r="T900" i="1"/>
  <c r="W889" i="1"/>
  <c r="W888" i="1"/>
  <c r="T880" i="1"/>
  <c r="T872" i="1"/>
  <c r="U869" i="1"/>
  <c r="W857" i="1"/>
  <c r="U853" i="1"/>
  <c r="T852" i="1"/>
  <c r="V836" i="1"/>
  <c r="V829" i="1"/>
  <c r="U828" i="1"/>
  <c r="T816" i="1"/>
  <c r="W811" i="1"/>
  <c r="T800" i="1"/>
  <c r="U797" i="1"/>
  <c r="V794" i="1"/>
  <c r="T792" i="1"/>
  <c r="X792" i="1" s="1"/>
  <c r="Y792" i="1" s="1"/>
  <c r="V788" i="1"/>
  <c r="W786" i="1"/>
  <c r="V760" i="1"/>
  <c r="U756" i="1"/>
  <c r="T752" i="1"/>
  <c r="T744" i="1"/>
  <c r="W741" i="1"/>
  <c r="W740" i="1"/>
  <c r="V712" i="1"/>
  <c r="U709" i="1"/>
  <c r="U708" i="1"/>
  <c r="T704" i="1"/>
  <c r="V693" i="1"/>
  <c r="V692" i="1"/>
  <c r="T691" i="1"/>
  <c r="W688" i="1"/>
  <c r="U677" i="1"/>
  <c r="W954" i="1"/>
  <c r="W943" i="1"/>
  <c r="W941" i="1"/>
  <c r="V905" i="1"/>
  <c r="V889" i="1"/>
  <c r="V888" i="1"/>
  <c r="V876" i="1"/>
  <c r="U864" i="1"/>
  <c r="W862" i="1"/>
  <c r="V857" i="1"/>
  <c r="W795" i="1"/>
  <c r="V789" i="1"/>
  <c r="V741" i="1"/>
  <c r="V740" i="1"/>
  <c r="V736" i="1"/>
  <c r="W723" i="1"/>
  <c r="U688" i="1"/>
  <c r="W683" i="1"/>
  <c r="T1009" i="1"/>
  <c r="W1001" i="1"/>
  <c r="X1001" i="1" s="1"/>
  <c r="Y1001" i="1" s="1"/>
  <c r="W995" i="1"/>
  <c r="W991" i="1"/>
  <c r="X991" i="1" s="1"/>
  <c r="W985" i="1"/>
  <c r="W968" i="1"/>
  <c r="W965" i="1"/>
  <c r="V960" i="1"/>
  <c r="T954" i="1"/>
  <c r="X954" i="1" s="1"/>
  <c r="V944" i="1"/>
  <c r="T943" i="1"/>
  <c r="V941" i="1"/>
  <c r="W937" i="1"/>
  <c r="V936" i="1"/>
  <c r="V916" i="1"/>
  <c r="Y916" i="1" s="1"/>
  <c r="V909" i="1"/>
  <c r="T906" i="1"/>
  <c r="U905" i="1"/>
  <c r="W893" i="1"/>
  <c r="T890" i="1"/>
  <c r="U889" i="1"/>
  <c r="T888" i="1"/>
  <c r="U885" i="1"/>
  <c r="W880" i="1"/>
  <c r="X880" i="1" s="1"/>
  <c r="U876" i="1"/>
  <c r="T864" i="1"/>
  <c r="T858" i="1"/>
  <c r="U857" i="1"/>
  <c r="W852" i="1"/>
  <c r="W845" i="1"/>
  <c r="U837" i="1"/>
  <c r="W828" i="1"/>
  <c r="V825" i="1"/>
  <c r="V824" i="1"/>
  <c r="U820" i="1"/>
  <c r="V816" i="1"/>
  <c r="V810" i="1"/>
  <c r="T807" i="1"/>
  <c r="V805" i="1"/>
  <c r="W797" i="1"/>
  <c r="X797" i="1" s="1"/>
  <c r="Y797" i="1" s="1"/>
  <c r="V796" i="1"/>
  <c r="T791" i="1"/>
  <c r="T776" i="1"/>
  <c r="U772" i="1"/>
  <c r="V765" i="1"/>
  <c r="U741" i="1"/>
  <c r="U740" i="1"/>
  <c r="V725" i="1"/>
  <c r="V724" i="1"/>
  <c r="T723" i="1"/>
  <c r="W709" i="1"/>
  <c r="W708" i="1"/>
  <c r="T688" i="1"/>
  <c r="T683" i="1"/>
  <c r="W677" i="1"/>
  <c r="V1001" i="1"/>
  <c r="U995" i="1"/>
  <c r="W992" i="1"/>
  <c r="V991" i="1"/>
  <c r="X964" i="1"/>
  <c r="V900" i="1"/>
  <c r="V852" i="1"/>
  <c r="W829" i="1"/>
  <c r="V828" i="1"/>
  <c r="V756" i="1"/>
  <c r="U752" i="1"/>
  <c r="V709" i="1"/>
  <c r="V708" i="1"/>
  <c r="Y668" i="1"/>
  <c r="W667" i="1"/>
  <c r="V664" i="1"/>
  <c r="T661" i="1"/>
  <c r="T643" i="1"/>
  <c r="V617" i="1"/>
  <c r="W611" i="1"/>
  <c r="U595" i="1"/>
  <c r="W583" i="1"/>
  <c r="U575" i="1"/>
  <c r="U571" i="1"/>
  <c r="W568" i="1"/>
  <c r="U551" i="1"/>
  <c r="V547" i="1"/>
  <c r="X539" i="1"/>
  <c r="U515" i="1"/>
  <c r="V511" i="1"/>
  <c r="W509" i="1"/>
  <c r="V484" i="1"/>
  <c r="U459" i="1"/>
  <c r="T455" i="1"/>
  <c r="U451" i="1"/>
  <c r="V447" i="1"/>
  <c r="U414" i="1"/>
  <c r="U407" i="1"/>
  <c r="X407" i="1" s="1"/>
  <c r="Y407" i="1" s="1"/>
  <c r="V403" i="1"/>
  <c r="U402" i="1"/>
  <c r="W380" i="1"/>
  <c r="V379" i="1"/>
  <c r="U376" i="1"/>
  <c r="V372" i="1"/>
  <c r="U360" i="1"/>
  <c r="U359" i="1"/>
  <c r="U340" i="1"/>
  <c r="U306" i="1"/>
  <c r="V306" i="1"/>
  <c r="W306" i="1"/>
  <c r="V294" i="1"/>
  <c r="W294" i="1"/>
  <c r="T271" i="1"/>
  <c r="W271" i="1"/>
  <c r="U251" i="1"/>
  <c r="W251" i="1"/>
  <c r="T234" i="1"/>
  <c r="W234" i="1"/>
  <c r="T228" i="1"/>
  <c r="W228" i="1"/>
  <c r="T197" i="1"/>
  <c r="W197" i="1"/>
  <c r="V179" i="1"/>
  <c r="T179" i="1"/>
  <c r="U179" i="1"/>
  <c r="W179" i="1"/>
  <c r="T143" i="1"/>
  <c r="U143" i="1"/>
  <c r="V143" i="1"/>
  <c r="W140" i="1"/>
  <c r="V140" i="1"/>
  <c r="T107" i="1"/>
  <c r="W107" i="1"/>
  <c r="U6" i="1"/>
  <c r="W6" i="1"/>
  <c r="U38" i="1"/>
  <c r="T38" i="1"/>
  <c r="V38" i="1"/>
  <c r="V35" i="1"/>
  <c r="U35" i="1"/>
  <c r="W35" i="1"/>
  <c r="W671" i="1"/>
  <c r="X671" i="1" s="1"/>
  <c r="W621" i="1"/>
  <c r="W619" i="1"/>
  <c r="T617" i="1"/>
  <c r="V611" i="1"/>
  <c r="T595" i="1"/>
  <c r="T575" i="1"/>
  <c r="T571" i="1"/>
  <c r="V568" i="1"/>
  <c r="W562" i="1"/>
  <c r="T551" i="1"/>
  <c r="U547" i="1"/>
  <c r="T515" i="1"/>
  <c r="W493" i="1"/>
  <c r="W491" i="1"/>
  <c r="U484" i="1"/>
  <c r="W482" i="1"/>
  <c r="T478" i="1"/>
  <c r="T459" i="1"/>
  <c r="W456" i="1"/>
  <c r="T451" i="1"/>
  <c r="U447" i="1"/>
  <c r="W429" i="1"/>
  <c r="V425" i="1"/>
  <c r="X395" i="1"/>
  <c r="Y395" i="1" s="1"/>
  <c r="W391" i="1"/>
  <c r="U387" i="1"/>
  <c r="V380" i="1"/>
  <c r="U379" i="1"/>
  <c r="U372" i="1"/>
  <c r="V364" i="1"/>
  <c r="T360" i="1"/>
  <c r="X360" i="1" s="1"/>
  <c r="T359" i="1"/>
  <c r="X352" i="1"/>
  <c r="T340" i="1"/>
  <c r="X336" i="1"/>
  <c r="Y336" i="1" s="1"/>
  <c r="T332" i="1"/>
  <c r="U332" i="1"/>
  <c r="U277" i="1"/>
  <c r="W277" i="1"/>
  <c r="T275" i="1"/>
  <c r="U275" i="1"/>
  <c r="U258" i="1"/>
  <c r="V258" i="1"/>
  <c r="W258" i="1"/>
  <c r="V231" i="1"/>
  <c r="T231" i="1"/>
  <c r="U231" i="1"/>
  <c r="V139" i="1"/>
  <c r="T139" i="1"/>
  <c r="U139" i="1"/>
  <c r="W139" i="1"/>
  <c r="U88" i="1"/>
  <c r="W88" i="1"/>
  <c r="U64" i="1"/>
  <c r="T64" i="1"/>
  <c r="V64" i="1"/>
  <c r="W64" i="1"/>
  <c r="T31" i="1"/>
  <c r="U31" i="1"/>
  <c r="V31" i="1"/>
  <c r="W31" i="1"/>
  <c r="V500" i="1"/>
  <c r="W498" i="1"/>
  <c r="W494" i="1"/>
  <c r="V493" i="1"/>
  <c r="W475" i="1"/>
  <c r="X467" i="1"/>
  <c r="V436" i="1"/>
  <c r="W430" i="1"/>
  <c r="U399" i="1"/>
  <c r="X399" i="1" s="1"/>
  <c r="Y399" i="1" s="1"/>
  <c r="V391" i="1"/>
  <c r="T320" i="1"/>
  <c r="U320" i="1"/>
  <c r="V320" i="1"/>
  <c r="W314" i="1"/>
  <c r="T314" i="1"/>
  <c r="T308" i="1"/>
  <c r="U308" i="1"/>
  <c r="V308" i="1"/>
  <c r="T304" i="1"/>
  <c r="W304" i="1"/>
  <c r="U274" i="1"/>
  <c r="T274" i="1"/>
  <c r="V274" i="1"/>
  <c r="W274" i="1"/>
  <c r="U77" i="1"/>
  <c r="W77" i="1"/>
  <c r="U71" i="1"/>
  <c r="W71" i="1"/>
  <c r="W664" i="1"/>
  <c r="V660" i="1"/>
  <c r="W648" i="1"/>
  <c r="U643" i="1"/>
  <c r="T619" i="1"/>
  <c r="W617" i="1"/>
  <c r="X617" i="1" s="1"/>
  <c r="Y617" i="1" s="1"/>
  <c r="T606" i="1"/>
  <c r="X606" i="1" s="1"/>
  <c r="Y606" i="1" s="1"/>
  <c r="U599" i="1"/>
  <c r="X599" i="1" s="1"/>
  <c r="Y599" i="1" s="1"/>
  <c r="V573" i="1"/>
  <c r="W571" i="1"/>
  <c r="W547" i="1"/>
  <c r="W546" i="1"/>
  <c r="V539" i="1"/>
  <c r="W520" i="1"/>
  <c r="W511" i="1"/>
  <c r="U500" i="1"/>
  <c r="W484" i="1"/>
  <c r="W478" i="1"/>
  <c r="W447" i="1"/>
  <c r="X447" i="1" s="1"/>
  <c r="W439" i="1"/>
  <c r="U436" i="1"/>
  <c r="U430" i="1"/>
  <c r="W418" i="1"/>
  <c r="W414" i="1"/>
  <c r="W403" i="1"/>
  <c r="W402" i="1"/>
  <c r="V397" i="1"/>
  <c r="V395" i="1"/>
  <c r="U391" i="1"/>
  <c r="X391" i="1" s="1"/>
  <c r="W387" i="1"/>
  <c r="X387" i="1" s="1"/>
  <c r="W386" i="1"/>
  <c r="V385" i="1"/>
  <c r="W379" i="1"/>
  <c r="V376" i="1"/>
  <c r="W372" i="1"/>
  <c r="W359" i="1"/>
  <c r="V358" i="1"/>
  <c r="V354" i="1"/>
  <c r="W342" i="1"/>
  <c r="T339" i="1"/>
  <c r="T335" i="1"/>
  <c r="T300" i="1"/>
  <c r="W300" i="1"/>
  <c r="T260" i="1"/>
  <c r="W260" i="1"/>
  <c r="U160" i="1"/>
  <c r="W160" i="1"/>
  <c r="W143" i="1"/>
  <c r="V313" i="1"/>
  <c r="T313" i="1"/>
  <c r="U313" i="1"/>
  <c r="W313" i="1"/>
  <c r="V80" i="1"/>
  <c r="U80" i="1"/>
  <c r="W80" i="1"/>
  <c r="X272" i="1"/>
  <c r="V268" i="1"/>
  <c r="X256" i="1"/>
  <c r="Y256" i="1" s="1"/>
  <c r="W253" i="1"/>
  <c r="W250" i="1"/>
  <c r="U244" i="1"/>
  <c r="X244" i="1" s="1"/>
  <c r="Y244" i="1" s="1"/>
  <c r="V11" i="1"/>
  <c r="U216" i="1"/>
  <c r="X216" i="1" s="1"/>
  <c r="U215" i="1"/>
  <c r="U212" i="1"/>
  <c r="X212" i="1" s="1"/>
  <c r="W207" i="1"/>
  <c r="V196" i="1"/>
  <c r="V189" i="1"/>
  <c r="U184" i="1"/>
  <c r="U183" i="1"/>
  <c r="X183" i="1" s="1"/>
  <c r="Y183" i="1" s="1"/>
  <c r="U178" i="1"/>
  <c r="V168" i="1"/>
  <c r="V167" i="1"/>
  <c r="X163" i="1"/>
  <c r="W159" i="1"/>
  <c r="V153" i="1"/>
  <c r="V152" i="1"/>
  <c r="U142" i="1"/>
  <c r="T141" i="1"/>
  <c r="U127" i="1"/>
  <c r="X127" i="1" s="1"/>
  <c r="U111" i="1"/>
  <c r="W83" i="1"/>
  <c r="U53" i="1"/>
  <c r="W41" i="1"/>
  <c r="U62" i="1"/>
  <c r="X62" i="1" s="1"/>
  <c r="W33" i="1"/>
  <c r="V58" i="1"/>
  <c r="W322" i="1"/>
  <c r="V318" i="1"/>
  <c r="U317" i="1"/>
  <c r="U316" i="1"/>
  <c r="W298" i="1"/>
  <c r="V276" i="1"/>
  <c r="U268" i="1"/>
  <c r="X268" i="1" s="1"/>
  <c r="Y268" i="1" s="1"/>
  <c r="W255" i="1"/>
  <c r="V253" i="1"/>
  <c r="W236" i="1"/>
  <c r="W232" i="1"/>
  <c r="W226" i="1"/>
  <c r="X226" i="1" s="1"/>
  <c r="U11" i="1"/>
  <c r="T215" i="1"/>
  <c r="W204" i="1"/>
  <c r="V201" i="1"/>
  <c r="T189" i="1"/>
  <c r="T178" i="1"/>
  <c r="U168" i="1"/>
  <c r="U167" i="1"/>
  <c r="X167" i="1" s="1"/>
  <c r="V159" i="1"/>
  <c r="W155" i="1"/>
  <c r="U152" i="1"/>
  <c r="T111" i="1"/>
  <c r="W42" i="1"/>
  <c r="U41" i="1"/>
  <c r="T58" i="1"/>
  <c r="W29" i="1"/>
  <c r="W311" i="1"/>
  <c r="W301" i="1"/>
  <c r="X288" i="1"/>
  <c r="Y288" i="1" s="1"/>
  <c r="W285" i="1"/>
  <c r="X103" i="1"/>
  <c r="X47" i="1"/>
  <c r="V2" i="1"/>
  <c r="W2" i="1"/>
  <c r="U2" i="1"/>
  <c r="V2085" i="1"/>
  <c r="U2085" i="1"/>
  <c r="U2084" i="1"/>
  <c r="V2084" i="1"/>
  <c r="V2021" i="1"/>
  <c r="U2021" i="1"/>
  <c r="U1956" i="1"/>
  <c r="V1956" i="1"/>
  <c r="U1912" i="1"/>
  <c r="V1912" i="1"/>
  <c r="U1892" i="1"/>
  <c r="V1892" i="1"/>
  <c r="V1864" i="1"/>
  <c r="U1864" i="1"/>
  <c r="T1829" i="1"/>
  <c r="U1829" i="1"/>
  <c r="T1806" i="1"/>
  <c r="U1806" i="1"/>
  <c r="V1806" i="1"/>
  <c r="U1772" i="1"/>
  <c r="T1772" i="1"/>
  <c r="W1772" i="1"/>
  <c r="T1742" i="1"/>
  <c r="U1742" i="1"/>
  <c r="V1742" i="1"/>
  <c r="U1720" i="1"/>
  <c r="W1720" i="1"/>
  <c r="U1708" i="1"/>
  <c r="W1708" i="1"/>
  <c r="U1700" i="1"/>
  <c r="W1700" i="1"/>
  <c r="U1641" i="1"/>
  <c r="V1641" i="1"/>
  <c r="T1631" i="1"/>
  <c r="V1631" i="1"/>
  <c r="W1631" i="1"/>
  <c r="T1567" i="1"/>
  <c r="V1567" i="1"/>
  <c r="W1567" i="1"/>
  <c r="T1529" i="1"/>
  <c r="U1529" i="1"/>
  <c r="V1529" i="1"/>
  <c r="T1462" i="1"/>
  <c r="U1462" i="1"/>
  <c r="U1431" i="1"/>
  <c r="T1431" i="1"/>
  <c r="W1431" i="1"/>
  <c r="U1425" i="1"/>
  <c r="V1425" i="1"/>
  <c r="U1399" i="1"/>
  <c r="T1399" i="1"/>
  <c r="W1399" i="1"/>
  <c r="V1376" i="1"/>
  <c r="T1376" i="1"/>
  <c r="U1376" i="1"/>
  <c r="V1372" i="1"/>
  <c r="U1372" i="1"/>
  <c r="W1372" i="1"/>
  <c r="T1238" i="1"/>
  <c r="W1238" i="1"/>
  <c r="V1216" i="1"/>
  <c r="T1216" i="1"/>
  <c r="U1195" i="1"/>
  <c r="W1195" i="1"/>
  <c r="U1187" i="1"/>
  <c r="W1187" i="1"/>
  <c r="T1146" i="1"/>
  <c r="U1146" i="1"/>
  <c r="W1146" i="1"/>
  <c r="V1146" i="1"/>
  <c r="U1135" i="1"/>
  <c r="W1135" i="1"/>
  <c r="U1111" i="1"/>
  <c r="W1111" i="1"/>
  <c r="U1073" i="1"/>
  <c r="T1073" i="1"/>
  <c r="V1073" i="1"/>
  <c r="W1073" i="1"/>
  <c r="W1042" i="1"/>
  <c r="U1042" i="1"/>
  <c r="V1012" i="1"/>
  <c r="U1012" i="1"/>
  <c r="W1012" i="1"/>
  <c r="U981" i="1"/>
  <c r="V981" i="1"/>
  <c r="T981" i="1"/>
  <c r="W981" i="1"/>
  <c r="V835" i="1"/>
  <c r="U835" i="1"/>
  <c r="W835" i="1"/>
  <c r="T835" i="1"/>
  <c r="T630" i="1"/>
  <c r="W630" i="1"/>
  <c r="U40" i="1"/>
  <c r="V40" i="1"/>
  <c r="W40" i="1"/>
  <c r="T40" i="1"/>
  <c r="V2290" i="1"/>
  <c r="V2274" i="1"/>
  <c r="W2268" i="1"/>
  <c r="V2250" i="1"/>
  <c r="V2242" i="1"/>
  <c r="W2224" i="1"/>
  <c r="W2206" i="1"/>
  <c r="W2194" i="1"/>
  <c r="U2123" i="1"/>
  <c r="W2123" i="1"/>
  <c r="U2036" i="1"/>
  <c r="V2036" i="1"/>
  <c r="U1992" i="1"/>
  <c r="V1992" i="1"/>
  <c r="V1977" i="1"/>
  <c r="W1977" i="1"/>
  <c r="U1908" i="1"/>
  <c r="V1908" i="1"/>
  <c r="W2324" i="1"/>
  <c r="W2306" i="1"/>
  <c r="W2242" i="1"/>
  <c r="U2140" i="1"/>
  <c r="T2140" i="1"/>
  <c r="U2124" i="1"/>
  <c r="W2124" i="1"/>
  <c r="V2025" i="1"/>
  <c r="W2025" i="1"/>
  <c r="U2020" i="1"/>
  <c r="V2020" i="1"/>
  <c r="U1976" i="1"/>
  <c r="V1976" i="1"/>
  <c r="V1961" i="1"/>
  <c r="W1961" i="1"/>
  <c r="V1893" i="1"/>
  <c r="U1893" i="1"/>
  <c r="U1871" i="1"/>
  <c r="V1871" i="1"/>
  <c r="U1809" i="1"/>
  <c r="V1809" i="1"/>
  <c r="U1784" i="1"/>
  <c r="W1784" i="1"/>
  <c r="U1752" i="1"/>
  <c r="W1752" i="1"/>
  <c r="T1614" i="1"/>
  <c r="U1614" i="1"/>
  <c r="V1614" i="1"/>
  <c r="U1498" i="1"/>
  <c r="V1498" i="1"/>
  <c r="U1466" i="1"/>
  <c r="V1466" i="1"/>
  <c r="V1204" i="1"/>
  <c r="W1204" i="1"/>
  <c r="V1180" i="1"/>
  <c r="W1180" i="1"/>
  <c r="T1180" i="1"/>
  <c r="U1083" i="1"/>
  <c r="W1083" i="1"/>
  <c r="V1008" i="1"/>
  <c r="W1008" i="1"/>
  <c r="U1008" i="1"/>
  <c r="V988" i="1"/>
  <c r="U988" i="1"/>
  <c r="W24" i="1"/>
  <c r="W2338" i="1"/>
  <c r="W2332" i="1"/>
  <c r="X2332" i="1" s="1"/>
  <c r="V2324" i="1"/>
  <c r="V2306" i="1"/>
  <c r="V2266" i="1"/>
  <c r="V2230" i="1"/>
  <c r="W2216" i="1"/>
  <c r="W2212" i="1"/>
  <c r="V2182" i="1"/>
  <c r="W2176" i="1"/>
  <c r="W2162" i="1"/>
  <c r="U2160" i="1"/>
  <c r="W2160" i="1"/>
  <c r="U2156" i="1"/>
  <c r="X2156" i="1" s="1"/>
  <c r="W2156" i="1"/>
  <c r="W2102" i="1"/>
  <c r="U2100" i="1"/>
  <c r="V2100" i="1"/>
  <c r="W2066" i="1"/>
  <c r="W2054" i="1"/>
  <c r="V2037" i="1"/>
  <c r="U2037" i="1"/>
  <c r="V1973" i="1"/>
  <c r="U1973" i="1"/>
  <c r="W1938" i="1"/>
  <c r="U1928" i="1"/>
  <c r="V1928" i="1"/>
  <c r="T1878" i="1"/>
  <c r="W1878" i="1"/>
  <c r="U1875" i="1"/>
  <c r="T1875" i="1"/>
  <c r="T1850" i="1"/>
  <c r="V1850" i="1"/>
  <c r="T1842" i="1"/>
  <c r="V1842" i="1"/>
  <c r="T1838" i="1"/>
  <c r="W1838" i="1"/>
  <c r="T1826" i="1"/>
  <c r="U1826" i="1"/>
  <c r="V1826" i="1"/>
  <c r="T1793" i="1"/>
  <c r="U1793" i="1"/>
  <c r="U1789" i="1"/>
  <c r="V1789" i="1"/>
  <c r="T1786" i="1"/>
  <c r="V1786" i="1"/>
  <c r="W1786" i="1"/>
  <c r="X1764" i="1"/>
  <c r="T1761" i="1"/>
  <c r="U1761" i="1"/>
  <c r="U1757" i="1"/>
  <c r="V1757" i="1"/>
  <c r="T1754" i="1"/>
  <c r="V1754" i="1"/>
  <c r="W1754" i="1"/>
  <c r="T1729" i="1"/>
  <c r="U1729" i="1"/>
  <c r="U1725" i="1"/>
  <c r="V1725" i="1"/>
  <c r="T1722" i="1"/>
  <c r="V1722" i="1"/>
  <c r="W1722" i="1"/>
  <c r="T1710" i="1"/>
  <c r="V1710" i="1"/>
  <c r="W1710" i="1"/>
  <c r="T1702" i="1"/>
  <c r="V1702" i="1"/>
  <c r="W1702" i="1"/>
  <c r="T1694" i="1"/>
  <c r="V1694" i="1"/>
  <c r="W1694" i="1"/>
  <c r="T1686" i="1"/>
  <c r="V1686" i="1"/>
  <c r="W1686" i="1"/>
  <c r="T1678" i="1"/>
  <c r="V1678" i="1"/>
  <c r="W1678" i="1"/>
  <c r="T1670" i="1"/>
  <c r="V1670" i="1"/>
  <c r="W1670" i="1"/>
  <c r="T1662" i="1"/>
  <c r="V1662" i="1"/>
  <c r="W1662" i="1"/>
  <c r="T1654" i="1"/>
  <c r="V1654" i="1"/>
  <c r="W1654" i="1"/>
  <c r="T1646" i="1"/>
  <c r="V1646" i="1"/>
  <c r="W1646" i="1"/>
  <c r="T1634" i="1"/>
  <c r="V1634" i="1"/>
  <c r="W1634" i="1"/>
  <c r="X1633" i="1"/>
  <c r="Y1633" i="1" s="1"/>
  <c r="U1628" i="1"/>
  <c r="W1628" i="1"/>
  <c r="T1621" i="1"/>
  <c r="U1621" i="1"/>
  <c r="T1619" i="1"/>
  <c r="W1619" i="1"/>
  <c r="T1602" i="1"/>
  <c r="V1602" i="1"/>
  <c r="W1602" i="1"/>
  <c r="X1601" i="1"/>
  <c r="Y1601" i="1" s="1"/>
  <c r="U1596" i="1"/>
  <c r="W1596" i="1"/>
  <c r="T1589" i="1"/>
  <c r="U1589" i="1"/>
  <c r="T1587" i="1"/>
  <c r="W1587" i="1"/>
  <c r="T1570" i="1"/>
  <c r="V1570" i="1"/>
  <c r="W1570" i="1"/>
  <c r="U1564" i="1"/>
  <c r="W1564" i="1"/>
  <c r="T1557" i="1"/>
  <c r="U1557" i="1"/>
  <c r="T1555" i="1"/>
  <c r="W1555" i="1"/>
  <c r="T1536" i="1"/>
  <c r="U1536" i="1"/>
  <c r="T1534" i="1"/>
  <c r="W1534" i="1"/>
  <c r="T1523" i="1"/>
  <c r="W1523" i="1"/>
  <c r="V1521" i="1"/>
  <c r="W1521" i="1"/>
  <c r="U1516" i="1"/>
  <c r="T1516" i="1"/>
  <c r="V1516" i="1"/>
  <c r="T1510" i="1"/>
  <c r="U1510" i="1"/>
  <c r="T1507" i="1"/>
  <c r="W1507" i="1"/>
  <c r="T1503" i="1"/>
  <c r="W1503" i="1"/>
  <c r="V1501" i="1"/>
  <c r="W1501" i="1"/>
  <c r="V1497" i="1"/>
  <c r="U1497" i="1"/>
  <c r="W1497" i="1"/>
  <c r="U1484" i="1"/>
  <c r="V1484" i="1"/>
  <c r="W1484" i="1"/>
  <c r="U1480" i="1"/>
  <c r="T1480" i="1"/>
  <c r="V1480" i="1"/>
  <c r="T1471" i="1"/>
  <c r="W1471" i="1"/>
  <c r="V1469" i="1"/>
  <c r="W1469" i="1"/>
  <c r="V1465" i="1"/>
  <c r="U1465" i="1"/>
  <c r="W1465" i="1"/>
  <c r="U1452" i="1"/>
  <c r="V1452" i="1"/>
  <c r="W1452" i="1"/>
  <c r="U1448" i="1"/>
  <c r="T1448" i="1"/>
  <c r="V1448" i="1"/>
  <c r="T1439" i="1"/>
  <c r="W1439" i="1"/>
  <c r="V1437" i="1"/>
  <c r="W1437" i="1"/>
  <c r="T1429" i="1"/>
  <c r="U1429" i="1"/>
  <c r="T1426" i="1"/>
  <c r="U1426" i="1"/>
  <c r="W1426" i="1"/>
  <c r="V1420" i="1"/>
  <c r="W1420" i="1"/>
  <c r="V1412" i="1"/>
  <c r="T1412" i="1"/>
  <c r="U1412" i="1"/>
  <c r="T1397" i="1"/>
  <c r="U1397" i="1"/>
  <c r="T1391" i="1"/>
  <c r="W1391" i="1"/>
  <c r="U1369" i="1"/>
  <c r="V1369" i="1"/>
  <c r="V1362" i="1"/>
  <c r="W1362" i="1"/>
  <c r="V1356" i="1"/>
  <c r="U1356" i="1"/>
  <c r="W1356" i="1"/>
  <c r="V1333" i="1"/>
  <c r="T1333" i="1"/>
  <c r="U1333" i="1"/>
  <c r="T1326" i="1"/>
  <c r="W1326" i="1"/>
  <c r="V1324" i="1"/>
  <c r="U1324" i="1"/>
  <c r="W1324" i="1"/>
  <c r="V1304" i="1"/>
  <c r="T1304" i="1"/>
  <c r="W1304" i="1"/>
  <c r="T1298" i="1"/>
  <c r="V1298" i="1"/>
  <c r="V1296" i="1"/>
  <c r="W1296" i="1"/>
  <c r="U1296" i="1"/>
  <c r="X1296" i="1" s="1"/>
  <c r="V1292" i="1"/>
  <c r="U1292" i="1"/>
  <c r="W1292" i="1"/>
  <c r="V1272" i="1"/>
  <c r="T1272" i="1"/>
  <c r="W1272" i="1"/>
  <c r="T1266" i="1"/>
  <c r="V1266" i="1"/>
  <c r="V1264" i="1"/>
  <c r="W1264" i="1"/>
  <c r="U1264" i="1"/>
  <c r="V1260" i="1"/>
  <c r="U1260" i="1"/>
  <c r="W1260" i="1"/>
  <c r="V1240" i="1"/>
  <c r="T1240" i="1"/>
  <c r="W1240" i="1"/>
  <c r="T1234" i="1"/>
  <c r="V1234" i="1"/>
  <c r="V1232" i="1"/>
  <c r="W1232" i="1"/>
  <c r="U1232" i="1"/>
  <c r="V1228" i="1"/>
  <c r="U1228" i="1"/>
  <c r="W1228" i="1"/>
  <c r="V1208" i="1"/>
  <c r="T1208" i="1"/>
  <c r="W1208" i="1"/>
  <c r="T1206" i="1"/>
  <c r="W1206" i="1"/>
  <c r="V1206" i="1"/>
  <c r="U1201" i="1"/>
  <c r="V1201" i="1"/>
  <c r="W1201" i="1"/>
  <c r="T1198" i="1"/>
  <c r="W1198" i="1"/>
  <c r="U1198" i="1"/>
  <c r="V1198" i="1"/>
  <c r="T1194" i="1"/>
  <c r="U1194" i="1"/>
  <c r="V1194" i="1"/>
  <c r="W1194" i="1"/>
  <c r="U1179" i="1"/>
  <c r="W1179" i="1"/>
  <c r="U1171" i="1"/>
  <c r="W1171" i="1"/>
  <c r="U1169" i="1"/>
  <c r="T1169" i="1"/>
  <c r="W1169" i="1"/>
  <c r="U1151" i="1"/>
  <c r="W1151" i="1"/>
  <c r="V1140" i="1"/>
  <c r="T1140" i="1"/>
  <c r="W1140" i="1"/>
  <c r="U1113" i="1"/>
  <c r="V1113" i="1"/>
  <c r="T1113" i="1"/>
  <c r="W1113" i="1"/>
  <c r="V1108" i="1"/>
  <c r="T1108" i="1"/>
  <c r="V1092" i="1"/>
  <c r="T1092" i="1"/>
  <c r="W1092" i="1"/>
  <c r="T1086" i="1"/>
  <c r="W1086" i="1"/>
  <c r="V1086" i="1"/>
  <c r="U1086" i="1"/>
  <c r="T1058" i="1"/>
  <c r="U1058" i="1"/>
  <c r="W1058" i="1"/>
  <c r="U1051" i="1"/>
  <c r="W1051" i="1"/>
  <c r="U1037" i="1"/>
  <c r="T1037" i="1"/>
  <c r="W1037" i="1"/>
  <c r="V1019" i="1"/>
  <c r="W1019" i="1"/>
  <c r="U1019" i="1"/>
  <c r="X1019" i="1" s="1"/>
  <c r="T1015" i="1"/>
  <c r="W1015" i="1"/>
  <c r="U1015" i="1"/>
  <c r="V1015" i="1"/>
  <c r="V1003" i="1"/>
  <c r="T1003" i="1"/>
  <c r="U1003" i="1"/>
  <c r="W1003" i="1"/>
  <c r="U997" i="1"/>
  <c r="X997" i="1" s="1"/>
  <c r="V997" i="1"/>
  <c r="T997" i="1"/>
  <c r="V984" i="1"/>
  <c r="W984" i="1"/>
  <c r="V980" i="1"/>
  <c r="U980" i="1"/>
  <c r="W980" i="1"/>
  <c r="V976" i="1"/>
  <c r="W976" i="1"/>
  <c r="U976" i="1"/>
  <c r="V967" i="1"/>
  <c r="U967" i="1"/>
  <c r="W967" i="1"/>
  <c r="Y964" i="1"/>
  <c r="U930" i="1"/>
  <c r="V930" i="1"/>
  <c r="V912" i="1"/>
  <c r="U912" i="1"/>
  <c r="W912" i="1"/>
  <c r="T912" i="1"/>
  <c r="U884" i="1"/>
  <c r="V884" i="1"/>
  <c r="W884" i="1"/>
  <c r="U850" i="1"/>
  <c r="V850" i="1"/>
  <c r="W850" i="1"/>
  <c r="T844" i="1"/>
  <c r="U844" i="1"/>
  <c r="V844" i="1"/>
  <c r="W844" i="1"/>
  <c r="V832" i="1"/>
  <c r="T832" i="1"/>
  <c r="U832" i="1"/>
  <c r="T684" i="1"/>
  <c r="V684" i="1"/>
  <c r="U684" i="1"/>
  <c r="W684" i="1"/>
  <c r="U635" i="1"/>
  <c r="T635" i="1"/>
  <c r="V635" i="1"/>
  <c r="W635" i="1"/>
  <c r="U553" i="1"/>
  <c r="W553" i="1"/>
  <c r="T553" i="1"/>
  <c r="V553" i="1"/>
  <c r="V462" i="1"/>
  <c r="U462" i="1"/>
  <c r="W462" i="1"/>
  <c r="T462" i="1"/>
  <c r="T284" i="1"/>
  <c r="U284" i="1"/>
  <c r="W284" i="1"/>
  <c r="V284" i="1"/>
  <c r="U233" i="1"/>
  <c r="V233" i="1"/>
  <c r="W138" i="1"/>
  <c r="T138" i="1"/>
  <c r="U125" i="1"/>
  <c r="T125" i="1"/>
  <c r="V125" i="1"/>
  <c r="W125" i="1"/>
  <c r="U117" i="1"/>
  <c r="V117" i="1"/>
  <c r="W117" i="1"/>
  <c r="T117" i="1"/>
  <c r="V106" i="1"/>
  <c r="U106" i="1"/>
  <c r="W106" i="1"/>
  <c r="T106" i="1"/>
  <c r="T79" i="1"/>
  <c r="U79" i="1"/>
  <c r="V79" i="1"/>
  <c r="W79" i="1"/>
  <c r="V73" i="1"/>
  <c r="U73" i="1"/>
  <c r="W73" i="1"/>
  <c r="W27" i="1"/>
  <c r="X27" i="1" s="1"/>
  <c r="W2341" i="1"/>
  <c r="V24" i="1"/>
  <c r="V9" i="1"/>
  <c r="V2338" i="1"/>
  <c r="U2336" i="1"/>
  <c r="X2336" i="1" s="1"/>
  <c r="W2334" i="1"/>
  <c r="U2333" i="1"/>
  <c r="V2332" i="1"/>
  <c r="T2326" i="1"/>
  <c r="X2326" i="1" s="1"/>
  <c r="Y2326" i="1" s="1"/>
  <c r="U2324" i="1"/>
  <c r="X2322" i="1"/>
  <c r="Y2322" i="1" s="1"/>
  <c r="T2318" i="1"/>
  <c r="W2312" i="1"/>
  <c r="W2308" i="1"/>
  <c r="X2308" i="1" s="1"/>
  <c r="U2306" i="1"/>
  <c r="W2300" i="1"/>
  <c r="W2299" i="1"/>
  <c r="V2298" i="1"/>
  <c r="W2292" i="1"/>
  <c r="X2292" i="1" s="1"/>
  <c r="U2290" i="1"/>
  <c r="W2284" i="1"/>
  <c r="X2284" i="1" s="1"/>
  <c r="W2283" i="1"/>
  <c r="V2282" i="1"/>
  <c r="Y2282" i="1" s="1"/>
  <c r="W2276" i="1"/>
  <c r="X2276" i="1" s="1"/>
  <c r="U2274" i="1"/>
  <c r="V2270" i="1"/>
  <c r="W2269" i="1"/>
  <c r="V2268" i="1"/>
  <c r="U2266" i="1"/>
  <c r="X2266" i="1" s="1"/>
  <c r="W2264" i="1"/>
  <c r="X2264" i="1" s="1"/>
  <c r="W2263" i="1"/>
  <c r="V2260" i="1"/>
  <c r="W2256" i="1"/>
  <c r="X2256" i="1" s="1"/>
  <c r="U2255" i="1"/>
  <c r="V2254" i="1"/>
  <c r="W2253" i="1"/>
  <c r="V2252" i="1"/>
  <c r="U2250" i="1"/>
  <c r="W2248" i="1"/>
  <c r="X2248" i="1" s="1"/>
  <c r="W2247" i="1"/>
  <c r="W13" i="1"/>
  <c r="U2242" i="1"/>
  <c r="T2232" i="1"/>
  <c r="X2232" i="1" s="1"/>
  <c r="Y2232" i="1" s="1"/>
  <c r="U2230" i="1"/>
  <c r="T2228" i="1"/>
  <c r="X2228" i="1" s="1"/>
  <c r="V2224" i="1"/>
  <c r="T2220" i="1"/>
  <c r="V2216" i="1"/>
  <c r="V2214" i="1"/>
  <c r="U2213" i="1"/>
  <c r="V2212" i="1"/>
  <c r="W2208" i="1"/>
  <c r="U2207" i="1"/>
  <c r="V2206" i="1"/>
  <c r="W2205" i="1"/>
  <c r="W2204" i="1"/>
  <c r="W2203" i="1"/>
  <c r="V2202" i="1"/>
  <c r="Y2202" i="1" s="1"/>
  <c r="V2194" i="1"/>
  <c r="W2193" i="1"/>
  <c r="T2192" i="1"/>
  <c r="X2192" i="1" s="1"/>
  <c r="Y2192" i="1" s="1"/>
  <c r="T2184" i="1"/>
  <c r="X2184" i="1" s="1"/>
  <c r="U2182" i="1"/>
  <c r="T2180" i="1"/>
  <c r="V2176" i="1"/>
  <c r="W2171" i="1"/>
  <c r="U2170" i="1"/>
  <c r="X2170" i="1" s="1"/>
  <c r="Y2170" i="1" s="1"/>
  <c r="V2162" i="1"/>
  <c r="W2159" i="1"/>
  <c r="U2159" i="1"/>
  <c r="T2158" i="1"/>
  <c r="X2158" i="1" s="1"/>
  <c r="Y2158" i="1" s="1"/>
  <c r="U2155" i="1"/>
  <c r="W2155" i="1"/>
  <c r="T2154" i="1"/>
  <c r="X2154" i="1" s="1"/>
  <c r="U2150" i="1"/>
  <c r="X2150" i="1" s="1"/>
  <c r="Y2150" i="1" s="1"/>
  <c r="T2146" i="1"/>
  <c r="X2146" i="1" s="1"/>
  <c r="Y2146" i="1" s="1"/>
  <c r="W2142" i="1"/>
  <c r="X2142" i="1" s="1"/>
  <c r="W2140" i="1"/>
  <c r="U2136" i="1"/>
  <c r="V2136" i="1"/>
  <c r="W2134" i="1"/>
  <c r="W2133" i="1"/>
  <c r="U2133" i="1"/>
  <c r="U2132" i="1"/>
  <c r="X2132" i="1" s="1"/>
  <c r="V2132" i="1"/>
  <c r="U2130" i="1"/>
  <c r="X2130" i="1" s="1"/>
  <c r="Y2130" i="1" s="1"/>
  <c r="V2124" i="1"/>
  <c r="X2120" i="1"/>
  <c r="X2118" i="1"/>
  <c r="Y2118" i="1" s="1"/>
  <c r="U2112" i="1"/>
  <c r="T2112" i="1"/>
  <c r="V2110" i="1"/>
  <c r="W2106" i="1"/>
  <c r="X2106" i="1" s="1"/>
  <c r="W2103" i="1"/>
  <c r="U2102" i="1"/>
  <c r="X2098" i="1"/>
  <c r="Y2098" i="1" s="1"/>
  <c r="Y2094" i="1"/>
  <c r="W2093" i="1"/>
  <c r="W2084" i="1"/>
  <c r="W2082" i="1"/>
  <c r="X2082" i="1" s="1"/>
  <c r="U2077" i="1"/>
  <c r="X2076" i="1"/>
  <c r="W2074" i="1"/>
  <c r="U2072" i="1"/>
  <c r="X2072" i="1" s="1"/>
  <c r="V2072" i="1"/>
  <c r="Y2072" i="1" s="1"/>
  <c r="W2070" i="1"/>
  <c r="X2070" i="1" s="1"/>
  <c r="V2066" i="1"/>
  <c r="X2064" i="1"/>
  <c r="Y2064" i="1" s="1"/>
  <c r="U2058" i="1"/>
  <c r="V2057" i="1"/>
  <c r="W2057" i="1"/>
  <c r="V2054" i="1"/>
  <c r="V2053" i="1"/>
  <c r="U2053" i="1"/>
  <c r="U2052" i="1"/>
  <c r="X2052" i="1" s="1"/>
  <c r="V2052" i="1"/>
  <c r="U2050" i="1"/>
  <c r="X2050" i="1" s="1"/>
  <c r="Y2050" i="1" s="1"/>
  <c r="T2042" i="1"/>
  <c r="X2042" i="1" s="1"/>
  <c r="Y2042" i="1" s="1"/>
  <c r="T2038" i="1"/>
  <c r="X2038" i="1" s="1"/>
  <c r="X2034" i="1"/>
  <c r="W2029" i="1"/>
  <c r="W2020" i="1"/>
  <c r="W2018" i="1"/>
  <c r="X2018" i="1" s="1"/>
  <c r="U2013" i="1"/>
  <c r="W2010" i="1"/>
  <c r="U2008" i="1"/>
  <c r="V2008" i="1"/>
  <c r="W2006" i="1"/>
  <c r="V2002" i="1"/>
  <c r="X2000" i="1"/>
  <c r="U1994" i="1"/>
  <c r="V1993" i="1"/>
  <c r="W1993" i="1"/>
  <c r="V1990" i="1"/>
  <c r="V1989" i="1"/>
  <c r="U1989" i="1"/>
  <c r="U1988" i="1"/>
  <c r="X1988" i="1" s="1"/>
  <c r="V1988" i="1"/>
  <c r="U1986" i="1"/>
  <c r="X1986" i="1" s="1"/>
  <c r="Y1986" i="1" s="1"/>
  <c r="T1978" i="1"/>
  <c r="W1976" i="1"/>
  <c r="T1974" i="1"/>
  <c r="X1970" i="1"/>
  <c r="Y1970" i="1" s="1"/>
  <c r="Y1966" i="1"/>
  <c r="W1965" i="1"/>
  <c r="W1956" i="1"/>
  <c r="W1954" i="1"/>
  <c r="U1949" i="1"/>
  <c r="W1946" i="1"/>
  <c r="U1944" i="1"/>
  <c r="X1944" i="1" s="1"/>
  <c r="V1944" i="1"/>
  <c r="W1942" i="1"/>
  <c r="X1942" i="1" s="1"/>
  <c r="V1938" i="1"/>
  <c r="X1936" i="1"/>
  <c r="U1930" i="1"/>
  <c r="V1929" i="1"/>
  <c r="W1929" i="1"/>
  <c r="V1926" i="1"/>
  <c r="V1925" i="1"/>
  <c r="U1925" i="1"/>
  <c r="U1924" i="1"/>
  <c r="X1924" i="1" s="1"/>
  <c r="V1924" i="1"/>
  <c r="U1922" i="1"/>
  <c r="X1922" i="1" s="1"/>
  <c r="Y1922" i="1" s="1"/>
  <c r="T1914" i="1"/>
  <c r="W1912" i="1"/>
  <c r="T1910" i="1"/>
  <c r="X1906" i="1"/>
  <c r="Y1906" i="1" s="1"/>
  <c r="W1901" i="1"/>
  <c r="W1892" i="1"/>
  <c r="W1890" i="1"/>
  <c r="X1890" i="1" s="1"/>
  <c r="W1885" i="1"/>
  <c r="T1881" i="1"/>
  <c r="X1881" i="1" s="1"/>
  <c r="Y1881" i="1" s="1"/>
  <c r="V1880" i="1"/>
  <c r="U1880" i="1"/>
  <c r="X1880" i="1" s="1"/>
  <c r="W1877" i="1"/>
  <c r="V1876" i="1"/>
  <c r="U1876" i="1"/>
  <c r="T1872" i="1"/>
  <c r="T1869" i="1"/>
  <c r="U1867" i="1"/>
  <c r="W1867" i="1"/>
  <c r="W1865" i="1"/>
  <c r="W1864" i="1"/>
  <c r="T1861" i="1"/>
  <c r="T1846" i="1"/>
  <c r="U1846" i="1"/>
  <c r="U1833" i="1"/>
  <c r="X1833" i="1" s="1"/>
  <c r="V1833" i="1"/>
  <c r="W1829" i="1"/>
  <c r="W1809" i="1"/>
  <c r="X1801" i="1"/>
  <c r="Y1801" i="1" s="1"/>
  <c r="U1800" i="1"/>
  <c r="W1800" i="1"/>
  <c r="X1797" i="1"/>
  <c r="Y1797" i="1" s="1"/>
  <c r="T1790" i="1"/>
  <c r="U1790" i="1"/>
  <c r="V1790" i="1"/>
  <c r="U1788" i="1"/>
  <c r="T1788" i="1"/>
  <c r="W1788" i="1"/>
  <c r="X1769" i="1"/>
  <c r="U1768" i="1"/>
  <c r="W1768" i="1"/>
  <c r="T1758" i="1"/>
  <c r="U1758" i="1"/>
  <c r="V1758" i="1"/>
  <c r="U1756" i="1"/>
  <c r="T1756" i="1"/>
  <c r="W1756" i="1"/>
  <c r="X1737" i="1"/>
  <c r="Y1737" i="1" s="1"/>
  <c r="U1736" i="1"/>
  <c r="W1736" i="1"/>
  <c r="X1733" i="1"/>
  <c r="T1726" i="1"/>
  <c r="U1726" i="1"/>
  <c r="V1726" i="1"/>
  <c r="U1724" i="1"/>
  <c r="T1724" i="1"/>
  <c r="W1724" i="1"/>
  <c r="W1711" i="1"/>
  <c r="W1703" i="1"/>
  <c r="W1695" i="1"/>
  <c r="W1687" i="1"/>
  <c r="W1679" i="1"/>
  <c r="W1671" i="1"/>
  <c r="W1663" i="1"/>
  <c r="W1655" i="1"/>
  <c r="W1647" i="1"/>
  <c r="W1641" i="1"/>
  <c r="W1632" i="1"/>
  <c r="T1630" i="1"/>
  <c r="U1630" i="1"/>
  <c r="V1630" i="1"/>
  <c r="U1625" i="1"/>
  <c r="X1625" i="1" s="1"/>
  <c r="Y1625" i="1" s="1"/>
  <c r="V1625" i="1"/>
  <c r="T1615" i="1"/>
  <c r="V1615" i="1"/>
  <c r="W1615" i="1"/>
  <c r="W1600" i="1"/>
  <c r="T1598" i="1"/>
  <c r="U1598" i="1"/>
  <c r="V1598" i="1"/>
  <c r="U1593" i="1"/>
  <c r="X1593" i="1" s="1"/>
  <c r="V1593" i="1"/>
  <c r="T1583" i="1"/>
  <c r="V1583" i="1"/>
  <c r="W1583" i="1"/>
  <c r="W1568" i="1"/>
  <c r="T1566" i="1"/>
  <c r="U1566" i="1"/>
  <c r="V1566" i="1"/>
  <c r="U1561" i="1"/>
  <c r="V1561" i="1"/>
  <c r="T1551" i="1"/>
  <c r="V1551" i="1"/>
  <c r="W1551" i="1"/>
  <c r="U1540" i="1"/>
  <c r="X1540" i="1" s="1"/>
  <c r="V1540" i="1"/>
  <c r="T1530" i="1"/>
  <c r="V1530" i="1"/>
  <c r="W1530" i="1"/>
  <c r="W1498" i="1"/>
  <c r="W1491" i="1"/>
  <c r="U1482" i="1"/>
  <c r="V1482" i="1"/>
  <c r="T1478" i="1"/>
  <c r="U1478" i="1"/>
  <c r="W1466" i="1"/>
  <c r="W1462" i="1"/>
  <c r="W1459" i="1"/>
  <c r="U1450" i="1"/>
  <c r="X1450" i="1" s="1"/>
  <c r="V1450" i="1"/>
  <c r="T1446" i="1"/>
  <c r="U1446" i="1"/>
  <c r="T1433" i="1"/>
  <c r="U1433" i="1"/>
  <c r="W1425" i="1"/>
  <c r="U1415" i="1"/>
  <c r="T1415" i="1"/>
  <c r="W1415" i="1"/>
  <c r="U1409" i="1"/>
  <c r="V1409" i="1"/>
  <c r="T1401" i="1"/>
  <c r="U1401" i="1"/>
  <c r="W1394" i="1"/>
  <c r="X1393" i="1"/>
  <c r="Y1393" i="1" s="1"/>
  <c r="X1389" i="1"/>
  <c r="Y1389" i="1" s="1"/>
  <c r="V1382" i="1"/>
  <c r="W1382" i="1"/>
  <c r="T1377" i="1"/>
  <c r="U1377" i="1"/>
  <c r="U1373" i="1"/>
  <c r="X1373" i="1" s="1"/>
  <c r="V1373" i="1"/>
  <c r="V1364" i="1"/>
  <c r="T1364" i="1"/>
  <c r="U1364" i="1"/>
  <c r="V1328" i="1"/>
  <c r="W1328" i="1"/>
  <c r="U1328" i="1"/>
  <c r="U1311" i="1"/>
  <c r="W1311" i="1"/>
  <c r="T1306" i="1"/>
  <c r="V1306" i="1"/>
  <c r="W1306" i="1"/>
  <c r="V1301" i="1"/>
  <c r="U1301" i="1"/>
  <c r="W1301" i="1"/>
  <c r="U1279" i="1"/>
  <c r="W1279" i="1"/>
  <c r="T1274" i="1"/>
  <c r="V1274" i="1"/>
  <c r="W1274" i="1"/>
  <c r="V1269" i="1"/>
  <c r="U1269" i="1"/>
  <c r="W1269" i="1"/>
  <c r="U1247" i="1"/>
  <c r="W1247" i="1"/>
  <c r="T1242" i="1"/>
  <c r="V1242" i="1"/>
  <c r="W1242" i="1"/>
  <c r="V1237" i="1"/>
  <c r="U1237" i="1"/>
  <c r="W1237" i="1"/>
  <c r="U1191" i="1"/>
  <c r="W1191" i="1"/>
  <c r="T1182" i="1"/>
  <c r="W1182" i="1"/>
  <c r="V1182" i="1"/>
  <c r="T1174" i="1"/>
  <c r="W1174" i="1"/>
  <c r="U1174" i="1"/>
  <c r="V1174" i="1"/>
  <c r="V1148" i="1"/>
  <c r="W1148" i="1"/>
  <c r="U1139" i="1"/>
  <c r="W1139" i="1"/>
  <c r="V1088" i="1"/>
  <c r="T1088" i="1"/>
  <c r="W1088" i="1"/>
  <c r="V1060" i="1"/>
  <c r="W1060" i="1"/>
  <c r="U1057" i="1"/>
  <c r="W1057" i="1"/>
  <c r="T1057" i="1"/>
  <c r="V1057" i="1"/>
  <c r="T1054" i="1"/>
  <c r="W1054" i="1"/>
  <c r="V1054" i="1"/>
  <c r="T1046" i="1"/>
  <c r="W1046" i="1"/>
  <c r="U1046" i="1"/>
  <c r="V1046" i="1"/>
  <c r="V1011" i="1"/>
  <c r="U1011" i="1"/>
  <c r="W1011" i="1"/>
  <c r="V987" i="1"/>
  <c r="W987" i="1"/>
  <c r="U987" i="1"/>
  <c r="T983" i="1"/>
  <c r="W983" i="1"/>
  <c r="U983" i="1"/>
  <c r="V983" i="1"/>
  <c r="U973" i="1"/>
  <c r="W973" i="1"/>
  <c r="T973" i="1"/>
  <c r="V973" i="1"/>
  <c r="U970" i="1"/>
  <c r="W970" i="1"/>
  <c r="U920" i="1"/>
  <c r="V920" i="1"/>
  <c r="W920" i="1"/>
  <c r="T920" i="1"/>
  <c r="V899" i="1"/>
  <c r="U899" i="1"/>
  <c r="W899" i="1"/>
  <c r="T899" i="1"/>
  <c r="U868" i="1"/>
  <c r="T868" i="1"/>
  <c r="V868" i="1"/>
  <c r="W868" i="1"/>
  <c r="T813" i="1"/>
  <c r="U813" i="1"/>
  <c r="W813" i="1"/>
  <c r="V813" i="1"/>
  <c r="T785" i="1"/>
  <c r="U785" i="1"/>
  <c r="W785" i="1"/>
  <c r="T729" i="1"/>
  <c r="W729" i="1"/>
  <c r="U729" i="1"/>
  <c r="V729" i="1"/>
  <c r="T721" i="1"/>
  <c r="U721" i="1"/>
  <c r="V721" i="1"/>
  <c r="W721" i="1"/>
  <c r="U719" i="1"/>
  <c r="T719" i="1"/>
  <c r="W719" i="1"/>
  <c r="U699" i="1"/>
  <c r="W699" i="1"/>
  <c r="T699" i="1"/>
  <c r="U695" i="1"/>
  <c r="T695" i="1"/>
  <c r="W695" i="1"/>
  <c r="W2290" i="1"/>
  <c r="W2274" i="1"/>
  <c r="Y2258" i="1"/>
  <c r="Y2210" i="1"/>
  <c r="X2208" i="1"/>
  <c r="W2182" i="1"/>
  <c r="U2145" i="1"/>
  <c r="W2145" i="1"/>
  <c r="U2128" i="1"/>
  <c r="W2128" i="1"/>
  <c r="V2089" i="1"/>
  <c r="W2089" i="1"/>
  <c r="U2040" i="1"/>
  <c r="V2040" i="1"/>
  <c r="V1957" i="1"/>
  <c r="U1957" i="1"/>
  <c r="V1897" i="1"/>
  <c r="W1897" i="1"/>
  <c r="U1883" i="1"/>
  <c r="W1883" i="1"/>
  <c r="V1860" i="1"/>
  <c r="U1860" i="1"/>
  <c r="T1816" i="1"/>
  <c r="W1816" i="1"/>
  <c r="U1804" i="1"/>
  <c r="T1804" i="1"/>
  <c r="W1804" i="1"/>
  <c r="T1774" i="1"/>
  <c r="U1774" i="1"/>
  <c r="V1774" i="1"/>
  <c r="U1740" i="1"/>
  <c r="T1740" i="1"/>
  <c r="W1740" i="1"/>
  <c r="U1692" i="1"/>
  <c r="W1692" i="1"/>
  <c r="U1684" i="1"/>
  <c r="W1684" i="1"/>
  <c r="U1676" i="1"/>
  <c r="W1676" i="1"/>
  <c r="U1668" i="1"/>
  <c r="W1668" i="1"/>
  <c r="U1660" i="1"/>
  <c r="W1660" i="1"/>
  <c r="U1652" i="1"/>
  <c r="W1652" i="1"/>
  <c r="U1644" i="1"/>
  <c r="W1644" i="1"/>
  <c r="U1609" i="1"/>
  <c r="V1609" i="1"/>
  <c r="T1599" i="1"/>
  <c r="V1599" i="1"/>
  <c r="W1599" i="1"/>
  <c r="T1582" i="1"/>
  <c r="U1582" i="1"/>
  <c r="V1582" i="1"/>
  <c r="U1577" i="1"/>
  <c r="V1577" i="1"/>
  <c r="T1550" i="1"/>
  <c r="U1550" i="1"/>
  <c r="V1550" i="1"/>
  <c r="U1545" i="1"/>
  <c r="V1545" i="1"/>
  <c r="T1519" i="1"/>
  <c r="U1519" i="1"/>
  <c r="W1519" i="1"/>
  <c r="T1494" i="1"/>
  <c r="U1494" i="1"/>
  <c r="T1417" i="1"/>
  <c r="U1417" i="1"/>
  <c r="V1384" i="1"/>
  <c r="T1384" i="1"/>
  <c r="U1384" i="1"/>
  <c r="T1365" i="1"/>
  <c r="U1365" i="1"/>
  <c r="V1336" i="1"/>
  <c r="T1336" i="1"/>
  <c r="U1336" i="1"/>
  <c r="W1336" i="1"/>
  <c r="U1329" i="1"/>
  <c r="V1329" i="1"/>
  <c r="W1329" i="1"/>
  <c r="T1302" i="1"/>
  <c r="W1302" i="1"/>
  <c r="X1292" i="1"/>
  <c r="T1270" i="1"/>
  <c r="W1270" i="1"/>
  <c r="V1160" i="1"/>
  <c r="T1160" i="1"/>
  <c r="U1131" i="1"/>
  <c r="W1131" i="1"/>
  <c r="T1114" i="1"/>
  <c r="U1114" i="1"/>
  <c r="W1114" i="1"/>
  <c r="U1081" i="1"/>
  <c r="V1081" i="1"/>
  <c r="W1081" i="1"/>
  <c r="V1052" i="1"/>
  <c r="W1052" i="1"/>
  <c r="T1052" i="1"/>
  <c r="U1029" i="1"/>
  <c r="V1029" i="1"/>
  <c r="T1029" i="1"/>
  <c r="V1016" i="1"/>
  <c r="W1016" i="1"/>
  <c r="U956" i="1"/>
  <c r="V956" i="1"/>
  <c r="T956" i="1"/>
  <c r="W956" i="1"/>
  <c r="U952" i="1"/>
  <c r="T952" i="1"/>
  <c r="V952" i="1"/>
  <c r="U932" i="1"/>
  <c r="T932" i="1"/>
  <c r="V932" i="1"/>
  <c r="W932" i="1"/>
  <c r="U856" i="1"/>
  <c r="V856" i="1"/>
  <c r="W856" i="1"/>
  <c r="T856" i="1"/>
  <c r="T616" i="1"/>
  <c r="V616" i="1"/>
  <c r="V591" i="1"/>
  <c r="T591" i="1"/>
  <c r="U591" i="1"/>
  <c r="W591" i="1"/>
  <c r="U537" i="1"/>
  <c r="T537" i="1"/>
  <c r="V537" i="1"/>
  <c r="W537" i="1"/>
  <c r="U203" i="1"/>
  <c r="V203" i="1"/>
  <c r="T203" i="1"/>
  <c r="W203" i="1"/>
  <c r="W9" i="1"/>
  <c r="V2336" i="1"/>
  <c r="X2314" i="1"/>
  <c r="Y2314" i="1" s="1"/>
  <c r="X2300" i="1"/>
  <c r="W2270" i="1"/>
  <c r="X2270" i="1" s="1"/>
  <c r="Y2270" i="1" s="1"/>
  <c r="W2260" i="1"/>
  <c r="X2260" i="1" s="1"/>
  <c r="Y2260" i="1" s="1"/>
  <c r="W2254" i="1"/>
  <c r="W2252" i="1"/>
  <c r="W2214" i="1"/>
  <c r="X2214" i="1" s="1"/>
  <c r="X2190" i="1"/>
  <c r="Y2190" i="1" s="1"/>
  <c r="U2172" i="1"/>
  <c r="T2172" i="1"/>
  <c r="W2127" i="1"/>
  <c r="U2127" i="1"/>
  <c r="W2110" i="1"/>
  <c r="U2104" i="1"/>
  <c r="V2104" i="1"/>
  <c r="W2101" i="1"/>
  <c r="U2101" i="1"/>
  <c r="W2058" i="1"/>
  <c r="U2056" i="1"/>
  <c r="V2056" i="1"/>
  <c r="V2041" i="1"/>
  <c r="W2041" i="1"/>
  <c r="W2002" i="1"/>
  <c r="W1994" i="1"/>
  <c r="W1990" i="1"/>
  <c r="U1972" i="1"/>
  <c r="V1972" i="1"/>
  <c r="W1930" i="1"/>
  <c r="W1926" i="1"/>
  <c r="V1913" i="1"/>
  <c r="W1913" i="1"/>
  <c r="V1909" i="1"/>
  <c r="U1909" i="1"/>
  <c r="X1885" i="1"/>
  <c r="V27" i="1"/>
  <c r="U2341" i="1"/>
  <c r="W25" i="1"/>
  <c r="T24" i="1"/>
  <c r="U9" i="1"/>
  <c r="T2338" i="1"/>
  <c r="V2334" i="1"/>
  <c r="U2329" i="1"/>
  <c r="W2321" i="1"/>
  <c r="X2318" i="1"/>
  <c r="T2312" i="1"/>
  <c r="V2308" i="1"/>
  <c r="U2303" i="1"/>
  <c r="V2300" i="1"/>
  <c r="Y2300" i="1" s="1"/>
  <c r="V2292" i="1"/>
  <c r="U2287" i="1"/>
  <c r="V2284" i="1"/>
  <c r="Y2284" i="1" s="1"/>
  <c r="V2276" i="1"/>
  <c r="U2271" i="1"/>
  <c r="T2268" i="1"/>
  <c r="V2264" i="1"/>
  <c r="U2261" i="1"/>
  <c r="T2260" i="1"/>
  <c r="V2256" i="1"/>
  <c r="T2252" i="1"/>
  <c r="V2248" i="1"/>
  <c r="Y2246" i="1"/>
  <c r="U2245" i="1"/>
  <c r="V13" i="1"/>
  <c r="U2239" i="1"/>
  <c r="W2235" i="1"/>
  <c r="Y2226" i="1"/>
  <c r="W2225" i="1"/>
  <c r="T2224" i="1"/>
  <c r="X2224" i="1" s="1"/>
  <c r="T2216" i="1"/>
  <c r="X2216" i="1" s="1"/>
  <c r="T2212" i="1"/>
  <c r="V2208" i="1"/>
  <c r="V2204" i="1"/>
  <c r="W2187" i="1"/>
  <c r="Y2178" i="1"/>
  <c r="W2177" i="1"/>
  <c r="T2176" i="1"/>
  <c r="W2172" i="1"/>
  <c r="U2168" i="1"/>
  <c r="X2168" i="1" s="1"/>
  <c r="V2168" i="1"/>
  <c r="W2165" i="1"/>
  <c r="U2165" i="1"/>
  <c r="U2164" i="1"/>
  <c r="X2164" i="1" s="1"/>
  <c r="V2164" i="1"/>
  <c r="U2162" i="1"/>
  <c r="X2162" i="1" s="1"/>
  <c r="V2160" i="1"/>
  <c r="V2156" i="1"/>
  <c r="X2152" i="1"/>
  <c r="Y2152" i="1" s="1"/>
  <c r="U2144" i="1"/>
  <c r="T2144" i="1"/>
  <c r="V2142" i="1"/>
  <c r="V2140" i="1"/>
  <c r="W2135" i="1"/>
  <c r="U2134" i="1"/>
  <c r="T2128" i="1"/>
  <c r="U2125" i="1"/>
  <c r="T2124" i="1"/>
  <c r="U2117" i="1"/>
  <c r="X2116" i="1"/>
  <c r="Y2116" i="1" s="1"/>
  <c r="U2113" i="1"/>
  <c r="W2113" i="1"/>
  <c r="U2111" i="1"/>
  <c r="U2110" i="1"/>
  <c r="U2108" i="1"/>
  <c r="T2108" i="1"/>
  <c r="V2106" i="1"/>
  <c r="W2104" i="1"/>
  <c r="T2102" i="1"/>
  <c r="W2100" i="1"/>
  <c r="U2093" i="1"/>
  <c r="X2092" i="1"/>
  <c r="Y2092" i="1" s="1"/>
  <c r="U2089" i="1"/>
  <c r="U2088" i="1"/>
  <c r="V2088" i="1"/>
  <c r="W2085" i="1"/>
  <c r="T2084" i="1"/>
  <c r="V2082" i="1"/>
  <c r="U2074" i="1"/>
  <c r="V2073" i="1"/>
  <c r="W2073" i="1"/>
  <c r="V2070" i="1"/>
  <c r="V2069" i="1"/>
  <c r="U2069" i="1"/>
  <c r="U2068" i="1"/>
  <c r="V2068" i="1"/>
  <c r="U2066" i="1"/>
  <c r="X2066" i="1" s="1"/>
  <c r="T2058" i="1"/>
  <c r="W2056" i="1"/>
  <c r="T2054" i="1"/>
  <c r="W2045" i="1"/>
  <c r="T2040" i="1"/>
  <c r="X2040" i="1" s="1"/>
  <c r="W2036" i="1"/>
  <c r="X2036" i="1" s="1"/>
  <c r="U2029" i="1"/>
  <c r="X2028" i="1"/>
  <c r="U2025" i="1"/>
  <c r="U2024" i="1"/>
  <c r="V2024" i="1"/>
  <c r="W2021" i="1"/>
  <c r="T2020" i="1"/>
  <c r="V2018" i="1"/>
  <c r="X2016" i="1"/>
  <c r="Y2016" i="1" s="1"/>
  <c r="U2010" i="1"/>
  <c r="V2009" i="1"/>
  <c r="W2009" i="1"/>
  <c r="V2006" i="1"/>
  <c r="V2005" i="1"/>
  <c r="U2005" i="1"/>
  <c r="U2004" i="1"/>
  <c r="V2004" i="1"/>
  <c r="U2002" i="1"/>
  <c r="X2002" i="1" s="1"/>
  <c r="T1994" i="1"/>
  <c r="W1992" i="1"/>
  <c r="T1990" i="1"/>
  <c r="X1990" i="1" s="1"/>
  <c r="W1981" i="1"/>
  <c r="T1976" i="1"/>
  <c r="W1972" i="1"/>
  <c r="U1965" i="1"/>
  <c r="U1961" i="1"/>
  <c r="U1960" i="1"/>
  <c r="X1960" i="1" s="1"/>
  <c r="V1960" i="1"/>
  <c r="W1957" i="1"/>
  <c r="T1956" i="1"/>
  <c r="V1954" i="1"/>
  <c r="U1946" i="1"/>
  <c r="V1945" i="1"/>
  <c r="W1945" i="1"/>
  <c r="V1942" i="1"/>
  <c r="V1941" i="1"/>
  <c r="U1941" i="1"/>
  <c r="U1940" i="1"/>
  <c r="X1940" i="1" s="1"/>
  <c r="V1940" i="1"/>
  <c r="U1938" i="1"/>
  <c r="T1930" i="1"/>
  <c r="W1928" i="1"/>
  <c r="T1926" i="1"/>
  <c r="W1917" i="1"/>
  <c r="T1912" i="1"/>
  <c r="W1908" i="1"/>
  <c r="U1901" i="1"/>
  <c r="U1897" i="1"/>
  <c r="U1896" i="1"/>
  <c r="X1896" i="1" s="1"/>
  <c r="Y1896" i="1" s="1"/>
  <c r="V1896" i="1"/>
  <c r="W1893" i="1"/>
  <c r="T1892" i="1"/>
  <c r="V1890" i="1"/>
  <c r="V1885" i="1"/>
  <c r="T1883" i="1"/>
  <c r="U1877" i="1"/>
  <c r="X1877" i="1" s="1"/>
  <c r="Y1877" i="1" s="1"/>
  <c r="W1875" i="1"/>
  <c r="T1870" i="1"/>
  <c r="U1870" i="1"/>
  <c r="X1869" i="1"/>
  <c r="Y1869" i="1" s="1"/>
  <c r="V1865" i="1"/>
  <c r="T1864" i="1"/>
  <c r="X1864" i="1" s="1"/>
  <c r="Y1864" i="1" s="1"/>
  <c r="T1862" i="1"/>
  <c r="W1862" i="1"/>
  <c r="U1859" i="1"/>
  <c r="T1859" i="1"/>
  <c r="Y1857" i="1"/>
  <c r="W1856" i="1"/>
  <c r="W1850" i="1"/>
  <c r="V1847" i="1"/>
  <c r="W1847" i="1"/>
  <c r="W1842" i="1"/>
  <c r="V1838" i="1"/>
  <c r="T1832" i="1"/>
  <c r="W1832" i="1"/>
  <c r="V1829" i="1"/>
  <c r="T1822" i="1"/>
  <c r="V1822" i="1"/>
  <c r="W1822" i="1"/>
  <c r="U1817" i="1"/>
  <c r="X1817" i="1" s="1"/>
  <c r="V1817" i="1"/>
  <c r="W1812" i="1"/>
  <c r="T1809" i="1"/>
  <c r="W1806" i="1"/>
  <c r="U1805" i="1"/>
  <c r="X1805" i="1" s="1"/>
  <c r="V1805" i="1"/>
  <c r="T1802" i="1"/>
  <c r="V1802" i="1"/>
  <c r="W1802" i="1"/>
  <c r="W1793" i="1"/>
  <c r="W1789" i="1"/>
  <c r="T1784" i="1"/>
  <c r="T1777" i="1"/>
  <c r="U1777" i="1"/>
  <c r="W1774" i="1"/>
  <c r="U1773" i="1"/>
  <c r="X1773" i="1" s="1"/>
  <c r="V1773" i="1"/>
  <c r="T1770" i="1"/>
  <c r="V1770" i="1"/>
  <c r="W1770" i="1"/>
  <c r="W1761" i="1"/>
  <c r="W1757" i="1"/>
  <c r="T1752" i="1"/>
  <c r="T1745" i="1"/>
  <c r="U1745" i="1"/>
  <c r="W1742" i="1"/>
  <c r="U1741" i="1"/>
  <c r="X1741" i="1" s="1"/>
  <c r="V1741" i="1"/>
  <c r="T1738" i="1"/>
  <c r="V1738" i="1"/>
  <c r="W1738" i="1"/>
  <c r="W1729" i="1"/>
  <c r="W1725" i="1"/>
  <c r="T1720" i="1"/>
  <c r="T1713" i="1"/>
  <c r="U1713" i="1"/>
  <c r="T1708" i="1"/>
  <c r="T1705" i="1"/>
  <c r="U1705" i="1"/>
  <c r="T1700" i="1"/>
  <c r="T1697" i="1"/>
  <c r="U1697" i="1"/>
  <c r="T1692" i="1"/>
  <c r="T1689" i="1"/>
  <c r="U1689" i="1"/>
  <c r="T1684" i="1"/>
  <c r="T1681" i="1"/>
  <c r="U1681" i="1"/>
  <c r="X1681" i="1" s="1"/>
  <c r="Y1681" i="1" s="1"/>
  <c r="T1676" i="1"/>
  <c r="T1673" i="1"/>
  <c r="U1673" i="1"/>
  <c r="T1668" i="1"/>
  <c r="T1665" i="1"/>
  <c r="U1665" i="1"/>
  <c r="T1660" i="1"/>
  <c r="T1657" i="1"/>
  <c r="U1657" i="1"/>
  <c r="T1652" i="1"/>
  <c r="T1649" i="1"/>
  <c r="U1649" i="1"/>
  <c r="T1644" i="1"/>
  <c r="T1641" i="1"/>
  <c r="X1641" i="1" s="1"/>
  <c r="T1637" i="1"/>
  <c r="U1637" i="1"/>
  <c r="T1635" i="1"/>
  <c r="W1635" i="1"/>
  <c r="W1621" i="1"/>
  <c r="T1618" i="1"/>
  <c r="V1618" i="1"/>
  <c r="W1618" i="1"/>
  <c r="W1614" i="1"/>
  <c r="U1612" i="1"/>
  <c r="W1612" i="1"/>
  <c r="T1609" i="1"/>
  <c r="T1605" i="1"/>
  <c r="U1605" i="1"/>
  <c r="T1603" i="1"/>
  <c r="W1603" i="1"/>
  <c r="W1589" i="1"/>
  <c r="T1586" i="1"/>
  <c r="V1586" i="1"/>
  <c r="W1586" i="1"/>
  <c r="W1582" i="1"/>
  <c r="U1580" i="1"/>
  <c r="W1580" i="1"/>
  <c r="T1577" i="1"/>
  <c r="T1573" i="1"/>
  <c r="U1573" i="1"/>
  <c r="T1571" i="1"/>
  <c r="W1571" i="1"/>
  <c r="W1557" i="1"/>
  <c r="T1554" i="1"/>
  <c r="V1554" i="1"/>
  <c r="W1554" i="1"/>
  <c r="W1550" i="1"/>
  <c r="U1548" i="1"/>
  <c r="W1548" i="1"/>
  <c r="T1545" i="1"/>
  <c r="X1545" i="1" s="1"/>
  <c r="T1541" i="1"/>
  <c r="U1541" i="1"/>
  <c r="W1536" i="1"/>
  <c r="T1533" i="1"/>
  <c r="V1533" i="1"/>
  <c r="W1533" i="1"/>
  <c r="W1529" i="1"/>
  <c r="T1527" i="1"/>
  <c r="W1527" i="1"/>
  <c r="U1520" i="1"/>
  <c r="V1520" i="1"/>
  <c r="W1520" i="1"/>
  <c r="V1517" i="1"/>
  <c r="W1517" i="1"/>
  <c r="U1514" i="1"/>
  <c r="V1514" i="1"/>
  <c r="W1510" i="1"/>
  <c r="U1500" i="1"/>
  <c r="V1500" i="1"/>
  <c r="W1500" i="1"/>
  <c r="T1498" i="1"/>
  <c r="U1496" i="1"/>
  <c r="T1496" i="1"/>
  <c r="V1496" i="1"/>
  <c r="V1494" i="1"/>
  <c r="T1487" i="1"/>
  <c r="W1487" i="1"/>
  <c r="V1485" i="1"/>
  <c r="W1485" i="1"/>
  <c r="V1481" i="1"/>
  <c r="U1481" i="1"/>
  <c r="W1481" i="1"/>
  <c r="U1468" i="1"/>
  <c r="V1468" i="1"/>
  <c r="W1468" i="1"/>
  <c r="T1466" i="1"/>
  <c r="U1464" i="1"/>
  <c r="T1464" i="1"/>
  <c r="V1464" i="1"/>
  <c r="V1462" i="1"/>
  <c r="T1455" i="1"/>
  <c r="W1455" i="1"/>
  <c r="V1453" i="1"/>
  <c r="W1453" i="1"/>
  <c r="V1449" i="1"/>
  <c r="U1449" i="1"/>
  <c r="W1449" i="1"/>
  <c r="U1436" i="1"/>
  <c r="V1436" i="1"/>
  <c r="W1436" i="1"/>
  <c r="W1429" i="1"/>
  <c r="V1428" i="1"/>
  <c r="T1428" i="1"/>
  <c r="U1428" i="1"/>
  <c r="T1425" i="1"/>
  <c r="V1417" i="1"/>
  <c r="T1413" i="1"/>
  <c r="U1413" i="1"/>
  <c r="T1410" i="1"/>
  <c r="X1410" i="1" s="1"/>
  <c r="U1410" i="1"/>
  <c r="W1410" i="1"/>
  <c r="V1404" i="1"/>
  <c r="W1404" i="1"/>
  <c r="W1397" i="1"/>
  <c r="V1396" i="1"/>
  <c r="T1396" i="1"/>
  <c r="U1396" i="1"/>
  <c r="W1384" i="1"/>
  <c r="W1376" i="1"/>
  <c r="T1372" i="1"/>
  <c r="W1369" i="1"/>
  <c r="V1365" i="1"/>
  <c r="T1357" i="1"/>
  <c r="V1357" i="1"/>
  <c r="W1357" i="1"/>
  <c r="T1354" i="1"/>
  <c r="W1354" i="1"/>
  <c r="V1354" i="1"/>
  <c r="X1353" i="1"/>
  <c r="Y1353" i="1" s="1"/>
  <c r="T1350" i="1"/>
  <c r="V1350" i="1"/>
  <c r="T1329" i="1"/>
  <c r="T1325" i="1"/>
  <c r="X1325" i="1" s="1"/>
  <c r="V1325" i="1"/>
  <c r="W1325" i="1"/>
  <c r="T1322" i="1"/>
  <c r="W1322" i="1"/>
  <c r="V1322" i="1"/>
  <c r="X1321" i="1"/>
  <c r="Y1321" i="1" s="1"/>
  <c r="T1318" i="1"/>
  <c r="V1318" i="1"/>
  <c r="V1302" i="1"/>
  <c r="U1297" i="1"/>
  <c r="V1297" i="1"/>
  <c r="W1297" i="1"/>
  <c r="T1293" i="1"/>
  <c r="V1293" i="1"/>
  <c r="W1293" i="1"/>
  <c r="W1287" i="1"/>
  <c r="V1270" i="1"/>
  <c r="U1265" i="1"/>
  <c r="V1265" i="1"/>
  <c r="W1265" i="1"/>
  <c r="T1261" i="1"/>
  <c r="V1261" i="1"/>
  <c r="W1261" i="1"/>
  <c r="X1261" i="1" s="1"/>
  <c r="W1255" i="1"/>
  <c r="V1238" i="1"/>
  <c r="U1233" i="1"/>
  <c r="V1233" i="1"/>
  <c r="W1233" i="1"/>
  <c r="T1229" i="1"/>
  <c r="V1229" i="1"/>
  <c r="W1229" i="1"/>
  <c r="X1229" i="1" s="1"/>
  <c r="W1223" i="1"/>
  <c r="W1216" i="1"/>
  <c r="T1204" i="1"/>
  <c r="T1202" i="1"/>
  <c r="U1202" i="1"/>
  <c r="W1202" i="1"/>
  <c r="W1199" i="1"/>
  <c r="V1196" i="1"/>
  <c r="T1196" i="1"/>
  <c r="W1196" i="1"/>
  <c r="U1193" i="1"/>
  <c r="T1193" i="1"/>
  <c r="V1193" i="1"/>
  <c r="V1184" i="1"/>
  <c r="T1184" i="1"/>
  <c r="U1167" i="1"/>
  <c r="W1167" i="1"/>
  <c r="U1163" i="1"/>
  <c r="W1163" i="1"/>
  <c r="W1160" i="1"/>
  <c r="U1153" i="1"/>
  <c r="W1153" i="1"/>
  <c r="V1153" i="1"/>
  <c r="T1142" i="1"/>
  <c r="W1142" i="1"/>
  <c r="U1142" i="1"/>
  <c r="V1136" i="1"/>
  <c r="T1136" i="1"/>
  <c r="W1136" i="1"/>
  <c r="V1114" i="1"/>
  <c r="T1106" i="1"/>
  <c r="U1106" i="1"/>
  <c r="V1106" i="1"/>
  <c r="W1106" i="1"/>
  <c r="V1104" i="1"/>
  <c r="T1104" i="1"/>
  <c r="T1094" i="1"/>
  <c r="W1094" i="1"/>
  <c r="U1094" i="1"/>
  <c r="V1094" i="1"/>
  <c r="T1090" i="1"/>
  <c r="U1090" i="1"/>
  <c r="V1090" i="1"/>
  <c r="W1090" i="1"/>
  <c r="T1081" i="1"/>
  <c r="W1079" i="1"/>
  <c r="T1074" i="1"/>
  <c r="U1074" i="1"/>
  <c r="V1074" i="1"/>
  <c r="V1064" i="1"/>
  <c r="T1064" i="1"/>
  <c r="W1064" i="1"/>
  <c r="T1062" i="1"/>
  <c r="W1062" i="1"/>
  <c r="V1062" i="1"/>
  <c r="V1056" i="1"/>
  <c r="T1056" i="1"/>
  <c r="W1056" i="1"/>
  <c r="W1029" i="1"/>
  <c r="V1020" i="1"/>
  <c r="U1020" i="1"/>
  <c r="U1016" i="1"/>
  <c r="U1013" i="1"/>
  <c r="V1013" i="1"/>
  <c r="T1013" i="1"/>
  <c r="W1013" i="1"/>
  <c r="W988" i="1"/>
  <c r="V979" i="1"/>
  <c r="U979" i="1"/>
  <c r="W979" i="1"/>
  <c r="V972" i="1"/>
  <c r="W972" i="1"/>
  <c r="U972" i="1"/>
  <c r="T961" i="1"/>
  <c r="V961" i="1"/>
  <c r="T957" i="1"/>
  <c r="U957" i="1"/>
  <c r="W957" i="1"/>
  <c r="W952" i="1"/>
  <c r="U914" i="1"/>
  <c r="V914" i="1"/>
  <c r="W914" i="1"/>
  <c r="T908" i="1"/>
  <c r="U908" i="1"/>
  <c r="V908" i="1"/>
  <c r="W908" i="1"/>
  <c r="V896" i="1"/>
  <c r="T896" i="1"/>
  <c r="U896" i="1"/>
  <c r="U866" i="1"/>
  <c r="V866" i="1"/>
  <c r="V848" i="1"/>
  <c r="U848" i="1"/>
  <c r="W848" i="1"/>
  <c r="T848" i="1"/>
  <c r="V818" i="1"/>
  <c r="W818" i="1"/>
  <c r="T815" i="1"/>
  <c r="W815" i="1"/>
  <c r="T808" i="1"/>
  <c r="U808" i="1"/>
  <c r="V808" i="1"/>
  <c r="T777" i="1"/>
  <c r="U777" i="1"/>
  <c r="W777" i="1"/>
  <c r="V777" i="1"/>
  <c r="T753" i="1"/>
  <c r="U753" i="1"/>
  <c r="W753" i="1"/>
  <c r="U747" i="1"/>
  <c r="W747" i="1"/>
  <c r="T747" i="1"/>
  <c r="X747" i="1" s="1"/>
  <c r="U743" i="1"/>
  <c r="X743" i="1" s="1"/>
  <c r="T743" i="1"/>
  <c r="W743" i="1"/>
  <c r="T713" i="1"/>
  <c r="W713" i="1"/>
  <c r="U713" i="1"/>
  <c r="V713" i="1"/>
  <c r="T705" i="1"/>
  <c r="U705" i="1"/>
  <c r="V705" i="1"/>
  <c r="W705" i="1"/>
  <c r="U703" i="1"/>
  <c r="T703" i="1"/>
  <c r="W703" i="1"/>
  <c r="V651" i="1"/>
  <c r="U651" i="1"/>
  <c r="T651" i="1"/>
  <c r="W651" i="1"/>
  <c r="V642" i="1"/>
  <c r="W642" i="1"/>
  <c r="V627" i="1"/>
  <c r="U627" i="1"/>
  <c r="T627" i="1"/>
  <c r="W627" i="1"/>
  <c r="W616" i="1"/>
  <c r="U535" i="1"/>
  <c r="V535" i="1"/>
  <c r="T535" i="1"/>
  <c r="W535" i="1"/>
  <c r="U1834" i="1"/>
  <c r="U1818" i="1"/>
  <c r="U1810" i="1"/>
  <c r="X1810" i="1" s="1"/>
  <c r="Y1810" i="1" s="1"/>
  <c r="X1798" i="1"/>
  <c r="Y1798" i="1" s="1"/>
  <c r="U1794" i="1"/>
  <c r="X1794" i="1" s="1"/>
  <c r="Y1794" i="1" s="1"/>
  <c r="T1792" i="1"/>
  <c r="U1778" i="1"/>
  <c r="X1778" i="1" s="1"/>
  <c r="Y1778" i="1" s="1"/>
  <c r="T1776" i="1"/>
  <c r="X1766" i="1"/>
  <c r="U1762" i="1"/>
  <c r="T1760" i="1"/>
  <c r="X1760" i="1" s="1"/>
  <c r="X1750" i="1"/>
  <c r="U1746" i="1"/>
  <c r="X1746" i="1" s="1"/>
  <c r="Y1746" i="1" s="1"/>
  <c r="T1744" i="1"/>
  <c r="X1744" i="1" s="1"/>
  <c r="X1734" i="1"/>
  <c r="U1730" i="1"/>
  <c r="X1730" i="1" s="1"/>
  <c r="Y1730" i="1" s="1"/>
  <c r="T1728" i="1"/>
  <c r="X1728" i="1" s="1"/>
  <c r="X1718" i="1"/>
  <c r="U1714" i="1"/>
  <c r="X1714" i="1" s="1"/>
  <c r="Y1714" i="1" s="1"/>
  <c r="T1712" i="1"/>
  <c r="X1712" i="1" s="1"/>
  <c r="W1707" i="1"/>
  <c r="U1706" i="1"/>
  <c r="T1704" i="1"/>
  <c r="X1704" i="1" s="1"/>
  <c r="W1699" i="1"/>
  <c r="U1698" i="1"/>
  <c r="T1696" i="1"/>
  <c r="W1691" i="1"/>
  <c r="U1690" i="1"/>
  <c r="X1690" i="1" s="1"/>
  <c r="Y1690" i="1" s="1"/>
  <c r="T1688" i="1"/>
  <c r="W1683" i="1"/>
  <c r="U1682" i="1"/>
  <c r="X1682" i="1" s="1"/>
  <c r="T1680" i="1"/>
  <c r="X1680" i="1" s="1"/>
  <c r="W1675" i="1"/>
  <c r="U1674" i="1"/>
  <c r="X1674" i="1" s="1"/>
  <c r="Y1674" i="1" s="1"/>
  <c r="T1672" i="1"/>
  <c r="X1672" i="1" s="1"/>
  <c r="W1667" i="1"/>
  <c r="U1666" i="1"/>
  <c r="T1664" i="1"/>
  <c r="W1659" i="1"/>
  <c r="U1658" i="1"/>
  <c r="T1656" i="1"/>
  <c r="W56" i="1"/>
  <c r="U1650" i="1"/>
  <c r="X1650" i="1" s="1"/>
  <c r="Y1650" i="1" s="1"/>
  <c r="T1648" i="1"/>
  <c r="W1643" i="1"/>
  <c r="U1642" i="1"/>
  <c r="W1640" i="1"/>
  <c r="X1638" i="1"/>
  <c r="V1627" i="1"/>
  <c r="U1626" i="1"/>
  <c r="X1626" i="1" s="1"/>
  <c r="Y1626" i="1" s="1"/>
  <c r="W1624" i="1"/>
  <c r="X1622" i="1"/>
  <c r="V1611" i="1"/>
  <c r="U1610" i="1"/>
  <c r="X1610" i="1" s="1"/>
  <c r="Y1610" i="1" s="1"/>
  <c r="W1608" i="1"/>
  <c r="V1595" i="1"/>
  <c r="U1594" i="1"/>
  <c r="X1594" i="1" s="1"/>
  <c r="Y1594" i="1" s="1"/>
  <c r="W1592" i="1"/>
  <c r="V1579" i="1"/>
  <c r="U1578" i="1"/>
  <c r="X1578" i="1" s="1"/>
  <c r="W1576" i="1"/>
  <c r="X1574" i="1"/>
  <c r="Y1574" i="1" s="1"/>
  <c r="V1563" i="1"/>
  <c r="U1562" i="1"/>
  <c r="W1560" i="1"/>
  <c r="X1558" i="1"/>
  <c r="Y1558" i="1" s="1"/>
  <c r="V1547" i="1"/>
  <c r="U1546" i="1"/>
  <c r="W1544" i="1"/>
  <c r="W1539" i="1"/>
  <c r="X1537" i="1"/>
  <c r="Y1537" i="1" s="1"/>
  <c r="V1526" i="1"/>
  <c r="X1524" i="1"/>
  <c r="U1515" i="1"/>
  <c r="W1513" i="1"/>
  <c r="T1512" i="1"/>
  <c r="X1512" i="1" s="1"/>
  <c r="Y1512" i="1" s="1"/>
  <c r="X1504" i="1"/>
  <c r="Y1504" i="1" s="1"/>
  <c r="W1499" i="1"/>
  <c r="U1493" i="1"/>
  <c r="T1492" i="1"/>
  <c r="X1488" i="1"/>
  <c r="Y1488" i="1" s="1"/>
  <c r="W1483" i="1"/>
  <c r="U1477" i="1"/>
  <c r="T1476" i="1"/>
  <c r="W1467" i="1"/>
  <c r="U1461" i="1"/>
  <c r="T1460" i="1"/>
  <c r="W1451" i="1"/>
  <c r="U1445" i="1"/>
  <c r="T1444" i="1"/>
  <c r="X1440" i="1"/>
  <c r="Y1440" i="1" s="1"/>
  <c r="V1435" i="1"/>
  <c r="U1434" i="1"/>
  <c r="U1424" i="1"/>
  <c r="T1423" i="1"/>
  <c r="X1423" i="1" s="1"/>
  <c r="Y1423" i="1" s="1"/>
  <c r="V1419" i="1"/>
  <c r="U1418" i="1"/>
  <c r="X1418" i="1" s="1"/>
  <c r="Y1418" i="1" s="1"/>
  <c r="U1408" i="1"/>
  <c r="T1407" i="1"/>
  <c r="X1407" i="1" s="1"/>
  <c r="Y1407" i="1" s="1"/>
  <c r="V1403" i="1"/>
  <c r="U1402" i="1"/>
  <c r="T1388" i="1"/>
  <c r="W1378" i="1"/>
  <c r="W1359" i="1"/>
  <c r="V1352" i="1"/>
  <c r="T1352" i="1"/>
  <c r="X1352" i="1" s="1"/>
  <c r="T1345" i="1"/>
  <c r="X1345" i="1" s="1"/>
  <c r="Y1345" i="1" s="1"/>
  <c r="V1342" i="1"/>
  <c r="U1341" i="1"/>
  <c r="X1341" i="1" s="1"/>
  <c r="Y1341" i="1" s="1"/>
  <c r="T1338" i="1"/>
  <c r="W1338" i="1"/>
  <c r="V1320" i="1"/>
  <c r="T1320" i="1"/>
  <c r="X1320" i="1" s="1"/>
  <c r="T1313" i="1"/>
  <c r="X1313" i="1" s="1"/>
  <c r="Y1313" i="1" s="1"/>
  <c r="U1309" i="1"/>
  <c r="X1309" i="1" s="1"/>
  <c r="Y1309" i="1" s="1"/>
  <c r="W1303" i="1"/>
  <c r="W1299" i="1"/>
  <c r="U1295" i="1"/>
  <c r="W1295" i="1"/>
  <c r="T1285" i="1"/>
  <c r="T1281" i="1"/>
  <c r="X1281" i="1" s="1"/>
  <c r="Y1281" i="1" s="1"/>
  <c r="U1277" i="1"/>
  <c r="X1277" i="1" s="1"/>
  <c r="Y1277" i="1" s="1"/>
  <c r="W1271" i="1"/>
  <c r="W1267" i="1"/>
  <c r="U1263" i="1"/>
  <c r="W1263" i="1"/>
  <c r="T1253" i="1"/>
  <c r="X1252" i="1"/>
  <c r="T1249" i="1"/>
  <c r="X1249" i="1" s="1"/>
  <c r="Y1249" i="1" s="1"/>
  <c r="U1245" i="1"/>
  <c r="X1245" i="1" s="1"/>
  <c r="W1239" i="1"/>
  <c r="W1235" i="1"/>
  <c r="U1231" i="1"/>
  <c r="W1231" i="1"/>
  <c r="T1221" i="1"/>
  <c r="X1221" i="1" s="1"/>
  <c r="Y1221" i="1" s="1"/>
  <c r="X1220" i="1"/>
  <c r="Y1220" i="1" s="1"/>
  <c r="T1217" i="1"/>
  <c r="X1217" i="1" s="1"/>
  <c r="Y1217" i="1" s="1"/>
  <c r="W1215" i="1"/>
  <c r="T1214" i="1"/>
  <c r="W1214" i="1"/>
  <c r="T1210" i="1"/>
  <c r="U1210" i="1"/>
  <c r="X1209" i="1"/>
  <c r="Y1209" i="1" s="1"/>
  <c r="U1203" i="1"/>
  <c r="W1203" i="1"/>
  <c r="V1192" i="1"/>
  <c r="T1192" i="1"/>
  <c r="X1189" i="1"/>
  <c r="Y1189" i="1" s="1"/>
  <c r="T1188" i="1"/>
  <c r="T1185" i="1"/>
  <c r="W1183" i="1"/>
  <c r="U1177" i="1"/>
  <c r="V1177" i="1"/>
  <c r="T1170" i="1"/>
  <c r="U1170" i="1"/>
  <c r="V1170" i="1"/>
  <c r="Y1165" i="1"/>
  <c r="T1158" i="1"/>
  <c r="W1158" i="1"/>
  <c r="T1154" i="1"/>
  <c r="U1154" i="1"/>
  <c r="V1152" i="1"/>
  <c r="T1152" i="1"/>
  <c r="W1152" i="1"/>
  <c r="T1150" i="1"/>
  <c r="W1150" i="1"/>
  <c r="V1150" i="1"/>
  <c r="U1147" i="1"/>
  <c r="W1147" i="1"/>
  <c r="W1143" i="1"/>
  <c r="U1137" i="1"/>
  <c r="T1137" i="1"/>
  <c r="V1128" i="1"/>
  <c r="T1128" i="1"/>
  <c r="X1125" i="1"/>
  <c r="Y1125" i="1" s="1"/>
  <c r="T1124" i="1"/>
  <c r="U1121" i="1"/>
  <c r="W1121" i="1"/>
  <c r="X1117" i="1"/>
  <c r="Y1117" i="1" s="1"/>
  <c r="V1116" i="1"/>
  <c r="W1116" i="1"/>
  <c r="T1110" i="1"/>
  <c r="W1110" i="1"/>
  <c r="U1110" i="1"/>
  <c r="U1107" i="1"/>
  <c r="W1107" i="1"/>
  <c r="U1103" i="1"/>
  <c r="W1103" i="1"/>
  <c r="U1099" i="1"/>
  <c r="W1099" i="1"/>
  <c r="T1082" i="1"/>
  <c r="U1082" i="1"/>
  <c r="W1082" i="1"/>
  <c r="V1076" i="1"/>
  <c r="T1076" i="1"/>
  <c r="V1072" i="1"/>
  <c r="T1072" i="1"/>
  <c r="W1055" i="1"/>
  <c r="U1049" i="1"/>
  <c r="X1049" i="1" s="1"/>
  <c r="V1049" i="1"/>
  <c r="T1043" i="1"/>
  <c r="U1043" i="1"/>
  <c r="U1041" i="1"/>
  <c r="W1041" i="1"/>
  <c r="V1041" i="1"/>
  <c r="T1031" i="1"/>
  <c r="U1031" i="1"/>
  <c r="X1027" i="1"/>
  <c r="U1005" i="1"/>
  <c r="V1005" i="1"/>
  <c r="W1005" i="1"/>
  <c r="T999" i="1"/>
  <c r="U999" i="1"/>
  <c r="U962" i="1"/>
  <c r="T962" i="1"/>
  <c r="V962" i="1"/>
  <c r="V935" i="1"/>
  <c r="U935" i="1"/>
  <c r="W935" i="1"/>
  <c r="T924" i="1"/>
  <c r="V924" i="1"/>
  <c r="W924" i="1"/>
  <c r="U904" i="1"/>
  <c r="T904" i="1"/>
  <c r="V904" i="1"/>
  <c r="V895" i="1"/>
  <c r="T895" i="1"/>
  <c r="V883" i="1"/>
  <c r="U883" i="1"/>
  <c r="T883" i="1"/>
  <c r="W883" i="1"/>
  <c r="V879" i="1"/>
  <c r="T879" i="1"/>
  <c r="V871" i="1"/>
  <c r="U871" i="1"/>
  <c r="W871" i="1"/>
  <c r="T860" i="1"/>
  <c r="V860" i="1"/>
  <c r="W860" i="1"/>
  <c r="U840" i="1"/>
  <c r="T840" i="1"/>
  <c r="V840" i="1"/>
  <c r="V831" i="1"/>
  <c r="T831" i="1"/>
  <c r="T821" i="1"/>
  <c r="U821" i="1"/>
  <c r="W821" i="1"/>
  <c r="T817" i="1"/>
  <c r="W817" i="1"/>
  <c r="V817" i="1"/>
  <c r="U812" i="1"/>
  <c r="V812" i="1"/>
  <c r="W812" i="1"/>
  <c r="T781" i="1"/>
  <c r="W781" i="1"/>
  <c r="V781" i="1"/>
  <c r="X772" i="1"/>
  <c r="Y772" i="1" s="1"/>
  <c r="U731" i="1"/>
  <c r="W731" i="1"/>
  <c r="T731" i="1"/>
  <c r="U727" i="1"/>
  <c r="T727" i="1"/>
  <c r="W727" i="1"/>
  <c r="T697" i="1"/>
  <c r="W697" i="1"/>
  <c r="U697" i="1"/>
  <c r="V697" i="1"/>
  <c r="T689" i="1"/>
  <c r="U689" i="1"/>
  <c r="V689" i="1"/>
  <c r="W689" i="1"/>
  <c r="X667" i="1"/>
  <c r="V650" i="1"/>
  <c r="T650" i="1"/>
  <c r="T628" i="1"/>
  <c r="U628" i="1"/>
  <c r="V628" i="1"/>
  <c r="W628" i="1"/>
  <c r="T615" i="1"/>
  <c r="U615" i="1"/>
  <c r="V615" i="1"/>
  <c r="W615" i="1"/>
  <c r="U605" i="1"/>
  <c r="V605" i="1"/>
  <c r="W605" i="1"/>
  <c r="X1818" i="1"/>
  <c r="Y1818" i="1" s="1"/>
  <c r="X1688" i="1"/>
  <c r="X1656" i="1"/>
  <c r="Y1522" i="1"/>
  <c r="Y1502" i="1"/>
  <c r="X1492" i="1"/>
  <c r="Y1492" i="1" s="1"/>
  <c r="Y1486" i="1"/>
  <c r="X1460" i="1"/>
  <c r="Y1460" i="1" s="1"/>
  <c r="Y1438" i="1"/>
  <c r="X1360" i="1"/>
  <c r="V1344" i="1"/>
  <c r="W1344" i="1"/>
  <c r="X1344" i="1" s="1"/>
  <c r="V1340" i="1"/>
  <c r="U1340" i="1"/>
  <c r="X1340" i="1" s="1"/>
  <c r="T1334" i="1"/>
  <c r="V1334" i="1"/>
  <c r="X1332" i="1"/>
  <c r="Y1332" i="1" s="1"/>
  <c r="V1312" i="1"/>
  <c r="W1312" i="1"/>
  <c r="V1308" i="1"/>
  <c r="U1308" i="1"/>
  <c r="X1308" i="1" s="1"/>
  <c r="X1305" i="1"/>
  <c r="Y1305" i="1" s="1"/>
  <c r="V1288" i="1"/>
  <c r="T1288" i="1"/>
  <c r="X1288" i="1" s="1"/>
  <c r="T1286" i="1"/>
  <c r="W1286" i="1"/>
  <c r="T1282" i="1"/>
  <c r="V1282" i="1"/>
  <c r="V1280" i="1"/>
  <c r="W1280" i="1"/>
  <c r="V1276" i="1"/>
  <c r="U1276" i="1"/>
  <c r="X1276" i="1" s="1"/>
  <c r="V1256" i="1"/>
  <c r="T1256" i="1"/>
  <c r="X1256" i="1" s="1"/>
  <c r="T1254" i="1"/>
  <c r="W1254" i="1"/>
  <c r="T1250" i="1"/>
  <c r="V1250" i="1"/>
  <c r="V1248" i="1"/>
  <c r="W1248" i="1"/>
  <c r="X1248" i="1" s="1"/>
  <c r="V1244" i="1"/>
  <c r="U1244" i="1"/>
  <c r="X1244" i="1" s="1"/>
  <c r="V1224" i="1"/>
  <c r="T1224" i="1"/>
  <c r="X1224" i="1" s="1"/>
  <c r="T1222" i="1"/>
  <c r="W1222" i="1"/>
  <c r="T1218" i="1"/>
  <c r="V1218" i="1"/>
  <c r="U1211" i="1"/>
  <c r="W1211" i="1"/>
  <c r="V1200" i="1"/>
  <c r="T1200" i="1"/>
  <c r="T1190" i="1"/>
  <c r="W1190" i="1"/>
  <c r="T1186" i="1"/>
  <c r="U1186" i="1"/>
  <c r="X1185" i="1"/>
  <c r="Y1185" i="1" s="1"/>
  <c r="T1178" i="1"/>
  <c r="U1178" i="1"/>
  <c r="W1178" i="1"/>
  <c r="V1172" i="1"/>
  <c r="T1172" i="1"/>
  <c r="V1168" i="1"/>
  <c r="T1168" i="1"/>
  <c r="U1145" i="1"/>
  <c r="X1145" i="1" s="1"/>
  <c r="V1145" i="1"/>
  <c r="T1138" i="1"/>
  <c r="U1138" i="1"/>
  <c r="V1138" i="1"/>
  <c r="T1126" i="1"/>
  <c r="W1126" i="1"/>
  <c r="T1122" i="1"/>
  <c r="U1122" i="1"/>
  <c r="V1120" i="1"/>
  <c r="T1120" i="1"/>
  <c r="W1120" i="1"/>
  <c r="T1118" i="1"/>
  <c r="W1118" i="1"/>
  <c r="V1118" i="1"/>
  <c r="U1115" i="1"/>
  <c r="W1115" i="1"/>
  <c r="U1105" i="1"/>
  <c r="T1105" i="1"/>
  <c r="V1096" i="1"/>
  <c r="T1096" i="1"/>
  <c r="U1089" i="1"/>
  <c r="W1089" i="1"/>
  <c r="V1084" i="1"/>
  <c r="W1084" i="1"/>
  <c r="T1078" i="1"/>
  <c r="W1078" i="1"/>
  <c r="U1078" i="1"/>
  <c r="U1075" i="1"/>
  <c r="W1075" i="1"/>
  <c r="U1071" i="1"/>
  <c r="W1071" i="1"/>
  <c r="U1067" i="1"/>
  <c r="W1067" i="1"/>
  <c r="T1050" i="1"/>
  <c r="U1050" i="1"/>
  <c r="W1050" i="1"/>
  <c r="V1044" i="1"/>
  <c r="T1044" i="1"/>
  <c r="V1032" i="1"/>
  <c r="U1032" i="1"/>
  <c r="V1028" i="1"/>
  <c r="U1028" i="1"/>
  <c r="T1007" i="1"/>
  <c r="X1007" i="1" s="1"/>
  <c r="V1007" i="1"/>
  <c r="V1000" i="1"/>
  <c r="U1000" i="1"/>
  <c r="V996" i="1"/>
  <c r="U996" i="1"/>
  <c r="T975" i="1"/>
  <c r="X975" i="1" s="1"/>
  <c r="V975" i="1"/>
  <c r="T960" i="1"/>
  <c r="W960" i="1"/>
  <c r="T949" i="1"/>
  <c r="U949" i="1"/>
  <c r="W949" i="1"/>
  <c r="U946" i="1"/>
  <c r="T946" i="1"/>
  <c r="W946" i="1"/>
  <c r="U910" i="1"/>
  <c r="T910" i="1"/>
  <c r="W910" i="1"/>
  <c r="U894" i="1"/>
  <c r="T894" i="1"/>
  <c r="V894" i="1"/>
  <c r="W894" i="1"/>
  <c r="V887" i="1"/>
  <c r="U887" i="1"/>
  <c r="U846" i="1"/>
  <c r="T846" i="1"/>
  <c r="W846" i="1"/>
  <c r="U830" i="1"/>
  <c r="T830" i="1"/>
  <c r="V830" i="1"/>
  <c r="W830" i="1"/>
  <c r="T809" i="1"/>
  <c r="W809" i="1"/>
  <c r="U809" i="1"/>
  <c r="V809" i="1"/>
  <c r="U804" i="1"/>
  <c r="T804" i="1"/>
  <c r="V804" i="1"/>
  <c r="U784" i="1"/>
  <c r="V784" i="1"/>
  <c r="W784" i="1"/>
  <c r="U764" i="1"/>
  <c r="T764" i="1"/>
  <c r="V764" i="1"/>
  <c r="T16" i="1"/>
  <c r="W16" i="1"/>
  <c r="U16" i="1"/>
  <c r="V16" i="1"/>
  <c r="T737" i="1"/>
  <c r="U737" i="1"/>
  <c r="V737" i="1"/>
  <c r="W737" i="1"/>
  <c r="U735" i="1"/>
  <c r="T735" i="1"/>
  <c r="W735" i="1"/>
  <c r="U715" i="1"/>
  <c r="W715" i="1"/>
  <c r="T715" i="1"/>
  <c r="U711" i="1"/>
  <c r="T711" i="1"/>
  <c r="W711" i="1"/>
  <c r="T685" i="1"/>
  <c r="W685" i="1"/>
  <c r="V685" i="1"/>
  <c r="T669" i="1"/>
  <c r="V669" i="1"/>
  <c r="W669" i="1"/>
  <c r="T663" i="1"/>
  <c r="V663" i="1"/>
  <c r="U663" i="1"/>
  <c r="W663" i="1"/>
  <c r="U653" i="1"/>
  <c r="V653" i="1"/>
  <c r="W653" i="1"/>
  <c r="T640" i="1"/>
  <c r="W640" i="1"/>
  <c r="V640" i="1"/>
  <c r="U640" i="1"/>
  <c r="T636" i="1"/>
  <c r="U636" i="1"/>
  <c r="V636" i="1"/>
  <c r="W633" i="1"/>
  <c r="V633" i="1"/>
  <c r="V610" i="1"/>
  <c r="U610" i="1"/>
  <c r="T532" i="1"/>
  <c r="U532" i="1"/>
  <c r="V532" i="1"/>
  <c r="W532" i="1"/>
  <c r="U519" i="1"/>
  <c r="V519" i="1"/>
  <c r="T519" i="1"/>
  <c r="W519" i="1"/>
  <c r="T499" i="1"/>
  <c r="U499" i="1"/>
  <c r="V499" i="1"/>
  <c r="W499" i="1"/>
  <c r="T435" i="1"/>
  <c r="U435" i="1"/>
  <c r="V435" i="1"/>
  <c r="W435" i="1"/>
  <c r="T427" i="1"/>
  <c r="U427" i="1"/>
  <c r="V427" i="1"/>
  <c r="W427" i="1"/>
  <c r="U926" i="1"/>
  <c r="T926" i="1"/>
  <c r="V915" i="1"/>
  <c r="U915" i="1"/>
  <c r="X915" i="1" s="1"/>
  <c r="V911" i="1"/>
  <c r="T911" i="1"/>
  <c r="V903" i="1"/>
  <c r="U903" i="1"/>
  <c r="X892" i="1"/>
  <c r="Y892" i="1" s="1"/>
  <c r="U882" i="1"/>
  <c r="V882" i="1"/>
  <c r="U862" i="1"/>
  <c r="T862" i="1"/>
  <c r="V851" i="1"/>
  <c r="U851" i="1"/>
  <c r="X851" i="1" s="1"/>
  <c r="V847" i="1"/>
  <c r="T847" i="1"/>
  <c r="V839" i="1"/>
  <c r="U839" i="1"/>
  <c r="X828" i="1"/>
  <c r="Y828" i="1" s="1"/>
  <c r="V802" i="1"/>
  <c r="W802" i="1"/>
  <c r="T801" i="1"/>
  <c r="X801" i="1" s="1"/>
  <c r="V801" i="1"/>
  <c r="T793" i="1"/>
  <c r="X793" i="1" s="1"/>
  <c r="V793" i="1"/>
  <c r="T789" i="1"/>
  <c r="W789" i="1"/>
  <c r="W778" i="1"/>
  <c r="V778" i="1"/>
  <c r="T769" i="1"/>
  <c r="W769" i="1"/>
  <c r="T761" i="1"/>
  <c r="U761" i="1"/>
  <c r="T757" i="1"/>
  <c r="W757" i="1"/>
  <c r="V748" i="1"/>
  <c r="T748" i="1"/>
  <c r="X748" i="1" s="1"/>
  <c r="Y748" i="1" s="1"/>
  <c r="V732" i="1"/>
  <c r="T732" i="1"/>
  <c r="X732" i="1" s="1"/>
  <c r="V716" i="1"/>
  <c r="T716" i="1"/>
  <c r="V700" i="1"/>
  <c r="T700" i="1"/>
  <c r="X700" i="1" s="1"/>
  <c r="U687" i="1"/>
  <c r="W687" i="1"/>
  <c r="T681" i="1"/>
  <c r="U681" i="1"/>
  <c r="V681" i="1"/>
  <c r="V680" i="1"/>
  <c r="U680" i="1"/>
  <c r="X680" i="1" s="1"/>
  <c r="U676" i="1"/>
  <c r="W676" i="1"/>
  <c r="T672" i="1"/>
  <c r="X672" i="1" s="1"/>
  <c r="V672" i="1"/>
  <c r="U665" i="1"/>
  <c r="T665" i="1"/>
  <c r="U647" i="1"/>
  <c r="X647" i="1" s="1"/>
  <c r="V647" i="1"/>
  <c r="T632" i="1"/>
  <c r="W632" i="1"/>
  <c r="U632" i="1"/>
  <c r="T623" i="1"/>
  <c r="U623" i="1"/>
  <c r="U601" i="1"/>
  <c r="W601" i="1"/>
  <c r="V601" i="1"/>
  <c r="V587" i="1"/>
  <c r="T587" i="1"/>
  <c r="U587" i="1"/>
  <c r="W587" i="1"/>
  <c r="T552" i="1"/>
  <c r="W552" i="1"/>
  <c r="V552" i="1"/>
  <c r="T543" i="1"/>
  <c r="U543" i="1"/>
  <c r="W543" i="1"/>
  <c r="V543" i="1"/>
  <c r="U527" i="1"/>
  <c r="V527" i="1"/>
  <c r="T527" i="1"/>
  <c r="W527" i="1"/>
  <c r="V510" i="1"/>
  <c r="T510" i="1"/>
  <c r="U510" i="1"/>
  <c r="W510" i="1"/>
  <c r="U413" i="1"/>
  <c r="W413" i="1"/>
  <c r="V413" i="1"/>
  <c r="V337" i="1"/>
  <c r="W337" i="1"/>
  <c r="T328" i="1"/>
  <c r="U328" i="1"/>
  <c r="W328" i="1"/>
  <c r="U280" i="1"/>
  <c r="V280" i="1"/>
  <c r="T280" i="1"/>
  <c r="W280" i="1"/>
  <c r="V263" i="1"/>
  <c r="U263" i="1"/>
  <c r="W263" i="1"/>
  <c r="T263" i="1"/>
  <c r="U229" i="1"/>
  <c r="W229" i="1"/>
  <c r="T217" i="1"/>
  <c r="U217" i="1"/>
  <c r="V217" i="1"/>
  <c r="Y1252" i="1"/>
  <c r="Y1236" i="1"/>
  <c r="V1176" i="1"/>
  <c r="T1176" i="1"/>
  <c r="X1173" i="1"/>
  <c r="Y1173" i="1" s="1"/>
  <c r="T1166" i="1"/>
  <c r="W1166" i="1"/>
  <c r="T1162" i="1"/>
  <c r="U1162" i="1"/>
  <c r="U1155" i="1"/>
  <c r="W1155" i="1"/>
  <c r="V1144" i="1"/>
  <c r="T1144" i="1"/>
  <c r="T1134" i="1"/>
  <c r="W1134" i="1"/>
  <c r="T1130" i="1"/>
  <c r="U1130" i="1"/>
  <c r="X1129" i="1"/>
  <c r="Y1129" i="1" s="1"/>
  <c r="U1123" i="1"/>
  <c r="W1123" i="1"/>
  <c r="V1112" i="1"/>
  <c r="T1112" i="1"/>
  <c r="X1109" i="1"/>
  <c r="Y1109" i="1" s="1"/>
  <c r="T1102" i="1"/>
  <c r="W1102" i="1"/>
  <c r="T1098" i="1"/>
  <c r="U1098" i="1"/>
  <c r="X1097" i="1"/>
  <c r="U1091" i="1"/>
  <c r="W1091" i="1"/>
  <c r="V1080" i="1"/>
  <c r="T1080" i="1"/>
  <c r="T1070" i="1"/>
  <c r="W1070" i="1"/>
  <c r="T1066" i="1"/>
  <c r="U1066" i="1"/>
  <c r="X1065" i="1"/>
  <c r="Y1065" i="1" s="1"/>
  <c r="U1059" i="1"/>
  <c r="W1059" i="1"/>
  <c r="V1048" i="1"/>
  <c r="T1048" i="1"/>
  <c r="X1045" i="1"/>
  <c r="X1023" i="1"/>
  <c r="U1021" i="1"/>
  <c r="X1021" i="1" s="1"/>
  <c r="V1021" i="1"/>
  <c r="V1004" i="1"/>
  <c r="U1004" i="1"/>
  <c r="U989" i="1"/>
  <c r="X989" i="1" s="1"/>
  <c r="V989" i="1"/>
  <c r="V951" i="1"/>
  <c r="U951" i="1"/>
  <c r="X951" i="1" s="1"/>
  <c r="X948" i="1"/>
  <c r="Y948" i="1" s="1"/>
  <c r="X944" i="1"/>
  <c r="W940" i="1"/>
  <c r="X940" i="1" s="1"/>
  <c r="Y940" i="1" s="1"/>
  <c r="W936" i="1"/>
  <c r="X936" i="1" s="1"/>
  <c r="Y936" i="1" s="1"/>
  <c r="V931" i="1"/>
  <c r="U931" i="1"/>
  <c r="X931" i="1" s="1"/>
  <c r="W928" i="1"/>
  <c r="X928" i="1" s="1"/>
  <c r="V927" i="1"/>
  <c r="T927" i="1"/>
  <c r="V919" i="1"/>
  <c r="U919" i="1"/>
  <c r="W900" i="1"/>
  <c r="X900" i="1" s="1"/>
  <c r="U898" i="1"/>
  <c r="V898" i="1"/>
  <c r="U878" i="1"/>
  <c r="T878" i="1"/>
  <c r="W876" i="1"/>
  <c r="X876" i="1" s="1"/>
  <c r="Y876" i="1" s="1"/>
  <c r="W872" i="1"/>
  <c r="X872" i="1" s="1"/>
  <c r="Y872" i="1" s="1"/>
  <c r="V867" i="1"/>
  <c r="U867" i="1"/>
  <c r="X867" i="1" s="1"/>
  <c r="W864" i="1"/>
  <c r="V863" i="1"/>
  <c r="T863" i="1"/>
  <c r="V855" i="1"/>
  <c r="U855" i="1"/>
  <c r="W836" i="1"/>
  <c r="X836" i="1" s="1"/>
  <c r="U834" i="1"/>
  <c r="V834" i="1"/>
  <c r="W820" i="1"/>
  <c r="X820" i="1" s="1"/>
  <c r="Y820" i="1" s="1"/>
  <c r="W800" i="1"/>
  <c r="T799" i="1"/>
  <c r="W799" i="1"/>
  <c r="W796" i="1"/>
  <c r="X796" i="1" s="1"/>
  <c r="Y796" i="1" s="1"/>
  <c r="W788" i="1"/>
  <c r="W776" i="1"/>
  <c r="W775" i="1"/>
  <c r="T775" i="1"/>
  <c r="T773" i="1"/>
  <c r="V773" i="1"/>
  <c r="W760" i="1"/>
  <c r="X760" i="1" s="1"/>
  <c r="Y760" i="1" s="1"/>
  <c r="W756" i="1"/>
  <c r="X756" i="1" s="1"/>
  <c r="W752" i="1"/>
  <c r="T749" i="1"/>
  <c r="U749" i="1"/>
  <c r="X744" i="1"/>
  <c r="X739" i="1"/>
  <c r="U736" i="1"/>
  <c r="W736" i="1"/>
  <c r="T733" i="1"/>
  <c r="V733" i="1"/>
  <c r="U733" i="1"/>
  <c r="X723" i="1"/>
  <c r="U720" i="1"/>
  <c r="W720" i="1"/>
  <c r="T717" i="1"/>
  <c r="V717" i="1"/>
  <c r="U717" i="1"/>
  <c r="X712" i="1"/>
  <c r="Y712" i="1" s="1"/>
  <c r="X707" i="1"/>
  <c r="U704" i="1"/>
  <c r="W704" i="1"/>
  <c r="T701" i="1"/>
  <c r="V701" i="1"/>
  <c r="U701" i="1"/>
  <c r="X696" i="1"/>
  <c r="Y696" i="1" s="1"/>
  <c r="U675" i="1"/>
  <c r="T675" i="1"/>
  <c r="W675" i="1"/>
  <c r="T673" i="1"/>
  <c r="W673" i="1"/>
  <c r="V673" i="1"/>
  <c r="U659" i="1"/>
  <c r="X659" i="1" s="1"/>
  <c r="V659" i="1"/>
  <c r="X655" i="1"/>
  <c r="Y655" i="1" s="1"/>
  <c r="V654" i="1"/>
  <c r="U654" i="1"/>
  <c r="X654" i="1" s="1"/>
  <c r="U649" i="1"/>
  <c r="T649" i="1"/>
  <c r="W649" i="1"/>
  <c r="T644" i="1"/>
  <c r="U644" i="1"/>
  <c r="T639" i="1"/>
  <c r="X639" i="1" s="1"/>
  <c r="V639" i="1"/>
  <c r="V607" i="1"/>
  <c r="U607" i="1"/>
  <c r="W607" i="1"/>
  <c r="U603" i="1"/>
  <c r="V603" i="1"/>
  <c r="W603" i="1"/>
  <c r="T596" i="1"/>
  <c r="V596" i="1"/>
  <c r="U596" i="1"/>
  <c r="X596" i="1" s="1"/>
  <c r="W596" i="1"/>
  <c r="V594" i="1"/>
  <c r="W594" i="1"/>
  <c r="T548" i="1"/>
  <c r="W548" i="1"/>
  <c r="U548" i="1"/>
  <c r="V548" i="1"/>
  <c r="V526" i="1"/>
  <c r="U526" i="1"/>
  <c r="W526" i="1"/>
  <c r="T526" i="1"/>
  <c r="U409" i="1"/>
  <c r="V409" i="1"/>
  <c r="W409" i="1"/>
  <c r="T409" i="1"/>
  <c r="U383" i="1"/>
  <c r="V383" i="1"/>
  <c r="W383" i="1"/>
  <c r="T365" i="1"/>
  <c r="U365" i="1"/>
  <c r="V365" i="1"/>
  <c r="T333" i="1"/>
  <c r="U333" i="1"/>
  <c r="V333" i="1"/>
  <c r="W333" i="1"/>
  <c r="X1017" i="1"/>
  <c r="Y1017" i="1" s="1"/>
  <c r="X993" i="1"/>
  <c r="X977" i="1"/>
  <c r="U679" i="1"/>
  <c r="X679" i="1" s="1"/>
  <c r="W679" i="1"/>
  <c r="V658" i="1"/>
  <c r="U658" i="1"/>
  <c r="U645" i="1"/>
  <c r="T645" i="1"/>
  <c r="X631" i="1"/>
  <c r="Y631" i="1" s="1"/>
  <c r="V622" i="1"/>
  <c r="T622" i="1"/>
  <c r="X622" i="1" s="1"/>
  <c r="X619" i="1"/>
  <c r="Y619" i="1" s="1"/>
  <c r="T611" i="1"/>
  <c r="V590" i="1"/>
  <c r="U590" i="1"/>
  <c r="W590" i="1"/>
  <c r="U583" i="1"/>
  <c r="T583" i="1"/>
  <c r="T580" i="1"/>
  <c r="U580" i="1"/>
  <c r="W580" i="1"/>
  <c r="V579" i="1"/>
  <c r="W579" i="1"/>
  <c r="X579" i="1" s="1"/>
  <c r="Y579" i="1" s="1"/>
  <c r="T563" i="1"/>
  <c r="W563" i="1"/>
  <c r="V542" i="1"/>
  <c r="U542" i="1"/>
  <c r="W542" i="1"/>
  <c r="T542" i="1"/>
  <c r="U525" i="1"/>
  <c r="V525" i="1"/>
  <c r="W525" i="1"/>
  <c r="V514" i="1"/>
  <c r="W514" i="1"/>
  <c r="U514" i="1"/>
  <c r="Y495" i="1"/>
  <c r="T491" i="1"/>
  <c r="U491" i="1"/>
  <c r="T488" i="1"/>
  <c r="W488" i="1"/>
  <c r="X487" i="1"/>
  <c r="Y487" i="1" s="1"/>
  <c r="U479" i="1"/>
  <c r="V479" i="1"/>
  <c r="W479" i="1"/>
  <c r="V466" i="1"/>
  <c r="W466" i="1"/>
  <c r="U457" i="1"/>
  <c r="T457" i="1"/>
  <c r="V457" i="1"/>
  <c r="W457" i="1"/>
  <c r="V450" i="1"/>
  <c r="W450" i="1"/>
  <c r="T408" i="1"/>
  <c r="V408" i="1"/>
  <c r="W408" i="1"/>
  <c r="T392" i="1"/>
  <c r="V392" i="1"/>
  <c r="W392" i="1"/>
  <c r="U392" i="1"/>
  <c r="X392" i="1" s="1"/>
  <c r="T344" i="1"/>
  <c r="U344" i="1"/>
  <c r="W344" i="1"/>
  <c r="T324" i="1"/>
  <c r="U324" i="1"/>
  <c r="V324" i="1"/>
  <c r="W324" i="1"/>
  <c r="W293" i="1"/>
  <c r="U293" i="1"/>
  <c r="T137" i="1"/>
  <c r="V137" i="1"/>
  <c r="T131" i="1"/>
  <c r="U131" i="1"/>
  <c r="V131" i="1"/>
  <c r="W131" i="1"/>
  <c r="W57" i="1"/>
  <c r="U57" i="1"/>
  <c r="T600" i="1"/>
  <c r="W600" i="1"/>
  <c r="U585" i="1"/>
  <c r="T585" i="1"/>
  <c r="V585" i="1"/>
  <c r="V578" i="1"/>
  <c r="W578" i="1"/>
  <c r="U578" i="1"/>
  <c r="V574" i="1"/>
  <c r="T574" i="1"/>
  <c r="X574" i="1" s="1"/>
  <c r="T564" i="1"/>
  <c r="W564" i="1"/>
  <c r="U557" i="1"/>
  <c r="V557" i="1"/>
  <c r="T555" i="1"/>
  <c r="X555" i="1" s="1"/>
  <c r="V555" i="1"/>
  <c r="U541" i="1"/>
  <c r="V541" i="1"/>
  <c r="W541" i="1"/>
  <c r="Y539" i="1"/>
  <c r="V530" i="1"/>
  <c r="W530" i="1"/>
  <c r="U530" i="1"/>
  <c r="U521" i="1"/>
  <c r="T521" i="1"/>
  <c r="V521" i="1"/>
  <c r="T516" i="1"/>
  <c r="U516" i="1"/>
  <c r="V516" i="1"/>
  <c r="W516" i="1"/>
  <c r="X507" i="1"/>
  <c r="Y507" i="1" s="1"/>
  <c r="X503" i="1"/>
  <c r="Y503" i="1" s="1"/>
  <c r="T483" i="1"/>
  <c r="U483" i="1"/>
  <c r="V483" i="1"/>
  <c r="U473" i="1"/>
  <c r="V473" i="1"/>
  <c r="W473" i="1"/>
  <c r="U471" i="1"/>
  <c r="X471" i="1" s="1"/>
  <c r="V471" i="1"/>
  <c r="T468" i="1"/>
  <c r="U468" i="1"/>
  <c r="V468" i="1"/>
  <c r="U463" i="1"/>
  <c r="V463" i="1"/>
  <c r="T463" i="1"/>
  <c r="U455" i="1"/>
  <c r="V455" i="1"/>
  <c r="T452" i="1"/>
  <c r="U452" i="1"/>
  <c r="V452" i="1"/>
  <c r="V446" i="1"/>
  <c r="T446" i="1"/>
  <c r="U446" i="1"/>
  <c r="W446" i="1"/>
  <c r="T424" i="1"/>
  <c r="W424" i="1"/>
  <c r="V424" i="1"/>
  <c r="T411" i="1"/>
  <c r="U411" i="1"/>
  <c r="W411" i="1"/>
  <c r="U363" i="1"/>
  <c r="W363" i="1"/>
  <c r="U357" i="1"/>
  <c r="W357" i="1"/>
  <c r="U338" i="1"/>
  <c r="V338" i="1"/>
  <c r="W338" i="1"/>
  <c r="T338" i="1"/>
  <c r="V211" i="1"/>
  <c r="U211" i="1"/>
  <c r="T211" i="1"/>
  <c r="U191" i="1"/>
  <c r="V191" i="1"/>
  <c r="T191" i="1"/>
  <c r="W191" i="1"/>
  <c r="T419" i="1"/>
  <c r="U419" i="1"/>
  <c r="X414" i="1"/>
  <c r="Y414" i="1" s="1"/>
  <c r="T375" i="1"/>
  <c r="U375" i="1"/>
  <c r="U341" i="1"/>
  <c r="W341" i="1"/>
  <c r="T334" i="1"/>
  <c r="V334" i="1"/>
  <c r="T319" i="1"/>
  <c r="W319" i="1"/>
  <c r="U21" i="1"/>
  <c r="V21" i="1"/>
  <c r="U304" i="1"/>
  <c r="V304" i="1"/>
  <c r="T296" i="1"/>
  <c r="U296" i="1"/>
  <c r="V296" i="1"/>
  <c r="V247" i="1"/>
  <c r="T247" i="1"/>
  <c r="U247" i="1"/>
  <c r="U224" i="1"/>
  <c r="V224" i="1"/>
  <c r="T224" i="1"/>
  <c r="W224" i="1"/>
  <c r="T221" i="1"/>
  <c r="V221" i="1"/>
  <c r="W221" i="1"/>
  <c r="X11" i="1"/>
  <c r="T202" i="1"/>
  <c r="W202" i="1"/>
  <c r="U180" i="1"/>
  <c r="V180" i="1"/>
  <c r="U34" i="1"/>
  <c r="V34" i="1"/>
  <c r="W34" i="1"/>
  <c r="T34" i="1"/>
  <c r="U219" i="1"/>
  <c r="T219" i="1"/>
  <c r="V219" i="1"/>
  <c r="U69" i="1"/>
  <c r="V69" i="1"/>
  <c r="W69" i="1"/>
  <c r="T69" i="1"/>
  <c r="X741" i="1"/>
  <c r="Y741" i="1" s="1"/>
  <c r="X725" i="1"/>
  <c r="X709" i="1"/>
  <c r="X693" i="1"/>
  <c r="U589" i="1"/>
  <c r="V589" i="1"/>
  <c r="X569" i="1"/>
  <c r="Y569" i="1" s="1"/>
  <c r="X511" i="1"/>
  <c r="Y511" i="1" s="1"/>
  <c r="U477" i="1"/>
  <c r="W477" i="1"/>
  <c r="T475" i="1"/>
  <c r="U475" i="1"/>
  <c r="T472" i="1"/>
  <c r="V472" i="1"/>
  <c r="W472" i="1"/>
  <c r="U461" i="1"/>
  <c r="V461" i="1"/>
  <c r="W461" i="1"/>
  <c r="X459" i="1"/>
  <c r="Y459" i="1" s="1"/>
  <c r="X443" i="1"/>
  <c r="Y443" i="1" s="1"/>
  <c r="X439" i="1"/>
  <c r="Y439" i="1" s="1"/>
  <c r="U415" i="1"/>
  <c r="X415" i="1" s="1"/>
  <c r="V415" i="1"/>
  <c r="T404" i="1"/>
  <c r="V404" i="1"/>
  <c r="W404" i="1"/>
  <c r="X404" i="1" s="1"/>
  <c r="X372" i="1"/>
  <c r="Y372" i="1" s="1"/>
  <c r="U370" i="1"/>
  <c r="T370" i="1"/>
  <c r="X370" i="1" s="1"/>
  <c r="Y370" i="1" s="1"/>
  <c r="V370" i="1"/>
  <c r="X368" i="1"/>
  <c r="Y368" i="1" s="1"/>
  <c r="U361" i="1"/>
  <c r="V361" i="1"/>
  <c r="U356" i="1"/>
  <c r="X356" i="1" s="1"/>
  <c r="V356" i="1"/>
  <c r="T349" i="1"/>
  <c r="V349" i="1"/>
  <c r="W349" i="1"/>
  <c r="X348" i="1"/>
  <c r="Y348" i="1" s="1"/>
  <c r="V343" i="1"/>
  <c r="T343" i="1"/>
  <c r="U343" i="1"/>
  <c r="V327" i="1"/>
  <c r="T327" i="1"/>
  <c r="U327" i="1"/>
  <c r="V321" i="1"/>
  <c r="W321" i="1"/>
  <c r="X316" i="1"/>
  <c r="U300" i="1"/>
  <c r="V300" i="1"/>
  <c r="V270" i="1"/>
  <c r="T270" i="1"/>
  <c r="V257" i="1"/>
  <c r="W257" i="1"/>
  <c r="T252" i="1"/>
  <c r="U252" i="1"/>
  <c r="W252" i="1"/>
  <c r="T237" i="1"/>
  <c r="U237" i="1"/>
  <c r="V237" i="1"/>
  <c r="W237" i="1"/>
  <c r="X237" i="1" s="1"/>
  <c r="Y237" i="1" s="1"/>
  <c r="X232" i="1"/>
  <c r="T206" i="1"/>
  <c r="U206" i="1"/>
  <c r="T187" i="1"/>
  <c r="U187" i="1"/>
  <c r="V187" i="1"/>
  <c r="W187" i="1"/>
  <c r="V162" i="1"/>
  <c r="U162" i="1"/>
  <c r="W162" i="1"/>
  <c r="U101" i="1"/>
  <c r="V101" i="1"/>
  <c r="W101" i="1"/>
  <c r="T101" i="1"/>
  <c r="V536" i="1"/>
  <c r="V520" i="1"/>
  <c r="V509" i="1"/>
  <c r="T505" i="1"/>
  <c r="X505" i="1" s="1"/>
  <c r="U498" i="1"/>
  <c r="T494" i="1"/>
  <c r="U482" i="1"/>
  <c r="V456" i="1"/>
  <c r="V445" i="1"/>
  <c r="T441" i="1"/>
  <c r="X441" i="1" s="1"/>
  <c r="Y441" i="1" s="1"/>
  <c r="U434" i="1"/>
  <c r="T430" i="1"/>
  <c r="U418" i="1"/>
  <c r="T397" i="1"/>
  <c r="X397" i="1" s="1"/>
  <c r="T386" i="1"/>
  <c r="X386" i="1" s="1"/>
  <c r="Y386" i="1" s="1"/>
  <c r="T381" i="1"/>
  <c r="X381" i="1" s="1"/>
  <c r="T311" i="1"/>
  <c r="T306" i="1"/>
  <c r="X306" i="1" s="1"/>
  <c r="Y306" i="1" s="1"/>
  <c r="U301" i="1"/>
  <c r="W299" i="1"/>
  <c r="V297" i="1"/>
  <c r="V279" i="1"/>
  <c r="U279" i="1"/>
  <c r="W279" i="1"/>
  <c r="V273" i="1"/>
  <c r="T269" i="1"/>
  <c r="X269" i="1" s="1"/>
  <c r="Y269" i="1" s="1"/>
  <c r="V269" i="1"/>
  <c r="W269" i="1"/>
  <c r="U264" i="1"/>
  <c r="X264" i="1" s="1"/>
  <c r="V264" i="1"/>
  <c r="U260" i="1"/>
  <c r="X260" i="1" s="1"/>
  <c r="V260" i="1"/>
  <c r="U235" i="1"/>
  <c r="W235" i="1"/>
  <c r="V230" i="1"/>
  <c r="U210" i="1"/>
  <c r="V210" i="1"/>
  <c r="W210" i="1"/>
  <c r="U205" i="1"/>
  <c r="T205" i="1"/>
  <c r="V205" i="1"/>
  <c r="U199" i="1"/>
  <c r="X199" i="1" s="1"/>
  <c r="V199" i="1"/>
  <c r="V194" i="1"/>
  <c r="U194" i="1"/>
  <c r="W194" i="1"/>
  <c r="T181" i="1"/>
  <c r="U175" i="1"/>
  <c r="V175" i="1"/>
  <c r="T171" i="1"/>
  <c r="U171" i="1"/>
  <c r="T154" i="1"/>
  <c r="W154" i="1"/>
  <c r="V105" i="1"/>
  <c r="W105" i="1"/>
  <c r="T91" i="1"/>
  <c r="U91" i="1"/>
  <c r="W91" i="1"/>
  <c r="T87" i="1"/>
  <c r="U87" i="1"/>
  <c r="V87" i="1"/>
  <c r="W87" i="1"/>
  <c r="T20" i="1"/>
  <c r="U20" i="1"/>
  <c r="V20" i="1"/>
  <c r="W20" i="1"/>
  <c r="V389" i="1"/>
  <c r="U389" i="1"/>
  <c r="W389" i="1"/>
  <c r="U48" i="1"/>
  <c r="V48" i="1"/>
  <c r="T48" i="1"/>
  <c r="W48" i="1"/>
  <c r="Y352" i="1"/>
  <c r="X292" i="1"/>
  <c r="Y292" i="1" s="1"/>
  <c r="Y276" i="1"/>
  <c r="U242" i="1"/>
  <c r="T242" i="1"/>
  <c r="V242" i="1"/>
  <c r="X236" i="1"/>
  <c r="Y236" i="1" s="1"/>
  <c r="U228" i="1"/>
  <c r="V228" i="1"/>
  <c r="U222" i="1"/>
  <c r="V222" i="1"/>
  <c r="U207" i="1"/>
  <c r="X207" i="1" s="1"/>
  <c r="V207" i="1"/>
  <c r="U198" i="1"/>
  <c r="W198" i="1"/>
  <c r="T195" i="1"/>
  <c r="U195" i="1"/>
  <c r="U176" i="1"/>
  <c r="W176" i="1"/>
  <c r="U157" i="1"/>
  <c r="T157" i="1"/>
  <c r="V157" i="1"/>
  <c r="W157" i="1"/>
  <c r="T119" i="1"/>
  <c r="U119" i="1"/>
  <c r="W119" i="1"/>
  <c r="T112" i="1"/>
  <c r="V112" i="1"/>
  <c r="W112" i="1"/>
  <c r="U112" i="1"/>
  <c r="T95" i="1"/>
  <c r="U95" i="1"/>
  <c r="W95" i="1"/>
  <c r="T70" i="1"/>
  <c r="U70" i="1"/>
  <c r="V70" i="1"/>
  <c r="W70" i="1"/>
  <c r="U3" i="1"/>
  <c r="T3" i="1"/>
  <c r="V3" i="1"/>
  <c r="W3" i="1"/>
  <c r="T50" i="1"/>
  <c r="U50" i="1"/>
  <c r="W50" i="1"/>
  <c r="U45" i="1"/>
  <c r="V45" i="1"/>
  <c r="W45" i="1"/>
  <c r="T45" i="1"/>
  <c r="T295" i="1"/>
  <c r="T290" i="1"/>
  <c r="X290" i="1" s="1"/>
  <c r="W278" i="1"/>
  <c r="U259" i="1"/>
  <c r="T258" i="1"/>
  <c r="V254" i="1"/>
  <c r="U253" i="1"/>
  <c r="X253" i="1" s="1"/>
  <c r="Y253" i="1" s="1"/>
  <c r="U200" i="1"/>
  <c r="W161" i="1"/>
  <c r="T159" i="1"/>
  <c r="U135" i="1"/>
  <c r="X135" i="1" s="1"/>
  <c r="V135" i="1"/>
  <c r="V130" i="1"/>
  <c r="T130" i="1"/>
  <c r="U130" i="1"/>
  <c r="U115" i="1"/>
  <c r="X115" i="1" s="1"/>
  <c r="V115" i="1"/>
  <c r="U107" i="1"/>
  <c r="X107" i="1" s="1"/>
  <c r="V107" i="1"/>
  <c r="U76" i="1"/>
  <c r="T76" i="1"/>
  <c r="V76" i="1"/>
  <c r="U1421" i="1"/>
  <c r="V1421" i="1"/>
  <c r="W1421" i="1"/>
  <c r="V18" i="1"/>
  <c r="W18" i="1"/>
  <c r="U4" i="1"/>
  <c r="T4" i="1"/>
  <c r="V4" i="1"/>
  <c r="U33" i="1"/>
  <c r="V33" i="1"/>
  <c r="W231" i="1"/>
  <c r="Y216" i="1"/>
  <c r="Y212" i="1"/>
  <c r="W189" i="1"/>
  <c r="W184" i="1"/>
  <c r="W178" i="1"/>
  <c r="X178" i="1" s="1"/>
  <c r="Y178" i="1" s="1"/>
  <c r="W173" i="1"/>
  <c r="X173" i="1" s="1"/>
  <c r="U155" i="1"/>
  <c r="X155" i="1" s="1"/>
  <c r="V155" i="1"/>
  <c r="Y155" i="1" s="1"/>
  <c r="U151" i="1"/>
  <c r="X151" i="1" s="1"/>
  <c r="V151" i="1"/>
  <c r="T136" i="1"/>
  <c r="U136" i="1"/>
  <c r="V136" i="1"/>
  <c r="U134" i="1"/>
  <c r="W134" i="1"/>
  <c r="X123" i="1"/>
  <c r="Y123" i="1" s="1"/>
  <c r="T109" i="1"/>
  <c r="W109" i="1"/>
  <c r="V90" i="1"/>
  <c r="T90" i="1"/>
  <c r="U90" i="1"/>
  <c r="U85" i="1"/>
  <c r="V85" i="1"/>
  <c r="W85" i="1"/>
  <c r="T83" i="1"/>
  <c r="U83" i="1"/>
  <c r="T2244" i="1"/>
  <c r="U2244" i="1"/>
  <c r="U68" i="1"/>
  <c r="V68" i="1"/>
  <c r="W68" i="1"/>
  <c r="U5" i="1"/>
  <c r="T5" i="1"/>
  <c r="V5" i="1"/>
  <c r="V74" i="1"/>
  <c r="W74" i="1"/>
  <c r="V37" i="1"/>
  <c r="W37" i="1"/>
  <c r="U36" i="1"/>
  <c r="T36" i="1"/>
  <c r="V36" i="1"/>
  <c r="X72" i="1"/>
  <c r="Y72" i="1" s="1"/>
  <c r="X66" i="1"/>
  <c r="Y66" i="1" s="1"/>
  <c r="V29" i="1"/>
  <c r="W141" i="1"/>
  <c r="W14" i="1"/>
  <c r="X14" i="1" s="1"/>
  <c r="Y14" i="1" s="1"/>
  <c r="X42" i="1"/>
  <c r="W78" i="1"/>
  <c r="X78" i="1" s="1"/>
  <c r="Y78" i="1" s="1"/>
  <c r="W43" i="1"/>
  <c r="X43" i="1" s="1"/>
  <c r="W38" i="1"/>
  <c r="X38" i="1" s="1"/>
  <c r="W58" i="1"/>
  <c r="X58" i="1" s="1"/>
  <c r="X2330" i="1"/>
  <c r="Y2330" i="1" s="1"/>
  <c r="Y2318" i="1"/>
  <c r="W2327" i="1"/>
  <c r="V2297" i="1"/>
  <c r="T2297" i="1"/>
  <c r="T1803" i="1"/>
  <c r="U1803" i="1"/>
  <c r="V1803" i="1"/>
  <c r="W1803" i="1"/>
  <c r="T1787" i="1"/>
  <c r="U1787" i="1"/>
  <c r="V1787" i="1"/>
  <c r="W1787" i="1"/>
  <c r="T1771" i="1"/>
  <c r="U1771" i="1"/>
  <c r="V1771" i="1"/>
  <c r="W1771" i="1"/>
  <c r="T1755" i="1"/>
  <c r="U1755" i="1"/>
  <c r="V1755" i="1"/>
  <c r="W1755" i="1"/>
  <c r="T1739" i="1"/>
  <c r="U1739" i="1"/>
  <c r="V1739" i="1"/>
  <c r="W1739" i="1"/>
  <c r="T1723" i="1"/>
  <c r="U1723" i="1"/>
  <c r="V1723" i="1"/>
  <c r="W1723" i="1"/>
  <c r="W2339" i="1"/>
  <c r="W2335" i="1"/>
  <c r="W2331" i="1"/>
  <c r="W2319" i="1"/>
  <c r="V2281" i="1"/>
  <c r="T2281" i="1"/>
  <c r="T2259" i="1"/>
  <c r="V2259" i="1"/>
  <c r="T2243" i="1"/>
  <c r="V2243" i="1"/>
  <c r="V2217" i="1"/>
  <c r="T2217" i="1"/>
  <c r="V2201" i="1"/>
  <c r="T2201" i="1"/>
  <c r="T2195" i="1"/>
  <c r="V2195" i="1"/>
  <c r="T2179" i="1"/>
  <c r="V2179" i="1"/>
  <c r="V2153" i="1"/>
  <c r="T2153" i="1"/>
  <c r="T2147" i="1"/>
  <c r="V2147" i="1"/>
  <c r="V2137" i="1"/>
  <c r="T2137" i="1"/>
  <c r="T2131" i="1"/>
  <c r="V2131" i="1"/>
  <c r="V2121" i="1"/>
  <c r="T2121" i="1"/>
  <c r="T2115" i="1"/>
  <c r="V2115" i="1"/>
  <c r="V2105" i="1"/>
  <c r="T2105" i="1"/>
  <c r="T2099" i="1"/>
  <c r="V2099" i="1"/>
  <c r="T2083" i="1"/>
  <c r="U2083" i="1"/>
  <c r="V2083" i="1"/>
  <c r="T2067" i="1"/>
  <c r="U2067" i="1"/>
  <c r="V2067" i="1"/>
  <c r="T2051" i="1"/>
  <c r="U2051" i="1"/>
  <c r="V2051" i="1"/>
  <c r="T2035" i="1"/>
  <c r="U2035" i="1"/>
  <c r="V2035" i="1"/>
  <c r="T2019" i="1"/>
  <c r="U2019" i="1"/>
  <c r="V2019" i="1"/>
  <c r="T2003" i="1"/>
  <c r="U2003" i="1"/>
  <c r="V2003" i="1"/>
  <c r="T1987" i="1"/>
  <c r="U1987" i="1"/>
  <c r="V1987" i="1"/>
  <c r="T1971" i="1"/>
  <c r="U1971" i="1"/>
  <c r="V1971" i="1"/>
  <c r="T1955" i="1"/>
  <c r="U1955" i="1"/>
  <c r="V1955" i="1"/>
  <c r="T1939" i="1"/>
  <c r="U1939" i="1"/>
  <c r="V1939" i="1"/>
  <c r="T1923" i="1"/>
  <c r="U1923" i="1"/>
  <c r="V1923" i="1"/>
  <c r="T1907" i="1"/>
  <c r="U1907" i="1"/>
  <c r="V1907" i="1"/>
  <c r="T1891" i="1"/>
  <c r="U1891" i="1"/>
  <c r="V1891" i="1"/>
  <c r="U1879" i="1"/>
  <c r="T1879" i="1"/>
  <c r="V1879" i="1"/>
  <c r="W1879" i="1"/>
  <c r="T1874" i="1"/>
  <c r="U1874" i="1"/>
  <c r="V1874" i="1"/>
  <c r="W1874" i="1"/>
  <c r="V1868" i="1"/>
  <c r="T1868" i="1"/>
  <c r="U1868" i="1"/>
  <c r="W1868" i="1"/>
  <c r="T1855" i="1"/>
  <c r="U1855" i="1"/>
  <c r="V1855" i="1"/>
  <c r="W1855" i="1"/>
  <c r="U1820" i="1"/>
  <c r="V1820" i="1"/>
  <c r="T1820" i="1"/>
  <c r="W1820" i="1"/>
  <c r="T60" i="1"/>
  <c r="V2339" i="1"/>
  <c r="T2337" i="1"/>
  <c r="V2335" i="1"/>
  <c r="T2333" i="1"/>
  <c r="V2331" i="1"/>
  <c r="T2329" i="1"/>
  <c r="V2327" i="1"/>
  <c r="T2325" i="1"/>
  <c r="X2325" i="1" s="1"/>
  <c r="Y2325" i="1" s="1"/>
  <c r="V2323" i="1"/>
  <c r="T2321" i="1"/>
  <c r="X2321" i="1" s="1"/>
  <c r="Y2321" i="1" s="1"/>
  <c r="V2319" i="1"/>
  <c r="T2317" i="1"/>
  <c r="W2316" i="1"/>
  <c r="X2315" i="1"/>
  <c r="Y2315" i="1" s="1"/>
  <c r="T2313" i="1"/>
  <c r="V2312" i="1"/>
  <c r="W2311" i="1"/>
  <c r="V2301" i="1"/>
  <c r="T2301" i="1"/>
  <c r="X2301" i="1" s="1"/>
  <c r="T2295" i="1"/>
  <c r="X2295" i="1" s="1"/>
  <c r="V2295" i="1"/>
  <c r="Y2288" i="1"/>
  <c r="V2285" i="1"/>
  <c r="T2285" i="1"/>
  <c r="X2285" i="1" s="1"/>
  <c r="T2279" i="1"/>
  <c r="X2279" i="1" s="1"/>
  <c r="V2279" i="1"/>
  <c r="V2269" i="1"/>
  <c r="T2269" i="1"/>
  <c r="T2263" i="1"/>
  <c r="X2263" i="1" s="1"/>
  <c r="V2263" i="1"/>
  <c r="V2253" i="1"/>
  <c r="T2253" i="1"/>
  <c r="X2253" i="1" s="1"/>
  <c r="T2247" i="1"/>
  <c r="X2247" i="1" s="1"/>
  <c r="V2247" i="1"/>
  <c r="V2237" i="1"/>
  <c r="T2237" i="1"/>
  <c r="X2237" i="1" s="1"/>
  <c r="Y2234" i="1"/>
  <c r="T2231" i="1"/>
  <c r="X2231" i="1" s="1"/>
  <c r="V2231" i="1"/>
  <c r="V2221" i="1"/>
  <c r="T2221" i="1"/>
  <c r="X2221" i="1" s="1"/>
  <c r="T2215" i="1"/>
  <c r="V2215" i="1"/>
  <c r="Y2208" i="1"/>
  <c r="V2205" i="1"/>
  <c r="T2205" i="1"/>
  <c r="T2199" i="1"/>
  <c r="X2199" i="1" s="1"/>
  <c r="V2199" i="1"/>
  <c r="V2189" i="1"/>
  <c r="T2189" i="1"/>
  <c r="X2189" i="1" s="1"/>
  <c r="T2183" i="1"/>
  <c r="V2183" i="1"/>
  <c r="V2173" i="1"/>
  <c r="T2173" i="1"/>
  <c r="X2173" i="1" s="1"/>
  <c r="T2167" i="1"/>
  <c r="X2167" i="1" s="1"/>
  <c r="V2167" i="1"/>
  <c r="V2157" i="1"/>
  <c r="T2157" i="1"/>
  <c r="X2157" i="1" s="1"/>
  <c r="Y2154" i="1"/>
  <c r="T2151" i="1"/>
  <c r="X2151" i="1" s="1"/>
  <c r="V2151" i="1"/>
  <c r="V2141" i="1"/>
  <c r="T2141" i="1"/>
  <c r="X2141" i="1" s="1"/>
  <c r="T2135" i="1"/>
  <c r="X2135" i="1" s="1"/>
  <c r="V2135" i="1"/>
  <c r="V2125" i="1"/>
  <c r="T2125" i="1"/>
  <c r="T2119" i="1"/>
  <c r="X2119" i="1" s="1"/>
  <c r="V2119" i="1"/>
  <c r="V2109" i="1"/>
  <c r="T2109" i="1"/>
  <c r="T2103" i="1"/>
  <c r="X2103" i="1" s="1"/>
  <c r="V2103" i="1"/>
  <c r="Y2096" i="1"/>
  <c r="T2095" i="1"/>
  <c r="U2095" i="1"/>
  <c r="V2095" i="1"/>
  <c r="T2079" i="1"/>
  <c r="U2079" i="1"/>
  <c r="V2079" i="1"/>
  <c r="T2063" i="1"/>
  <c r="U2063" i="1"/>
  <c r="V2063" i="1"/>
  <c r="T2047" i="1"/>
  <c r="U2047" i="1"/>
  <c r="V2047" i="1"/>
  <c r="T2031" i="1"/>
  <c r="U2031" i="1"/>
  <c r="V2031" i="1"/>
  <c r="T2015" i="1"/>
  <c r="U2015" i="1"/>
  <c r="V2015" i="1"/>
  <c r="T1999" i="1"/>
  <c r="U1999" i="1"/>
  <c r="V1999" i="1"/>
  <c r="T1983" i="1"/>
  <c r="U1983" i="1"/>
  <c r="V1983" i="1"/>
  <c r="T1967" i="1"/>
  <c r="U1967" i="1"/>
  <c r="V1967" i="1"/>
  <c r="T1951" i="1"/>
  <c r="U1951" i="1"/>
  <c r="V1951" i="1"/>
  <c r="T1935" i="1"/>
  <c r="U1935" i="1"/>
  <c r="V1935" i="1"/>
  <c r="T1919" i="1"/>
  <c r="U1919" i="1"/>
  <c r="V1919" i="1"/>
  <c r="T1903" i="1"/>
  <c r="U1903" i="1"/>
  <c r="V1903" i="1"/>
  <c r="T1887" i="1"/>
  <c r="U1887" i="1"/>
  <c r="V1887" i="1"/>
  <c r="U1863" i="1"/>
  <c r="T1863" i="1"/>
  <c r="V1863" i="1"/>
  <c r="W1863" i="1"/>
  <c r="T1858" i="1"/>
  <c r="U1858" i="1"/>
  <c r="V1858" i="1"/>
  <c r="W1858" i="1"/>
  <c r="T1839" i="1"/>
  <c r="U1839" i="1"/>
  <c r="V1839" i="1"/>
  <c r="W1839" i="1"/>
  <c r="T1799" i="1"/>
  <c r="U1799" i="1"/>
  <c r="V1799" i="1"/>
  <c r="W1799" i="1"/>
  <c r="T1783" i="1"/>
  <c r="U1783" i="1"/>
  <c r="V1783" i="1"/>
  <c r="W1783" i="1"/>
  <c r="T1767" i="1"/>
  <c r="U1767" i="1"/>
  <c r="V1767" i="1"/>
  <c r="W1767" i="1"/>
  <c r="T1751" i="1"/>
  <c r="U1751" i="1"/>
  <c r="V1751" i="1"/>
  <c r="W1751" i="1"/>
  <c r="T1735" i="1"/>
  <c r="U1735" i="1"/>
  <c r="V1735" i="1"/>
  <c r="W1735" i="1"/>
  <c r="T1719" i="1"/>
  <c r="U1719" i="1"/>
  <c r="V1719" i="1"/>
  <c r="W1719" i="1"/>
  <c r="W60" i="1"/>
  <c r="W2329" i="1"/>
  <c r="U2327" i="1"/>
  <c r="U2323" i="1"/>
  <c r="X2323" i="1" s="1"/>
  <c r="U2319" i="1"/>
  <c r="Y2308" i="1"/>
  <c r="V2305" i="1"/>
  <c r="T2305" i="1"/>
  <c r="X2305" i="1" s="1"/>
  <c r="V2289" i="1"/>
  <c r="T2289" i="1"/>
  <c r="X2289" i="1" s="1"/>
  <c r="Y2286" i="1"/>
  <c r="V2257" i="1"/>
  <c r="T2257" i="1"/>
  <c r="X2257" i="1" s="1"/>
  <c r="V2241" i="1"/>
  <c r="T2241" i="1"/>
  <c r="X2241" i="1" s="1"/>
  <c r="T2235" i="1"/>
  <c r="X2235" i="1" s="1"/>
  <c r="V2235" i="1"/>
  <c r="T2219" i="1"/>
  <c r="X2219" i="1" s="1"/>
  <c r="V2219" i="1"/>
  <c r="W2217" i="1"/>
  <c r="V2209" i="1"/>
  <c r="T2209" i="1"/>
  <c r="X2209" i="1" s="1"/>
  <c r="T2203" i="1"/>
  <c r="V2203" i="1"/>
  <c r="W2201" i="1"/>
  <c r="W2195" i="1"/>
  <c r="V2193" i="1"/>
  <c r="T2193" i="1"/>
  <c r="X2193" i="1" s="1"/>
  <c r="T2187" i="1"/>
  <c r="X2187" i="1" s="1"/>
  <c r="V2187" i="1"/>
  <c r="W2179" i="1"/>
  <c r="V2177" i="1"/>
  <c r="T2177" i="1"/>
  <c r="T2171" i="1"/>
  <c r="V2171" i="1"/>
  <c r="V2161" i="1"/>
  <c r="T2161" i="1"/>
  <c r="X2161" i="1" s="1"/>
  <c r="T2155" i="1"/>
  <c r="V2155" i="1"/>
  <c r="W2153" i="1"/>
  <c r="W2147" i="1"/>
  <c r="V2145" i="1"/>
  <c r="T2145" i="1"/>
  <c r="X2145" i="1" s="1"/>
  <c r="T2139" i="1"/>
  <c r="V2139" i="1"/>
  <c r="W2137" i="1"/>
  <c r="W2131" i="1"/>
  <c r="V2129" i="1"/>
  <c r="T2129" i="1"/>
  <c r="X2129" i="1" s="1"/>
  <c r="T2123" i="1"/>
  <c r="V2123" i="1"/>
  <c r="W2121" i="1"/>
  <c r="W2115" i="1"/>
  <c r="V2113" i="1"/>
  <c r="T2113" i="1"/>
  <c r="T2107" i="1"/>
  <c r="X2107" i="1" s="1"/>
  <c r="V2107" i="1"/>
  <c r="W2105" i="1"/>
  <c r="W2099" i="1"/>
  <c r="T2091" i="1"/>
  <c r="U2091" i="1"/>
  <c r="V2091" i="1"/>
  <c r="Y2076" i="1"/>
  <c r="T2075" i="1"/>
  <c r="U2075" i="1"/>
  <c r="V2075" i="1"/>
  <c r="T2059" i="1"/>
  <c r="U2059" i="1"/>
  <c r="V2059" i="1"/>
  <c r="T2043" i="1"/>
  <c r="U2043" i="1"/>
  <c r="V2043" i="1"/>
  <c r="Y2028" i="1"/>
  <c r="T2027" i="1"/>
  <c r="U2027" i="1"/>
  <c r="V2027" i="1"/>
  <c r="T2011" i="1"/>
  <c r="U2011" i="1"/>
  <c r="V2011" i="1"/>
  <c r="Y1996" i="1"/>
  <c r="T1995" i="1"/>
  <c r="U1995" i="1"/>
  <c r="V1995" i="1"/>
  <c r="T1979" i="1"/>
  <c r="U1979" i="1"/>
  <c r="V1979" i="1"/>
  <c r="T17" i="1"/>
  <c r="U17" i="1"/>
  <c r="V17" i="1"/>
  <c r="T1947" i="1"/>
  <c r="U1947" i="1"/>
  <c r="V1947" i="1"/>
  <c r="Y1932" i="1"/>
  <c r="T1931" i="1"/>
  <c r="U1931" i="1"/>
  <c r="V1931" i="1"/>
  <c r="T1915" i="1"/>
  <c r="U1915" i="1"/>
  <c r="V1915" i="1"/>
  <c r="T1899" i="1"/>
  <c r="U1899" i="1"/>
  <c r="V1899" i="1"/>
  <c r="X1859" i="1"/>
  <c r="Y1859" i="1" s="1"/>
  <c r="U1852" i="1"/>
  <c r="V1852" i="1"/>
  <c r="T1852" i="1"/>
  <c r="W1852" i="1"/>
  <c r="T1823" i="1"/>
  <c r="U1823" i="1"/>
  <c r="V1823" i="1"/>
  <c r="W1823" i="1"/>
  <c r="T1795" i="1"/>
  <c r="U1795" i="1"/>
  <c r="V1795" i="1"/>
  <c r="W1795" i="1"/>
  <c r="T1779" i="1"/>
  <c r="U1779" i="1"/>
  <c r="V1779" i="1"/>
  <c r="W1779" i="1"/>
  <c r="T1763" i="1"/>
  <c r="U1763" i="1"/>
  <c r="V1763" i="1"/>
  <c r="W1763" i="1"/>
  <c r="T1747" i="1"/>
  <c r="U1747" i="1"/>
  <c r="V1747" i="1"/>
  <c r="W1747" i="1"/>
  <c r="T1731" i="1"/>
  <c r="U1731" i="1"/>
  <c r="V1731" i="1"/>
  <c r="W1731" i="1"/>
  <c r="T1715" i="1"/>
  <c r="U1715" i="1"/>
  <c r="V1715" i="1"/>
  <c r="W1715" i="1"/>
  <c r="T2307" i="1"/>
  <c r="V2307" i="1"/>
  <c r="T2291" i="1"/>
  <c r="V2291" i="1"/>
  <c r="T2275" i="1"/>
  <c r="V2275" i="1"/>
  <c r="V2265" i="1"/>
  <c r="T2265" i="1"/>
  <c r="V2249" i="1"/>
  <c r="T2249" i="1"/>
  <c r="V2233" i="1"/>
  <c r="T2233" i="1"/>
  <c r="T2227" i="1"/>
  <c r="V2227" i="1"/>
  <c r="T2211" i="1"/>
  <c r="V2211" i="1"/>
  <c r="V2185" i="1"/>
  <c r="T2185" i="1"/>
  <c r="V2169" i="1"/>
  <c r="T2169" i="1"/>
  <c r="T2163" i="1"/>
  <c r="V2163" i="1"/>
  <c r="U2339" i="1"/>
  <c r="W2337" i="1"/>
  <c r="U2335" i="1"/>
  <c r="W2333" i="1"/>
  <c r="U2331" i="1"/>
  <c r="W2317" i="1"/>
  <c r="V2316" i="1"/>
  <c r="V2311" i="1"/>
  <c r="W2307" i="1"/>
  <c r="Y2302" i="1"/>
  <c r="T2299" i="1"/>
  <c r="V2299" i="1"/>
  <c r="W2297" i="1"/>
  <c r="W2291" i="1"/>
  <c r="T2283" i="1"/>
  <c r="V2283" i="1"/>
  <c r="W2281" i="1"/>
  <c r="Y2276" i="1"/>
  <c r="V2273" i="1"/>
  <c r="T2273" i="1"/>
  <c r="X2273" i="1" s="1"/>
  <c r="T2267" i="1"/>
  <c r="X2267" i="1" s="1"/>
  <c r="V2267" i="1"/>
  <c r="W2265" i="1"/>
  <c r="W2259" i="1"/>
  <c r="T2251" i="1"/>
  <c r="X2251" i="1" s="1"/>
  <c r="V2251" i="1"/>
  <c r="W2243" i="1"/>
  <c r="V2225" i="1"/>
  <c r="T2225" i="1"/>
  <c r="X2225" i="1" s="1"/>
  <c r="Y2196" i="1"/>
  <c r="T2316" i="1"/>
  <c r="X2316" i="1" s="1"/>
  <c r="W2313" i="1"/>
  <c r="U2311" i="1"/>
  <c r="X2311" i="1" s="1"/>
  <c r="V2309" i="1"/>
  <c r="T2309" i="1"/>
  <c r="X2309" i="1" s="1"/>
  <c r="U2307" i="1"/>
  <c r="T2303" i="1"/>
  <c r="V2303" i="1"/>
  <c r="U2297" i="1"/>
  <c r="Y2296" i="1"/>
  <c r="V2293" i="1"/>
  <c r="T2293" i="1"/>
  <c r="X2293" i="1" s="1"/>
  <c r="U2291" i="1"/>
  <c r="T2287" i="1"/>
  <c r="X2287" i="1" s="1"/>
  <c r="V2287" i="1"/>
  <c r="U2281" i="1"/>
  <c r="V2277" i="1"/>
  <c r="T2277" i="1"/>
  <c r="X2277" i="1" s="1"/>
  <c r="U2275" i="1"/>
  <c r="T2271" i="1"/>
  <c r="V2271" i="1"/>
  <c r="U2265" i="1"/>
  <c r="V2261" i="1"/>
  <c r="T2261" i="1"/>
  <c r="U2259" i="1"/>
  <c r="T2255" i="1"/>
  <c r="X2255" i="1" s="1"/>
  <c r="V2255" i="1"/>
  <c r="U2249" i="1"/>
  <c r="V2245" i="1"/>
  <c r="T2245" i="1"/>
  <c r="U2243" i="1"/>
  <c r="T2239" i="1"/>
  <c r="V2239" i="1"/>
  <c r="U2233" i="1"/>
  <c r="V2229" i="1"/>
  <c r="T2229" i="1"/>
  <c r="X2229" i="1" s="1"/>
  <c r="U2227" i="1"/>
  <c r="T2223" i="1"/>
  <c r="X2223" i="1" s="1"/>
  <c r="V2223" i="1"/>
  <c r="U2217" i="1"/>
  <c r="Y2216" i="1"/>
  <c r="V2213" i="1"/>
  <c r="T2213" i="1"/>
  <c r="X2213" i="1" s="1"/>
  <c r="U2211" i="1"/>
  <c r="T2207" i="1"/>
  <c r="V2207" i="1"/>
  <c r="U2201" i="1"/>
  <c r="V2197" i="1"/>
  <c r="T2197" i="1"/>
  <c r="X2197" i="1" s="1"/>
  <c r="U2195" i="1"/>
  <c r="T2191" i="1"/>
  <c r="X2191" i="1" s="1"/>
  <c r="V2191" i="1"/>
  <c r="U2185" i="1"/>
  <c r="Y2184" i="1"/>
  <c r="V2181" i="1"/>
  <c r="T2181" i="1"/>
  <c r="X2181" i="1" s="1"/>
  <c r="U2179" i="1"/>
  <c r="T2175" i="1"/>
  <c r="X2175" i="1" s="1"/>
  <c r="V2175" i="1"/>
  <c r="U2169" i="1"/>
  <c r="V2165" i="1"/>
  <c r="T2165" i="1"/>
  <c r="X2165" i="1" s="1"/>
  <c r="U2163" i="1"/>
  <c r="T2159" i="1"/>
  <c r="X2159" i="1" s="1"/>
  <c r="V2159" i="1"/>
  <c r="U2153" i="1"/>
  <c r="V2149" i="1"/>
  <c r="T2149" i="1"/>
  <c r="X2149" i="1" s="1"/>
  <c r="U2147" i="1"/>
  <c r="T2143" i="1"/>
  <c r="X2143" i="1" s="1"/>
  <c r="V2143" i="1"/>
  <c r="U2137" i="1"/>
  <c r="V2133" i="1"/>
  <c r="T2133" i="1"/>
  <c r="U2131" i="1"/>
  <c r="T2127" i="1"/>
  <c r="V2127" i="1"/>
  <c r="U2121" i="1"/>
  <c r="Y2120" i="1"/>
  <c r="V2117" i="1"/>
  <c r="T2117" i="1"/>
  <c r="X2117" i="1" s="1"/>
  <c r="U2115" i="1"/>
  <c r="T2111" i="1"/>
  <c r="V2111" i="1"/>
  <c r="U2105" i="1"/>
  <c r="V2101" i="1"/>
  <c r="T2101" i="1"/>
  <c r="X2101" i="1" s="1"/>
  <c r="U2099" i="1"/>
  <c r="T2087" i="1"/>
  <c r="U2087" i="1"/>
  <c r="V2087" i="1"/>
  <c r="W2083" i="1"/>
  <c r="T2071" i="1"/>
  <c r="U2071" i="1"/>
  <c r="V2071" i="1"/>
  <c r="W2067" i="1"/>
  <c r="T2055" i="1"/>
  <c r="U2055" i="1"/>
  <c r="V2055" i="1"/>
  <c r="W2051" i="1"/>
  <c r="T2039" i="1"/>
  <c r="U2039" i="1"/>
  <c r="V2039" i="1"/>
  <c r="W2035" i="1"/>
  <c r="T2023" i="1"/>
  <c r="U2023" i="1"/>
  <c r="V2023" i="1"/>
  <c r="W2019" i="1"/>
  <c r="T2007" i="1"/>
  <c r="U2007" i="1"/>
  <c r="V2007" i="1"/>
  <c r="W2003" i="1"/>
  <c r="T1991" i="1"/>
  <c r="U1991" i="1"/>
  <c r="V1991" i="1"/>
  <c r="W1987" i="1"/>
  <c r="T1975" i="1"/>
  <c r="U1975" i="1"/>
  <c r="V1975" i="1"/>
  <c r="W1971" i="1"/>
  <c r="T1959" i="1"/>
  <c r="U1959" i="1"/>
  <c r="V1959" i="1"/>
  <c r="W1955" i="1"/>
  <c r="T1943" i="1"/>
  <c r="U1943" i="1"/>
  <c r="V1943" i="1"/>
  <c r="W1939" i="1"/>
  <c r="T1927" i="1"/>
  <c r="U1927" i="1"/>
  <c r="V1927" i="1"/>
  <c r="W1923" i="1"/>
  <c r="T1911" i="1"/>
  <c r="U1911" i="1"/>
  <c r="V1911" i="1"/>
  <c r="W1907" i="1"/>
  <c r="T1895" i="1"/>
  <c r="U1895" i="1"/>
  <c r="V1895" i="1"/>
  <c r="W1891" i="1"/>
  <c r="V1884" i="1"/>
  <c r="T1884" i="1"/>
  <c r="U1884" i="1"/>
  <c r="W1884" i="1"/>
  <c r="U1836" i="1"/>
  <c r="V1836" i="1"/>
  <c r="T1836" i="1"/>
  <c r="W1836" i="1"/>
  <c r="T1807" i="1"/>
  <c r="U1807" i="1"/>
  <c r="V1807" i="1"/>
  <c r="W1807" i="1"/>
  <c r="T1791" i="1"/>
  <c r="U1791" i="1"/>
  <c r="V1791" i="1"/>
  <c r="W1791" i="1"/>
  <c r="T1775" i="1"/>
  <c r="U1775" i="1"/>
  <c r="V1775" i="1"/>
  <c r="W1775" i="1"/>
  <c r="T1759" i="1"/>
  <c r="U1759" i="1"/>
  <c r="V1759" i="1"/>
  <c r="W1759" i="1"/>
  <c r="T1743" i="1"/>
  <c r="U1743" i="1"/>
  <c r="V1743" i="1"/>
  <c r="W1743" i="1"/>
  <c r="T1727" i="1"/>
  <c r="U1727" i="1"/>
  <c r="V1727" i="1"/>
  <c r="W1727" i="1"/>
  <c r="T2097" i="1"/>
  <c r="X2097" i="1" s="1"/>
  <c r="Y2097" i="1" s="1"/>
  <c r="T2093" i="1"/>
  <c r="T2089" i="1"/>
  <c r="T2085" i="1"/>
  <c r="T2081" i="1"/>
  <c r="X2081" i="1" s="1"/>
  <c r="Y2081" i="1" s="1"/>
  <c r="T2077" i="1"/>
  <c r="T2073" i="1"/>
  <c r="T2069" i="1"/>
  <c r="X2069" i="1" s="1"/>
  <c r="Y2069" i="1" s="1"/>
  <c r="T2065" i="1"/>
  <c r="X2065" i="1" s="1"/>
  <c r="Y2065" i="1" s="1"/>
  <c r="T2061" i="1"/>
  <c r="X2061" i="1" s="1"/>
  <c r="Y2061" i="1" s="1"/>
  <c r="T2057" i="1"/>
  <c r="X2057" i="1" s="1"/>
  <c r="Y2057" i="1" s="1"/>
  <c r="T2053" i="1"/>
  <c r="X2053" i="1" s="1"/>
  <c r="T2049" i="1"/>
  <c r="X2049" i="1" s="1"/>
  <c r="Y2049" i="1" s="1"/>
  <c r="T2045" i="1"/>
  <c r="T2041" i="1"/>
  <c r="T2037" i="1"/>
  <c r="T2033" i="1"/>
  <c r="X2033" i="1" s="1"/>
  <c r="Y2033" i="1" s="1"/>
  <c r="T2029" i="1"/>
  <c r="T2025" i="1"/>
  <c r="X2025" i="1" s="1"/>
  <c r="Y2025" i="1" s="1"/>
  <c r="T2021" i="1"/>
  <c r="T2017" i="1"/>
  <c r="X2017" i="1" s="1"/>
  <c r="Y2017" i="1" s="1"/>
  <c r="T2013" i="1"/>
  <c r="X2013" i="1" s="1"/>
  <c r="T2009" i="1"/>
  <c r="T2005" i="1"/>
  <c r="T2001" i="1"/>
  <c r="T1997" i="1"/>
  <c r="X1997" i="1" s="1"/>
  <c r="Y1997" i="1" s="1"/>
  <c r="T1993" i="1"/>
  <c r="T1989" i="1"/>
  <c r="X1989" i="1" s="1"/>
  <c r="Y1989" i="1" s="1"/>
  <c r="T1985" i="1"/>
  <c r="X1985" i="1" s="1"/>
  <c r="Y1985" i="1" s="1"/>
  <c r="T1981" i="1"/>
  <c r="T1977" i="1"/>
  <c r="T1973" i="1"/>
  <c r="X1973" i="1" s="1"/>
  <c r="Y1973" i="1" s="1"/>
  <c r="T1969" i="1"/>
  <c r="X1969" i="1" s="1"/>
  <c r="Y1969" i="1" s="1"/>
  <c r="T1965" i="1"/>
  <c r="T1961" i="1"/>
  <c r="X1961" i="1" s="1"/>
  <c r="Y1961" i="1" s="1"/>
  <c r="T1957" i="1"/>
  <c r="X1957" i="1" s="1"/>
  <c r="Y1957" i="1" s="1"/>
  <c r="T1953" i="1"/>
  <c r="X1953" i="1" s="1"/>
  <c r="Y1953" i="1" s="1"/>
  <c r="T1949" i="1"/>
  <c r="T1945" i="1"/>
  <c r="T1941" i="1"/>
  <c r="X1941" i="1" s="1"/>
  <c r="Y1941" i="1" s="1"/>
  <c r="T1937" i="1"/>
  <c r="X1937" i="1" s="1"/>
  <c r="Y1937" i="1" s="1"/>
  <c r="T1933" i="1"/>
  <c r="X1933" i="1" s="1"/>
  <c r="Y1933" i="1" s="1"/>
  <c r="T1929" i="1"/>
  <c r="X1929" i="1" s="1"/>
  <c r="T1925" i="1"/>
  <c r="T1921" i="1"/>
  <c r="X1921" i="1" s="1"/>
  <c r="Y1921" i="1" s="1"/>
  <c r="T1917" i="1"/>
  <c r="T1913" i="1"/>
  <c r="X1913" i="1" s="1"/>
  <c r="Y1913" i="1" s="1"/>
  <c r="T1909" i="1"/>
  <c r="X1909" i="1" s="1"/>
  <c r="Y1909" i="1" s="1"/>
  <c r="T1905" i="1"/>
  <c r="X1905" i="1" s="1"/>
  <c r="Y1905" i="1" s="1"/>
  <c r="T1901" i="1"/>
  <c r="X1901" i="1" s="1"/>
  <c r="Y1901" i="1" s="1"/>
  <c r="T1897" i="1"/>
  <c r="T1893" i="1"/>
  <c r="T1889" i="1"/>
  <c r="X1889" i="1" s="1"/>
  <c r="Y1889" i="1" s="1"/>
  <c r="U1882" i="1"/>
  <c r="T1876" i="1"/>
  <c r="T1871" i="1"/>
  <c r="U1866" i="1"/>
  <c r="T1860" i="1"/>
  <c r="X1854" i="1"/>
  <c r="Y1854" i="1" s="1"/>
  <c r="T1843" i="1"/>
  <c r="U1843" i="1"/>
  <c r="U1840" i="1"/>
  <c r="V1840" i="1"/>
  <c r="T1827" i="1"/>
  <c r="U1827" i="1"/>
  <c r="U1824" i="1"/>
  <c r="V1824" i="1"/>
  <c r="X1822" i="1"/>
  <c r="Y1822" i="1" s="1"/>
  <c r="T1811" i="1"/>
  <c r="U1811" i="1"/>
  <c r="U1808" i="1"/>
  <c r="V1808" i="1"/>
  <c r="Y1360" i="1"/>
  <c r="T1847" i="1"/>
  <c r="U1847" i="1"/>
  <c r="U1844" i="1"/>
  <c r="X1844" i="1" s="1"/>
  <c r="V1844" i="1"/>
  <c r="Y1844" i="1" s="1"/>
  <c r="T1831" i="1"/>
  <c r="U1831" i="1"/>
  <c r="U1828" i="1"/>
  <c r="X1828" i="1" s="1"/>
  <c r="V1828" i="1"/>
  <c r="T1815" i="1"/>
  <c r="U1815" i="1"/>
  <c r="U1812" i="1"/>
  <c r="V1812" i="1"/>
  <c r="Y1766" i="1"/>
  <c r="Y1750" i="1"/>
  <c r="V1883" i="1"/>
  <c r="W1882" i="1"/>
  <c r="X1882" i="1" s="1"/>
  <c r="Y1882" i="1" s="1"/>
  <c r="V1878" i="1"/>
  <c r="W1876" i="1"/>
  <c r="U1872" i="1"/>
  <c r="X1872" i="1" s="1"/>
  <c r="Y1872" i="1" s="1"/>
  <c r="W1871" i="1"/>
  <c r="V1867" i="1"/>
  <c r="W1866" i="1"/>
  <c r="V1862" i="1"/>
  <c r="W1860" i="1"/>
  <c r="U1856" i="1"/>
  <c r="T1851" i="1"/>
  <c r="U1851" i="1"/>
  <c r="U1848" i="1"/>
  <c r="X1848" i="1" s="1"/>
  <c r="V1848" i="1"/>
  <c r="W1843" i="1"/>
  <c r="W1840" i="1"/>
  <c r="T1835" i="1"/>
  <c r="U1835" i="1"/>
  <c r="U1832" i="1"/>
  <c r="V1832" i="1"/>
  <c r="X1830" i="1"/>
  <c r="Y1830" i="1" s="1"/>
  <c r="W1827" i="1"/>
  <c r="W1824" i="1"/>
  <c r="T1819" i="1"/>
  <c r="U1819" i="1"/>
  <c r="U1816" i="1"/>
  <c r="V1816" i="1"/>
  <c r="X1814" i="1"/>
  <c r="Y1814" i="1" s="1"/>
  <c r="W1811" i="1"/>
  <c r="W1808" i="1"/>
  <c r="Y1524" i="1"/>
  <c r="Y1472" i="1"/>
  <c r="T1640" i="1"/>
  <c r="X1640" i="1" s="1"/>
  <c r="T1636" i="1"/>
  <c r="X1636" i="1" s="1"/>
  <c r="T1632" i="1"/>
  <c r="T1628" i="1"/>
  <c r="T1624" i="1"/>
  <c r="T1620" i="1"/>
  <c r="X1620" i="1" s="1"/>
  <c r="T1616" i="1"/>
  <c r="X1616" i="1" s="1"/>
  <c r="T1612" i="1"/>
  <c r="T1608" i="1"/>
  <c r="X1608" i="1" s="1"/>
  <c r="T1604" i="1"/>
  <c r="X1604" i="1" s="1"/>
  <c r="T1600" i="1"/>
  <c r="T1596" i="1"/>
  <c r="T1592" i="1"/>
  <c r="T1588" i="1"/>
  <c r="X1588" i="1" s="1"/>
  <c r="T1584" i="1"/>
  <c r="X1584" i="1" s="1"/>
  <c r="T1580" i="1"/>
  <c r="T1576" i="1"/>
  <c r="T1572" i="1"/>
  <c r="X1572" i="1" s="1"/>
  <c r="T1568" i="1"/>
  <c r="X1568" i="1" s="1"/>
  <c r="T1564" i="1"/>
  <c r="T1560" i="1"/>
  <c r="T1556" i="1"/>
  <c r="X1556" i="1" s="1"/>
  <c r="T1552" i="1"/>
  <c r="X1552" i="1" s="1"/>
  <c r="T1548" i="1"/>
  <c r="T1544" i="1"/>
  <c r="U1517" i="1"/>
  <c r="U1513" i="1"/>
  <c r="U1509" i="1"/>
  <c r="T1386" i="1"/>
  <c r="U1386" i="1"/>
  <c r="U1383" i="1"/>
  <c r="V1383" i="1"/>
  <c r="T1370" i="1"/>
  <c r="U1370" i="1"/>
  <c r="U1367" i="1"/>
  <c r="V1367" i="1"/>
  <c r="Y1344" i="1"/>
  <c r="Y1340" i="1"/>
  <c r="V1711" i="1"/>
  <c r="V1707" i="1"/>
  <c r="V1703" i="1"/>
  <c r="V1699" i="1"/>
  <c r="V1695" i="1"/>
  <c r="V1691" i="1"/>
  <c r="V1687" i="1"/>
  <c r="V1683" i="1"/>
  <c r="V1679" i="1"/>
  <c r="V1675" i="1"/>
  <c r="V1671" i="1"/>
  <c r="V1667" i="1"/>
  <c r="V1663" i="1"/>
  <c r="V1659" i="1"/>
  <c r="V1655" i="1"/>
  <c r="V56" i="1"/>
  <c r="V1647" i="1"/>
  <c r="V1643" i="1"/>
  <c r="V1539" i="1"/>
  <c r="U1538" i="1"/>
  <c r="X1538" i="1" s="1"/>
  <c r="Y1538" i="1" s="1"/>
  <c r="V1535" i="1"/>
  <c r="U1534" i="1"/>
  <c r="V1531" i="1"/>
  <c r="U1530" i="1"/>
  <c r="X1530" i="1" s="1"/>
  <c r="Y1530" i="1" s="1"/>
  <c r="V1527" i="1"/>
  <c r="U1526" i="1"/>
  <c r="X1526" i="1" s="1"/>
  <c r="T1525" i="1"/>
  <c r="X1525" i="1" s="1"/>
  <c r="Y1525" i="1" s="1"/>
  <c r="V1523" i="1"/>
  <c r="T1521" i="1"/>
  <c r="V1519" i="1"/>
  <c r="T1517" i="1"/>
  <c r="V1515" i="1"/>
  <c r="T1513" i="1"/>
  <c r="X1513" i="1" s="1"/>
  <c r="Y1513" i="1" s="1"/>
  <c r="V1511" i="1"/>
  <c r="T1509" i="1"/>
  <c r="V1507" i="1"/>
  <c r="T1505" i="1"/>
  <c r="X1505" i="1" s="1"/>
  <c r="Y1505" i="1" s="1"/>
  <c r="V1503" i="1"/>
  <c r="T1501" i="1"/>
  <c r="V1499" i="1"/>
  <c r="T1497" i="1"/>
  <c r="X1497" i="1" s="1"/>
  <c r="Y1497" i="1" s="1"/>
  <c r="V1495" i="1"/>
  <c r="T1493" i="1"/>
  <c r="V1491" i="1"/>
  <c r="T1489" i="1"/>
  <c r="X1489" i="1" s="1"/>
  <c r="Y1489" i="1" s="1"/>
  <c r="V1487" i="1"/>
  <c r="T1485" i="1"/>
  <c r="X1485" i="1" s="1"/>
  <c r="Y1485" i="1" s="1"/>
  <c r="V1483" i="1"/>
  <c r="T1481" i="1"/>
  <c r="X1481" i="1" s="1"/>
  <c r="Y1481" i="1" s="1"/>
  <c r="V1479" i="1"/>
  <c r="T1477" i="1"/>
  <c r="V1475" i="1"/>
  <c r="T1473" i="1"/>
  <c r="X1473" i="1" s="1"/>
  <c r="Y1473" i="1" s="1"/>
  <c r="V1471" i="1"/>
  <c r="T1469" i="1"/>
  <c r="X1469" i="1" s="1"/>
  <c r="V1467" i="1"/>
  <c r="T1465" i="1"/>
  <c r="V1463" i="1"/>
  <c r="T1461" i="1"/>
  <c r="V1459" i="1"/>
  <c r="T1457" i="1"/>
  <c r="X1457" i="1" s="1"/>
  <c r="Y1457" i="1" s="1"/>
  <c r="V1455" i="1"/>
  <c r="T1453" i="1"/>
  <c r="X1453" i="1" s="1"/>
  <c r="Y1453" i="1" s="1"/>
  <c r="V1451" i="1"/>
  <c r="T1449" i="1"/>
  <c r="X1449" i="1" s="1"/>
  <c r="V1447" i="1"/>
  <c r="T1445" i="1"/>
  <c r="V1443" i="1"/>
  <c r="T1441" i="1"/>
  <c r="X1441" i="1" s="1"/>
  <c r="Y1441" i="1" s="1"/>
  <c r="V1439" i="1"/>
  <c r="T1437" i="1"/>
  <c r="X1437" i="1" s="1"/>
  <c r="Y1437" i="1" s="1"/>
  <c r="T1435" i="1"/>
  <c r="W1432" i="1"/>
  <c r="U1430" i="1"/>
  <c r="W1427" i="1"/>
  <c r="T1424" i="1"/>
  <c r="W1422" i="1"/>
  <c r="T1419" i="1"/>
  <c r="W1416" i="1"/>
  <c r="U1414" i="1"/>
  <c r="W1411" i="1"/>
  <c r="T1408" i="1"/>
  <c r="W1406" i="1"/>
  <c r="T1403" i="1"/>
  <c r="W1400" i="1"/>
  <c r="U1398" i="1"/>
  <c r="T1390" i="1"/>
  <c r="U1390" i="1"/>
  <c r="U1387" i="1"/>
  <c r="V1387" i="1"/>
  <c r="T1374" i="1"/>
  <c r="U1374" i="1"/>
  <c r="U1371" i="1"/>
  <c r="V1371" i="1"/>
  <c r="T1358" i="1"/>
  <c r="U1358" i="1"/>
  <c r="V1804" i="1"/>
  <c r="V1800" i="1"/>
  <c r="V1796" i="1"/>
  <c r="Y1796" i="1" s="1"/>
  <c r="V1792" i="1"/>
  <c r="V1788" i="1"/>
  <c r="V1784" i="1"/>
  <c r="V1780" i="1"/>
  <c r="V1776" i="1"/>
  <c r="V1772" i="1"/>
  <c r="V1768" i="1"/>
  <c r="V1764" i="1"/>
  <c r="V1760" i="1"/>
  <c r="V1756" i="1"/>
  <c r="V1752" i="1"/>
  <c r="V1748" i="1"/>
  <c r="Y1748" i="1" s="1"/>
  <c r="V1744" i="1"/>
  <c r="Y1744" i="1" s="1"/>
  <c r="V1740" i="1"/>
  <c r="V1736" i="1"/>
  <c r="V1732" i="1"/>
  <c r="Y1732" i="1" s="1"/>
  <c r="V1728" i="1"/>
  <c r="Y1728" i="1" s="1"/>
  <c r="V1724" i="1"/>
  <c r="V1720" i="1"/>
  <c r="V1716" i="1"/>
  <c r="Y1716" i="1" s="1"/>
  <c r="V1712" i="1"/>
  <c r="U1711" i="1"/>
  <c r="X1711" i="1" s="1"/>
  <c r="V1708" i="1"/>
  <c r="U1707" i="1"/>
  <c r="X1707" i="1" s="1"/>
  <c r="V1704" i="1"/>
  <c r="U1703" i="1"/>
  <c r="X1703" i="1" s="1"/>
  <c r="V1700" i="1"/>
  <c r="U1699" i="1"/>
  <c r="X1699" i="1" s="1"/>
  <c r="V1696" i="1"/>
  <c r="U1695" i="1"/>
  <c r="V1692" i="1"/>
  <c r="U1691" i="1"/>
  <c r="V1688" i="1"/>
  <c r="U1687" i="1"/>
  <c r="V1684" i="1"/>
  <c r="U1683" i="1"/>
  <c r="V1680" i="1"/>
  <c r="U1679" i="1"/>
  <c r="X1679" i="1" s="1"/>
  <c r="V1676" i="1"/>
  <c r="U1675" i="1"/>
  <c r="X1675" i="1" s="1"/>
  <c r="V1672" i="1"/>
  <c r="U1671" i="1"/>
  <c r="V1668" i="1"/>
  <c r="U1667" i="1"/>
  <c r="X1667" i="1" s="1"/>
  <c r="V1664" i="1"/>
  <c r="U1663" i="1"/>
  <c r="V1660" i="1"/>
  <c r="U1659" i="1"/>
  <c r="X1659" i="1" s="1"/>
  <c r="V1656" i="1"/>
  <c r="Y1656" i="1" s="1"/>
  <c r="U1655" i="1"/>
  <c r="X1655" i="1" s="1"/>
  <c r="V1652" i="1"/>
  <c r="U56" i="1"/>
  <c r="V1648" i="1"/>
  <c r="U1647" i="1"/>
  <c r="X1647" i="1" s="1"/>
  <c r="V1644" i="1"/>
  <c r="U1643" i="1"/>
  <c r="X1643" i="1" s="1"/>
  <c r="V1640" i="1"/>
  <c r="U1639" i="1"/>
  <c r="X1639" i="1" s="1"/>
  <c r="Y1639" i="1" s="1"/>
  <c r="V1636" i="1"/>
  <c r="U1635" i="1"/>
  <c r="V1632" i="1"/>
  <c r="U1631" i="1"/>
  <c r="X1631" i="1" s="1"/>
  <c r="V1628" i="1"/>
  <c r="U1627" i="1"/>
  <c r="X1627" i="1" s="1"/>
  <c r="Y1627" i="1" s="1"/>
  <c r="V1624" i="1"/>
  <c r="U1623" i="1"/>
  <c r="X1623" i="1" s="1"/>
  <c r="Y1623" i="1" s="1"/>
  <c r="V1620" i="1"/>
  <c r="U1619" i="1"/>
  <c r="X1619" i="1" s="1"/>
  <c r="Y1619" i="1" s="1"/>
  <c r="V1616" i="1"/>
  <c r="Y1616" i="1" s="1"/>
  <c r="U1615" i="1"/>
  <c r="V1612" i="1"/>
  <c r="U1611" i="1"/>
  <c r="X1611" i="1" s="1"/>
  <c r="Y1611" i="1" s="1"/>
  <c r="V1608" i="1"/>
  <c r="U1607" i="1"/>
  <c r="V1604" i="1"/>
  <c r="U1603" i="1"/>
  <c r="V1600" i="1"/>
  <c r="U1599" i="1"/>
  <c r="V1596" i="1"/>
  <c r="U1595" i="1"/>
  <c r="X1595" i="1" s="1"/>
  <c r="Y1595" i="1" s="1"/>
  <c r="V1592" i="1"/>
  <c r="U1591" i="1"/>
  <c r="X1591" i="1" s="1"/>
  <c r="Y1591" i="1" s="1"/>
  <c r="V1588" i="1"/>
  <c r="U1587" i="1"/>
  <c r="V1584" i="1"/>
  <c r="Y1584" i="1" s="1"/>
  <c r="U1583" i="1"/>
  <c r="V1580" i="1"/>
  <c r="U1579" i="1"/>
  <c r="X1579" i="1" s="1"/>
  <c r="Y1579" i="1" s="1"/>
  <c r="V1576" i="1"/>
  <c r="U1575" i="1"/>
  <c r="X1575" i="1" s="1"/>
  <c r="Y1575" i="1" s="1"/>
  <c r="V1572" i="1"/>
  <c r="U1571" i="1"/>
  <c r="X1571" i="1" s="1"/>
  <c r="Y1571" i="1" s="1"/>
  <c r="V1568" i="1"/>
  <c r="Y1568" i="1" s="1"/>
  <c r="U1567" i="1"/>
  <c r="V1564" i="1"/>
  <c r="U1563" i="1"/>
  <c r="X1563" i="1" s="1"/>
  <c r="Y1563" i="1" s="1"/>
  <c r="V1560" i="1"/>
  <c r="U1559" i="1"/>
  <c r="X1559" i="1" s="1"/>
  <c r="Y1559" i="1" s="1"/>
  <c r="V1556" i="1"/>
  <c r="U1555" i="1"/>
  <c r="X1555" i="1" s="1"/>
  <c r="Y1555" i="1" s="1"/>
  <c r="V1552" i="1"/>
  <c r="Y1552" i="1" s="1"/>
  <c r="U1551" i="1"/>
  <c r="V1548" i="1"/>
  <c r="U1547" i="1"/>
  <c r="X1547" i="1" s="1"/>
  <c r="Y1547" i="1" s="1"/>
  <c r="V1544" i="1"/>
  <c r="U1543" i="1"/>
  <c r="U1539" i="1"/>
  <c r="X1539" i="1" s="1"/>
  <c r="U1535" i="1"/>
  <c r="X1535" i="1" s="1"/>
  <c r="U1531" i="1"/>
  <c r="X1531" i="1" s="1"/>
  <c r="U1527" i="1"/>
  <c r="U1523" i="1"/>
  <c r="X1523" i="1" s="1"/>
  <c r="U1503" i="1"/>
  <c r="U1499" i="1"/>
  <c r="U1495" i="1"/>
  <c r="X1495" i="1" s="1"/>
  <c r="U1491" i="1"/>
  <c r="U1487" i="1"/>
  <c r="U1483" i="1"/>
  <c r="U1479" i="1"/>
  <c r="X1479" i="1" s="1"/>
  <c r="U1475" i="1"/>
  <c r="X1475" i="1" s="1"/>
  <c r="U1471" i="1"/>
  <c r="X1471" i="1" s="1"/>
  <c r="U1467" i="1"/>
  <c r="U1463" i="1"/>
  <c r="X1463" i="1" s="1"/>
  <c r="U1459" i="1"/>
  <c r="U1455" i="1"/>
  <c r="U1451" i="1"/>
  <c r="U1447" i="1"/>
  <c r="X1447" i="1" s="1"/>
  <c r="U1443" i="1"/>
  <c r="U1439" i="1"/>
  <c r="U1432" i="1"/>
  <c r="V1427" i="1"/>
  <c r="V1422" i="1"/>
  <c r="U1416" i="1"/>
  <c r="V1411" i="1"/>
  <c r="V1406" i="1"/>
  <c r="U1400" i="1"/>
  <c r="T1394" i="1"/>
  <c r="U1394" i="1"/>
  <c r="U1391" i="1"/>
  <c r="V1391" i="1"/>
  <c r="W1386" i="1"/>
  <c r="W1383" i="1"/>
  <c r="T1378" i="1"/>
  <c r="U1378" i="1"/>
  <c r="U1375" i="1"/>
  <c r="X1375" i="1" s="1"/>
  <c r="V1375" i="1"/>
  <c r="W1370" i="1"/>
  <c r="W1367" i="1"/>
  <c r="T1362" i="1"/>
  <c r="U1362" i="1"/>
  <c r="U1359" i="1"/>
  <c r="X1359" i="1" s="1"/>
  <c r="V1359" i="1"/>
  <c r="U1355" i="1"/>
  <c r="V1355" i="1"/>
  <c r="T1355" i="1"/>
  <c r="U1351" i="1"/>
  <c r="V1351" i="1"/>
  <c r="T1351" i="1"/>
  <c r="U1347" i="1"/>
  <c r="V1347" i="1"/>
  <c r="T1347" i="1"/>
  <c r="U1343" i="1"/>
  <c r="V1343" i="1"/>
  <c r="T1343" i="1"/>
  <c r="U1339" i="1"/>
  <c r="V1339" i="1"/>
  <c r="T1339" i="1"/>
  <c r="U1335" i="1"/>
  <c r="V1335" i="1"/>
  <c r="T1335" i="1"/>
  <c r="U1331" i="1"/>
  <c r="V1331" i="1"/>
  <c r="T1331" i="1"/>
  <c r="U1327" i="1"/>
  <c r="V1327" i="1"/>
  <c r="T1327" i="1"/>
  <c r="U1323" i="1"/>
  <c r="V1323" i="1"/>
  <c r="T1323" i="1"/>
  <c r="U1319" i="1"/>
  <c r="V1319" i="1"/>
  <c r="T1319" i="1"/>
  <c r="U1315" i="1"/>
  <c r="V1315" i="1"/>
  <c r="T1315" i="1"/>
  <c r="W1435" i="1"/>
  <c r="X1434" i="1"/>
  <c r="Y1434" i="1" s="1"/>
  <c r="T1432" i="1"/>
  <c r="V1431" i="1"/>
  <c r="W1430" i="1"/>
  <c r="T1427" i="1"/>
  <c r="V1426" i="1"/>
  <c r="W1424" i="1"/>
  <c r="U1422" i="1"/>
  <c r="U1420" i="1"/>
  <c r="X1420" i="1" s="1"/>
  <c r="W1419" i="1"/>
  <c r="T1416" i="1"/>
  <c r="V1415" i="1"/>
  <c r="W1414" i="1"/>
  <c r="T1411" i="1"/>
  <c r="V1410" i="1"/>
  <c r="W1408" i="1"/>
  <c r="U1406" i="1"/>
  <c r="X1406" i="1" s="1"/>
  <c r="U1404" i="1"/>
  <c r="X1404" i="1" s="1"/>
  <c r="Y1404" i="1" s="1"/>
  <c r="W1403" i="1"/>
  <c r="X1402" i="1"/>
  <c r="Y1402" i="1" s="1"/>
  <c r="T1400" i="1"/>
  <c r="V1399" i="1"/>
  <c r="W1398" i="1"/>
  <c r="U1395" i="1"/>
  <c r="X1395" i="1" s="1"/>
  <c r="V1395" i="1"/>
  <c r="W1390" i="1"/>
  <c r="W1387" i="1"/>
  <c r="V1386" i="1"/>
  <c r="T1383" i="1"/>
  <c r="T1382" i="1"/>
  <c r="U1382" i="1"/>
  <c r="U1379" i="1"/>
  <c r="X1379" i="1" s="1"/>
  <c r="V1379" i="1"/>
  <c r="W1374" i="1"/>
  <c r="W1371" i="1"/>
  <c r="V1370" i="1"/>
  <c r="T1367" i="1"/>
  <c r="T1366" i="1"/>
  <c r="U1366" i="1"/>
  <c r="U1363" i="1"/>
  <c r="X1363" i="1" s="1"/>
  <c r="V1363" i="1"/>
  <c r="W1358" i="1"/>
  <c r="T1311" i="1"/>
  <c r="T1307" i="1"/>
  <c r="X1307" i="1" s="1"/>
  <c r="T1303" i="1"/>
  <c r="T1299" i="1"/>
  <c r="X1299" i="1" s="1"/>
  <c r="T1295" i="1"/>
  <c r="T1291" i="1"/>
  <c r="X1291" i="1" s="1"/>
  <c r="T1287" i="1"/>
  <c r="T1283" i="1"/>
  <c r="X1283" i="1" s="1"/>
  <c r="T1279" i="1"/>
  <c r="T1275" i="1"/>
  <c r="X1275" i="1" s="1"/>
  <c r="T1271" i="1"/>
  <c r="T1267" i="1"/>
  <c r="X1267" i="1" s="1"/>
  <c r="T1263" i="1"/>
  <c r="T1259" i="1"/>
  <c r="X1259" i="1" s="1"/>
  <c r="T1255" i="1"/>
  <c r="X1255" i="1" s="1"/>
  <c r="T1251" i="1"/>
  <c r="X1251" i="1" s="1"/>
  <c r="T1247" i="1"/>
  <c r="T1243" i="1"/>
  <c r="X1243" i="1" s="1"/>
  <c r="T1239" i="1"/>
  <c r="T1235" i="1"/>
  <c r="X1235" i="1" s="1"/>
  <c r="T1231" i="1"/>
  <c r="T1227" i="1"/>
  <c r="X1227" i="1" s="1"/>
  <c r="T1223" i="1"/>
  <c r="X1223" i="1" s="1"/>
  <c r="T1219" i="1"/>
  <c r="X1219" i="1" s="1"/>
  <c r="U1216" i="1"/>
  <c r="T1215" i="1"/>
  <c r="X1215" i="1" s="1"/>
  <c r="U1212" i="1"/>
  <c r="X1212" i="1" s="1"/>
  <c r="Y1212" i="1" s="1"/>
  <c r="T1211" i="1"/>
  <c r="X1211" i="1" s="1"/>
  <c r="U1208" i="1"/>
  <c r="T1207" i="1"/>
  <c r="X1207" i="1" s="1"/>
  <c r="U1204" i="1"/>
  <c r="X1204" i="1" s="1"/>
  <c r="Y1204" i="1" s="1"/>
  <c r="T1203" i="1"/>
  <c r="U1200" i="1"/>
  <c r="T1199" i="1"/>
  <c r="X1199" i="1" s="1"/>
  <c r="U1196" i="1"/>
  <c r="X1196" i="1" s="1"/>
  <c r="T1195" i="1"/>
  <c r="X1195" i="1" s="1"/>
  <c r="U1192" i="1"/>
  <c r="T1191" i="1"/>
  <c r="X1191" i="1" s="1"/>
  <c r="U1188" i="1"/>
  <c r="X1188" i="1" s="1"/>
  <c r="Y1188" i="1" s="1"/>
  <c r="T1187" i="1"/>
  <c r="U1184" i="1"/>
  <c r="X1184" i="1" s="1"/>
  <c r="Y1184" i="1" s="1"/>
  <c r="T1183" i="1"/>
  <c r="U1180" i="1"/>
  <c r="T1179" i="1"/>
  <c r="U1176" i="1"/>
  <c r="T1175" i="1"/>
  <c r="X1175" i="1" s="1"/>
  <c r="U1172" i="1"/>
  <c r="T1171" i="1"/>
  <c r="X1171" i="1" s="1"/>
  <c r="U1168" i="1"/>
  <c r="T1167" i="1"/>
  <c r="U1164" i="1"/>
  <c r="X1164" i="1" s="1"/>
  <c r="Y1164" i="1" s="1"/>
  <c r="T1163" i="1"/>
  <c r="X1163" i="1" s="1"/>
  <c r="U1160" i="1"/>
  <c r="T1159" i="1"/>
  <c r="X1159" i="1" s="1"/>
  <c r="U1156" i="1"/>
  <c r="X1156" i="1" s="1"/>
  <c r="Y1156" i="1" s="1"/>
  <c r="T1155" i="1"/>
  <c r="X1155" i="1" s="1"/>
  <c r="U1152" i="1"/>
  <c r="T1151" i="1"/>
  <c r="U1148" i="1"/>
  <c r="T1147" i="1"/>
  <c r="U1144" i="1"/>
  <c r="X1144" i="1" s="1"/>
  <c r="T1143" i="1"/>
  <c r="X1143" i="1" s="1"/>
  <c r="U1140" i="1"/>
  <c r="T1139" i="1"/>
  <c r="X1139" i="1" s="1"/>
  <c r="U1136" i="1"/>
  <c r="T1135" i="1"/>
  <c r="X1135" i="1" s="1"/>
  <c r="U1132" i="1"/>
  <c r="X1132" i="1" s="1"/>
  <c r="Y1132" i="1" s="1"/>
  <c r="T1131" i="1"/>
  <c r="X1131" i="1" s="1"/>
  <c r="U1128" i="1"/>
  <c r="X1128" i="1" s="1"/>
  <c r="T1127" i="1"/>
  <c r="X1127" i="1" s="1"/>
  <c r="U1124" i="1"/>
  <c r="X1124" i="1" s="1"/>
  <c r="Y1124" i="1" s="1"/>
  <c r="T1123" i="1"/>
  <c r="U1120" i="1"/>
  <c r="T1119" i="1"/>
  <c r="X1119" i="1" s="1"/>
  <c r="U1116" i="1"/>
  <c r="X1116" i="1" s="1"/>
  <c r="Y1116" i="1" s="1"/>
  <c r="T1115" i="1"/>
  <c r="X1115" i="1" s="1"/>
  <c r="U1112" i="1"/>
  <c r="T1111" i="1"/>
  <c r="U1108" i="1"/>
  <c r="X1108" i="1" s="1"/>
  <c r="Y1108" i="1" s="1"/>
  <c r="T1107" i="1"/>
  <c r="U1104" i="1"/>
  <c r="T1103" i="1"/>
  <c r="U1100" i="1"/>
  <c r="X1100" i="1" s="1"/>
  <c r="Y1100" i="1" s="1"/>
  <c r="T1099" i="1"/>
  <c r="X1099" i="1" s="1"/>
  <c r="U1096" i="1"/>
  <c r="T1095" i="1"/>
  <c r="X1095" i="1" s="1"/>
  <c r="U1092" i="1"/>
  <c r="X1092" i="1" s="1"/>
  <c r="T1091" i="1"/>
  <c r="X1091" i="1" s="1"/>
  <c r="U1088" i="1"/>
  <c r="T1087" i="1"/>
  <c r="X1087" i="1" s="1"/>
  <c r="U1084" i="1"/>
  <c r="X1084" i="1" s="1"/>
  <c r="T1083" i="1"/>
  <c r="U1080" i="1"/>
  <c r="X1080" i="1" s="1"/>
  <c r="T1079" i="1"/>
  <c r="X1079" i="1" s="1"/>
  <c r="U1076" i="1"/>
  <c r="T1075" i="1"/>
  <c r="X1075" i="1" s="1"/>
  <c r="U1072" i="1"/>
  <c r="T1071" i="1"/>
  <c r="U1068" i="1"/>
  <c r="X1068" i="1" s="1"/>
  <c r="Y1068" i="1" s="1"/>
  <c r="T1067" i="1"/>
  <c r="X1067" i="1" s="1"/>
  <c r="U1064" i="1"/>
  <c r="T1063" i="1"/>
  <c r="X1063" i="1" s="1"/>
  <c r="U1060" i="1"/>
  <c r="X1060" i="1" s="1"/>
  <c r="Y1060" i="1" s="1"/>
  <c r="T1059" i="1"/>
  <c r="U1056" i="1"/>
  <c r="T1055" i="1"/>
  <c r="X1055" i="1" s="1"/>
  <c r="U1052" i="1"/>
  <c r="T1051" i="1"/>
  <c r="U1048" i="1"/>
  <c r="T1047" i="1"/>
  <c r="X1047" i="1" s="1"/>
  <c r="U1044" i="1"/>
  <c r="T1034" i="1"/>
  <c r="V1034" i="1"/>
  <c r="Y1027" i="1"/>
  <c r="Y1023" i="1"/>
  <c r="Y971" i="1"/>
  <c r="T969" i="1"/>
  <c r="U969" i="1"/>
  <c r="V969" i="1"/>
  <c r="W969" i="1"/>
  <c r="T1038" i="1"/>
  <c r="V1038" i="1"/>
  <c r="T1030" i="1"/>
  <c r="U1030" i="1"/>
  <c r="V1030" i="1"/>
  <c r="T1026" i="1"/>
  <c r="U1026" i="1"/>
  <c r="V1026" i="1"/>
  <c r="T1022" i="1"/>
  <c r="U1022" i="1"/>
  <c r="V1022" i="1"/>
  <c r="T1018" i="1"/>
  <c r="U1018" i="1"/>
  <c r="V1018" i="1"/>
  <c r="T1014" i="1"/>
  <c r="X1014" i="1" s="1"/>
  <c r="U1014" i="1"/>
  <c r="V1014" i="1"/>
  <c r="T1010" i="1"/>
  <c r="U1010" i="1"/>
  <c r="V1010" i="1"/>
  <c r="T1006" i="1"/>
  <c r="U1006" i="1"/>
  <c r="V1006" i="1"/>
  <c r="T1002" i="1"/>
  <c r="U1002" i="1"/>
  <c r="V1002" i="1"/>
  <c r="T998" i="1"/>
  <c r="U998" i="1"/>
  <c r="V998" i="1"/>
  <c r="T994" i="1"/>
  <c r="U994" i="1"/>
  <c r="V994" i="1"/>
  <c r="T990" i="1"/>
  <c r="U990" i="1"/>
  <c r="V990" i="1"/>
  <c r="T986" i="1"/>
  <c r="U986" i="1"/>
  <c r="V986" i="1"/>
  <c r="T982" i="1"/>
  <c r="X982" i="1" s="1"/>
  <c r="U982" i="1"/>
  <c r="V982" i="1"/>
  <c r="T978" i="1"/>
  <c r="U978" i="1"/>
  <c r="V978" i="1"/>
  <c r="T974" i="1"/>
  <c r="U974" i="1"/>
  <c r="V974" i="1"/>
  <c r="X970" i="1"/>
  <c r="Y928" i="1"/>
  <c r="U1354" i="1"/>
  <c r="X1354" i="1" s="1"/>
  <c r="Y1354" i="1" s="1"/>
  <c r="U1350" i="1"/>
  <c r="U1346" i="1"/>
  <c r="X1346" i="1" s="1"/>
  <c r="Y1346" i="1" s="1"/>
  <c r="U1342" i="1"/>
  <c r="X1342" i="1" s="1"/>
  <c r="Y1342" i="1" s="1"/>
  <c r="U1338" i="1"/>
  <c r="U1334" i="1"/>
  <c r="U1330" i="1"/>
  <c r="X1330" i="1" s="1"/>
  <c r="Y1330" i="1" s="1"/>
  <c r="U1326" i="1"/>
  <c r="U1322" i="1"/>
  <c r="U1318" i="1"/>
  <c r="U1314" i="1"/>
  <c r="X1314" i="1" s="1"/>
  <c r="Y1314" i="1" s="1"/>
  <c r="V1311" i="1"/>
  <c r="U1310" i="1"/>
  <c r="X1310" i="1" s="1"/>
  <c r="Y1310" i="1" s="1"/>
  <c r="V1307" i="1"/>
  <c r="U1306" i="1"/>
  <c r="V1303" i="1"/>
  <c r="U1302" i="1"/>
  <c r="X1302" i="1" s="1"/>
  <c r="Y1302" i="1" s="1"/>
  <c r="V1299" i="1"/>
  <c r="U1298" i="1"/>
  <c r="V1295" i="1"/>
  <c r="U1294" i="1"/>
  <c r="X1294" i="1" s="1"/>
  <c r="Y1294" i="1" s="1"/>
  <c r="V1291" i="1"/>
  <c r="U1290" i="1"/>
  <c r="X1290" i="1" s="1"/>
  <c r="Y1290" i="1" s="1"/>
  <c r="V1287" i="1"/>
  <c r="U1286" i="1"/>
  <c r="V1283" i="1"/>
  <c r="U1282" i="1"/>
  <c r="V1279" i="1"/>
  <c r="U1278" i="1"/>
  <c r="X1278" i="1" s="1"/>
  <c r="Y1278" i="1" s="1"/>
  <c r="V1275" i="1"/>
  <c r="U1274" i="1"/>
  <c r="V1271" i="1"/>
  <c r="U1270" i="1"/>
  <c r="X1270" i="1" s="1"/>
  <c r="Y1270" i="1" s="1"/>
  <c r="V1267" i="1"/>
  <c r="U1266" i="1"/>
  <c r="V1263" i="1"/>
  <c r="U1262" i="1"/>
  <c r="X1262" i="1" s="1"/>
  <c r="Y1262" i="1" s="1"/>
  <c r="V1259" i="1"/>
  <c r="U1258" i="1"/>
  <c r="X1258" i="1" s="1"/>
  <c r="Y1258" i="1" s="1"/>
  <c r="V1255" i="1"/>
  <c r="U1254" i="1"/>
  <c r="V1251" i="1"/>
  <c r="U1250" i="1"/>
  <c r="V1247" i="1"/>
  <c r="U1246" i="1"/>
  <c r="X1246" i="1" s="1"/>
  <c r="Y1246" i="1" s="1"/>
  <c r="V1243" i="1"/>
  <c r="U1242" i="1"/>
  <c r="V1239" i="1"/>
  <c r="U1238" i="1"/>
  <c r="X1238" i="1" s="1"/>
  <c r="Y1238" i="1" s="1"/>
  <c r="V1235" i="1"/>
  <c r="U1234" i="1"/>
  <c r="V1231" i="1"/>
  <c r="U1230" i="1"/>
  <c r="X1230" i="1" s="1"/>
  <c r="Y1230" i="1" s="1"/>
  <c r="V1227" i="1"/>
  <c r="U1226" i="1"/>
  <c r="X1226" i="1" s="1"/>
  <c r="Y1226" i="1" s="1"/>
  <c r="V1223" i="1"/>
  <c r="U1222" i="1"/>
  <c r="X1222" i="1" s="1"/>
  <c r="Y1222" i="1" s="1"/>
  <c r="V1219" i="1"/>
  <c r="U1218" i="1"/>
  <c r="V1215" i="1"/>
  <c r="V1211" i="1"/>
  <c r="V1207" i="1"/>
  <c r="V1203" i="1"/>
  <c r="V1199" i="1"/>
  <c r="V1195" i="1"/>
  <c r="V1191" i="1"/>
  <c r="V1187" i="1"/>
  <c r="V1183" i="1"/>
  <c r="V1179" i="1"/>
  <c r="V1175" i="1"/>
  <c r="V1171" i="1"/>
  <c r="V1167" i="1"/>
  <c r="V1163" i="1"/>
  <c r="V1159" i="1"/>
  <c r="V1155" i="1"/>
  <c r="V1151" i="1"/>
  <c r="V1147" i="1"/>
  <c r="V1143" i="1"/>
  <c r="V1139" i="1"/>
  <c r="V1135" i="1"/>
  <c r="V1131" i="1"/>
  <c r="V1127" i="1"/>
  <c r="V1123" i="1"/>
  <c r="V1119" i="1"/>
  <c r="V1115" i="1"/>
  <c r="V1111" i="1"/>
  <c r="V1107" i="1"/>
  <c r="V1103" i="1"/>
  <c r="V1099" i="1"/>
  <c r="V1095" i="1"/>
  <c r="V1091" i="1"/>
  <c r="V1087" i="1"/>
  <c r="V1083" i="1"/>
  <c r="V1079" i="1"/>
  <c r="V1075" i="1"/>
  <c r="V1071" i="1"/>
  <c r="V1067" i="1"/>
  <c r="V1063" i="1"/>
  <c r="V1059" i="1"/>
  <c r="V1055" i="1"/>
  <c r="V1051" i="1"/>
  <c r="V1047" i="1"/>
  <c r="T1042" i="1"/>
  <c r="V1042" i="1"/>
  <c r="V1036" i="1"/>
  <c r="T1036" i="1"/>
  <c r="X1036" i="1" s="1"/>
  <c r="V1040" i="1"/>
  <c r="T1040" i="1"/>
  <c r="X1040" i="1" s="1"/>
  <c r="W1038" i="1"/>
  <c r="U1034" i="1"/>
  <c r="Y993" i="1"/>
  <c r="U941" i="1"/>
  <c r="X941" i="1" s="1"/>
  <c r="Y941" i="1" s="1"/>
  <c r="U939" i="1"/>
  <c r="W938" i="1"/>
  <c r="X938" i="1" s="1"/>
  <c r="T935" i="1"/>
  <c r="X935" i="1" s="1"/>
  <c r="V934" i="1"/>
  <c r="W933" i="1"/>
  <c r="X933" i="1" s="1"/>
  <c r="T930" i="1"/>
  <c r="V929" i="1"/>
  <c r="W927" i="1"/>
  <c r="U925" i="1"/>
  <c r="X925" i="1" s="1"/>
  <c r="Y925" i="1" s="1"/>
  <c r="U923" i="1"/>
  <c r="W922" i="1"/>
  <c r="X922" i="1" s="1"/>
  <c r="X921" i="1"/>
  <c r="Y921" i="1" s="1"/>
  <c r="T919" i="1"/>
  <c r="X919" i="1" s="1"/>
  <c r="Y919" i="1" s="1"/>
  <c r="V918" i="1"/>
  <c r="W917" i="1"/>
  <c r="X917" i="1" s="1"/>
  <c r="T914" i="1"/>
  <c r="V913" i="1"/>
  <c r="W911" i="1"/>
  <c r="U909" i="1"/>
  <c r="X909" i="1" s="1"/>
  <c r="Y909" i="1" s="1"/>
  <c r="U907" i="1"/>
  <c r="W906" i="1"/>
  <c r="X906" i="1" s="1"/>
  <c r="X905" i="1"/>
  <c r="Y905" i="1" s="1"/>
  <c r="T903" i="1"/>
  <c r="V902" i="1"/>
  <c r="W901" i="1"/>
  <c r="X901" i="1" s="1"/>
  <c r="T898" i="1"/>
  <c r="V897" i="1"/>
  <c r="W895" i="1"/>
  <c r="U893" i="1"/>
  <c r="U891" i="1"/>
  <c r="W890" i="1"/>
  <c r="X890" i="1" s="1"/>
  <c r="X889" i="1"/>
  <c r="Y889" i="1" s="1"/>
  <c r="T887" i="1"/>
  <c r="X887" i="1" s="1"/>
  <c r="Y887" i="1" s="1"/>
  <c r="V886" i="1"/>
  <c r="W885" i="1"/>
  <c r="X885" i="1" s="1"/>
  <c r="T882" i="1"/>
  <c r="V881" i="1"/>
  <c r="W879" i="1"/>
  <c r="U877" i="1"/>
  <c r="X877" i="1" s="1"/>
  <c r="Y877" i="1" s="1"/>
  <c r="U875" i="1"/>
  <c r="W874" i="1"/>
  <c r="X874" i="1" s="1"/>
  <c r="X873" i="1"/>
  <c r="Y873" i="1" s="1"/>
  <c r="T871" i="1"/>
  <c r="X871" i="1" s="1"/>
  <c r="Y871" i="1" s="1"/>
  <c r="V870" i="1"/>
  <c r="W869" i="1"/>
  <c r="X869" i="1" s="1"/>
  <c r="T866" i="1"/>
  <c r="X866" i="1" s="1"/>
  <c r="V865" i="1"/>
  <c r="W863" i="1"/>
  <c r="U861" i="1"/>
  <c r="X861" i="1" s="1"/>
  <c r="Y861" i="1" s="1"/>
  <c r="U859" i="1"/>
  <c r="W858" i="1"/>
  <c r="X858" i="1" s="1"/>
  <c r="X857" i="1"/>
  <c r="Y857" i="1" s="1"/>
  <c r="T855" i="1"/>
  <c r="V854" i="1"/>
  <c r="W853" i="1"/>
  <c r="X853" i="1" s="1"/>
  <c r="T850" i="1"/>
  <c r="V849" i="1"/>
  <c r="W847" i="1"/>
  <c r="U845" i="1"/>
  <c r="X845" i="1" s="1"/>
  <c r="Y845" i="1" s="1"/>
  <c r="U843" i="1"/>
  <c r="W842" i="1"/>
  <c r="X842" i="1" s="1"/>
  <c r="X841" i="1"/>
  <c r="Y841" i="1" s="1"/>
  <c r="T839" i="1"/>
  <c r="X839" i="1" s="1"/>
  <c r="Y839" i="1" s="1"/>
  <c r="V838" i="1"/>
  <c r="W837" i="1"/>
  <c r="X837" i="1" s="1"/>
  <c r="T834" i="1"/>
  <c r="X834" i="1" s="1"/>
  <c r="V833" i="1"/>
  <c r="W831" i="1"/>
  <c r="U829" i="1"/>
  <c r="X829" i="1" s="1"/>
  <c r="Y829" i="1" s="1"/>
  <c r="U827" i="1"/>
  <c r="W826" i="1"/>
  <c r="X826" i="1" s="1"/>
  <c r="X825" i="1"/>
  <c r="Y825" i="1" s="1"/>
  <c r="W822" i="1"/>
  <c r="W819" i="1"/>
  <c r="T814" i="1"/>
  <c r="U814" i="1"/>
  <c r="U811" i="1"/>
  <c r="X811" i="1" s="1"/>
  <c r="V811" i="1"/>
  <c r="X809" i="1"/>
  <c r="W806" i="1"/>
  <c r="W803" i="1"/>
  <c r="T798" i="1"/>
  <c r="U798" i="1"/>
  <c r="U795" i="1"/>
  <c r="X795" i="1" s="1"/>
  <c r="V795" i="1"/>
  <c r="W790" i="1"/>
  <c r="W787" i="1"/>
  <c r="T782" i="1"/>
  <c r="U782" i="1"/>
  <c r="U779" i="1"/>
  <c r="V779" i="1"/>
  <c r="W774" i="1"/>
  <c r="W771" i="1"/>
  <c r="U767" i="1"/>
  <c r="X767" i="1" s="1"/>
  <c r="V767" i="1"/>
  <c r="U763" i="1"/>
  <c r="V763" i="1"/>
  <c r="W763" i="1"/>
  <c r="U759" i="1"/>
  <c r="V759" i="1"/>
  <c r="T759" i="1"/>
  <c r="T742" i="1"/>
  <c r="U742" i="1"/>
  <c r="V742" i="1"/>
  <c r="W742" i="1"/>
  <c r="T726" i="1"/>
  <c r="U726" i="1"/>
  <c r="V726" i="1"/>
  <c r="W726" i="1"/>
  <c r="T710" i="1"/>
  <c r="U710" i="1"/>
  <c r="V710" i="1"/>
  <c r="W710" i="1"/>
  <c r="T1032" i="1"/>
  <c r="T1028" i="1"/>
  <c r="T1024" i="1"/>
  <c r="X1024" i="1" s="1"/>
  <c r="Y1024" i="1" s="1"/>
  <c r="T1020" i="1"/>
  <c r="X1020" i="1" s="1"/>
  <c r="Y1020" i="1" s="1"/>
  <c r="T1016" i="1"/>
  <c r="T1012" i="1"/>
  <c r="X1012" i="1" s="1"/>
  <c r="Y1012" i="1" s="1"/>
  <c r="T1008" i="1"/>
  <c r="X1008" i="1" s="1"/>
  <c r="Y1008" i="1" s="1"/>
  <c r="T1004" i="1"/>
  <c r="T1000" i="1"/>
  <c r="T996" i="1"/>
  <c r="T992" i="1"/>
  <c r="X992" i="1" s="1"/>
  <c r="Y992" i="1" s="1"/>
  <c r="T988" i="1"/>
  <c r="X988" i="1" s="1"/>
  <c r="Y988" i="1" s="1"/>
  <c r="T984" i="1"/>
  <c r="T980" i="1"/>
  <c r="T976" i="1"/>
  <c r="X976" i="1" s="1"/>
  <c r="Y976" i="1" s="1"/>
  <c r="T972" i="1"/>
  <c r="X972" i="1" s="1"/>
  <c r="Y972" i="1" s="1"/>
  <c r="V970" i="1"/>
  <c r="T966" i="1"/>
  <c r="V965" i="1"/>
  <c r="W963" i="1"/>
  <c r="U961" i="1"/>
  <c r="U959" i="1"/>
  <c r="X959" i="1" s="1"/>
  <c r="Y959" i="1" s="1"/>
  <c r="W958" i="1"/>
  <c r="X957" i="1"/>
  <c r="Y957" i="1" s="1"/>
  <c r="T955" i="1"/>
  <c r="V954" i="1"/>
  <c r="Y954" i="1" s="1"/>
  <c r="W953" i="1"/>
  <c r="T950" i="1"/>
  <c r="V949" i="1"/>
  <c r="W947" i="1"/>
  <c r="U945" i="1"/>
  <c r="U943" i="1"/>
  <c r="X943" i="1" s="1"/>
  <c r="Y943" i="1" s="1"/>
  <c r="W942" i="1"/>
  <c r="T939" i="1"/>
  <c r="V938" i="1"/>
  <c r="T934" i="1"/>
  <c r="V933" i="1"/>
  <c r="U929" i="1"/>
  <c r="U927" i="1"/>
  <c r="T923" i="1"/>
  <c r="V922" i="1"/>
  <c r="T918" i="1"/>
  <c r="V917" i="1"/>
  <c r="U913" i="1"/>
  <c r="U911" i="1"/>
  <c r="T907" i="1"/>
  <c r="V906" i="1"/>
  <c r="T902" i="1"/>
  <c r="V901" i="1"/>
  <c r="U897" i="1"/>
  <c r="U895" i="1"/>
  <c r="X893" i="1"/>
  <c r="Y893" i="1" s="1"/>
  <c r="T891" i="1"/>
  <c r="V890" i="1"/>
  <c r="T886" i="1"/>
  <c r="V885" i="1"/>
  <c r="U881" i="1"/>
  <c r="U879" i="1"/>
  <c r="T875" i="1"/>
  <c r="V874" i="1"/>
  <c r="T870" i="1"/>
  <c r="V869" i="1"/>
  <c r="U865" i="1"/>
  <c r="U863" i="1"/>
  <c r="X863" i="1" s="1"/>
  <c r="Y863" i="1" s="1"/>
  <c r="T859" i="1"/>
  <c r="V858" i="1"/>
  <c r="T854" i="1"/>
  <c r="V853" i="1"/>
  <c r="U849" i="1"/>
  <c r="U847" i="1"/>
  <c r="T843" i="1"/>
  <c r="V842" i="1"/>
  <c r="T838" i="1"/>
  <c r="V837" i="1"/>
  <c r="U833" i="1"/>
  <c r="U831" i="1"/>
  <c r="X831" i="1" s="1"/>
  <c r="Y831" i="1" s="1"/>
  <c r="T827" i="1"/>
  <c r="V826" i="1"/>
  <c r="T818" i="1"/>
  <c r="U818" i="1"/>
  <c r="U815" i="1"/>
  <c r="V815" i="1"/>
  <c r="T802" i="1"/>
  <c r="U802" i="1"/>
  <c r="U799" i="1"/>
  <c r="V799" i="1"/>
  <c r="T786" i="1"/>
  <c r="U786" i="1"/>
  <c r="U783" i="1"/>
  <c r="X783" i="1" s="1"/>
  <c r="V783" i="1"/>
  <c r="X781" i="1"/>
  <c r="Y781" i="1" s="1"/>
  <c r="T770" i="1"/>
  <c r="U770" i="1"/>
  <c r="T754" i="1"/>
  <c r="U754" i="1"/>
  <c r="V754" i="1"/>
  <c r="U751" i="1"/>
  <c r="V751" i="1"/>
  <c r="T751" i="1"/>
  <c r="T738" i="1"/>
  <c r="U738" i="1"/>
  <c r="V738" i="1"/>
  <c r="W738" i="1"/>
  <c r="T722" i="1"/>
  <c r="U722" i="1"/>
  <c r="V722" i="1"/>
  <c r="W722" i="1"/>
  <c r="U963" i="1"/>
  <c r="V958" i="1"/>
  <c r="V953" i="1"/>
  <c r="U947" i="1"/>
  <c r="V942" i="1"/>
  <c r="T822" i="1"/>
  <c r="U822" i="1"/>
  <c r="U819" i="1"/>
  <c r="X819" i="1" s="1"/>
  <c r="V819" i="1"/>
  <c r="T806" i="1"/>
  <c r="U806" i="1"/>
  <c r="U803" i="1"/>
  <c r="V803" i="1"/>
  <c r="T790" i="1"/>
  <c r="U790" i="1"/>
  <c r="U787" i="1"/>
  <c r="V787" i="1"/>
  <c r="T774" i="1"/>
  <c r="U774" i="1"/>
  <c r="U771" i="1"/>
  <c r="V771" i="1"/>
  <c r="T766" i="1"/>
  <c r="U766" i="1"/>
  <c r="W766" i="1"/>
  <c r="T762" i="1"/>
  <c r="U762" i="1"/>
  <c r="V762" i="1"/>
  <c r="T750" i="1"/>
  <c r="U750" i="1"/>
  <c r="V750" i="1"/>
  <c r="W750" i="1"/>
  <c r="T734" i="1"/>
  <c r="U734" i="1"/>
  <c r="V734" i="1"/>
  <c r="W734" i="1"/>
  <c r="T718" i="1"/>
  <c r="U718" i="1"/>
  <c r="V718" i="1"/>
  <c r="W718" i="1"/>
  <c r="W966" i="1"/>
  <c r="X965" i="1"/>
  <c r="T963" i="1"/>
  <c r="W961" i="1"/>
  <c r="T958" i="1"/>
  <c r="W955" i="1"/>
  <c r="U953" i="1"/>
  <c r="X953" i="1" s="1"/>
  <c r="W950" i="1"/>
  <c r="T947" i="1"/>
  <c r="W945" i="1"/>
  <c r="T942" i="1"/>
  <c r="W939" i="1"/>
  <c r="W934" i="1"/>
  <c r="W929" i="1"/>
  <c r="W923" i="1"/>
  <c r="W918" i="1"/>
  <c r="W913" i="1"/>
  <c r="W907" i="1"/>
  <c r="W902" i="1"/>
  <c r="W897" i="1"/>
  <c r="W891" i="1"/>
  <c r="W886" i="1"/>
  <c r="W881" i="1"/>
  <c r="W875" i="1"/>
  <c r="W870" i="1"/>
  <c r="W865" i="1"/>
  <c r="W859" i="1"/>
  <c r="W854" i="1"/>
  <c r="W849" i="1"/>
  <c r="X849" i="1" s="1"/>
  <c r="W843" i="1"/>
  <c r="W838" i="1"/>
  <c r="W833" i="1"/>
  <c r="W827" i="1"/>
  <c r="U823" i="1"/>
  <c r="X823" i="1" s="1"/>
  <c r="V823" i="1"/>
  <c r="T810" i="1"/>
  <c r="U810" i="1"/>
  <c r="U807" i="1"/>
  <c r="X807" i="1" s="1"/>
  <c r="V807" i="1"/>
  <c r="X805" i="1"/>
  <c r="Y805" i="1" s="1"/>
  <c r="T794" i="1"/>
  <c r="U794" i="1"/>
  <c r="U791" i="1"/>
  <c r="X791" i="1" s="1"/>
  <c r="V791" i="1"/>
  <c r="T778" i="1"/>
  <c r="U778" i="1"/>
  <c r="U775" i="1"/>
  <c r="V775" i="1"/>
  <c r="X773" i="1"/>
  <c r="Y773" i="1" s="1"/>
  <c r="X765" i="1"/>
  <c r="Y765" i="1" s="1"/>
  <c r="X761" i="1"/>
  <c r="T746" i="1"/>
  <c r="U746" i="1"/>
  <c r="V746" i="1"/>
  <c r="W746" i="1"/>
  <c r="T730" i="1"/>
  <c r="U730" i="1"/>
  <c r="V730" i="1"/>
  <c r="W730" i="1"/>
  <c r="T714" i="1"/>
  <c r="U714" i="1"/>
  <c r="V714" i="1"/>
  <c r="W714" i="1"/>
  <c r="T758" i="1"/>
  <c r="U758" i="1"/>
  <c r="U755" i="1"/>
  <c r="X755" i="1" s="1"/>
  <c r="V755" i="1"/>
  <c r="V662" i="1"/>
  <c r="T662" i="1"/>
  <c r="U662" i="1"/>
  <c r="W662" i="1"/>
  <c r="V602" i="1"/>
  <c r="U602" i="1"/>
  <c r="W602" i="1"/>
  <c r="T602" i="1"/>
  <c r="U597" i="1"/>
  <c r="V597" i="1"/>
  <c r="W597" i="1"/>
  <c r="T597" i="1"/>
  <c r="T556" i="1"/>
  <c r="U556" i="1"/>
  <c r="V556" i="1"/>
  <c r="W556" i="1"/>
  <c r="U529" i="1"/>
  <c r="T529" i="1"/>
  <c r="V529" i="1"/>
  <c r="W529" i="1"/>
  <c r="V474" i="1"/>
  <c r="U474" i="1"/>
  <c r="W474" i="1"/>
  <c r="T474" i="1"/>
  <c r="U469" i="1"/>
  <c r="V469" i="1"/>
  <c r="W469" i="1"/>
  <c r="T469" i="1"/>
  <c r="T428" i="1"/>
  <c r="U428" i="1"/>
  <c r="V428" i="1"/>
  <c r="W428" i="1"/>
  <c r="U401" i="1"/>
  <c r="T401" i="1"/>
  <c r="V401" i="1"/>
  <c r="W401" i="1"/>
  <c r="V398" i="1"/>
  <c r="W398" i="1"/>
  <c r="U398" i="1"/>
  <c r="T398" i="1"/>
  <c r="U374" i="1"/>
  <c r="T374" i="1"/>
  <c r="W374" i="1"/>
  <c r="V374" i="1"/>
  <c r="U246" i="1"/>
  <c r="T246" i="1"/>
  <c r="W246" i="1"/>
  <c r="V246" i="1"/>
  <c r="T30" i="1"/>
  <c r="U30" i="1"/>
  <c r="V30" i="1"/>
  <c r="W30" i="1"/>
  <c r="T706" i="1"/>
  <c r="U706" i="1"/>
  <c r="V706" i="1"/>
  <c r="T702" i="1"/>
  <c r="U702" i="1"/>
  <c r="V702" i="1"/>
  <c r="T698" i="1"/>
  <c r="U698" i="1"/>
  <c r="V698" i="1"/>
  <c r="T694" i="1"/>
  <c r="U694" i="1"/>
  <c r="V694" i="1"/>
  <c r="T690" i="1"/>
  <c r="U690" i="1"/>
  <c r="V690" i="1"/>
  <c r="T686" i="1"/>
  <c r="U686" i="1"/>
  <c r="V686" i="1"/>
  <c r="T682" i="1"/>
  <c r="U682" i="1"/>
  <c r="V682" i="1"/>
  <c r="T678" i="1"/>
  <c r="U678" i="1"/>
  <c r="V678" i="1"/>
  <c r="T674" i="1"/>
  <c r="U674" i="1"/>
  <c r="V674" i="1"/>
  <c r="T670" i="1"/>
  <c r="U670" i="1"/>
  <c r="V670" i="1"/>
  <c r="T666" i="1"/>
  <c r="U666" i="1"/>
  <c r="V666" i="1"/>
  <c r="U657" i="1"/>
  <c r="T657" i="1"/>
  <c r="V657" i="1"/>
  <c r="W657" i="1"/>
  <c r="V646" i="1"/>
  <c r="T646" i="1"/>
  <c r="U646" i="1"/>
  <c r="W646" i="1"/>
  <c r="U638" i="1"/>
  <c r="V638" i="1"/>
  <c r="T638" i="1"/>
  <c r="W638" i="1"/>
  <c r="T588" i="1"/>
  <c r="U588" i="1"/>
  <c r="V588" i="1"/>
  <c r="W588" i="1"/>
  <c r="U561" i="1"/>
  <c r="T561" i="1"/>
  <c r="V561" i="1"/>
  <c r="W561" i="1"/>
  <c r="V506" i="1"/>
  <c r="U506" i="1"/>
  <c r="W506" i="1"/>
  <c r="T506" i="1"/>
  <c r="U501" i="1"/>
  <c r="V501" i="1"/>
  <c r="W501" i="1"/>
  <c r="T501" i="1"/>
  <c r="T460" i="1"/>
  <c r="U460" i="1"/>
  <c r="V460" i="1"/>
  <c r="W460" i="1"/>
  <c r="U433" i="1"/>
  <c r="T433" i="1"/>
  <c r="V433" i="1"/>
  <c r="W433" i="1"/>
  <c r="U377" i="1"/>
  <c r="V377" i="1"/>
  <c r="W377" i="1"/>
  <c r="T377" i="1"/>
  <c r="T652" i="1"/>
  <c r="U652" i="1"/>
  <c r="V652" i="1"/>
  <c r="W652" i="1"/>
  <c r="U641" i="1"/>
  <c r="T641" i="1"/>
  <c r="V641" i="1"/>
  <c r="W641" i="1"/>
  <c r="T620" i="1"/>
  <c r="U620" i="1"/>
  <c r="V620" i="1"/>
  <c r="W620" i="1"/>
  <c r="U593" i="1"/>
  <c r="T593" i="1"/>
  <c r="V593" i="1"/>
  <c r="W593" i="1"/>
  <c r="V538" i="1"/>
  <c r="U538" i="1"/>
  <c r="W538" i="1"/>
  <c r="T538" i="1"/>
  <c r="U533" i="1"/>
  <c r="V533" i="1"/>
  <c r="W533" i="1"/>
  <c r="T533" i="1"/>
  <c r="T492" i="1"/>
  <c r="U492" i="1"/>
  <c r="V492" i="1"/>
  <c r="W492" i="1"/>
  <c r="U465" i="1"/>
  <c r="T465" i="1"/>
  <c r="V465" i="1"/>
  <c r="W465" i="1"/>
  <c r="V410" i="1"/>
  <c r="U410" i="1"/>
  <c r="W410" i="1"/>
  <c r="T410" i="1"/>
  <c r="U405" i="1"/>
  <c r="V405" i="1"/>
  <c r="W405" i="1"/>
  <c r="T405" i="1"/>
  <c r="U310" i="1"/>
  <c r="T310" i="1"/>
  <c r="W310" i="1"/>
  <c r="V310" i="1"/>
  <c r="T100" i="1"/>
  <c r="U100" i="1"/>
  <c r="W100" i="1"/>
  <c r="V100" i="1"/>
  <c r="Y725" i="1"/>
  <c r="T625" i="1"/>
  <c r="U625" i="1"/>
  <c r="V625" i="1"/>
  <c r="W625" i="1"/>
  <c r="V570" i="1"/>
  <c r="U570" i="1"/>
  <c r="W570" i="1"/>
  <c r="T570" i="1"/>
  <c r="U565" i="1"/>
  <c r="V565" i="1"/>
  <c r="W565" i="1"/>
  <c r="T565" i="1"/>
  <c r="T524" i="1"/>
  <c r="U524" i="1"/>
  <c r="V524" i="1"/>
  <c r="W524" i="1"/>
  <c r="U497" i="1"/>
  <c r="T497" i="1"/>
  <c r="V497" i="1"/>
  <c r="W497" i="1"/>
  <c r="V442" i="1"/>
  <c r="U442" i="1"/>
  <c r="W442" i="1"/>
  <c r="T442" i="1"/>
  <c r="U437" i="1"/>
  <c r="V437" i="1"/>
  <c r="W437" i="1"/>
  <c r="T437" i="1"/>
  <c r="T172" i="1"/>
  <c r="U172" i="1"/>
  <c r="W172" i="1"/>
  <c r="V172" i="1"/>
  <c r="X640" i="1"/>
  <c r="T629" i="1"/>
  <c r="U629" i="1"/>
  <c r="U626" i="1"/>
  <c r="V626" i="1"/>
  <c r="T608" i="1"/>
  <c r="V608" i="1"/>
  <c r="W608" i="1"/>
  <c r="V598" i="1"/>
  <c r="T598" i="1"/>
  <c r="U598" i="1"/>
  <c r="X590" i="1"/>
  <c r="Y590" i="1" s="1"/>
  <c r="T576" i="1"/>
  <c r="V576" i="1"/>
  <c r="W576" i="1"/>
  <c r="V566" i="1"/>
  <c r="T566" i="1"/>
  <c r="U566" i="1"/>
  <c r="X558" i="1"/>
  <c r="T544" i="1"/>
  <c r="V544" i="1"/>
  <c r="W544" i="1"/>
  <c r="V534" i="1"/>
  <c r="T534" i="1"/>
  <c r="U534" i="1"/>
  <c r="T512" i="1"/>
  <c r="V512" i="1"/>
  <c r="W512" i="1"/>
  <c r="V502" i="1"/>
  <c r="T502" i="1"/>
  <c r="U502" i="1"/>
  <c r="T480" i="1"/>
  <c r="V480" i="1"/>
  <c r="W480" i="1"/>
  <c r="V470" i="1"/>
  <c r="T470" i="1"/>
  <c r="U470" i="1"/>
  <c r="X462" i="1"/>
  <c r="Y462" i="1" s="1"/>
  <c r="T448" i="1"/>
  <c r="V448" i="1"/>
  <c r="W448" i="1"/>
  <c r="V438" i="1"/>
  <c r="T438" i="1"/>
  <c r="U438" i="1"/>
  <c r="T416" i="1"/>
  <c r="V416" i="1"/>
  <c r="W416" i="1"/>
  <c r="V406" i="1"/>
  <c r="T406" i="1"/>
  <c r="U406" i="1"/>
  <c r="T353" i="1"/>
  <c r="U353" i="1"/>
  <c r="W353" i="1"/>
  <c r="T345" i="1"/>
  <c r="W345" i="1"/>
  <c r="U345" i="1"/>
  <c r="V345" i="1"/>
  <c r="T329" i="1"/>
  <c r="W329" i="1"/>
  <c r="V329" i="1"/>
  <c r="U329" i="1"/>
  <c r="U326" i="1"/>
  <c r="T326" i="1"/>
  <c r="V326" i="1"/>
  <c r="W326" i="1"/>
  <c r="T289" i="1"/>
  <c r="U289" i="1"/>
  <c r="W289" i="1"/>
  <c r="T281" i="1"/>
  <c r="W281" i="1"/>
  <c r="U281" i="1"/>
  <c r="V281" i="1"/>
  <c r="T265" i="1"/>
  <c r="W265" i="1"/>
  <c r="V265" i="1"/>
  <c r="U265" i="1"/>
  <c r="U262" i="1"/>
  <c r="T262" i="1"/>
  <c r="V262" i="1"/>
  <c r="W262" i="1"/>
  <c r="T225" i="1"/>
  <c r="U225" i="1"/>
  <c r="W225" i="1"/>
  <c r="T124" i="1"/>
  <c r="U124" i="1"/>
  <c r="V124" i="1"/>
  <c r="W124" i="1"/>
  <c r="T51" i="1"/>
  <c r="V51" i="1"/>
  <c r="U51" i="1"/>
  <c r="W51" i="1"/>
  <c r="V747" i="1"/>
  <c r="V743" i="1"/>
  <c r="V739" i="1"/>
  <c r="Y739" i="1" s="1"/>
  <c r="V735" i="1"/>
  <c r="V731" i="1"/>
  <c r="V727" i="1"/>
  <c r="V723" i="1"/>
  <c r="V719" i="1"/>
  <c r="V715" i="1"/>
  <c r="V711" i="1"/>
  <c r="V707" i="1"/>
  <c r="Y707" i="1" s="1"/>
  <c r="V703" i="1"/>
  <c r="V699" i="1"/>
  <c r="V695" i="1"/>
  <c r="V691" i="1"/>
  <c r="V687" i="1"/>
  <c r="V683" i="1"/>
  <c r="V679" i="1"/>
  <c r="V675" i="1"/>
  <c r="V671" i="1"/>
  <c r="V667" i="1"/>
  <c r="Y667" i="1" s="1"/>
  <c r="U664" i="1"/>
  <c r="X664" i="1" s="1"/>
  <c r="Y664" i="1" s="1"/>
  <c r="W661" i="1"/>
  <c r="X661" i="1" s="1"/>
  <c r="T658" i="1"/>
  <c r="X658" i="1" s="1"/>
  <c r="W656" i="1"/>
  <c r="X656" i="1" s="1"/>
  <c r="T653" i="1"/>
  <c r="X653" i="1" s="1"/>
  <c r="Y653" i="1" s="1"/>
  <c r="W650" i="1"/>
  <c r="U648" i="1"/>
  <c r="X648" i="1" s="1"/>
  <c r="Y648" i="1" s="1"/>
  <c r="W645" i="1"/>
  <c r="X645" i="1" s="1"/>
  <c r="X644" i="1"/>
  <c r="Y644" i="1" s="1"/>
  <c r="T642" i="1"/>
  <c r="T633" i="1"/>
  <c r="U633" i="1"/>
  <c r="U630" i="1"/>
  <c r="X630" i="1" s="1"/>
  <c r="V630" i="1"/>
  <c r="V618" i="1"/>
  <c r="U618" i="1"/>
  <c r="W618" i="1"/>
  <c r="U613" i="1"/>
  <c r="V613" i="1"/>
  <c r="W613" i="1"/>
  <c r="U609" i="1"/>
  <c r="T609" i="1"/>
  <c r="V609" i="1"/>
  <c r="T604" i="1"/>
  <c r="U604" i="1"/>
  <c r="V604" i="1"/>
  <c r="V586" i="1"/>
  <c r="U586" i="1"/>
  <c r="W586" i="1"/>
  <c r="U581" i="1"/>
  <c r="V581" i="1"/>
  <c r="W581" i="1"/>
  <c r="U577" i="1"/>
  <c r="T577" i="1"/>
  <c r="V577" i="1"/>
  <c r="T572" i="1"/>
  <c r="U572" i="1"/>
  <c r="V572" i="1"/>
  <c r="V554" i="1"/>
  <c r="U554" i="1"/>
  <c r="W554" i="1"/>
  <c r="U549" i="1"/>
  <c r="V549" i="1"/>
  <c r="W549" i="1"/>
  <c r="U545" i="1"/>
  <c r="T545" i="1"/>
  <c r="V545" i="1"/>
  <c r="T540" i="1"/>
  <c r="U540" i="1"/>
  <c r="V540" i="1"/>
  <c r="V522" i="1"/>
  <c r="U522" i="1"/>
  <c r="W522" i="1"/>
  <c r="U517" i="1"/>
  <c r="V517" i="1"/>
  <c r="W517" i="1"/>
  <c r="U513" i="1"/>
  <c r="T513" i="1"/>
  <c r="V513" i="1"/>
  <c r="T508" i="1"/>
  <c r="U508" i="1"/>
  <c r="V508" i="1"/>
  <c r="Y505" i="1"/>
  <c r="V490" i="1"/>
  <c r="U490" i="1"/>
  <c r="W490" i="1"/>
  <c r="U485" i="1"/>
  <c r="V485" i="1"/>
  <c r="W485" i="1"/>
  <c r="U481" i="1"/>
  <c r="T481" i="1"/>
  <c r="V481" i="1"/>
  <c r="T476" i="1"/>
  <c r="U476" i="1"/>
  <c r="V476" i="1"/>
  <c r="V458" i="1"/>
  <c r="U458" i="1"/>
  <c r="W458" i="1"/>
  <c r="U453" i="1"/>
  <c r="V453" i="1"/>
  <c r="W453" i="1"/>
  <c r="U449" i="1"/>
  <c r="T449" i="1"/>
  <c r="V449" i="1"/>
  <c r="T444" i="1"/>
  <c r="U444" i="1"/>
  <c r="V444" i="1"/>
  <c r="V426" i="1"/>
  <c r="U426" i="1"/>
  <c r="W426" i="1"/>
  <c r="U421" i="1"/>
  <c r="V421" i="1"/>
  <c r="W421" i="1"/>
  <c r="U417" i="1"/>
  <c r="T417" i="1"/>
  <c r="V417" i="1"/>
  <c r="T412" i="1"/>
  <c r="U412" i="1"/>
  <c r="V412" i="1"/>
  <c r="T396" i="1"/>
  <c r="U396" i="1"/>
  <c r="W396" i="1"/>
  <c r="V394" i="1"/>
  <c r="T394" i="1"/>
  <c r="U394" i="1"/>
  <c r="W394" i="1"/>
  <c r="V382" i="1"/>
  <c r="U382" i="1"/>
  <c r="W382" i="1"/>
  <c r="T369" i="1"/>
  <c r="U369" i="1"/>
  <c r="V369" i="1"/>
  <c r="W369" i="1"/>
  <c r="V347" i="1"/>
  <c r="T347" i="1"/>
  <c r="U347" i="1"/>
  <c r="W347" i="1"/>
  <c r="V331" i="1"/>
  <c r="T331" i="1"/>
  <c r="W331" i="1"/>
  <c r="U331" i="1"/>
  <c r="T305" i="1"/>
  <c r="U305" i="1"/>
  <c r="V305" i="1"/>
  <c r="W305" i="1"/>
  <c r="V283" i="1"/>
  <c r="T283" i="1"/>
  <c r="U283" i="1"/>
  <c r="W283" i="1"/>
  <c r="V267" i="1"/>
  <c r="T267" i="1"/>
  <c r="W267" i="1"/>
  <c r="U267" i="1"/>
  <c r="T241" i="1"/>
  <c r="U241" i="1"/>
  <c r="V241" i="1"/>
  <c r="W241" i="1"/>
  <c r="T208" i="1"/>
  <c r="V208" i="1"/>
  <c r="U208" i="1"/>
  <c r="W208" i="1"/>
  <c r="U165" i="1"/>
  <c r="V165" i="1"/>
  <c r="T165" i="1"/>
  <c r="W165" i="1"/>
  <c r="T84" i="1"/>
  <c r="U84" i="1"/>
  <c r="V84" i="1"/>
  <c r="W84" i="1"/>
  <c r="T55" i="1"/>
  <c r="V55" i="1"/>
  <c r="W55" i="1"/>
  <c r="U55" i="1"/>
  <c r="V661" i="1"/>
  <c r="V656" i="1"/>
  <c r="U650" i="1"/>
  <c r="V645" i="1"/>
  <c r="T637" i="1"/>
  <c r="U637" i="1"/>
  <c r="U634" i="1"/>
  <c r="X634" i="1" s="1"/>
  <c r="V634" i="1"/>
  <c r="W629" i="1"/>
  <c r="W626" i="1"/>
  <c r="T624" i="1"/>
  <c r="V624" i="1"/>
  <c r="W624" i="1"/>
  <c r="V614" i="1"/>
  <c r="T614" i="1"/>
  <c r="U614" i="1"/>
  <c r="T592" i="1"/>
  <c r="V592" i="1"/>
  <c r="W592" i="1"/>
  <c r="V582" i="1"/>
  <c r="T582" i="1"/>
  <c r="U582" i="1"/>
  <c r="T560" i="1"/>
  <c r="V560" i="1"/>
  <c r="W560" i="1"/>
  <c r="V550" i="1"/>
  <c r="T550" i="1"/>
  <c r="U550" i="1"/>
  <c r="T528" i="1"/>
  <c r="V528" i="1"/>
  <c r="W528" i="1"/>
  <c r="V518" i="1"/>
  <c r="T518" i="1"/>
  <c r="U518" i="1"/>
  <c r="T496" i="1"/>
  <c r="V496" i="1"/>
  <c r="W496" i="1"/>
  <c r="V486" i="1"/>
  <c r="T486" i="1"/>
  <c r="U486" i="1"/>
  <c r="T464" i="1"/>
  <c r="V464" i="1"/>
  <c r="W464" i="1"/>
  <c r="V454" i="1"/>
  <c r="T454" i="1"/>
  <c r="U454" i="1"/>
  <c r="T432" i="1"/>
  <c r="V432" i="1"/>
  <c r="W432" i="1"/>
  <c r="V422" i="1"/>
  <c r="T422" i="1"/>
  <c r="U422" i="1"/>
  <c r="T400" i="1"/>
  <c r="V400" i="1"/>
  <c r="W400" i="1"/>
  <c r="U366" i="1"/>
  <c r="W366" i="1"/>
  <c r="T366" i="1"/>
  <c r="V366" i="1"/>
  <c r="U350" i="1"/>
  <c r="W350" i="1"/>
  <c r="V350" i="1"/>
  <c r="T350" i="1"/>
  <c r="U302" i="1"/>
  <c r="W302" i="1"/>
  <c r="T302" i="1"/>
  <c r="V302" i="1"/>
  <c r="U286" i="1"/>
  <c r="W286" i="1"/>
  <c r="V286" i="1"/>
  <c r="T286" i="1"/>
  <c r="U238" i="1"/>
  <c r="W238" i="1"/>
  <c r="T238" i="1"/>
  <c r="V238" i="1"/>
  <c r="T192" i="1"/>
  <c r="V192" i="1"/>
  <c r="W192" i="1"/>
  <c r="U192" i="1"/>
  <c r="T621" i="1"/>
  <c r="X621" i="1" s="1"/>
  <c r="U616" i="1"/>
  <c r="X616" i="1" s="1"/>
  <c r="Y616" i="1" s="1"/>
  <c r="X612" i="1"/>
  <c r="Y612" i="1" s="1"/>
  <c r="T610" i="1"/>
  <c r="X610" i="1" s="1"/>
  <c r="Y610" i="1" s="1"/>
  <c r="T605" i="1"/>
  <c r="X605" i="1" s="1"/>
  <c r="U600" i="1"/>
  <c r="X600" i="1" s="1"/>
  <c r="Y600" i="1" s="1"/>
  <c r="T594" i="1"/>
  <c r="T589" i="1"/>
  <c r="U584" i="1"/>
  <c r="X584" i="1" s="1"/>
  <c r="Y584" i="1" s="1"/>
  <c r="T578" i="1"/>
  <c r="T573" i="1"/>
  <c r="X573" i="1" s="1"/>
  <c r="Y573" i="1" s="1"/>
  <c r="U568" i="1"/>
  <c r="X568" i="1" s="1"/>
  <c r="Y568" i="1" s="1"/>
  <c r="X564" i="1"/>
  <c r="Y564" i="1" s="1"/>
  <c r="T562" i="1"/>
  <c r="X562" i="1" s="1"/>
  <c r="Y562" i="1" s="1"/>
  <c r="T557" i="1"/>
  <c r="X557" i="1" s="1"/>
  <c r="Y557" i="1" s="1"/>
  <c r="U552" i="1"/>
  <c r="X552" i="1" s="1"/>
  <c r="X548" i="1"/>
  <c r="T546" i="1"/>
  <c r="X546" i="1" s="1"/>
  <c r="Y546" i="1" s="1"/>
  <c r="T541" i="1"/>
  <c r="X541" i="1" s="1"/>
  <c r="Y541" i="1" s="1"/>
  <c r="U536" i="1"/>
  <c r="X536" i="1" s="1"/>
  <c r="Y536" i="1" s="1"/>
  <c r="T530" i="1"/>
  <c r="T525" i="1"/>
  <c r="X525" i="1" s="1"/>
  <c r="Y525" i="1" s="1"/>
  <c r="U520" i="1"/>
  <c r="X520" i="1" s="1"/>
  <c r="Y520" i="1" s="1"/>
  <c r="X516" i="1"/>
  <c r="T514" i="1"/>
  <c r="X514" i="1" s="1"/>
  <c r="Y514" i="1" s="1"/>
  <c r="T509" i="1"/>
  <c r="X509" i="1" s="1"/>
  <c r="U504" i="1"/>
  <c r="X504" i="1" s="1"/>
  <c r="Y504" i="1" s="1"/>
  <c r="X500" i="1"/>
  <c r="Y500" i="1" s="1"/>
  <c r="T498" i="1"/>
  <c r="T493" i="1"/>
  <c r="X493" i="1" s="1"/>
  <c r="Y493" i="1" s="1"/>
  <c r="U488" i="1"/>
  <c r="X488" i="1" s="1"/>
  <c r="Y488" i="1" s="1"/>
  <c r="X484" i="1"/>
  <c r="Y484" i="1" s="1"/>
  <c r="T482" i="1"/>
  <c r="X482" i="1" s="1"/>
  <c r="Y482" i="1" s="1"/>
  <c r="T477" i="1"/>
  <c r="U472" i="1"/>
  <c r="X468" i="1"/>
  <c r="Y468" i="1" s="1"/>
  <c r="T466" i="1"/>
  <c r="X466" i="1" s="1"/>
  <c r="Y466" i="1" s="1"/>
  <c r="T461" i="1"/>
  <c r="U456" i="1"/>
  <c r="X456" i="1" s="1"/>
  <c r="Y456" i="1" s="1"/>
  <c r="X452" i="1"/>
  <c r="Y452" i="1" s="1"/>
  <c r="T450" i="1"/>
  <c r="X450" i="1" s="1"/>
  <c r="Y450" i="1" s="1"/>
  <c r="T445" i="1"/>
  <c r="X445" i="1" s="1"/>
  <c r="U440" i="1"/>
  <c r="X440" i="1" s="1"/>
  <c r="Y440" i="1" s="1"/>
  <c r="X436" i="1"/>
  <c r="Y436" i="1" s="1"/>
  <c r="T434" i="1"/>
  <c r="X434" i="1" s="1"/>
  <c r="Y434" i="1" s="1"/>
  <c r="T429" i="1"/>
  <c r="X429" i="1" s="1"/>
  <c r="Y429" i="1" s="1"/>
  <c r="U424" i="1"/>
  <c r="X424" i="1" s="1"/>
  <c r="Y424" i="1" s="1"/>
  <c r="X420" i="1"/>
  <c r="Y420" i="1" s="1"/>
  <c r="T418" i="1"/>
  <c r="T413" i="1"/>
  <c r="X413" i="1" s="1"/>
  <c r="Y413" i="1" s="1"/>
  <c r="U408" i="1"/>
  <c r="X408" i="1" s="1"/>
  <c r="Y408" i="1" s="1"/>
  <c r="T402" i="1"/>
  <c r="X402" i="1" s="1"/>
  <c r="Y402" i="1" s="1"/>
  <c r="T388" i="1"/>
  <c r="V388" i="1"/>
  <c r="W388" i="1"/>
  <c r="V378" i="1"/>
  <c r="T378" i="1"/>
  <c r="U378" i="1"/>
  <c r="V367" i="1"/>
  <c r="U367" i="1"/>
  <c r="T367" i="1"/>
  <c r="W367" i="1"/>
  <c r="V351" i="1"/>
  <c r="U351" i="1"/>
  <c r="W351" i="1"/>
  <c r="U346" i="1"/>
  <c r="V346" i="1"/>
  <c r="T346" i="1"/>
  <c r="W346" i="1"/>
  <c r="U330" i="1"/>
  <c r="V330" i="1"/>
  <c r="W330" i="1"/>
  <c r="V303" i="1"/>
  <c r="U303" i="1"/>
  <c r="T303" i="1"/>
  <c r="W303" i="1"/>
  <c r="V287" i="1"/>
  <c r="U287" i="1"/>
  <c r="W287" i="1"/>
  <c r="U282" i="1"/>
  <c r="V282" i="1"/>
  <c r="T282" i="1"/>
  <c r="W282" i="1"/>
  <c r="U266" i="1"/>
  <c r="V266" i="1"/>
  <c r="W266" i="1"/>
  <c r="V239" i="1"/>
  <c r="U239" i="1"/>
  <c r="T239" i="1"/>
  <c r="W239" i="1"/>
  <c r="U185" i="1"/>
  <c r="W185" i="1"/>
  <c r="T185" i="1"/>
  <c r="V185" i="1"/>
  <c r="T148" i="1"/>
  <c r="W148" i="1"/>
  <c r="V148" i="1"/>
  <c r="U148" i="1"/>
  <c r="U145" i="1"/>
  <c r="T145" i="1"/>
  <c r="V145" i="1"/>
  <c r="W145" i="1"/>
  <c r="T92" i="1"/>
  <c r="W92" i="1"/>
  <c r="U92" i="1"/>
  <c r="Y397" i="1"/>
  <c r="U393" i="1"/>
  <c r="V393" i="1"/>
  <c r="W393" i="1"/>
  <c r="U12" i="1"/>
  <c r="T12" i="1"/>
  <c r="V12" i="1"/>
  <c r="T384" i="1"/>
  <c r="U384" i="1"/>
  <c r="V384" i="1"/>
  <c r="Y381" i="1"/>
  <c r="T373" i="1"/>
  <c r="V373" i="1"/>
  <c r="W373" i="1"/>
  <c r="V371" i="1"/>
  <c r="W371" i="1"/>
  <c r="T371" i="1"/>
  <c r="U371" i="1"/>
  <c r="V355" i="1"/>
  <c r="W355" i="1"/>
  <c r="U355" i="1"/>
  <c r="T325" i="1"/>
  <c r="V325" i="1"/>
  <c r="U325" i="1"/>
  <c r="W325" i="1"/>
  <c r="T309" i="1"/>
  <c r="X309" i="1" s="1"/>
  <c r="V309" i="1"/>
  <c r="W309" i="1"/>
  <c r="V307" i="1"/>
  <c r="W307" i="1"/>
  <c r="T307" i="1"/>
  <c r="U307" i="1"/>
  <c r="V291" i="1"/>
  <c r="W291" i="1"/>
  <c r="U291" i="1"/>
  <c r="T261" i="1"/>
  <c r="V261" i="1"/>
  <c r="U261" i="1"/>
  <c r="W261" i="1"/>
  <c r="T245" i="1"/>
  <c r="V245" i="1"/>
  <c r="W245" i="1"/>
  <c r="V243" i="1"/>
  <c r="W243" i="1"/>
  <c r="T243" i="1"/>
  <c r="U243" i="1"/>
  <c r="V227" i="1"/>
  <c r="W227" i="1"/>
  <c r="U227" i="1"/>
  <c r="V10" i="1"/>
  <c r="T10" i="1"/>
  <c r="U10" i="1"/>
  <c r="W10" i="1"/>
  <c r="V190" i="1"/>
  <c r="W190" i="1"/>
  <c r="T190" i="1"/>
  <c r="U190" i="1"/>
  <c r="V170" i="1"/>
  <c r="U170" i="1"/>
  <c r="W170" i="1"/>
  <c r="V150" i="1"/>
  <c r="T150" i="1"/>
  <c r="W150" i="1"/>
  <c r="U150" i="1"/>
  <c r="U129" i="1"/>
  <c r="T129" i="1"/>
  <c r="W129" i="1"/>
  <c r="V1651" i="1"/>
  <c r="T1651" i="1"/>
  <c r="W1651" i="1"/>
  <c r="U1651" i="1"/>
  <c r="T390" i="1"/>
  <c r="X390" i="1" s="1"/>
  <c r="Y390" i="1" s="1"/>
  <c r="T385" i="1"/>
  <c r="X385" i="1" s="1"/>
  <c r="Y385" i="1" s="1"/>
  <c r="U380" i="1"/>
  <c r="X380" i="1" s="1"/>
  <c r="Y380" i="1" s="1"/>
  <c r="X376" i="1"/>
  <c r="Y376" i="1" s="1"/>
  <c r="Y360" i="1"/>
  <c r="U358" i="1"/>
  <c r="T358" i="1"/>
  <c r="T357" i="1"/>
  <c r="X357" i="1" s="1"/>
  <c r="V357" i="1"/>
  <c r="V339" i="1"/>
  <c r="W339" i="1"/>
  <c r="X339" i="1" s="1"/>
  <c r="T337" i="1"/>
  <c r="U337" i="1"/>
  <c r="V335" i="1"/>
  <c r="U335" i="1"/>
  <c r="X335" i="1" s="1"/>
  <c r="U334" i="1"/>
  <c r="W334" i="1"/>
  <c r="X322" i="1"/>
  <c r="Y322" i="1" s="1"/>
  <c r="V315" i="1"/>
  <c r="T315" i="1"/>
  <c r="X315" i="1" s="1"/>
  <c r="U314" i="1"/>
  <c r="X314" i="1" s="1"/>
  <c r="V314" i="1"/>
  <c r="T21" i="1"/>
  <c r="W21" i="1"/>
  <c r="U294" i="1"/>
  <c r="T294" i="1"/>
  <c r="T293" i="1"/>
  <c r="V293" i="1"/>
  <c r="X279" i="1"/>
  <c r="Y279" i="1" s="1"/>
  <c r="V275" i="1"/>
  <c r="W275" i="1"/>
  <c r="X275" i="1" s="1"/>
  <c r="T273" i="1"/>
  <c r="U273" i="1"/>
  <c r="V271" i="1"/>
  <c r="U271" i="1"/>
  <c r="X271" i="1" s="1"/>
  <c r="U270" i="1"/>
  <c r="W270" i="1"/>
  <c r="X258" i="1"/>
  <c r="Y258" i="1" s="1"/>
  <c r="V251" i="1"/>
  <c r="T251" i="1"/>
  <c r="X251" i="1" s="1"/>
  <c r="U250" i="1"/>
  <c r="X250" i="1" s="1"/>
  <c r="V250" i="1"/>
  <c r="T249" i="1"/>
  <c r="W249" i="1"/>
  <c r="Y232" i="1"/>
  <c r="U230" i="1"/>
  <c r="T230" i="1"/>
  <c r="T229" i="1"/>
  <c r="X229" i="1" s="1"/>
  <c r="V229" i="1"/>
  <c r="T213" i="1"/>
  <c r="V213" i="1"/>
  <c r="W213" i="1"/>
  <c r="T209" i="1"/>
  <c r="U209" i="1"/>
  <c r="V209" i="1"/>
  <c r="U193" i="1"/>
  <c r="T193" i="1"/>
  <c r="W193" i="1"/>
  <c r="T188" i="1"/>
  <c r="U188" i="1"/>
  <c r="V188" i="1"/>
  <c r="W188" i="1"/>
  <c r="V166" i="1"/>
  <c r="T166" i="1"/>
  <c r="U166" i="1"/>
  <c r="W166" i="1"/>
  <c r="T164" i="1"/>
  <c r="W164" i="1"/>
  <c r="U164" i="1"/>
  <c r="V164" i="1"/>
  <c r="U149" i="1"/>
  <c r="V149" i="1"/>
  <c r="W149" i="1"/>
  <c r="V122" i="1"/>
  <c r="U122" i="1"/>
  <c r="T122" i="1"/>
  <c r="W122" i="1"/>
  <c r="U113" i="1"/>
  <c r="W113" i="1"/>
  <c r="T113" i="1"/>
  <c r="T104" i="1"/>
  <c r="V104" i="1"/>
  <c r="W104" i="1"/>
  <c r="V81" i="1"/>
  <c r="T81" i="1"/>
  <c r="W81" i="1"/>
  <c r="U81" i="1"/>
  <c r="V54" i="1"/>
  <c r="T54" i="1"/>
  <c r="W54" i="1"/>
  <c r="U54" i="1"/>
  <c r="T32" i="1"/>
  <c r="U32" i="1"/>
  <c r="V32" i="1"/>
  <c r="W32" i="1"/>
  <c r="V363" i="1"/>
  <c r="T363" i="1"/>
  <c r="U362" i="1"/>
  <c r="X362" i="1" s="1"/>
  <c r="V362" i="1"/>
  <c r="T361" i="1"/>
  <c r="W361" i="1"/>
  <c r="Y354" i="1"/>
  <c r="U342" i="1"/>
  <c r="T342" i="1"/>
  <c r="T341" i="1"/>
  <c r="X341" i="1" s="1"/>
  <c r="V341" i="1"/>
  <c r="X327" i="1"/>
  <c r="Y327" i="1" s="1"/>
  <c r="V323" i="1"/>
  <c r="W323" i="1"/>
  <c r="X323" i="1" s="1"/>
  <c r="T321" i="1"/>
  <c r="U321" i="1"/>
  <c r="V319" i="1"/>
  <c r="U319" i="1"/>
  <c r="X319" i="1" s="1"/>
  <c r="U318" i="1"/>
  <c r="W318" i="1"/>
  <c r="V299" i="1"/>
  <c r="T299" i="1"/>
  <c r="X299" i="1" s="1"/>
  <c r="U298" i="1"/>
  <c r="X298" i="1" s="1"/>
  <c r="V298" i="1"/>
  <c r="T297" i="1"/>
  <c r="W297" i="1"/>
  <c r="Y290" i="1"/>
  <c r="U278" i="1"/>
  <c r="T278" i="1"/>
  <c r="T277" i="1"/>
  <c r="X277" i="1" s="1"/>
  <c r="V277" i="1"/>
  <c r="V259" i="1"/>
  <c r="W259" i="1"/>
  <c r="X259" i="1" s="1"/>
  <c r="T257" i="1"/>
  <c r="U257" i="1"/>
  <c r="V255" i="1"/>
  <c r="U255" i="1"/>
  <c r="X255" i="1" s="1"/>
  <c r="U254" i="1"/>
  <c r="W254" i="1"/>
  <c r="X242" i="1"/>
  <c r="Y242" i="1" s="1"/>
  <c r="V235" i="1"/>
  <c r="T235" i="1"/>
  <c r="U234" i="1"/>
  <c r="X234" i="1" s="1"/>
  <c r="V234" i="1"/>
  <c r="T233" i="1"/>
  <c r="W233" i="1"/>
  <c r="Y226" i="1"/>
  <c r="V223" i="1"/>
  <c r="U223" i="1"/>
  <c r="W223" i="1"/>
  <c r="U218" i="1"/>
  <c r="V218" i="1"/>
  <c r="W218" i="1"/>
  <c r="X215" i="1"/>
  <c r="Y215" i="1" s="1"/>
  <c r="U214" i="1"/>
  <c r="T214" i="1"/>
  <c r="V214" i="1"/>
  <c r="V186" i="1"/>
  <c r="U186" i="1"/>
  <c r="T186" i="1"/>
  <c r="W186" i="1"/>
  <c r="V174" i="1"/>
  <c r="W174" i="1"/>
  <c r="U174" i="1"/>
  <c r="U169" i="1"/>
  <c r="W169" i="1"/>
  <c r="V169" i="1"/>
  <c r="T144" i="1"/>
  <c r="V144" i="1"/>
  <c r="U144" i="1"/>
  <c r="W144" i="1"/>
  <c r="T128" i="1"/>
  <c r="V128" i="1"/>
  <c r="W128" i="1"/>
  <c r="V126" i="1"/>
  <c r="W126" i="1"/>
  <c r="T126" i="1"/>
  <c r="U126" i="1"/>
  <c r="V118" i="1"/>
  <c r="W118" i="1"/>
  <c r="T118" i="1"/>
  <c r="U118" i="1"/>
  <c r="V86" i="1"/>
  <c r="W86" i="1"/>
  <c r="U86" i="1"/>
  <c r="T65" i="1"/>
  <c r="U65" i="1"/>
  <c r="V65" i="1"/>
  <c r="W65" i="1"/>
  <c r="X205" i="1"/>
  <c r="Y205" i="1" s="1"/>
  <c r="V198" i="1"/>
  <c r="T198" i="1"/>
  <c r="X198" i="1" s="1"/>
  <c r="U197" i="1"/>
  <c r="X197" i="1" s="1"/>
  <c r="V197" i="1"/>
  <c r="T196" i="1"/>
  <c r="W196" i="1"/>
  <c r="U177" i="1"/>
  <c r="T177" i="1"/>
  <c r="T176" i="1"/>
  <c r="V176" i="1"/>
  <c r="V158" i="1"/>
  <c r="W158" i="1"/>
  <c r="X158" i="1" s="1"/>
  <c r="T156" i="1"/>
  <c r="U156" i="1"/>
  <c r="V154" i="1"/>
  <c r="U154" i="1"/>
  <c r="U153" i="1"/>
  <c r="W153" i="1"/>
  <c r="X141" i="1"/>
  <c r="Y141" i="1" s="1"/>
  <c r="V134" i="1"/>
  <c r="T134" i="1"/>
  <c r="U133" i="1"/>
  <c r="X133" i="1" s="1"/>
  <c r="V133" i="1"/>
  <c r="T132" i="1"/>
  <c r="W132" i="1"/>
  <c r="T120" i="1"/>
  <c r="V120" i="1"/>
  <c r="W120" i="1"/>
  <c r="V114" i="1"/>
  <c r="U114" i="1"/>
  <c r="T114" i="1"/>
  <c r="X106" i="1"/>
  <c r="Y106" i="1" s="1"/>
  <c r="U105" i="1"/>
  <c r="T105" i="1"/>
  <c r="V102" i="1"/>
  <c r="W102" i="1"/>
  <c r="U102" i="1"/>
  <c r="U97" i="1"/>
  <c r="W97" i="1"/>
  <c r="V97" i="1"/>
  <c r="U93" i="1"/>
  <c r="V93" i="1"/>
  <c r="T93" i="1"/>
  <c r="X90" i="1"/>
  <c r="V82" i="1"/>
  <c r="U82" i="1"/>
  <c r="X82" i="1" s="1"/>
  <c r="U15" i="1"/>
  <c r="V15" i="1"/>
  <c r="W15" i="1"/>
  <c r="T15" i="1"/>
  <c r="T52" i="1"/>
  <c r="V52" i="1"/>
  <c r="W52" i="1"/>
  <c r="U52" i="1"/>
  <c r="X349" i="1"/>
  <c r="X317" i="1"/>
  <c r="Y317" i="1" s="1"/>
  <c r="X301" i="1"/>
  <c r="Y301" i="1" s="1"/>
  <c r="X285" i="1"/>
  <c r="Y285" i="1" s="1"/>
  <c r="W222" i="1"/>
  <c r="X222" i="1" s="1"/>
  <c r="X221" i="1"/>
  <c r="Y221" i="1" s="1"/>
  <c r="W217" i="1"/>
  <c r="W211" i="1"/>
  <c r="X211" i="1" s="1"/>
  <c r="Y211" i="1" s="1"/>
  <c r="V206" i="1"/>
  <c r="W206" i="1"/>
  <c r="X206" i="1" s="1"/>
  <c r="T204" i="1"/>
  <c r="U204" i="1"/>
  <c r="V202" i="1"/>
  <c r="U202" i="1"/>
  <c r="X202" i="1" s="1"/>
  <c r="U201" i="1"/>
  <c r="W201" i="1"/>
  <c r="X189" i="1"/>
  <c r="Y189" i="1" s="1"/>
  <c r="V182" i="1"/>
  <c r="T182" i="1"/>
  <c r="X182" i="1" s="1"/>
  <c r="U181" i="1"/>
  <c r="X181" i="1" s="1"/>
  <c r="V181" i="1"/>
  <c r="T180" i="1"/>
  <c r="W180" i="1"/>
  <c r="Y173" i="1"/>
  <c r="Y163" i="1"/>
  <c r="U161" i="1"/>
  <c r="T161" i="1"/>
  <c r="T160" i="1"/>
  <c r="X160" i="1" s="1"/>
  <c r="V160" i="1"/>
  <c r="X146" i="1"/>
  <c r="Y146" i="1" s="1"/>
  <c r="V142" i="1"/>
  <c r="W142" i="1"/>
  <c r="X142" i="1" s="1"/>
  <c r="T140" i="1"/>
  <c r="U140" i="1"/>
  <c r="V138" i="1"/>
  <c r="U138" i="1"/>
  <c r="X138" i="1" s="1"/>
  <c r="U137" i="1"/>
  <c r="W137" i="1"/>
  <c r="X125" i="1"/>
  <c r="Y125" i="1" s="1"/>
  <c r="U121" i="1"/>
  <c r="T121" i="1"/>
  <c r="W121" i="1"/>
  <c r="T116" i="1"/>
  <c r="U116" i="1"/>
  <c r="V116" i="1"/>
  <c r="Y107" i="1"/>
  <c r="Y103" i="1"/>
  <c r="V98" i="1"/>
  <c r="U98" i="1"/>
  <c r="W98" i="1"/>
  <c r="V94" i="1"/>
  <c r="T94" i="1"/>
  <c r="U94" i="1"/>
  <c r="T63" i="1"/>
  <c r="V63" i="1"/>
  <c r="U63" i="1"/>
  <c r="W63" i="1"/>
  <c r="T745" i="1"/>
  <c r="V745" i="1"/>
  <c r="U745" i="1"/>
  <c r="W745" i="1"/>
  <c r="T44" i="1"/>
  <c r="U44" i="1"/>
  <c r="V44" i="1"/>
  <c r="W44" i="1"/>
  <c r="X200" i="1"/>
  <c r="Y200" i="1" s="1"/>
  <c r="X184" i="1"/>
  <c r="Y184" i="1" s="1"/>
  <c r="X168" i="1"/>
  <c r="Y168" i="1" s="1"/>
  <c r="X152" i="1"/>
  <c r="Y152" i="1" s="1"/>
  <c r="X136" i="1"/>
  <c r="Y136" i="1" s="1"/>
  <c r="X117" i="1"/>
  <c r="Y117" i="1" s="1"/>
  <c r="V110" i="1"/>
  <c r="T110" i="1"/>
  <c r="X110" i="1" s="1"/>
  <c r="U109" i="1"/>
  <c r="X109" i="1" s="1"/>
  <c r="V109" i="1"/>
  <c r="T108" i="1"/>
  <c r="W108" i="1"/>
  <c r="U89" i="1"/>
  <c r="T89" i="1"/>
  <c r="T88" i="1"/>
  <c r="X88" i="1" s="1"/>
  <c r="V88" i="1"/>
  <c r="T75" i="1"/>
  <c r="V75" i="1"/>
  <c r="U75" i="1"/>
  <c r="T7" i="1"/>
  <c r="V7" i="1"/>
  <c r="U7" i="1"/>
  <c r="V19" i="1"/>
  <c r="T19" i="1"/>
  <c r="W19" i="1"/>
  <c r="Y47" i="1"/>
  <c r="T61" i="1"/>
  <c r="U61" i="1"/>
  <c r="V61" i="1"/>
  <c r="W61" i="1"/>
  <c r="X8" i="1"/>
  <c r="Y8" i="1" s="1"/>
  <c r="V1963" i="1"/>
  <c r="T1963" i="1"/>
  <c r="X1963" i="1" s="1"/>
  <c r="T220" i="1"/>
  <c r="U220" i="1"/>
  <c r="V220" i="1"/>
  <c r="T96" i="1"/>
  <c r="U96" i="1"/>
  <c r="V96" i="1"/>
  <c r="T59" i="1"/>
  <c r="U59" i="1"/>
  <c r="V59" i="1"/>
  <c r="T46" i="1"/>
  <c r="U46" i="1"/>
  <c r="V46" i="1"/>
  <c r="Y43" i="1"/>
  <c r="T39" i="1"/>
  <c r="U39" i="1"/>
  <c r="V39" i="1"/>
  <c r="W39" i="1"/>
  <c r="V77" i="1"/>
  <c r="T77" i="1"/>
  <c r="X77" i="1" s="1"/>
  <c r="T71" i="1"/>
  <c r="X71" i="1" s="1"/>
  <c r="V71" i="1"/>
  <c r="V6" i="1"/>
  <c r="T6" i="1"/>
  <c r="X6" i="1" s="1"/>
  <c r="V57" i="1"/>
  <c r="T57" i="1"/>
  <c r="Y42" i="1"/>
  <c r="Y62" i="1"/>
  <c r="T389" i="1"/>
  <c r="X389" i="1" s="1"/>
  <c r="Y389" i="1" s="1"/>
  <c r="T49" i="1"/>
  <c r="X49" i="1" s="1"/>
  <c r="Y49" i="1" s="1"/>
  <c r="T80" i="1"/>
  <c r="X80" i="1" s="1"/>
  <c r="Y80" i="1" s="1"/>
  <c r="T74" i="1"/>
  <c r="X74" i="1" s="1"/>
  <c r="Y74" i="1" s="1"/>
  <c r="T73" i="1"/>
  <c r="X73" i="1" s="1"/>
  <c r="Y73" i="1" s="1"/>
  <c r="T18" i="1"/>
  <c r="X18" i="1" s="1"/>
  <c r="Y18" i="1" s="1"/>
  <c r="T41" i="1"/>
  <c r="X41" i="1" s="1"/>
  <c r="Y41" i="1" s="1"/>
  <c r="T37" i="1"/>
  <c r="X37" i="1" s="1"/>
  <c r="Y37" i="1" s="1"/>
  <c r="T35" i="1"/>
  <c r="X35" i="1" s="1"/>
  <c r="Y35" i="1" s="1"/>
  <c r="T2" i="1"/>
  <c r="X2" i="1" s="1"/>
  <c r="Y2" i="1" s="1"/>
  <c r="U29" i="1"/>
  <c r="X29" i="1" s="1"/>
  <c r="Y29" i="1" s="1"/>
  <c r="Y27" i="1"/>
  <c r="V28" i="1"/>
  <c r="T2341" i="1"/>
  <c r="X2341" i="1" s="1"/>
  <c r="Y2341" i="1" s="1"/>
  <c r="V25" i="1"/>
  <c r="U28" i="1"/>
  <c r="X28" i="1" s="1"/>
  <c r="U25" i="1"/>
  <c r="X25" i="1" s="1"/>
  <c r="W23" i="1"/>
  <c r="T23" i="1"/>
  <c r="V23" i="1"/>
  <c r="BT25" i="1"/>
  <c r="BU25" i="1" s="1"/>
  <c r="BV25" i="1" s="1"/>
  <c r="K23" i="4"/>
  <c r="K14" i="4"/>
  <c r="K4" i="4"/>
  <c r="K75" i="4"/>
  <c r="K3" i="4"/>
  <c r="K13" i="4"/>
  <c r="K2" i="4"/>
  <c r="K12" i="4"/>
  <c r="K11" i="4"/>
  <c r="K67" i="4"/>
  <c r="K42" i="4"/>
  <c r="K20" i="4"/>
  <c r="K10" i="4"/>
  <c r="K74" i="4"/>
  <c r="K44" i="4"/>
  <c r="K105" i="4"/>
  <c r="K66" i="4"/>
  <c r="K104" i="4"/>
  <c r="K103" i="4"/>
  <c r="K73" i="4"/>
  <c r="K72" i="4"/>
  <c r="K65" i="4"/>
  <c r="K43" i="4"/>
  <c r="K28" i="4"/>
  <c r="K9" i="4"/>
  <c r="K102" i="4"/>
  <c r="K80" i="4"/>
  <c r="K22" i="4"/>
  <c r="K64" i="4"/>
  <c r="K27" i="4"/>
  <c r="K71" i="4"/>
  <c r="K8" i="4"/>
  <c r="K24" i="4"/>
  <c r="K101" i="4"/>
  <c r="K100" i="4"/>
  <c r="K79" i="4"/>
  <c r="K19" i="4"/>
  <c r="K41" i="4"/>
  <c r="K99" i="4"/>
  <c r="K63" i="4"/>
  <c r="K18" i="4"/>
  <c r="K98" i="4"/>
  <c r="K17" i="4"/>
  <c r="K78" i="4"/>
  <c r="K77" i="4"/>
  <c r="K16" i="4"/>
  <c r="K62" i="4"/>
  <c r="K97" i="4"/>
  <c r="K96" i="4"/>
  <c r="K21" i="4"/>
  <c r="K70" i="4"/>
  <c r="K61" i="4"/>
  <c r="K60" i="4"/>
  <c r="K7" i="4"/>
  <c r="K26" i="4"/>
  <c r="K59" i="4"/>
  <c r="K69" i="4"/>
  <c r="K40" i="4"/>
  <c r="K95" i="4"/>
  <c r="K94" i="4"/>
  <c r="K93" i="4"/>
  <c r="K92" i="4"/>
  <c r="K58" i="4"/>
  <c r="K57" i="4"/>
  <c r="K91" i="4"/>
  <c r="K6" i="4"/>
  <c r="K90" i="4"/>
  <c r="K89" i="4"/>
  <c r="K76" i="4"/>
  <c r="K88" i="4"/>
  <c r="K87" i="4"/>
  <c r="K56" i="4"/>
  <c r="K55" i="4"/>
  <c r="K54" i="4"/>
  <c r="K86" i="4"/>
  <c r="K85" i="4"/>
  <c r="K53" i="4"/>
  <c r="K52" i="4"/>
  <c r="K25" i="4"/>
  <c r="K84" i="4"/>
  <c r="K83" i="4"/>
  <c r="K15" i="4"/>
  <c r="K51" i="4"/>
  <c r="K50" i="4"/>
  <c r="K49" i="4"/>
  <c r="K48" i="4"/>
  <c r="K47" i="4"/>
  <c r="K82" i="4"/>
  <c r="K81" i="4"/>
  <c r="K46" i="4"/>
  <c r="K45" i="4"/>
  <c r="K39" i="4"/>
  <c r="K38" i="4"/>
  <c r="K68" i="4"/>
  <c r="K5" i="4"/>
  <c r="K37" i="4"/>
  <c r="K36" i="4"/>
  <c r="K35" i="4"/>
  <c r="K107" i="4"/>
  <c r="K34" i="4"/>
  <c r="K33" i="4"/>
  <c r="K106" i="4"/>
  <c r="K32" i="4"/>
  <c r="K31" i="4"/>
  <c r="K30" i="4"/>
  <c r="K29" i="4"/>
  <c r="BR523" i="1"/>
  <c r="BR1867" i="1"/>
  <c r="BR1269" i="1"/>
  <c r="BR1927" i="1"/>
  <c r="BR1942" i="1"/>
  <c r="BR1866" i="1"/>
  <c r="BR1652" i="1"/>
  <c r="BR1576" i="1"/>
  <c r="BR1365" i="1"/>
  <c r="BR1355" i="1"/>
  <c r="BR1977" i="1"/>
  <c r="BR1626" i="1"/>
  <c r="BR2269" i="1"/>
  <c r="BR1178" i="1"/>
  <c r="BR1240" i="1"/>
  <c r="BR1193" i="1"/>
  <c r="BR1287" i="1"/>
  <c r="BR1647" i="1"/>
  <c r="BR1152" i="1"/>
  <c r="BR1199" i="1"/>
  <c r="BR1112" i="1"/>
  <c r="BR2151" i="1"/>
  <c r="BR1905" i="1"/>
  <c r="BR2025" i="1"/>
  <c r="BR1424" i="1"/>
  <c r="BR2070" i="1"/>
  <c r="BR2108" i="1"/>
  <c r="BR1935" i="1"/>
  <c r="BR2164" i="1"/>
  <c r="BR1950" i="1"/>
  <c r="BR1882" i="1"/>
  <c r="BR1179" i="1"/>
  <c r="BR1671" i="1"/>
  <c r="BR1567" i="1"/>
  <c r="BR1676" i="1"/>
  <c r="BR1457" i="1"/>
  <c r="BR1778" i="1"/>
  <c r="BR1753" i="1"/>
  <c r="BR1929" i="1"/>
  <c r="BR108" i="1"/>
  <c r="BR1059" i="1"/>
  <c r="BR1145" i="1"/>
  <c r="BR1726" i="1"/>
  <c r="BR1837" i="1"/>
  <c r="BR2015" i="1"/>
  <c r="BR1458" i="1"/>
  <c r="BR1325" i="1"/>
  <c r="BR1711" i="1"/>
  <c r="BR1597" i="1"/>
  <c r="BR1425" i="1"/>
  <c r="BR1631" i="1"/>
  <c r="BR1690" i="1"/>
  <c r="BR1340" i="1"/>
  <c r="BR1315" i="1"/>
  <c r="BR1216" i="1"/>
  <c r="BR1160" i="1"/>
  <c r="BR1513" i="1"/>
  <c r="BR1692" i="1"/>
  <c r="BR1376" i="1"/>
  <c r="BR1256" i="1"/>
  <c r="BR1888" i="1"/>
  <c r="BR109" i="1"/>
  <c r="BR847" i="1"/>
  <c r="BR110" i="1"/>
  <c r="BR111" i="1"/>
  <c r="BR112" i="1"/>
  <c r="BR113" i="1"/>
  <c r="BR772" i="1"/>
  <c r="BR943" i="1"/>
  <c r="BR1798" i="1"/>
  <c r="BR1470" i="1"/>
  <c r="BR1703" i="1"/>
  <c r="BR2093" i="1"/>
  <c r="BR1881" i="1"/>
  <c r="BR1423" i="1"/>
  <c r="BR1835" i="1"/>
  <c r="BR1436" i="1"/>
  <c r="BR1468" i="1"/>
  <c r="BR2119" i="1"/>
  <c r="BR1906" i="1"/>
  <c r="BR1168" i="1"/>
  <c r="BR886" i="1"/>
  <c r="BR1241" i="1"/>
  <c r="BR1174" i="1"/>
  <c r="BR1377" i="1"/>
  <c r="BR1031" i="1"/>
  <c r="BR1568" i="1"/>
  <c r="BR2337" i="1"/>
  <c r="BR2137" i="1"/>
  <c r="BR1770" i="1"/>
  <c r="BR1098" i="1"/>
  <c r="BR1823" i="1"/>
  <c r="BR1183" i="1"/>
  <c r="BR1037" i="1"/>
  <c r="BR1171" i="1"/>
  <c r="BR1471" i="1"/>
  <c r="BR1267" i="1"/>
  <c r="BR821" i="1"/>
  <c r="BR1503" i="1"/>
  <c r="BR1519" i="1"/>
  <c r="BR1572" i="1"/>
  <c r="BR1060" i="1"/>
  <c r="BR1288" i="1"/>
  <c r="BR893" i="1"/>
  <c r="BR961" i="1"/>
  <c r="BR1222" i="1"/>
  <c r="BR867" i="1"/>
  <c r="BR1227" i="1"/>
  <c r="BR1165" i="1"/>
  <c r="BR912" i="1"/>
  <c r="BR1052" i="1"/>
  <c r="BR894" i="1"/>
  <c r="BR1113" i="1"/>
  <c r="BR1399" i="1"/>
  <c r="BR1721" i="1"/>
  <c r="BR1459" i="1"/>
  <c r="BR1257" i="1"/>
  <c r="BR1134" i="1"/>
  <c r="BR881" i="1"/>
  <c r="BR1310" i="1"/>
  <c r="BR1108" i="1"/>
  <c r="BR101" i="1"/>
  <c r="BR1211" i="1"/>
  <c r="BR954" i="1"/>
  <c r="BR1302" i="1"/>
  <c r="BR1038" i="1"/>
  <c r="BR1463" i="1"/>
  <c r="BR1289" i="1"/>
  <c r="BR1341" i="1"/>
  <c r="BR114" i="1"/>
  <c r="BR902" i="1"/>
  <c r="BR115" i="1"/>
  <c r="BR895" i="1"/>
  <c r="BR758" i="1"/>
  <c r="BR944" i="1"/>
  <c r="BR868" i="1"/>
  <c r="BR116" i="1"/>
  <c r="BR117" i="1"/>
  <c r="BR1001" i="1"/>
  <c r="BR1264" i="1"/>
  <c r="BR1839" i="1"/>
  <c r="BR1806" i="1"/>
  <c r="BR1891" i="1"/>
  <c r="BR2022" i="1"/>
  <c r="BR2275" i="1"/>
  <c r="BR2162" i="1"/>
  <c r="BR2302" i="1"/>
  <c r="BR2073" i="1"/>
  <c r="BR1901" i="1"/>
  <c r="BR1549" i="1"/>
  <c r="BR1686" i="1"/>
  <c r="BR1600" i="1"/>
  <c r="BR1460" i="1"/>
  <c r="BR1514" i="1"/>
  <c r="BR1792" i="1"/>
  <c r="BR1884" i="1"/>
  <c r="BR1951" i="1"/>
  <c r="BR1356" i="1"/>
  <c r="BR1117" i="1"/>
  <c r="BR1417" i="1"/>
  <c r="BR1655" i="1"/>
  <c r="BR1453" i="1"/>
  <c r="BR2239" i="1"/>
  <c r="BR1472" i="1"/>
  <c r="BR1320" i="1"/>
  <c r="BR1402" i="1"/>
  <c r="BR1297" i="1"/>
  <c r="BR1996" i="1"/>
  <c r="BR1303" i="1"/>
  <c r="BR1838" i="1"/>
  <c r="BR1200" i="1"/>
  <c r="BR1745" i="1"/>
  <c r="BR1863" i="1"/>
  <c r="BR1946" i="1"/>
  <c r="BR926" i="1"/>
  <c r="BR1039" i="1"/>
  <c r="BR1242" i="1"/>
  <c r="BR1554" i="1"/>
  <c r="BR1695" i="1"/>
  <c r="BR1321" i="1"/>
  <c r="BR1645" i="1"/>
  <c r="BR1124" i="1"/>
  <c r="BR1223" i="1"/>
  <c r="BR1555" i="1"/>
  <c r="BR2039" i="1"/>
  <c r="BR1166" i="1"/>
  <c r="BR1803" i="1"/>
  <c r="BR1311" i="1"/>
  <c r="BR1393" i="1"/>
  <c r="BR1593" i="1"/>
  <c r="BR1175" i="1"/>
  <c r="BR1304" i="1"/>
  <c r="BR1550" i="1"/>
  <c r="BR1541" i="1"/>
  <c r="BR1662" i="1"/>
  <c r="BR103" i="1"/>
  <c r="BR1081" i="1"/>
  <c r="BR118" i="1"/>
  <c r="BR119" i="1"/>
  <c r="BR1156" i="1"/>
  <c r="BR989" i="1"/>
  <c r="BR120" i="1"/>
  <c r="BR121" i="1"/>
  <c r="BR833" i="1"/>
  <c r="BR913" i="1"/>
  <c r="BR882" i="1"/>
  <c r="BR869" i="1"/>
  <c r="BR887" i="1"/>
  <c r="BR122" i="1"/>
  <c r="BR1093" i="1"/>
  <c r="BR123" i="1"/>
  <c r="BR124" i="1"/>
  <c r="BR1082" i="1"/>
  <c r="BR1146" i="1"/>
  <c r="BR1391" i="1"/>
  <c r="BR1248" i="1"/>
  <c r="BR1075" i="1"/>
  <c r="BR1272" i="1"/>
  <c r="BR461" i="1"/>
  <c r="BR903" i="1"/>
  <c r="BR928" i="1"/>
  <c r="BR1818" i="1"/>
  <c r="BR1934" i="1"/>
  <c r="BR1357" i="1"/>
  <c r="BR1053" i="1"/>
  <c r="BR1388" i="1"/>
  <c r="BR1345" i="1"/>
  <c r="BR962" i="1"/>
  <c r="BR945" i="1"/>
  <c r="BR2241" i="1"/>
  <c r="BR2046" i="1"/>
  <c r="BR1268" i="1"/>
  <c r="BR1979" i="1"/>
  <c r="BR1908" i="1"/>
  <c r="BR1002" i="1"/>
  <c r="BR759" i="1"/>
  <c r="BR904" i="1"/>
  <c r="BR905" i="1"/>
  <c r="BR1454" i="1"/>
  <c r="BR1914" i="1"/>
  <c r="BR834" i="1"/>
  <c r="BR2273" i="1"/>
  <c r="BR1551" i="1"/>
  <c r="BR1489" i="1"/>
  <c r="BR896" i="1"/>
  <c r="BR1658" i="1"/>
  <c r="BR1771" i="1"/>
  <c r="BR1125" i="1"/>
  <c r="BR127" i="1"/>
  <c r="BR822" i="1"/>
  <c r="BR1282" i="1"/>
  <c r="BR1204" i="1"/>
  <c r="BR914" i="1"/>
  <c r="BR915" i="1"/>
  <c r="BR1074" i="1"/>
  <c r="BR1126" i="1"/>
  <c r="BR888" i="1"/>
  <c r="BR128" i="1"/>
  <c r="BR1904" i="1"/>
  <c r="BR906" i="1"/>
  <c r="BR823" i="1"/>
  <c r="BR129" i="1"/>
  <c r="BR1040" i="1"/>
  <c r="BR1011" i="1"/>
  <c r="BR743" i="1"/>
  <c r="BR980" i="1"/>
  <c r="BR130" i="1"/>
  <c r="BR131" i="1"/>
  <c r="BR132" i="1"/>
  <c r="BR1054" i="1"/>
  <c r="BR105" i="1"/>
  <c r="BR133" i="1"/>
  <c r="BR1024" i="1"/>
  <c r="BR1944" i="1"/>
  <c r="BR1046" i="1"/>
  <c r="BR1312" i="1"/>
  <c r="BR134" i="1"/>
  <c r="BR1147" i="1"/>
  <c r="BR749" i="1"/>
  <c r="BR2138" i="1"/>
  <c r="BR1663" i="1"/>
  <c r="BR2014" i="1"/>
  <c r="BR1279" i="1"/>
  <c r="BR1840" i="1"/>
  <c r="BR1455" i="1"/>
  <c r="BR2224" i="1"/>
  <c r="BR1531" i="1"/>
  <c r="BR1217" i="1"/>
  <c r="BR2030" i="1"/>
  <c r="BR2023" i="1"/>
  <c r="BR2213" i="1"/>
  <c r="BR1432" i="1"/>
  <c r="BR1316" i="1"/>
  <c r="BR1919" i="1"/>
  <c r="BR760" i="1"/>
  <c r="BR835" i="1"/>
  <c r="BR1148" i="1"/>
  <c r="BR136" i="1"/>
  <c r="BR836" i="1"/>
  <c r="BR787" i="1"/>
  <c r="BR761" i="1"/>
  <c r="BR797" i="1"/>
  <c r="BR1228" i="1"/>
  <c r="BR1485" i="1"/>
  <c r="BR773" i="1"/>
  <c r="BR137" i="1"/>
  <c r="BR138" i="1"/>
  <c r="BR1278" i="1"/>
  <c r="BR1918" i="1"/>
  <c r="BR1594" i="1"/>
  <c r="BR1449" i="1"/>
  <c r="BR1665" i="1"/>
  <c r="BR1599" i="1"/>
  <c r="BR937" i="1"/>
  <c r="BR1480" i="1"/>
  <c r="BR1772" i="1"/>
  <c r="BR1466" i="1"/>
  <c r="BR225" i="1"/>
  <c r="BR1392" i="1"/>
  <c r="BR1999" i="1"/>
  <c r="BR1397" i="1"/>
  <c r="BR2182" i="1"/>
  <c r="BR1731" i="1"/>
  <c r="BR1654" i="1"/>
  <c r="BR140" i="1"/>
  <c r="BR141" i="1"/>
  <c r="BR142" i="1"/>
  <c r="BR1781" i="1"/>
  <c r="BR143" i="1"/>
  <c r="BR1758" i="1"/>
  <c r="BR144" i="1"/>
  <c r="BR1337" i="1"/>
  <c r="BR145" i="1"/>
  <c r="BR146" i="1"/>
  <c r="BR147" i="1"/>
  <c r="BR148" i="1"/>
  <c r="BR149" i="1"/>
  <c r="BR1250" i="1"/>
  <c r="BR1087" i="1"/>
  <c r="BR150" i="1"/>
  <c r="BR1014" i="1"/>
  <c r="BR1461" i="1"/>
  <c r="BR1290" i="1"/>
  <c r="BR1970" i="1"/>
  <c r="BR1699" i="1"/>
  <c r="BR2004" i="1"/>
  <c r="BR1003" i="1"/>
  <c r="BR2187" i="1"/>
  <c r="BR1358" i="1"/>
  <c r="BR1763" i="1"/>
  <c r="BR1849" i="1"/>
  <c r="BR1813" i="1"/>
  <c r="BR2169" i="1"/>
  <c r="BR1612" i="1"/>
  <c r="BR1295" i="1"/>
  <c r="BR1607" i="1"/>
  <c r="BR151" i="1"/>
  <c r="BR2088" i="1"/>
  <c r="BR1921" i="1"/>
  <c r="BR2001" i="1"/>
  <c r="BR212" i="1"/>
  <c r="BR1954" i="1"/>
  <c r="BR1769" i="1"/>
  <c r="BR2255" i="1"/>
  <c r="BR2042" i="1"/>
  <c r="BR1172" i="1"/>
  <c r="BR99" i="1"/>
  <c r="BR1621" i="1"/>
  <c r="BR153" i="1"/>
  <c r="BR154" i="1"/>
  <c r="BR1819" i="1"/>
  <c r="BR1507" i="1"/>
  <c r="BR1055" i="1"/>
  <c r="BR1083" i="1"/>
  <c r="BR1989" i="1"/>
  <c r="BR1779" i="1"/>
  <c r="BR1326" i="1"/>
  <c r="BR1677" i="1"/>
  <c r="BR1085" i="1"/>
  <c r="BR155" i="1"/>
  <c r="BR1533" i="1"/>
  <c r="BR156" i="1"/>
  <c r="BR157" i="1"/>
  <c r="BR158" i="1"/>
  <c r="BR929" i="1"/>
  <c r="BR1032" i="1"/>
  <c r="BR750" i="1"/>
  <c r="BR863" i="1"/>
  <c r="BR889" i="1"/>
  <c r="BR1890" i="1"/>
  <c r="BR2203" i="1"/>
  <c r="BR1814" i="1"/>
  <c r="BR1968" i="1"/>
  <c r="BR1418" i="1"/>
  <c r="BR2043" i="1"/>
  <c r="BR930" i="1"/>
  <c r="BR1998" i="1"/>
  <c r="BR1481" i="1"/>
  <c r="BR698" i="1"/>
  <c r="BR1247" i="1"/>
  <c r="BR1190" i="1"/>
  <c r="BR965" i="1"/>
  <c r="BR139" i="1"/>
  <c r="BR135" i="1"/>
  <c r="BR162" i="1"/>
  <c r="BR163" i="1"/>
  <c r="BR164" i="1"/>
  <c r="BR165" i="1"/>
  <c r="BR166" i="1"/>
  <c r="BR2063" i="1"/>
  <c r="BR762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419" i="1"/>
  <c r="BR42" i="1"/>
  <c r="BR180" i="1"/>
  <c r="BR1025" i="1"/>
  <c r="BR95" i="1"/>
  <c r="BR2243" i="1"/>
  <c r="BR181" i="1"/>
  <c r="BR182" i="1"/>
  <c r="BR183" i="1"/>
  <c r="BR744" i="1"/>
  <c r="BR184" i="1"/>
  <c r="BR185" i="1"/>
  <c r="BR946" i="1"/>
  <c r="BR1962" i="1"/>
  <c r="BR2051" i="1"/>
  <c r="BR1796" i="1"/>
  <c r="BR186" i="1"/>
  <c r="BR187" i="1"/>
  <c r="BR597" i="1"/>
  <c r="BR189" i="1"/>
  <c r="BR2334" i="1"/>
  <c r="BR1853" i="1"/>
  <c r="BR1704" i="1"/>
  <c r="BR848" i="1"/>
  <c r="BR190" i="1"/>
  <c r="BR191" i="1"/>
  <c r="BR1933" i="1"/>
  <c r="BR1964" i="1"/>
  <c r="BR1255" i="1"/>
  <c r="BR2277" i="1"/>
  <c r="BR1428" i="1"/>
  <c r="BR1431" i="1"/>
  <c r="BR1953" i="1"/>
  <c r="BR1828" i="1"/>
  <c r="BR192" i="1"/>
  <c r="BR1244" i="1"/>
  <c r="BR1617" i="1"/>
  <c r="BR1573" i="1"/>
  <c r="BR1327" i="1"/>
  <c r="BR994" i="1"/>
  <c r="BR2" i="1"/>
  <c r="BR76" i="1"/>
  <c r="BR2092" i="1"/>
  <c r="BR83" i="1"/>
  <c r="BR1086" i="1"/>
  <c r="BR193" i="1"/>
  <c r="BR849" i="1"/>
  <c r="BR751" i="1"/>
  <c r="BR824" i="1"/>
  <c r="BR1410" i="1"/>
  <c r="BR955" i="1"/>
  <c r="BR1235" i="1"/>
  <c r="BR1099" i="1"/>
  <c r="BR2266" i="1"/>
  <c r="BR194" i="1"/>
  <c r="BR2048" i="1"/>
  <c r="BR195" i="1"/>
  <c r="BR1537" i="1"/>
  <c r="BR1218" i="1"/>
  <c r="BR2000" i="1"/>
  <c r="BR1201" i="1"/>
  <c r="BR1229" i="1"/>
  <c r="BR286" i="1"/>
  <c r="BR1894" i="1"/>
  <c r="BR642" i="1"/>
  <c r="BR1878" i="1"/>
  <c r="BR1018" i="1"/>
  <c r="BR102" i="1"/>
  <c r="BR2303" i="1"/>
  <c r="BR2260" i="1"/>
  <c r="BR2207" i="1"/>
  <c r="BR2296" i="1"/>
  <c r="BR1496" i="1"/>
  <c r="BR196" i="1"/>
  <c r="BR1061" i="1"/>
  <c r="BR850" i="1"/>
  <c r="BR1004" i="1"/>
  <c r="BR811" i="1"/>
  <c r="BR1910" i="1"/>
  <c r="BR1613" i="1"/>
  <c r="BR1618" i="1"/>
  <c r="BR1678" i="1"/>
  <c r="BR1911" i="1"/>
  <c r="BR2178" i="1"/>
  <c r="BR2154" i="1"/>
  <c r="BR2091" i="1"/>
  <c r="BR1187" i="1"/>
  <c r="BR1706" i="1"/>
  <c r="BR1609" i="1"/>
  <c r="BR1473" i="1"/>
  <c r="BR1526" i="1"/>
  <c r="BR1490" i="1"/>
  <c r="BR100" i="1"/>
  <c r="BR1088" i="1"/>
  <c r="BR1700" i="1"/>
  <c r="BR1188" i="1"/>
  <c r="BR1802" i="1"/>
  <c r="BR1991" i="1"/>
  <c r="BR1879" i="1"/>
  <c r="BR427" i="1"/>
  <c r="BR940" i="1"/>
  <c r="BR1757" i="1"/>
  <c r="BR1775" i="1"/>
  <c r="BR2195" i="1"/>
  <c r="BR2204" i="1"/>
  <c r="BR1601" i="1"/>
  <c r="BR2332" i="1"/>
  <c r="BR1251" i="1"/>
  <c r="BR2067" i="1"/>
  <c r="BR2274" i="1"/>
  <c r="BR1924" i="1"/>
  <c r="BR1733" i="1"/>
  <c r="BR1722" i="1"/>
  <c r="BR199" i="1"/>
  <c r="BR1194" i="1"/>
  <c r="BR1865" i="1"/>
  <c r="BR1956" i="1"/>
  <c r="BR200" i="1"/>
  <c r="BR947" i="1"/>
  <c r="BR1005" i="1"/>
  <c r="BR907" i="1"/>
  <c r="BR201" i="1"/>
  <c r="BR202" i="1"/>
  <c r="BR1047" i="1"/>
  <c r="BR1135" i="1"/>
  <c r="BR977" i="1"/>
  <c r="BR203" i="1"/>
  <c r="BR995" i="1"/>
  <c r="BR996" i="1"/>
  <c r="BR897" i="1"/>
  <c r="BR916" i="1"/>
  <c r="BR1714" i="1"/>
  <c r="BR2020" i="1"/>
  <c r="BR2215" i="1"/>
  <c r="BR3" i="1"/>
  <c r="BR1169" i="1"/>
  <c r="BR1614" i="1"/>
  <c r="BR1643" i="1"/>
  <c r="BR1261" i="1"/>
  <c r="BR2078" i="1"/>
  <c r="BR1094" i="1"/>
  <c r="BR1128" i="1"/>
  <c r="BR1861" i="1"/>
  <c r="BR1281" i="1"/>
  <c r="BR205" i="1"/>
  <c r="BR206" i="1"/>
  <c r="BR798" i="1"/>
  <c r="BR1262" i="1"/>
  <c r="BR207" i="1"/>
  <c r="BR2206" i="1"/>
  <c r="BR2236" i="1"/>
  <c r="BR2270" i="1"/>
  <c r="BR2240" i="1"/>
  <c r="BR208" i="1"/>
  <c r="BR209" i="1"/>
  <c r="BR2155" i="1"/>
  <c r="BR851" i="1"/>
  <c r="BR1925" i="1"/>
  <c r="BR837" i="1"/>
  <c r="BR210" i="1"/>
  <c r="BR2156" i="1"/>
  <c r="BR211" i="1"/>
  <c r="BR1118" i="1"/>
  <c r="BR2194" i="1"/>
  <c r="BR2036" i="1"/>
  <c r="BR1109" i="1"/>
  <c r="BR1843" i="1"/>
  <c r="BR1318" i="1"/>
  <c r="BR1672" i="1"/>
  <c r="BR1701" i="1"/>
  <c r="BR1437" i="1"/>
  <c r="BR284" i="1"/>
  <c r="BR1667" i="1"/>
  <c r="BR511" i="1"/>
  <c r="BR1464" i="1"/>
  <c r="BR1517" i="1"/>
  <c r="BR1522" i="1"/>
  <c r="BR1923" i="1"/>
  <c r="BR214" i="1"/>
  <c r="BR2029" i="1"/>
  <c r="BR1543" i="1"/>
  <c r="BR2317" i="1"/>
  <c r="BR2300" i="1"/>
  <c r="BR2237" i="1"/>
  <c r="BR1469" i="1"/>
  <c r="BR13" i="1"/>
  <c r="BR2172" i="1"/>
  <c r="BR2011" i="1"/>
  <c r="BR1907" i="1"/>
  <c r="BR1119" i="1"/>
  <c r="BR2308" i="1"/>
  <c r="BR2233" i="1"/>
  <c r="BR4" i="1"/>
  <c r="BR215" i="1"/>
  <c r="BR216" i="1"/>
  <c r="BR948" i="1"/>
  <c r="BR908" i="1"/>
  <c r="BR752" i="1"/>
  <c r="BR7" i="1"/>
  <c r="BR1056" i="1"/>
  <c r="BR233" i="1"/>
  <c r="BR2256" i="1"/>
  <c r="BR479" i="1"/>
  <c r="BR218" i="1"/>
  <c r="BR8" i="1"/>
  <c r="BR2180" i="1"/>
  <c r="BR728" i="1"/>
  <c r="BR2216" i="1"/>
  <c r="BR10" i="1"/>
  <c r="BR11" i="1"/>
  <c r="BR2061" i="1"/>
  <c r="BR6" i="1"/>
  <c r="BR12" i="1"/>
  <c r="BR1776" i="1"/>
  <c r="BR1439" i="1"/>
  <c r="BR1679" i="1"/>
  <c r="BR1659" i="1"/>
  <c r="BR1230" i="1"/>
  <c r="BR2249" i="1"/>
  <c r="BR2163" i="1"/>
  <c r="BR221" i="1"/>
  <c r="BR2143" i="1"/>
  <c r="BR2327" i="1"/>
  <c r="BR1693" i="1"/>
  <c r="BR1508" i="1"/>
  <c r="BR2082" i="1"/>
  <c r="BR71" i="1"/>
  <c r="BR1420" i="1"/>
  <c r="BR1937" i="1"/>
  <c r="BR222" i="1"/>
  <c r="BR5" i="1"/>
  <c r="BR2340" i="1"/>
  <c r="BR2310" i="1"/>
  <c r="BR2232" i="1"/>
  <c r="BR356" i="1"/>
  <c r="BR1486" i="1"/>
  <c r="BR428" i="1"/>
  <c r="BR1674" i="1"/>
  <c r="BR285" i="1"/>
  <c r="BR1474" i="1"/>
  <c r="BR226" i="1"/>
  <c r="BR227" i="1"/>
  <c r="BR1542" i="1"/>
  <c r="BR228" i="1"/>
  <c r="BR956" i="1"/>
  <c r="BR229" i="1"/>
  <c r="BR1640" i="1"/>
  <c r="BR1184" i="1"/>
  <c r="BR2295" i="1"/>
  <c r="BR2221" i="1"/>
  <c r="BR1041" i="1"/>
  <c r="BR1185" i="1"/>
  <c r="BR1368" i="1"/>
  <c r="BR1688" i="1"/>
  <c r="BR1611" i="1"/>
  <c r="BR1856" i="1"/>
  <c r="BR1949" i="1"/>
  <c r="BR1153" i="1"/>
  <c r="BR16" i="1"/>
  <c r="BR14" i="1"/>
  <c r="BR2071" i="1"/>
  <c r="BR1869" i="1"/>
  <c r="BR1635" i="1"/>
  <c r="BR2100" i="1"/>
  <c r="BR1966" i="1"/>
  <c r="BR230" i="1"/>
  <c r="BR1545" i="1"/>
  <c r="BR1534" i="1"/>
  <c r="BR1535" i="1"/>
  <c r="BR971" i="1"/>
  <c r="BR799" i="1"/>
  <c r="BR231" i="1"/>
  <c r="BR232" i="1"/>
  <c r="BR753" i="1"/>
  <c r="BR788" i="1"/>
  <c r="BR774" i="1"/>
  <c r="BR240" i="1"/>
  <c r="BR1063" i="1"/>
  <c r="BR17" i="1"/>
  <c r="BR1990" i="1"/>
  <c r="BR234" i="1"/>
  <c r="BR1033" i="1"/>
  <c r="BR235" i="1"/>
  <c r="BR1504" i="1"/>
  <c r="BR236" i="1"/>
  <c r="BR15" i="1"/>
  <c r="BR1885" i="1"/>
  <c r="BR746" i="1"/>
  <c r="BR2333" i="1"/>
  <c r="BR2179" i="1"/>
  <c r="BR1136" i="1"/>
  <c r="BR1224" i="1"/>
  <c r="BR723" i="1"/>
  <c r="BR316" i="1"/>
  <c r="BR2183" i="1"/>
  <c r="BR361" i="1"/>
  <c r="BR1233" i="1"/>
  <c r="BR2002" i="1"/>
  <c r="BR2339" i="1"/>
  <c r="BR1562" i="1"/>
  <c r="BR2152" i="1"/>
  <c r="BR1400" i="1"/>
  <c r="BR1067" i="1"/>
  <c r="BR2311" i="1"/>
  <c r="BR1830" i="1"/>
  <c r="BR241" i="1"/>
  <c r="BR2261" i="1"/>
  <c r="BR242" i="1"/>
  <c r="BR243" i="1"/>
  <c r="BR244" i="1"/>
  <c r="BR245" i="1"/>
  <c r="BR246" i="1"/>
  <c r="BR247" i="1"/>
  <c r="BR248" i="1"/>
  <c r="BR249" i="1"/>
  <c r="BR250" i="1"/>
  <c r="BR1076" i="1"/>
  <c r="BR838" i="1"/>
  <c r="BR251" i="1"/>
  <c r="BR252" i="1"/>
  <c r="BR2234" i="1"/>
  <c r="BR1521" i="1"/>
  <c r="BR2314" i="1"/>
  <c r="BR1589" i="1"/>
  <c r="BR1762" i="1"/>
  <c r="BR1689" i="1"/>
  <c r="BR1127" i="1"/>
  <c r="BR695" i="1"/>
  <c r="BR1563" i="1"/>
  <c r="BR1426" i="1"/>
  <c r="BR1715" i="1"/>
  <c r="BR1928" i="1"/>
  <c r="BR1696" i="1"/>
  <c r="BR1801" i="1"/>
  <c r="BR405" i="1"/>
  <c r="BR1685" i="1"/>
  <c r="BR1606" i="1"/>
  <c r="BR1283" i="1"/>
  <c r="BR1556" i="1"/>
  <c r="BR2094" i="1"/>
  <c r="BR1411" i="1"/>
  <c r="BR256" i="1"/>
  <c r="BR1359" i="1"/>
  <c r="BR2040" i="1"/>
  <c r="BR1450" i="1"/>
  <c r="BR1995" i="1"/>
  <c r="BR1836" i="1"/>
  <c r="BR981" i="1"/>
  <c r="BR1440" i="1"/>
  <c r="BR2186" i="1"/>
  <c r="BR1602" i="1"/>
  <c r="BR2052" i="1"/>
  <c r="BR1585" i="1"/>
  <c r="BR257" i="1"/>
  <c r="BR258" i="1"/>
  <c r="BR259" i="1"/>
  <c r="BR260" i="1"/>
  <c r="BR1824" i="1"/>
  <c r="BR2109" i="1"/>
  <c r="BR1851" i="1"/>
  <c r="BR1955" i="1"/>
  <c r="BR1476" i="1"/>
  <c r="BR1100" i="1"/>
  <c r="BR261" i="1"/>
  <c r="BR1702" i="1"/>
  <c r="BR262" i="1"/>
  <c r="BR1101" i="1"/>
  <c r="BR263" i="1"/>
  <c r="BR825" i="1"/>
  <c r="BR264" i="1"/>
  <c r="BR2124" i="1"/>
  <c r="BR265" i="1"/>
  <c r="BR266" i="1"/>
  <c r="BR267" i="1"/>
  <c r="BR268" i="1"/>
  <c r="BR269" i="1"/>
  <c r="BR270" i="1"/>
  <c r="BR271" i="1"/>
  <c r="BR990" i="1"/>
  <c r="BR272" i="1"/>
  <c r="BR273" i="1"/>
  <c r="BR1378" i="1"/>
  <c r="BR75" i="1"/>
  <c r="BR274" i="1"/>
  <c r="BR275" i="1"/>
  <c r="BR276" i="1"/>
  <c r="BR754" i="1"/>
  <c r="BR1161" i="1"/>
  <c r="BR277" i="1"/>
  <c r="BR763" i="1"/>
  <c r="BR278" i="1"/>
  <c r="BR279" i="1"/>
  <c r="BR280" i="1"/>
  <c r="BR1195" i="1"/>
  <c r="BR764" i="1"/>
  <c r="BR281" i="1"/>
  <c r="BR1114" i="1"/>
  <c r="BR282" i="1"/>
  <c r="BR775" i="1"/>
  <c r="BR812" i="1"/>
  <c r="BR765" i="1"/>
  <c r="BR1444" i="1"/>
  <c r="BR2149" i="1"/>
  <c r="BR2292" i="1"/>
  <c r="BR2068" i="1"/>
  <c r="BR1319" i="1"/>
  <c r="BR1362" i="1"/>
  <c r="BR1712" i="1"/>
  <c r="BR98" i="1"/>
  <c r="BR254" i="1"/>
  <c r="BR407" i="1"/>
  <c r="BR1716" i="1"/>
  <c r="BR595" i="1"/>
  <c r="BR84" i="1"/>
  <c r="BR2218" i="1"/>
  <c r="BR1767" i="1"/>
  <c r="BR288" i="1"/>
  <c r="BR289" i="1"/>
  <c r="BR290" i="1"/>
  <c r="BR291" i="1"/>
  <c r="BR292" i="1"/>
  <c r="BR293" i="1"/>
  <c r="BR294" i="1"/>
  <c r="BR295" i="1"/>
  <c r="BR296" i="1"/>
  <c r="BR982" i="1"/>
  <c r="BR297" i="1"/>
  <c r="BR298" i="1"/>
  <c r="BR1483" i="1"/>
  <c r="BR299" i="1"/>
  <c r="BR1016" i="1"/>
  <c r="BR300" i="1"/>
  <c r="BR301" i="1"/>
  <c r="BR302" i="1"/>
  <c r="BR883" i="1"/>
  <c r="BR938" i="1"/>
  <c r="BR776" i="1"/>
  <c r="BR303" i="1"/>
  <c r="BR304" i="1"/>
  <c r="BR305" i="1"/>
  <c r="BR306" i="1"/>
  <c r="BR1898" i="1"/>
  <c r="BR1130" i="1"/>
  <c r="BR1947" i="1"/>
  <c r="BR2211" i="1"/>
  <c r="BR1666" i="1"/>
  <c r="BR1842" i="1"/>
  <c r="BR307" i="1"/>
  <c r="BR2135" i="1"/>
  <c r="BR2145" i="1"/>
  <c r="BR2198" i="1"/>
  <c r="BR2127" i="1"/>
  <c r="BR308" i="1"/>
  <c r="BR309" i="1"/>
  <c r="BR1068" i="1"/>
  <c r="BR1546" i="1"/>
  <c r="BR1557" i="1"/>
  <c r="BR1149" i="1"/>
  <c r="BR1407" i="1"/>
  <c r="BR490" i="1"/>
  <c r="BR1859" i="1"/>
  <c r="BR2159" i="1"/>
  <c r="BR1709" i="1"/>
  <c r="BR2201" i="1"/>
  <c r="BR616" i="1"/>
  <c r="BR1232" i="1"/>
  <c r="BR1157" i="1"/>
  <c r="BR1627" i="1"/>
  <c r="BR2131" i="1"/>
  <c r="BR917" i="1"/>
  <c r="BR1969" i="1"/>
  <c r="BR1717" i="1"/>
  <c r="BR1369" i="1"/>
  <c r="BR1154" i="1"/>
  <c r="BR1206" i="1"/>
  <c r="BR2101" i="1"/>
  <c r="BR777" i="1"/>
  <c r="BR966" i="1"/>
  <c r="BR1137" i="1"/>
  <c r="BR1876" i="1"/>
  <c r="BR1042" i="1"/>
  <c r="BR957" i="1"/>
  <c r="BR2253" i="1"/>
  <c r="BR2115" i="1"/>
  <c r="BR1338" i="1"/>
  <c r="BR1095" i="1"/>
  <c r="BR1102" i="1"/>
  <c r="BR1581" i="1"/>
  <c r="BR1363" i="1"/>
  <c r="BR1825" i="1"/>
  <c r="BR1403" i="1"/>
  <c r="BR1622" i="1"/>
  <c r="BR489" i="1"/>
  <c r="BR1751" i="1"/>
  <c r="BR2214" i="1"/>
  <c r="BR22" i="1"/>
  <c r="BR1941" i="1"/>
  <c r="BR2223" i="1"/>
  <c r="BR2225" i="1"/>
  <c r="BR1657" i="1"/>
  <c r="BR18" i="1"/>
  <c r="BR312" i="1"/>
  <c r="BR1451" i="1"/>
  <c r="BR20" i="1"/>
  <c r="BR1339" i="1"/>
  <c r="BR1636" i="1"/>
  <c r="BR2066" i="1"/>
  <c r="BR1587" i="1"/>
  <c r="BR1834" i="1"/>
  <c r="BR1394" i="1"/>
  <c r="BR1786" i="1"/>
  <c r="BR1518" i="1"/>
  <c r="BR1624" i="1"/>
  <c r="BR1475" i="1"/>
  <c r="BR21" i="1"/>
  <c r="BR1608" i="1"/>
  <c r="BR314" i="1"/>
  <c r="BR2306" i="1"/>
  <c r="BR1938" i="1"/>
  <c r="BR2005" i="1"/>
  <c r="BR1558" i="1"/>
  <c r="BR2271" i="1"/>
  <c r="BR1707" i="1"/>
  <c r="BR2285" i="1"/>
  <c r="BR1465" i="1"/>
  <c r="BR1793" i="1"/>
  <c r="BR2307" i="1"/>
  <c r="BR2227" i="1"/>
  <c r="BR19" i="1"/>
  <c r="BR991" i="1"/>
  <c r="BR1852" i="1"/>
  <c r="BR1765" i="1"/>
  <c r="BR125" i="1"/>
  <c r="BR188" i="1"/>
  <c r="BR1438" i="1"/>
  <c r="BR2059" i="1"/>
  <c r="BR217" i="1"/>
  <c r="BR335" i="1"/>
  <c r="BR644" i="1"/>
  <c r="BR317" i="1"/>
  <c r="BR1984" i="1"/>
  <c r="BR318" i="1"/>
  <c r="BR319" i="1"/>
  <c r="BR320" i="1"/>
  <c r="BR1207" i="1"/>
  <c r="BR321" i="1"/>
  <c r="BR322" i="1"/>
  <c r="BR2113" i="1"/>
  <c r="BR2150" i="1"/>
  <c r="BR2006" i="1"/>
  <c r="BR323" i="1"/>
  <c r="BR324" i="1"/>
  <c r="BR1981" i="1"/>
  <c r="BR1412" i="1"/>
  <c r="BR1252" i="1"/>
  <c r="BR643" i="1"/>
  <c r="BR1214" i="1"/>
  <c r="BR400" i="1"/>
  <c r="BR1787" i="1"/>
  <c r="BR326" i="1"/>
  <c r="BR1664" i="1"/>
  <c r="BR1422" i="1"/>
  <c r="BR2282" i="1"/>
  <c r="BR1559" i="1"/>
  <c r="BR327" i="1"/>
  <c r="BR2331" i="1"/>
  <c r="BR2324" i="1"/>
  <c r="BR357" i="1"/>
  <c r="BR328" i="1"/>
  <c r="BR329" i="1"/>
  <c r="BR639" i="1"/>
  <c r="BR330" i="1"/>
  <c r="BR331" i="1"/>
  <c r="BR332" i="1"/>
  <c r="BR978" i="1"/>
  <c r="BR333" i="1"/>
  <c r="BR2128" i="1"/>
  <c r="BR1727" i="1"/>
  <c r="BR1959" i="1"/>
  <c r="BR2134" i="1"/>
  <c r="BR2065" i="1"/>
  <c r="BR2335" i="1"/>
  <c r="BR334" i="1"/>
  <c r="BR1291" i="1"/>
  <c r="BR1415" i="1"/>
  <c r="BR484" i="1"/>
  <c r="BR1429" i="1"/>
  <c r="BR1864" i="1"/>
  <c r="BR1773" i="1"/>
  <c r="BR449" i="1"/>
  <c r="BR1948" i="1"/>
  <c r="BR1298" i="1"/>
  <c r="BR1479" i="1"/>
  <c r="BR161" i="1"/>
  <c r="BR339" i="1"/>
  <c r="BR1309" i="1"/>
  <c r="BR2222" i="1"/>
  <c r="BR1180" i="1"/>
  <c r="BR2197" i="1"/>
  <c r="BR1491" i="1"/>
  <c r="BR1383" i="1"/>
  <c r="BR1527" i="1"/>
  <c r="BR2019" i="1"/>
  <c r="BR2202" i="1"/>
  <c r="BR2074" i="1"/>
  <c r="BR2264" i="1"/>
  <c r="BR1603" i="1"/>
  <c r="BR2312" i="1"/>
  <c r="BR2297" i="1"/>
  <c r="BR2158" i="1"/>
  <c r="BR1952" i="1"/>
  <c r="BR1284" i="1"/>
  <c r="BR1379" i="1"/>
  <c r="BR33" i="1"/>
  <c r="BR340" i="1"/>
  <c r="BR97" i="1"/>
  <c r="BR341" i="1"/>
  <c r="BR983" i="1"/>
  <c r="BR342" i="1"/>
  <c r="BR918" i="1"/>
  <c r="BR343" i="1"/>
  <c r="BR1877" i="1"/>
  <c r="BR1029" i="1"/>
  <c r="BR852" i="1"/>
  <c r="BR1588" i="1"/>
  <c r="BR2044" i="1"/>
  <c r="BR344" i="1"/>
  <c r="BR34" i="1"/>
  <c r="BR345" i="1"/>
  <c r="BR346" i="1"/>
  <c r="BR347" i="1"/>
  <c r="BR348" i="1"/>
  <c r="BR1788" i="1"/>
  <c r="BR349" i="1"/>
  <c r="BR813" i="1"/>
  <c r="BR967" i="1"/>
  <c r="BR1202" i="1"/>
  <c r="BR350" i="1"/>
  <c r="BR351" i="1"/>
  <c r="BR919" i="1"/>
  <c r="BR352" i="1"/>
  <c r="BR353" i="1"/>
  <c r="BR354" i="1"/>
  <c r="BR909" i="1"/>
  <c r="BR984" i="1"/>
  <c r="BR1976" i="1"/>
  <c r="BR2316" i="1"/>
  <c r="BR778" i="1"/>
  <c r="BR839" i="1"/>
  <c r="BR1738" i="1"/>
  <c r="BR1015" i="1"/>
  <c r="BR729" i="1"/>
  <c r="BR2045" i="1"/>
  <c r="BR524" i="1"/>
  <c r="BR359" i="1"/>
  <c r="BR238" i="1"/>
  <c r="BR755" i="1"/>
  <c r="BR502" i="1"/>
  <c r="BR638" i="1"/>
  <c r="BR2229" i="1"/>
  <c r="BR358" i="1"/>
  <c r="BR337" i="1"/>
  <c r="BR573" i="1"/>
  <c r="BR223" i="1"/>
  <c r="BR239" i="1"/>
  <c r="BR1637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1732" i="1"/>
  <c r="BR376" i="1"/>
  <c r="BR1754" i="1"/>
  <c r="BR1957" i="1"/>
  <c r="BR1826" i="1"/>
  <c r="BR2008" i="1"/>
  <c r="BR1892" i="1"/>
  <c r="BR2305" i="1"/>
  <c r="BR1723" i="1"/>
  <c r="BR1104" i="1"/>
  <c r="BR377" i="1"/>
  <c r="BR2047" i="1"/>
  <c r="BR1078" i="1"/>
  <c r="BR1189" i="1"/>
  <c r="BR378" i="1"/>
  <c r="BR379" i="1"/>
  <c r="BR380" i="1"/>
  <c r="BR381" i="1"/>
  <c r="BR382" i="1"/>
  <c r="BR383" i="1"/>
  <c r="BR384" i="1"/>
  <c r="BR1170" i="1"/>
  <c r="BR779" i="1"/>
  <c r="BR789" i="1"/>
  <c r="BR1006" i="1"/>
  <c r="BR385" i="1"/>
  <c r="BR1333" i="1"/>
  <c r="BR386" i="1"/>
  <c r="BR387" i="1"/>
  <c r="BR853" i="1"/>
  <c r="BR1069" i="1"/>
  <c r="BR408" i="1"/>
  <c r="BR1198" i="1"/>
  <c r="BR311" i="1"/>
  <c r="BR338" i="1"/>
  <c r="BR2031" i="1"/>
  <c r="BR391" i="1"/>
  <c r="BR2293" i="1"/>
  <c r="BR1694" i="1"/>
  <c r="BR1646" i="1"/>
  <c r="BR1336" i="1"/>
  <c r="BR1797" i="1"/>
  <c r="BR1899" i="1"/>
  <c r="BR1930" i="1"/>
  <c r="BR1708" i="1"/>
  <c r="BR1960" i="1"/>
  <c r="BR2097" i="1"/>
  <c r="BR392" i="1"/>
  <c r="BR393" i="1"/>
  <c r="BR394" i="1"/>
  <c r="BR395" i="1"/>
  <c r="BR870" i="1"/>
  <c r="BR949" i="1"/>
  <c r="BR840" i="1"/>
  <c r="BR931" i="1"/>
  <c r="BR790" i="1"/>
  <c r="BR1710" i="1"/>
  <c r="BR2231" i="1"/>
  <c r="BR1390" i="1"/>
  <c r="BR898" i="1"/>
  <c r="BR1532" i="1"/>
  <c r="BR491" i="1"/>
  <c r="BR963" i="1"/>
  <c r="BR974" i="1"/>
  <c r="BR1064" i="1"/>
  <c r="BR197" i="1"/>
  <c r="BR2027" i="1"/>
  <c r="BR29" i="1"/>
  <c r="BR31" i="1"/>
  <c r="BR2102" i="1"/>
  <c r="BR70" i="1"/>
  <c r="BR401" i="1"/>
  <c r="BR402" i="1"/>
  <c r="BR403" i="1"/>
  <c r="BR1049" i="1"/>
  <c r="BR32" i="1"/>
  <c r="BR30" i="1"/>
  <c r="BR404" i="1"/>
  <c r="BR932" i="1"/>
  <c r="BR24" i="1"/>
  <c r="BR2058" i="1"/>
  <c r="BR27" i="1"/>
  <c r="BR28" i="1"/>
  <c r="BR25" i="1"/>
  <c r="BR26" i="1"/>
  <c r="BR398" i="1"/>
  <c r="BR1299" i="1"/>
  <c r="BR964" i="1"/>
  <c r="BR1586" i="1"/>
  <c r="BR213" i="1"/>
  <c r="BR2288" i="1"/>
  <c r="BR2098" i="1"/>
  <c r="BR1633" i="1"/>
  <c r="BR2165" i="1"/>
  <c r="BR2139" i="1"/>
  <c r="BR409" i="1"/>
  <c r="BR410" i="1"/>
  <c r="BR411" i="1"/>
  <c r="BR412" i="1"/>
  <c r="BR413" i="1"/>
  <c r="BR414" i="1"/>
  <c r="BR415" i="1"/>
  <c r="BR416" i="1"/>
  <c r="BR417" i="1"/>
  <c r="BR418" i="1"/>
  <c r="BR419" i="1"/>
  <c r="BR420" i="1"/>
  <c r="BR421" i="1"/>
  <c r="BR422" i="1"/>
  <c r="BR423" i="1"/>
  <c r="BR23" i="1"/>
  <c r="BR424" i="1"/>
  <c r="BR425" i="1"/>
  <c r="BR426" i="1"/>
  <c r="BR1300" i="1"/>
  <c r="BR1263" i="1"/>
  <c r="BR1236" i="1"/>
  <c r="BR1249" i="1"/>
  <c r="BR2116" i="1"/>
  <c r="BR1164" i="1"/>
  <c r="BR2144" i="1"/>
  <c r="BR1742" i="1"/>
  <c r="BR429" i="1"/>
  <c r="BR2228" i="1"/>
  <c r="BR430" i="1"/>
  <c r="BR1342" i="1"/>
  <c r="BR1404" i="1"/>
  <c r="BR431" i="1"/>
  <c r="BR1442" i="1"/>
  <c r="BR1809" i="1"/>
  <c r="BR1352" i="1"/>
  <c r="BR2012" i="1"/>
  <c r="BR432" i="1"/>
  <c r="BR433" i="1"/>
  <c r="BR434" i="1"/>
  <c r="BR1372" i="1"/>
  <c r="BR435" i="1"/>
  <c r="BR1987" i="1"/>
  <c r="BR1920" i="1"/>
  <c r="BR1150" i="1"/>
  <c r="BR1718" i="1"/>
  <c r="BR436" i="1"/>
  <c r="BR437" i="1"/>
  <c r="BR1274" i="1"/>
  <c r="BR939" i="1"/>
  <c r="BR1096" i="1"/>
  <c r="BR2016" i="1"/>
  <c r="BR1026" i="1"/>
  <c r="BR1784" i="1"/>
  <c r="BR1007" i="1"/>
  <c r="BR1138" i="1"/>
  <c r="BR1916" i="1"/>
  <c r="BR390" i="1"/>
  <c r="BR1794" i="1"/>
  <c r="BR1902" i="1"/>
  <c r="BR556" i="1"/>
  <c r="BR2049" i="1"/>
  <c r="BR439" i="1"/>
  <c r="BR1982" i="1"/>
  <c r="BR440" i="1"/>
  <c r="BR2329" i="1"/>
  <c r="BR1110" i="1"/>
  <c r="BR1595" i="1"/>
  <c r="BR2021" i="1"/>
  <c r="BR841" i="1"/>
  <c r="BR1346" i="1"/>
  <c r="BR441" i="1"/>
  <c r="BR85" i="1"/>
  <c r="BR1668" i="1"/>
  <c r="BR2168" i="1"/>
  <c r="BR890" i="1"/>
  <c r="BR1445" i="1"/>
  <c r="BR1980" i="1"/>
  <c r="BR1017" i="1"/>
  <c r="BR2298" i="1"/>
  <c r="BR1538" i="1"/>
  <c r="BR1115" i="1"/>
  <c r="BR871" i="1"/>
  <c r="BR1196" i="1"/>
  <c r="BR872" i="1"/>
  <c r="BR442" i="1"/>
  <c r="BR443" i="1"/>
  <c r="BR444" i="1"/>
  <c r="BR445" i="1"/>
  <c r="BR2106" i="1"/>
  <c r="BR446" i="1"/>
  <c r="BR1275" i="1"/>
  <c r="BR985" i="1"/>
  <c r="BR447" i="1"/>
  <c r="BR1766" i="1"/>
  <c r="BR2254" i="1"/>
  <c r="BR2336" i="1"/>
  <c r="BR2319" i="1"/>
  <c r="BR2321" i="1"/>
  <c r="BR2283" i="1"/>
  <c r="BR2099" i="1"/>
  <c r="BR2325" i="1"/>
  <c r="BR310" i="1"/>
  <c r="BR510" i="1"/>
  <c r="BR1048" i="1"/>
  <c r="BR1858" i="1"/>
  <c r="BR1395" i="1"/>
  <c r="BR451" i="1"/>
  <c r="BR93" i="1"/>
  <c r="BR452" i="1"/>
  <c r="BR453" i="1"/>
  <c r="BR1105" i="1"/>
  <c r="BR2242" i="1"/>
  <c r="BR454" i="1"/>
  <c r="BR2141" i="1"/>
  <c r="BR455" i="1"/>
  <c r="BR1994" i="1"/>
  <c r="BR1974" i="1"/>
  <c r="BR1673" i="1"/>
  <c r="BR2252" i="1"/>
  <c r="BR884" i="1"/>
  <c r="BR2191" i="1"/>
  <c r="BR2026" i="1"/>
  <c r="BR1648" i="1"/>
  <c r="BR864" i="1"/>
  <c r="BR456" i="1"/>
  <c r="BR457" i="1"/>
  <c r="BR458" i="1"/>
  <c r="BR1943" i="1"/>
  <c r="BR459" i="1"/>
  <c r="BR958" i="1"/>
  <c r="BR1231" i="1"/>
  <c r="BR1405" i="1"/>
  <c r="BR460" i="1"/>
  <c r="BR1741" i="1"/>
  <c r="BR1381" i="1"/>
  <c r="BR1131" i="1"/>
  <c r="BR1401" i="1"/>
  <c r="BR1774" i="1"/>
  <c r="BR2257" i="1"/>
  <c r="BR2160" i="1"/>
  <c r="BR1443" i="1"/>
  <c r="BR224" i="1"/>
  <c r="BR1498" i="1"/>
  <c r="BR2072" i="1"/>
  <c r="BR462" i="1"/>
  <c r="BR1789" i="1"/>
  <c r="BR2096" i="1"/>
  <c r="BR1761" i="1"/>
  <c r="BR1739" i="1"/>
  <c r="BR1831" i="1"/>
  <c r="BR1343" i="1"/>
  <c r="BR1986" i="1"/>
  <c r="BR1628" i="1"/>
  <c r="BR2034" i="1"/>
  <c r="BR2309" i="1"/>
  <c r="BR2315" i="1"/>
  <c r="BR2247" i="1"/>
  <c r="BR463" i="1"/>
  <c r="BR464" i="1"/>
  <c r="BR2146" i="1"/>
  <c r="BR465" i="1"/>
  <c r="BR1292" i="1"/>
  <c r="BR2104" i="1"/>
  <c r="BR2089" i="1"/>
  <c r="BR2171" i="1"/>
  <c r="BR336" i="1"/>
  <c r="BR1822" i="1"/>
  <c r="BR2024" i="1"/>
  <c r="BR467" i="1"/>
  <c r="BR468" i="1"/>
  <c r="BR1623" i="1"/>
  <c r="BR469" i="1"/>
  <c r="BR2199" i="1"/>
  <c r="BR1844" i="1"/>
  <c r="BR1661" i="1"/>
  <c r="BR1900" i="1"/>
  <c r="BR1329" i="1"/>
  <c r="BR1565" i="1"/>
  <c r="BR1539" i="1"/>
  <c r="BR1768" i="1"/>
  <c r="BR2276" i="1"/>
  <c r="BR2235" i="1"/>
  <c r="BR1972" i="1"/>
  <c r="BR44" i="1"/>
  <c r="BR45" i="1"/>
  <c r="BR2326" i="1"/>
  <c r="BR2290" i="1"/>
  <c r="BR950" i="1"/>
  <c r="BR873" i="1"/>
  <c r="BR791" i="1"/>
  <c r="BR780" i="1"/>
  <c r="BR470" i="1"/>
  <c r="BR854" i="1"/>
  <c r="BR2258" i="1"/>
  <c r="BR2200" i="1"/>
  <c r="BR1997" i="1"/>
  <c r="BR1922" i="1"/>
  <c r="BR1162" i="1"/>
  <c r="BR471" i="1"/>
  <c r="BR472" i="1"/>
  <c r="BR473" i="1"/>
  <c r="BR474" i="1"/>
  <c r="BR475" i="1"/>
  <c r="BR476" i="1"/>
  <c r="BR477" i="1"/>
  <c r="BR478" i="1"/>
  <c r="BR2069" i="1"/>
  <c r="BR362" i="1"/>
  <c r="BR388" i="1"/>
  <c r="BR406" i="1"/>
  <c r="BR159" i="1"/>
  <c r="BR2166" i="1"/>
  <c r="BR518" i="1"/>
  <c r="BR48" i="1"/>
  <c r="BR54" i="1"/>
  <c r="BR1151" i="1"/>
  <c r="BR1936" i="1"/>
  <c r="BR1386" i="1"/>
  <c r="BR1313" i="1"/>
  <c r="BR480" i="1"/>
  <c r="BR481" i="1"/>
  <c r="BR482" i="1"/>
  <c r="BR483" i="1"/>
  <c r="BR815" i="1"/>
  <c r="BR933" i="1"/>
  <c r="BR1012" i="1"/>
  <c r="BR2248" i="1"/>
  <c r="BR2301" i="1"/>
  <c r="BR2246" i="1"/>
  <c r="BR2140" i="1"/>
  <c r="BR1846" i="1"/>
  <c r="BR2338" i="1"/>
  <c r="BR1575" i="1"/>
  <c r="BR1833" i="1"/>
  <c r="BR1912" i="1"/>
  <c r="BR283" i="1"/>
  <c r="BR629" i="1"/>
  <c r="BR1848" i="1"/>
  <c r="BR2251" i="1"/>
  <c r="BR2238" i="1"/>
  <c r="BR2053" i="1"/>
  <c r="BR2284" i="1"/>
  <c r="BR1276" i="1"/>
  <c r="BR1854" i="1"/>
  <c r="BR1197" i="1"/>
  <c r="BR2080" i="1"/>
  <c r="BR1347" i="1"/>
  <c r="BR1205" i="1"/>
  <c r="BR68" i="1"/>
  <c r="BR1084" i="1"/>
  <c r="BR1176" i="1"/>
  <c r="BR1804" i="1"/>
  <c r="BR486" i="1"/>
  <c r="BR1547" i="1"/>
  <c r="BR2190" i="1"/>
  <c r="BR1932" i="1"/>
  <c r="BR1827" i="1"/>
  <c r="BR1736" i="1"/>
  <c r="BR487" i="1"/>
  <c r="BR41" i="1"/>
  <c r="BR35" i="1"/>
  <c r="BR43" i="1"/>
  <c r="BR1062" i="1"/>
  <c r="BR488" i="1"/>
  <c r="BR1237" i="1"/>
  <c r="BR816" i="1"/>
  <c r="BR842" i="1"/>
  <c r="BR1610" i="1"/>
  <c r="BR555" i="1"/>
  <c r="BR1764" i="1"/>
  <c r="BR2176" i="1"/>
  <c r="BR1850" i="1"/>
  <c r="BR1389" i="1"/>
  <c r="BR517" i="1"/>
  <c r="BR1301" i="1"/>
  <c r="BR640" i="1"/>
  <c r="BR492" i="1"/>
  <c r="BR2076" i="1"/>
  <c r="BR91" i="1"/>
  <c r="BR2263" i="1"/>
  <c r="BR493" i="1"/>
  <c r="BR2212" i="1"/>
  <c r="BR2050" i="1"/>
  <c r="BR1724" i="1"/>
  <c r="BR1208" i="1"/>
  <c r="BR494" i="1"/>
  <c r="BR1253" i="1"/>
  <c r="BR1212" i="1"/>
  <c r="BR495" i="1"/>
  <c r="BR2220" i="1"/>
  <c r="BR2281" i="1"/>
  <c r="BR1120" i="1"/>
  <c r="BR1034" i="1"/>
  <c r="BR1243" i="1"/>
  <c r="BR2083" i="1"/>
  <c r="BR496" i="1"/>
  <c r="BR1536" i="1"/>
  <c r="BR1669" i="1"/>
  <c r="BR497" i="1"/>
  <c r="BR498" i="1"/>
  <c r="BR1348" i="1"/>
  <c r="BR1552" i="1"/>
  <c r="BR766" i="1"/>
  <c r="BR1477" i="1"/>
  <c r="BR86" i="1"/>
  <c r="BR1070" i="1"/>
  <c r="BR1132" i="1"/>
  <c r="BR499" i="1"/>
  <c r="BR800" i="1"/>
  <c r="BR1497" i="1"/>
  <c r="BR1638" i="1"/>
  <c r="BR781" i="1"/>
  <c r="BR782" i="1"/>
  <c r="BR500" i="1"/>
  <c r="BR792" i="1"/>
  <c r="BR817" i="1"/>
  <c r="BR855" i="1"/>
  <c r="BR885" i="1"/>
  <c r="BR891" i="1"/>
  <c r="BR501" i="1"/>
  <c r="BR438" i="1"/>
  <c r="BR503" i="1"/>
  <c r="BR504" i="1"/>
  <c r="BR505" i="1"/>
  <c r="BR506" i="1"/>
  <c r="BR507" i="1"/>
  <c r="BR508" i="1"/>
  <c r="BR509" i="1"/>
  <c r="BR1043" i="1"/>
  <c r="BR198" i="1"/>
  <c r="BR485" i="1"/>
  <c r="BR1487" i="1"/>
  <c r="BR253" i="1"/>
  <c r="BR1644" i="1"/>
  <c r="BR1045" i="1"/>
  <c r="BR699" i="1"/>
  <c r="BR1158" i="1"/>
  <c r="BR1808" i="1"/>
  <c r="BR355" i="1"/>
  <c r="BR397" i="1"/>
  <c r="BR512" i="1"/>
  <c r="BR1909" i="1"/>
  <c r="BR1050" i="1"/>
  <c r="BR513" i="1"/>
  <c r="BR514" i="1"/>
  <c r="BR515" i="1"/>
  <c r="BR2123" i="1"/>
  <c r="BR55" i="1"/>
  <c r="BR53" i="1"/>
  <c r="BR2265" i="1"/>
  <c r="BR2209" i="1"/>
  <c r="BR516" i="1"/>
  <c r="BR1433" i="1"/>
  <c r="BR1382" i="1"/>
  <c r="BR2017" i="1"/>
  <c r="BR2161" i="1"/>
  <c r="BR2095" i="1"/>
  <c r="BR1756" i="1"/>
  <c r="BR2054" i="1"/>
  <c r="BR1528" i="1"/>
  <c r="BR1478" i="1"/>
  <c r="BR2192" i="1"/>
  <c r="BR2132" i="1"/>
  <c r="BR1373" i="1"/>
  <c r="BR47" i="1"/>
  <c r="BR1582" i="1"/>
  <c r="BR1684" i="1"/>
  <c r="BR2064" i="1"/>
  <c r="BR2188" i="1"/>
  <c r="BR49" i="1"/>
  <c r="BR46" i="1"/>
  <c r="BR52" i="1"/>
  <c r="BR793" i="1"/>
  <c r="BR801" i="1"/>
  <c r="BR968" i="1"/>
  <c r="BR874" i="1"/>
  <c r="BR1019" i="1"/>
  <c r="BR875" i="1"/>
  <c r="BR843" i="1"/>
  <c r="BR876" i="1"/>
  <c r="BR899" i="1"/>
  <c r="BR40" i="1"/>
  <c r="BR36" i="1"/>
  <c r="BR38" i="1"/>
  <c r="BR39" i="1"/>
  <c r="BR50" i="1"/>
  <c r="BR1384" i="1"/>
  <c r="BR2323" i="1"/>
  <c r="BR2136" i="1"/>
  <c r="BR37" i="1"/>
  <c r="BR56" i="1"/>
  <c r="BR107" i="1"/>
  <c r="BR2322" i="1"/>
  <c r="BR1975" i="1"/>
  <c r="BR450" i="1"/>
  <c r="BR1308" i="1"/>
  <c r="BR2037" i="1"/>
  <c r="BR2272" i="1"/>
  <c r="BR596" i="1"/>
  <c r="BR315" i="1"/>
  <c r="BR697" i="1"/>
  <c r="BR1569" i="1"/>
  <c r="BR1805" i="1"/>
  <c r="BR1219" i="1"/>
  <c r="BR1305" i="1"/>
  <c r="BR1213" i="1"/>
  <c r="BR1413" i="1"/>
  <c r="BR2219" i="1"/>
  <c r="BR1452" i="1"/>
  <c r="BR1782" i="1"/>
  <c r="BR1634" i="1"/>
  <c r="BR1735" i="1"/>
  <c r="BR2125" i="1"/>
  <c r="BR1807" i="1"/>
  <c r="BR77" i="1"/>
  <c r="BR2110" i="1"/>
  <c r="BR2250" i="1"/>
  <c r="BR2294" i="1"/>
  <c r="BR1988" i="1"/>
  <c r="BR2079" i="1"/>
  <c r="BR1277" i="1"/>
  <c r="BR1548" i="1"/>
  <c r="BR94" i="1"/>
  <c r="BR1220" i="1"/>
  <c r="BR519" i="1"/>
  <c r="BR520" i="1"/>
  <c r="BR998" i="1"/>
  <c r="BR1079" i="1"/>
  <c r="BR794" i="1"/>
  <c r="BR747" i="1"/>
  <c r="BR802" i="1"/>
  <c r="BR521" i="1"/>
  <c r="BR522" i="1"/>
  <c r="BR1111" i="1"/>
  <c r="BR645" i="1"/>
  <c r="BR700" i="1"/>
  <c r="BR525" i="1"/>
  <c r="BR826" i="1"/>
  <c r="BR803" i="1"/>
  <c r="BR526" i="1"/>
  <c r="BR1173" i="1"/>
  <c r="BR527" i="1"/>
  <c r="BR528" i="1"/>
  <c r="BR1331" i="1"/>
  <c r="BR1071" i="1"/>
  <c r="BR1446" i="1"/>
  <c r="BR1057" i="1"/>
  <c r="BR1258" i="1"/>
  <c r="BR529" i="1"/>
  <c r="BR530" i="1"/>
  <c r="BR531" i="1"/>
  <c r="BR1317" i="1"/>
  <c r="BR2028" i="1"/>
  <c r="BR1889" i="1"/>
  <c r="BR1896" i="1"/>
  <c r="BR1259" i="1"/>
  <c r="BR1089" i="1"/>
  <c r="BR1641" i="1"/>
  <c r="BR1334" i="1"/>
  <c r="BR533" i="1"/>
  <c r="BR2173" i="1"/>
  <c r="BR534" i="1"/>
  <c r="BR2084" i="1"/>
  <c r="BR535" i="1"/>
  <c r="BR536" i="1"/>
  <c r="BR934" i="1"/>
  <c r="BR537" i="1"/>
  <c r="BR827" i="1"/>
  <c r="BR935" i="1"/>
  <c r="BR88" i="1"/>
  <c r="BR1870" i="1"/>
  <c r="BR538" i="1"/>
  <c r="BR539" i="1"/>
  <c r="BR921" i="1"/>
  <c r="BR540" i="1"/>
  <c r="BR541" i="1"/>
  <c r="BR542" i="1"/>
  <c r="BR1344" i="1"/>
  <c r="BR1670" i="1"/>
  <c r="BR1917" i="1"/>
  <c r="BR2196" i="1"/>
  <c r="BR1191" i="1"/>
  <c r="BR2081" i="1"/>
  <c r="BR1855" i="1"/>
  <c r="BR1254" i="1"/>
  <c r="BR1322" i="1"/>
  <c r="BR1871" i="1"/>
  <c r="BR1510" i="1"/>
  <c r="BR1434" i="1"/>
  <c r="BR2090" i="1"/>
  <c r="BR1583" i="1"/>
  <c r="BR1484" i="1"/>
  <c r="BR448" i="1"/>
  <c r="BR2245" i="1"/>
  <c r="BR2120" i="1"/>
  <c r="BR1414" i="1"/>
  <c r="BR543" i="1"/>
  <c r="BR57" i="1"/>
  <c r="BR58" i="1"/>
  <c r="BR1544" i="1"/>
  <c r="BR1385" i="1"/>
  <c r="BR1509" i="1"/>
  <c r="BR1656" i="1"/>
  <c r="BR1683" i="1"/>
  <c r="BR1815" i="1"/>
  <c r="BR1323" i="1"/>
  <c r="BR2289" i="1"/>
  <c r="BR545" i="1"/>
  <c r="BR546" i="1"/>
  <c r="BR547" i="1"/>
  <c r="BR548" i="1"/>
  <c r="BR549" i="1"/>
  <c r="BR1540" i="1"/>
  <c r="BR1430" i="1"/>
  <c r="BR1790" i="1"/>
  <c r="BR550" i="1"/>
  <c r="BR551" i="1"/>
  <c r="BR552" i="1"/>
  <c r="BR857" i="1"/>
  <c r="BR1335" i="1"/>
  <c r="BR1456" i="1"/>
  <c r="BR1926" i="1"/>
  <c r="BR553" i="1"/>
  <c r="BR1181" i="1"/>
  <c r="BR986" i="1"/>
  <c r="BR2193" i="1"/>
  <c r="BR1020" i="1"/>
  <c r="BR2279" i="1"/>
  <c r="BR1221" i="1"/>
  <c r="BR2175" i="1"/>
  <c r="BR2280" i="1"/>
  <c r="BR1629" i="1"/>
  <c r="BR1520" i="1"/>
  <c r="BR1499" i="1"/>
  <c r="BR1505" i="1"/>
  <c r="BR2018" i="1"/>
  <c r="BR1374" i="1"/>
  <c r="BR2208" i="1"/>
  <c r="BR1783" i="1"/>
  <c r="BR2062" i="1"/>
  <c r="BR2262" i="1"/>
  <c r="BR554" i="1"/>
  <c r="BR204" i="1"/>
  <c r="BR1817" i="1"/>
  <c r="BR360" i="1"/>
  <c r="BR1687" i="1"/>
  <c r="BR1841" i="1"/>
  <c r="BR1482" i="1"/>
  <c r="BR814" i="1"/>
  <c r="BR1524" i="1"/>
  <c r="BR1574" i="1"/>
  <c r="BR1427" i="1"/>
  <c r="BR1897" i="1"/>
  <c r="BR1570" i="1"/>
  <c r="BR1511" i="1"/>
  <c r="BR1492" i="1"/>
  <c r="BR1209" i="1"/>
  <c r="BR2086" i="1"/>
  <c r="BR1467" i="1"/>
  <c r="BR1515" i="1"/>
  <c r="BR1182" i="1"/>
  <c r="BR1349" i="1"/>
  <c r="BR922" i="1"/>
  <c r="BR557" i="1"/>
  <c r="BR2217" i="1"/>
  <c r="BR1747" i="1"/>
  <c r="BR2184" i="1"/>
  <c r="BR558" i="1"/>
  <c r="BR2114" i="1"/>
  <c r="BR559" i="1"/>
  <c r="BR560" i="1"/>
  <c r="BR1958" i="1"/>
  <c r="BR561" i="1"/>
  <c r="BR562" i="1"/>
  <c r="BR563" i="1"/>
  <c r="BR564" i="1"/>
  <c r="BR565" i="1"/>
  <c r="BR566" i="1"/>
  <c r="BR567" i="1"/>
  <c r="BR1380" i="1"/>
  <c r="BR568" i="1"/>
  <c r="BR1719" i="1"/>
  <c r="BR1697" i="1"/>
  <c r="BR992" i="1"/>
  <c r="BR1270" i="1"/>
  <c r="BR795" i="1"/>
  <c r="BR1387" i="1"/>
  <c r="BR569" i="1"/>
  <c r="BR1780" i="1"/>
  <c r="BR570" i="1"/>
  <c r="BR858" i="1"/>
  <c r="BR571" i="1"/>
  <c r="BR1013" i="1"/>
  <c r="BR859" i="1"/>
  <c r="BR572" i="1"/>
  <c r="BR1364" i="1"/>
  <c r="BR1564" i="1"/>
  <c r="BR1516" i="1"/>
  <c r="BR1139" i="1"/>
  <c r="BR2185" i="1"/>
  <c r="BR2038" i="1"/>
  <c r="BR1816" i="1"/>
  <c r="BR2087" i="1"/>
  <c r="BR1811" i="1"/>
  <c r="BR1008" i="1"/>
  <c r="BR1306" i="1"/>
  <c r="BR1675" i="1"/>
  <c r="BR1625" i="1"/>
  <c r="BR1328" i="1"/>
  <c r="BR399" i="1"/>
  <c r="BR1880" i="1"/>
  <c r="BR574" i="1"/>
  <c r="BR2041" i="1"/>
  <c r="BR575" i="1"/>
  <c r="BR576" i="1"/>
  <c r="BR577" i="1"/>
  <c r="BR578" i="1"/>
  <c r="BR579" i="1"/>
  <c r="BR580" i="1"/>
  <c r="BR581" i="1"/>
  <c r="BR582" i="1"/>
  <c r="BR583" i="1"/>
  <c r="BR584" i="1"/>
  <c r="BR585" i="1"/>
  <c r="BR586" i="1"/>
  <c r="BR587" i="1"/>
  <c r="BR588" i="1"/>
  <c r="BR589" i="1"/>
  <c r="BR590" i="1"/>
  <c r="BR2157" i="1"/>
  <c r="BR1730" i="1"/>
  <c r="BR591" i="1"/>
  <c r="BR592" i="1"/>
  <c r="BR593" i="1"/>
  <c r="BR2142" i="1"/>
  <c r="BR2009" i="1"/>
  <c r="BR2286" i="1"/>
  <c r="BR2133" i="1"/>
  <c r="BR2320" i="1"/>
  <c r="BR594" i="1"/>
  <c r="BR51" i="1"/>
  <c r="BR1632" i="1"/>
  <c r="BR1077" i="1"/>
  <c r="BR1330" i="1"/>
  <c r="BR696" i="1"/>
  <c r="BR598" i="1"/>
  <c r="BR599" i="1"/>
  <c r="BR600" i="1"/>
  <c r="BR601" i="1"/>
  <c r="BR602" i="1"/>
  <c r="BR603" i="1"/>
  <c r="BR604" i="1"/>
  <c r="BR605" i="1"/>
  <c r="BR1350" i="1"/>
  <c r="BR607" i="1"/>
  <c r="BR608" i="1"/>
  <c r="BR609" i="1"/>
  <c r="BR610" i="1"/>
  <c r="BR611" i="1"/>
  <c r="BR612" i="1"/>
  <c r="BR1375" i="1"/>
  <c r="BR613" i="1"/>
  <c r="BR87" i="1"/>
  <c r="BR614" i="1"/>
  <c r="BR1615" i="1"/>
  <c r="BR1915" i="1"/>
  <c r="BR1314" i="1"/>
  <c r="BR1271" i="1"/>
  <c r="BR615" i="1"/>
  <c r="BR1307" i="1"/>
  <c r="BR1416" i="1"/>
  <c r="BR1893" i="1"/>
  <c r="BR1847" i="1"/>
  <c r="BR1579" i="1"/>
  <c r="BR1106" i="1"/>
  <c r="BR1285" i="1"/>
  <c r="BR999" i="1"/>
  <c r="BR1140" i="1"/>
  <c r="BR1604" i="1"/>
  <c r="BR1121" i="1"/>
  <c r="BR1447" i="1"/>
  <c r="BR1829" i="1"/>
  <c r="BR104" i="1"/>
  <c r="BR1360" i="1"/>
  <c r="BR724" i="1"/>
  <c r="BR1155" i="1"/>
  <c r="BR1639" i="1"/>
  <c r="BR1488" i="1"/>
  <c r="BR617" i="1"/>
  <c r="BR804" i="1"/>
  <c r="BR1978" i="1"/>
  <c r="BR2032" i="1"/>
  <c r="BR1791" i="1"/>
  <c r="BR618" i="1"/>
  <c r="BR619" i="1"/>
  <c r="BR620" i="1"/>
  <c r="BR621" i="1"/>
  <c r="BR622" i="1"/>
  <c r="BR623" i="1"/>
  <c r="BR624" i="1"/>
  <c r="BR625" i="1"/>
  <c r="BR1116" i="1"/>
  <c r="BR626" i="1"/>
  <c r="BR627" i="1"/>
  <c r="BR1238" i="1"/>
  <c r="BR923" i="1"/>
  <c r="BR628" i="1"/>
  <c r="BR2299" i="1"/>
  <c r="BR1874" i="1"/>
  <c r="BR1265" i="1"/>
  <c r="BR2267" i="1"/>
  <c r="BR1370" i="1"/>
  <c r="BR2117" i="1"/>
  <c r="BR2330" i="1"/>
  <c r="BR1883" i="1"/>
  <c r="BR1296" i="1"/>
  <c r="BR1525" i="1"/>
  <c r="BR1785" i="1"/>
  <c r="BR2055" i="1"/>
  <c r="BR997" i="1"/>
  <c r="BR2189" i="1"/>
  <c r="BR2181" i="1"/>
  <c r="BR2112" i="1"/>
  <c r="BR2226" i="1"/>
  <c r="BR544" i="1"/>
  <c r="BR1746" i="1"/>
  <c r="BR2118" i="1"/>
  <c r="BR2129" i="1"/>
  <c r="BR2105" i="1"/>
  <c r="BR2205" i="1"/>
  <c r="BR63" i="1"/>
  <c r="BR630" i="1"/>
  <c r="BR2278" i="1"/>
  <c r="BR1750" i="1"/>
  <c r="BR1973" i="1"/>
  <c r="BR1698" i="1"/>
  <c r="BR1748" i="1"/>
  <c r="BR1396" i="1"/>
  <c r="BR1500" i="1"/>
  <c r="BR1873" i="1"/>
  <c r="BR1660" i="1"/>
  <c r="BR2060" i="1"/>
  <c r="BR2174" i="1"/>
  <c r="BR2007" i="1"/>
  <c r="BR1971" i="1"/>
  <c r="BR59" i="1"/>
  <c r="BR631" i="1"/>
  <c r="BR1523" i="1"/>
  <c r="BR2304" i="1"/>
  <c r="BR632" i="1"/>
  <c r="BR2291" i="1"/>
  <c r="BR2121" i="1"/>
  <c r="BR1983" i="1"/>
  <c r="BR2177" i="1"/>
  <c r="BR2148" i="1"/>
  <c r="BR1441" i="1"/>
  <c r="BR877" i="1"/>
  <c r="BR767" i="1"/>
  <c r="BR1501" i="1"/>
  <c r="BR936" i="1"/>
  <c r="BR987" i="1"/>
  <c r="BR1203" i="1"/>
  <c r="BR1065" i="1"/>
  <c r="BR878" i="1"/>
  <c r="BR1107" i="1"/>
  <c r="BR900" i="1"/>
  <c r="BR1210" i="1"/>
  <c r="BR1680" i="1"/>
  <c r="BR951" i="1"/>
  <c r="BR783" i="1"/>
  <c r="BR805" i="1"/>
  <c r="BR633" i="1"/>
  <c r="BR1141" i="1"/>
  <c r="BR1009" i="1"/>
  <c r="BR1795" i="1"/>
  <c r="BR1133" i="1"/>
  <c r="BR892" i="1"/>
  <c r="BR784" i="1"/>
  <c r="BR2107" i="1"/>
  <c r="BR1939" i="1"/>
  <c r="BR1868" i="1"/>
  <c r="BR60" i="1"/>
  <c r="BR1903" i="1"/>
  <c r="BR1985" i="1"/>
  <c r="BR1940" i="1"/>
  <c r="BR1760" i="1"/>
  <c r="BR1495" i="1"/>
  <c r="BR1649" i="1"/>
  <c r="BR2013" i="1"/>
  <c r="BR2170" i="1"/>
  <c r="BR1992" i="1"/>
  <c r="BR1812" i="1"/>
  <c r="BR1681" i="1"/>
  <c r="BR64" i="1"/>
  <c r="BR2313" i="1"/>
  <c r="BR1713" i="1"/>
  <c r="BR2033" i="1"/>
  <c r="BR1993" i="1"/>
  <c r="BR634" i="1"/>
  <c r="BR1502" i="1"/>
  <c r="BR1630" i="1"/>
  <c r="BR972" i="1"/>
  <c r="BR1027" i="1"/>
  <c r="BR635" i="1"/>
  <c r="BR1332" i="1"/>
  <c r="BR844" i="1"/>
  <c r="BR973" i="1"/>
  <c r="BR1035" i="1"/>
  <c r="BR1090" i="1"/>
  <c r="BR845" i="1"/>
  <c r="BR819" i="1"/>
  <c r="BR969" i="1"/>
  <c r="BR879" i="1"/>
  <c r="BR1720" i="1"/>
  <c r="BR1872" i="1"/>
  <c r="BR2147" i="1"/>
  <c r="BR636" i="1"/>
  <c r="BR1734" i="1"/>
  <c r="BR1799" i="1"/>
  <c r="BR1163" i="1"/>
  <c r="BR1725" i="1"/>
  <c r="BR1729" i="1"/>
  <c r="BR1810" i="1"/>
  <c r="BR1653" i="1"/>
  <c r="BR2122" i="1"/>
  <c r="BR1409" i="1"/>
  <c r="BR1728" i="1"/>
  <c r="BR1619" i="1"/>
  <c r="BR1590" i="1"/>
  <c r="BR1931" i="1"/>
  <c r="BR1280" i="1"/>
  <c r="BR1691" i="1"/>
  <c r="BR2003" i="1"/>
  <c r="BR1225" i="1"/>
  <c r="BR1860" i="1"/>
  <c r="BR1755" i="1"/>
  <c r="BR1398" i="1"/>
  <c r="BR1862" i="1"/>
  <c r="BR1324" i="1"/>
  <c r="BR1584" i="1"/>
  <c r="BR1245" i="1"/>
  <c r="BR1553" i="1"/>
  <c r="BR1961" i="1"/>
  <c r="BR1620" i="1"/>
  <c r="BR637" i="1"/>
  <c r="BR1072" i="1"/>
  <c r="BR1913" i="1"/>
  <c r="BR2259" i="1"/>
  <c r="BR1737" i="1"/>
  <c r="BR1560" i="1"/>
  <c r="BR1512" i="1"/>
  <c r="BR1820" i="1"/>
  <c r="BR1743" i="1"/>
  <c r="BR975" i="1"/>
  <c r="BR1091" i="1"/>
  <c r="BR72" i="1"/>
  <c r="BR1605" i="1"/>
  <c r="BR941" i="1"/>
  <c r="BR1010" i="1"/>
  <c r="BR924" i="1"/>
  <c r="BR970" i="1"/>
  <c r="BR81" i="1"/>
  <c r="BR1577" i="1"/>
  <c r="BR1361" i="1"/>
  <c r="BR806" i="1"/>
  <c r="BR865" i="1"/>
  <c r="BR1596" i="1"/>
  <c r="BR1021" i="1"/>
  <c r="BR1030" i="1"/>
  <c r="BR1022" i="1"/>
  <c r="BR2328" i="1"/>
  <c r="BR152" i="1"/>
  <c r="BR255" i="1"/>
  <c r="BR466" i="1"/>
  <c r="BR927" i="1"/>
  <c r="BR325" i="1"/>
  <c r="BR532" i="1"/>
  <c r="BR363" i="1"/>
  <c r="BR396" i="1"/>
  <c r="BR1103" i="1"/>
  <c r="BR646" i="1"/>
  <c r="BR647" i="1"/>
  <c r="BR648" i="1"/>
  <c r="BR90" i="1"/>
  <c r="BR62" i="1"/>
  <c r="BR796" i="1"/>
  <c r="BR649" i="1"/>
  <c r="BR650" i="1"/>
  <c r="BR2210" i="1"/>
  <c r="BR651" i="1"/>
  <c r="BR652" i="1"/>
  <c r="BR653" i="1"/>
  <c r="BR654" i="1"/>
  <c r="BR2103" i="1"/>
  <c r="BR1408" i="1"/>
  <c r="BR1965" i="1"/>
  <c r="BR1462" i="1"/>
  <c r="BR655" i="1"/>
  <c r="BR1886" i="1"/>
  <c r="BR1493" i="1"/>
  <c r="BR656" i="1"/>
  <c r="BR657" i="1"/>
  <c r="BR658" i="1"/>
  <c r="BR659" i="1"/>
  <c r="BR660" i="1"/>
  <c r="BR661" i="1"/>
  <c r="BR662" i="1"/>
  <c r="BR663" i="1"/>
  <c r="BR664" i="1"/>
  <c r="BR66" i="1"/>
  <c r="BR665" i="1"/>
  <c r="BR666" i="1"/>
  <c r="BR667" i="1"/>
  <c r="BR668" i="1"/>
  <c r="BR669" i="1"/>
  <c r="BR670" i="1"/>
  <c r="BR671" i="1"/>
  <c r="BR1215" i="1"/>
  <c r="BR672" i="1"/>
  <c r="BR673" i="1"/>
  <c r="BR674" i="1"/>
  <c r="BR675" i="1"/>
  <c r="BR676" i="1"/>
  <c r="BR677" i="1"/>
  <c r="BR2153" i="1"/>
  <c r="BR678" i="1"/>
  <c r="BR679" i="1"/>
  <c r="BR680" i="1"/>
  <c r="BR681" i="1"/>
  <c r="BR682" i="1"/>
  <c r="BR756" i="1"/>
  <c r="BR683" i="1"/>
  <c r="BR684" i="1"/>
  <c r="BR685" i="1"/>
  <c r="BR686" i="1"/>
  <c r="BR687" i="1"/>
  <c r="BR785" i="1"/>
  <c r="BR748" i="1"/>
  <c r="BR786" i="1"/>
  <c r="BR1142" i="1"/>
  <c r="BR1591" i="1"/>
  <c r="BR959" i="1"/>
  <c r="BR1494" i="1"/>
  <c r="BR988" i="1"/>
  <c r="BR1286" i="1"/>
  <c r="BR1406" i="1"/>
  <c r="BR860" i="1"/>
  <c r="BR1650" i="1"/>
  <c r="BR1036" i="1"/>
  <c r="BR688" i="1"/>
  <c r="BR689" i="1"/>
  <c r="BR690" i="1"/>
  <c r="BR691" i="1"/>
  <c r="BR757" i="1"/>
  <c r="BR1058" i="1"/>
  <c r="BR1435" i="1"/>
  <c r="BR807" i="1"/>
  <c r="BR952" i="1"/>
  <c r="BR960" i="1"/>
  <c r="BR1821" i="1"/>
  <c r="BR942" i="1"/>
  <c r="BR861" i="1"/>
  <c r="BR692" i="1"/>
  <c r="BR693" i="1"/>
  <c r="BR1642" i="1"/>
  <c r="BR2126" i="1"/>
  <c r="BR1832" i="1"/>
  <c r="BR1561" i="1"/>
  <c r="BR1744" i="1"/>
  <c r="BR1945" i="1"/>
  <c r="BR1592" i="1"/>
  <c r="BR1682" i="1"/>
  <c r="BR694" i="1"/>
  <c r="BR1705" i="1"/>
  <c r="BR2287" i="1"/>
  <c r="BR1857" i="1"/>
  <c r="BR1129" i="1"/>
  <c r="BR237" i="1"/>
  <c r="BR287" i="1"/>
  <c r="BR606" i="1"/>
  <c r="BR856" i="1"/>
  <c r="BR641" i="1"/>
  <c r="BR126" i="1"/>
  <c r="BR1752" i="1"/>
  <c r="BR80" i="1"/>
  <c r="BR1580" i="1"/>
  <c r="BR82" i="1"/>
  <c r="BR1186" i="1"/>
  <c r="BR701" i="1"/>
  <c r="BR1421" i="1"/>
  <c r="BR745" i="1"/>
  <c r="BR2244" i="1"/>
  <c r="BR1963" i="1"/>
  <c r="BR702" i="1"/>
  <c r="BR703" i="1"/>
  <c r="BR219" i="1"/>
  <c r="BR220" i="1"/>
  <c r="BR704" i="1"/>
  <c r="BR67" i="1"/>
  <c r="BR96" i="1"/>
  <c r="BR1651" i="1"/>
  <c r="BR313" i="1"/>
  <c r="BR74" i="1"/>
  <c r="BR79" i="1"/>
  <c r="BR69" i="1"/>
  <c r="BR78" i="1"/>
  <c r="BR73" i="1"/>
  <c r="BR389" i="1"/>
  <c r="BR61" i="1"/>
  <c r="BR705" i="1"/>
  <c r="BR2010" i="1"/>
  <c r="BR706" i="1"/>
  <c r="BR707" i="1"/>
  <c r="BR708" i="1"/>
  <c r="BR709" i="1"/>
  <c r="BR710" i="1"/>
  <c r="BR711" i="1"/>
  <c r="BR712" i="1"/>
  <c r="BR2111" i="1"/>
  <c r="BR1246" i="1"/>
  <c r="BR713" i="1"/>
  <c r="BR714" i="1"/>
  <c r="BR715" i="1"/>
  <c r="BR1092" i="1"/>
  <c r="BR716" i="1"/>
  <c r="BR808" i="1"/>
  <c r="BR1159" i="1"/>
  <c r="BR866" i="1"/>
  <c r="BR1895" i="1"/>
  <c r="BR717" i="1"/>
  <c r="BR809" i="1"/>
  <c r="BR1616" i="1"/>
  <c r="BR1293" i="1"/>
  <c r="BR1239" i="1"/>
  <c r="BR718" i="1"/>
  <c r="BR1266" i="1"/>
  <c r="BR719" i="1"/>
  <c r="BR720" i="1"/>
  <c r="BR1028" i="1"/>
  <c r="BR2167" i="1"/>
  <c r="BR1845" i="1"/>
  <c r="BR1740" i="1"/>
  <c r="BR721" i="1"/>
  <c r="BR1887" i="1"/>
  <c r="BR92" i="1"/>
  <c r="BR2268" i="1"/>
  <c r="BR2056" i="1"/>
  <c r="BR1351" i="1"/>
  <c r="BR1749" i="1"/>
  <c r="BR722" i="1"/>
  <c r="BR1578" i="1"/>
  <c r="BR2318" i="1"/>
  <c r="BR1759" i="1"/>
  <c r="BR2077" i="1"/>
  <c r="BR106" i="1"/>
  <c r="BR160" i="1"/>
  <c r="BR725" i="1"/>
  <c r="BR65" i="1"/>
  <c r="BR726" i="1"/>
  <c r="BR89" i="1"/>
  <c r="BR1571" i="1"/>
  <c r="BR828" i="1"/>
  <c r="BR727" i="1"/>
  <c r="BR768" i="1"/>
  <c r="BR953" i="1"/>
  <c r="BR829" i="1"/>
  <c r="BR901" i="1"/>
  <c r="BR1366" i="1"/>
  <c r="BR1371" i="1"/>
  <c r="BR1566" i="1"/>
  <c r="BR1529" i="1"/>
  <c r="BR769" i="1"/>
  <c r="BR2230" i="1"/>
  <c r="BR1800" i="1"/>
  <c r="BR1226" i="1"/>
  <c r="BR1367" i="1"/>
  <c r="BR2035" i="1"/>
  <c r="BR2075" i="1"/>
  <c r="BR1506" i="1"/>
  <c r="BR730" i="1"/>
  <c r="BR1143" i="1"/>
  <c r="BR1000" i="1"/>
  <c r="BR910" i="1"/>
  <c r="BR862" i="1"/>
  <c r="BR1122" i="1"/>
  <c r="BR830" i="1"/>
  <c r="BR846" i="1"/>
  <c r="BR1353" i="1"/>
  <c r="BR993" i="1"/>
  <c r="BR1073" i="1"/>
  <c r="BR2085" i="1"/>
  <c r="BR979" i="1"/>
  <c r="BR880" i="1"/>
  <c r="BR1273" i="1"/>
  <c r="BR770" i="1"/>
  <c r="BR1260" i="1"/>
  <c r="BR831" i="1"/>
  <c r="BR832" i="1"/>
  <c r="BR1777" i="1"/>
  <c r="BR1097" i="1"/>
  <c r="BR920" i="1"/>
  <c r="BR731" i="1"/>
  <c r="BR732" i="1"/>
  <c r="BR733" i="1"/>
  <c r="BR1294" i="1"/>
  <c r="BR1080" i="1"/>
  <c r="BR734" i="1"/>
  <c r="BR771" i="1"/>
  <c r="BR1967" i="1"/>
  <c r="BR735" i="1"/>
  <c r="BR736" i="1"/>
  <c r="BR1875" i="1"/>
  <c r="BR1530" i="1"/>
  <c r="BR818" i="1"/>
  <c r="BR2130" i="1"/>
  <c r="BR1354" i="1"/>
  <c r="BR1448" i="1"/>
  <c r="BR1234" i="1"/>
  <c r="BR925" i="1"/>
  <c r="BR737" i="1"/>
  <c r="BR1192" i="1"/>
  <c r="BR1177" i="1"/>
  <c r="BR820" i="1"/>
  <c r="BR976" i="1"/>
  <c r="BR810" i="1"/>
  <c r="BR1044" i="1"/>
  <c r="BR1051" i="1"/>
  <c r="BR1066" i="1"/>
  <c r="BR738" i="1"/>
  <c r="BR1023" i="1"/>
  <c r="BR1598" i="1"/>
  <c r="BR1167" i="1"/>
  <c r="BR911" i="1"/>
  <c r="BR739" i="1"/>
  <c r="BR1144" i="1"/>
  <c r="BR1123" i="1"/>
  <c r="BR9" i="1"/>
  <c r="BR2341" i="1"/>
  <c r="BR740" i="1"/>
  <c r="BR741" i="1"/>
  <c r="BR742" i="1"/>
  <c r="BR2057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2" i="2"/>
  <c r="X902" i="1" l="1"/>
  <c r="X1004" i="1"/>
  <c r="Y1004" i="1" s="1"/>
  <c r="X1147" i="1"/>
  <c r="X430" i="1"/>
  <c r="Y430" i="1" s="1"/>
  <c r="X521" i="1"/>
  <c r="X800" i="1"/>
  <c r="Y800" i="1" s="1"/>
  <c r="X789" i="1"/>
  <c r="Y789" i="1" s="1"/>
  <c r="Y915" i="1"/>
  <c r="Y1641" i="1"/>
  <c r="X2254" i="1"/>
  <c r="Y2254" i="1" s="1"/>
  <c r="X1454" i="1"/>
  <c r="Y1454" i="1" s="1"/>
  <c r="X589" i="1"/>
  <c r="X1318" i="1"/>
  <c r="Y1318" i="1" s="1"/>
  <c r="X998" i="1"/>
  <c r="X1030" i="1"/>
  <c r="X1943" i="1"/>
  <c r="X2007" i="1"/>
  <c r="X864" i="1"/>
  <c r="Y864" i="1" s="1"/>
  <c r="X2102" i="1"/>
  <c r="Y2102" i="1" s="1"/>
  <c r="X2230" i="1"/>
  <c r="X2194" i="1"/>
  <c r="X2080" i="1"/>
  <c r="Y2080" i="1" s="1"/>
  <c r="Y1873" i="1"/>
  <c r="Y1600" i="1"/>
  <c r="X217" i="1"/>
  <c r="Y217" i="1" s="1"/>
  <c r="Y349" i="1"/>
  <c r="X235" i="1"/>
  <c r="X243" i="1"/>
  <c r="X990" i="1"/>
  <c r="X1022" i="1"/>
  <c r="X1455" i="1"/>
  <c r="X1487" i="1"/>
  <c r="X2335" i="1"/>
  <c r="Y2107" i="1"/>
  <c r="X195" i="1"/>
  <c r="Y195" i="1" s="1"/>
  <c r="Y693" i="1"/>
  <c r="X479" i="1"/>
  <c r="X1177" i="1"/>
  <c r="X1285" i="1"/>
  <c r="Y1285" i="1" s="1"/>
  <c r="Y1718" i="1"/>
  <c r="X1762" i="1"/>
  <c r="X1726" i="1"/>
  <c r="Y1726" i="1" s="1"/>
  <c r="X2006" i="1"/>
  <c r="X2238" i="1"/>
  <c r="X2014" i="1"/>
  <c r="X363" i="1"/>
  <c r="X293" i="1"/>
  <c r="X530" i="1"/>
  <c r="Y530" i="1" s="1"/>
  <c r="X1107" i="1"/>
  <c r="X1203" i="1"/>
  <c r="Y1203" i="1" s="1"/>
  <c r="X1491" i="1"/>
  <c r="X1592" i="1"/>
  <c r="X1624" i="1"/>
  <c r="Y944" i="1"/>
  <c r="Y1021" i="1"/>
  <c r="Y801" i="1"/>
  <c r="Y1007" i="1"/>
  <c r="X2088" i="1"/>
  <c r="Y2038" i="1"/>
  <c r="X13" i="1"/>
  <c r="X1781" i="1"/>
  <c r="X882" i="1"/>
  <c r="Y882" i="1" s="1"/>
  <c r="X1044" i="1"/>
  <c r="Y1044" i="1" s="1"/>
  <c r="X1687" i="1"/>
  <c r="X1596" i="1"/>
  <c r="Y2305" i="1"/>
  <c r="Y756" i="1"/>
  <c r="X1561" i="1"/>
  <c r="X2008" i="1"/>
  <c r="Y2008" i="1" s="1"/>
  <c r="X2204" i="1"/>
  <c r="X53" i="1"/>
  <c r="Y53" i="1" s="1"/>
  <c r="X1709" i="1"/>
  <c r="Y1709" i="1" s="1"/>
  <c r="Y2046" i="1"/>
  <c r="X1964" i="1"/>
  <c r="Y1964" i="1" s="1"/>
  <c r="X2262" i="1"/>
  <c r="Y2262" i="1" s="1"/>
  <c r="X57" i="1"/>
  <c r="X472" i="1"/>
  <c r="Y472" i="1" s="1"/>
  <c r="Y1688" i="1"/>
  <c r="X1600" i="1"/>
  <c r="X1925" i="1"/>
  <c r="Y2053" i="1"/>
  <c r="X2085" i="1"/>
  <c r="Y2085" i="1" s="1"/>
  <c r="X210" i="1"/>
  <c r="X494" i="1"/>
  <c r="Y494" i="1" s="1"/>
  <c r="Y11" i="1"/>
  <c r="X263" i="1"/>
  <c r="Y263" i="1" s="1"/>
  <c r="X821" i="1"/>
  <c r="Y821" i="1" s="1"/>
  <c r="X1150" i="1"/>
  <c r="X1210" i="1"/>
  <c r="Y1210" i="1" s="1"/>
  <c r="Y1682" i="1"/>
  <c r="Y1817" i="1"/>
  <c r="X2212" i="1"/>
  <c r="X1011" i="1"/>
  <c r="X1237" i="1"/>
  <c r="X1269" i="1"/>
  <c r="X1301" i="1"/>
  <c r="Y1301" i="1" s="1"/>
  <c r="X1790" i="1"/>
  <c r="X2220" i="1"/>
  <c r="Y2220" i="1" s="1"/>
  <c r="X1838" i="1"/>
  <c r="Y1888" i="1"/>
  <c r="X578" i="1"/>
  <c r="Y578" i="1" s="1"/>
  <c r="X974" i="1"/>
  <c r="X1006" i="1"/>
  <c r="X1691" i="1"/>
  <c r="Y1764" i="1"/>
  <c r="X1856" i="1"/>
  <c r="Y1856" i="1" s="1"/>
  <c r="Y207" i="1"/>
  <c r="Y1045" i="1"/>
  <c r="X1312" i="1"/>
  <c r="X24" i="1"/>
  <c r="Y24" i="1" s="1"/>
  <c r="Y1011" i="1"/>
  <c r="X1954" i="1"/>
  <c r="Y467" i="1"/>
  <c r="X1035" i="1"/>
  <c r="Y1035" i="1" s="1"/>
  <c r="Y1157" i="1"/>
  <c r="Y71" i="1"/>
  <c r="X278" i="1"/>
  <c r="Y278" i="1" s="1"/>
  <c r="X170" i="1"/>
  <c r="X330" i="1"/>
  <c r="Y2161" i="1"/>
  <c r="X2244" i="1"/>
  <c r="Y2244" i="1" s="1"/>
  <c r="X76" i="1"/>
  <c r="Y76" i="1" s="1"/>
  <c r="X162" i="1"/>
  <c r="Y162" i="1" s="1"/>
  <c r="X343" i="1"/>
  <c r="Y343" i="1" s="1"/>
  <c r="Y989" i="1"/>
  <c r="X1122" i="1"/>
  <c r="Y1122" i="1" s="1"/>
  <c r="X1673" i="1"/>
  <c r="Y1673" i="1" s="1"/>
  <c r="X1862" i="1"/>
  <c r="X2104" i="1"/>
  <c r="Y2104" i="1" s="1"/>
  <c r="X1846" i="1"/>
  <c r="Y1846" i="1" s="1"/>
  <c r="X1867" i="1"/>
  <c r="X1324" i="1"/>
  <c r="Y1324" i="1" s="1"/>
  <c r="X1516" i="1"/>
  <c r="X1646" i="1"/>
  <c r="X1678" i="1"/>
  <c r="X1710" i="1"/>
  <c r="X111" i="1"/>
  <c r="Y111" i="1" s="1"/>
  <c r="Y167" i="1"/>
  <c r="X313" i="1"/>
  <c r="Y313" i="1" s="1"/>
  <c r="Y447" i="1"/>
  <c r="X547" i="1"/>
  <c r="Y547" i="1" s="1"/>
  <c r="X595" i="1"/>
  <c r="Y595" i="1" s="1"/>
  <c r="X677" i="1"/>
  <c r="Y677" i="1" s="1"/>
  <c r="X1349" i="1"/>
  <c r="Y1349" i="1" s="1"/>
  <c r="X1894" i="1"/>
  <c r="Y1894" i="1" s="1"/>
  <c r="X1666" i="1"/>
  <c r="Y1666" i="1" s="1"/>
  <c r="X2114" i="1"/>
  <c r="Y2114" i="1" s="1"/>
  <c r="X1948" i="1"/>
  <c r="Y1948" i="1" s="1"/>
  <c r="X2012" i="1"/>
  <c r="Y2012" i="1" s="1"/>
  <c r="X147" i="1"/>
  <c r="Y147" i="1" s="1"/>
  <c r="Y364" i="1"/>
  <c r="Y127" i="1"/>
  <c r="Y692" i="1"/>
  <c r="X1549" i="1"/>
  <c r="Y1549" i="1" s="1"/>
  <c r="Y1902" i="1"/>
  <c r="X312" i="1"/>
  <c r="Y312" i="1" s="1"/>
  <c r="X934" i="1"/>
  <c r="Y1080" i="1"/>
  <c r="X1665" i="1"/>
  <c r="Y1665" i="1" s="1"/>
  <c r="X987" i="1"/>
  <c r="Y987" i="1" s="1"/>
  <c r="Y1237" i="1"/>
  <c r="Y1269" i="1"/>
  <c r="X1328" i="1"/>
  <c r="Y1328" i="1" s="1"/>
  <c r="X1788" i="1"/>
  <c r="Y1790" i="1"/>
  <c r="X515" i="1"/>
  <c r="Y515" i="1" s="1"/>
  <c r="Y1273" i="1"/>
  <c r="X1348" i="1"/>
  <c r="Y1348" i="1" s="1"/>
  <c r="Y1361" i="1"/>
  <c r="X1442" i="1"/>
  <c r="Y1442" i="1" s="1"/>
  <c r="X1458" i="1"/>
  <c r="X1511" i="1"/>
  <c r="X2222" i="1"/>
  <c r="Y2222" i="1" s="1"/>
  <c r="Y2278" i="1"/>
  <c r="Y2014" i="1"/>
  <c r="Y1781" i="1"/>
  <c r="Y2148" i="1"/>
  <c r="Y1101" i="1"/>
  <c r="X12" i="1"/>
  <c r="X810" i="1"/>
  <c r="Y810" i="1" s="1"/>
  <c r="Y2309" i="1"/>
  <c r="X112" i="1"/>
  <c r="Y112" i="1" s="1"/>
  <c r="X333" i="1"/>
  <c r="Y333" i="1" s="1"/>
  <c r="X365" i="1"/>
  <c r="Y365" i="1" s="1"/>
  <c r="X409" i="1"/>
  <c r="Y409" i="1" s="1"/>
  <c r="X526" i="1"/>
  <c r="Y526" i="1" s="1"/>
  <c r="X603" i="1"/>
  <c r="X675" i="1"/>
  <c r="Y1288" i="1"/>
  <c r="X689" i="1"/>
  <c r="X904" i="1"/>
  <c r="X908" i="1"/>
  <c r="Y1229" i="1"/>
  <c r="Y1261" i="1"/>
  <c r="Y2164" i="1"/>
  <c r="Y2168" i="1"/>
  <c r="X1724" i="1"/>
  <c r="Y1944" i="1"/>
  <c r="X2182" i="1"/>
  <c r="Y2292" i="1"/>
  <c r="X1228" i="1"/>
  <c r="X64" i="1"/>
  <c r="Y64" i="1" s="1"/>
  <c r="Y425" i="1"/>
  <c r="X1025" i="1"/>
  <c r="Y1025" i="1" s="1"/>
  <c r="X2188" i="1"/>
  <c r="Y2188" i="1" s="1"/>
  <c r="X2272" i="1"/>
  <c r="Y2272" i="1" s="1"/>
  <c r="X1508" i="1"/>
  <c r="Y1508" i="1" s="1"/>
  <c r="X1590" i="1"/>
  <c r="Y1590" i="1" s="1"/>
  <c r="Y272" i="1"/>
  <c r="X691" i="1"/>
  <c r="Y691" i="1" s="1"/>
  <c r="X1845" i="1"/>
  <c r="Y1845" i="1" s="1"/>
  <c r="X431" i="1"/>
  <c r="Y431" i="1" s="1"/>
  <c r="X1085" i="1"/>
  <c r="Y1085" i="1" s="1"/>
  <c r="X1149" i="1"/>
  <c r="Y1149" i="1" s="1"/>
  <c r="X1161" i="1"/>
  <c r="Y1161" i="1" s="1"/>
  <c r="X1411" i="1"/>
  <c r="Y1411" i="1" s="1"/>
  <c r="X1315" i="1"/>
  <c r="X1331" i="1"/>
  <c r="X1347" i="1"/>
  <c r="Y2106" i="1"/>
  <c r="Y1838" i="1"/>
  <c r="X1850" i="1"/>
  <c r="Y1936" i="1"/>
  <c r="Y660" i="1"/>
  <c r="Y1456" i="1"/>
  <c r="Y824" i="1"/>
  <c r="X1141" i="1"/>
  <c r="Y1141" i="1" s="1"/>
  <c r="X1284" i="1"/>
  <c r="Y1284" i="1" s="1"/>
  <c r="X1368" i="1"/>
  <c r="Y1368" i="1" s="1"/>
  <c r="X1444" i="1"/>
  <c r="Y1444" i="1" s="1"/>
  <c r="X1515" i="1"/>
  <c r="Y1515" i="1" s="1"/>
  <c r="Y1585" i="1"/>
  <c r="Y1765" i="1"/>
  <c r="Y2294" i="1"/>
  <c r="Y2340" i="1"/>
  <c r="Y880" i="1"/>
  <c r="Y1300" i="1"/>
  <c r="X1476" i="1"/>
  <c r="Y1476" i="1" s="1"/>
  <c r="Y1782" i="1"/>
  <c r="X1597" i="1"/>
  <c r="Y1597" i="1" s="1"/>
  <c r="Y222" i="1"/>
  <c r="X97" i="1"/>
  <c r="X105" i="1"/>
  <c r="Y105" i="1" s="1"/>
  <c r="X318" i="1"/>
  <c r="Y318" i="1" s="1"/>
  <c r="Y293" i="1"/>
  <c r="X334" i="1"/>
  <c r="Y334" i="1" s="1"/>
  <c r="X355" i="1"/>
  <c r="X266" i="1"/>
  <c r="Y266" i="1" s="1"/>
  <c r="Y516" i="1"/>
  <c r="Y589" i="1"/>
  <c r="X512" i="1"/>
  <c r="X913" i="1"/>
  <c r="X1338" i="1"/>
  <c r="Y1338" i="1" s="1"/>
  <c r="X1051" i="1"/>
  <c r="X1083" i="1"/>
  <c r="X1179" i="1"/>
  <c r="Y1179" i="1" s="1"/>
  <c r="X1187" i="1"/>
  <c r="X1451" i="1"/>
  <c r="X1465" i="1"/>
  <c r="X1819" i="1"/>
  <c r="Y1819" i="1" s="1"/>
  <c r="X1945" i="1"/>
  <c r="Y1945" i="1" s="1"/>
  <c r="X2183" i="1"/>
  <c r="X2269" i="1"/>
  <c r="X194" i="1"/>
  <c r="Y194" i="1" s="1"/>
  <c r="Y210" i="1"/>
  <c r="X411" i="1"/>
  <c r="Y411" i="1" s="1"/>
  <c r="X563" i="1"/>
  <c r="Y563" i="1" s="1"/>
  <c r="Y744" i="1"/>
  <c r="X927" i="1"/>
  <c r="Y927" i="1" s="1"/>
  <c r="Y1734" i="1"/>
  <c r="X128" i="1"/>
  <c r="X149" i="1"/>
  <c r="Y149" i="1" s="1"/>
  <c r="X2113" i="1"/>
  <c r="Y709" i="1"/>
  <c r="Y1528" i="1"/>
  <c r="Y1205" i="1"/>
  <c r="X1677" i="1"/>
  <c r="Y1677" i="1" s="1"/>
  <c r="X1886" i="1"/>
  <c r="Y1886" i="1" s="1"/>
  <c r="X176" i="1"/>
  <c r="Y176" i="1" s="1"/>
  <c r="X174" i="1"/>
  <c r="X214" i="1"/>
  <c r="Y392" i="1"/>
  <c r="X461" i="1"/>
  <c r="Y461" i="1" s="1"/>
  <c r="X477" i="1"/>
  <c r="Y477" i="1" s="1"/>
  <c r="Y509" i="1"/>
  <c r="X554" i="1"/>
  <c r="Y640" i="1"/>
  <c r="X850" i="1"/>
  <c r="Y850" i="1" s="1"/>
  <c r="X1111" i="1"/>
  <c r="X1151" i="1"/>
  <c r="Y1420" i="1"/>
  <c r="X1443" i="1"/>
  <c r="X1459" i="1"/>
  <c r="Y1469" i="1"/>
  <c r="X1370" i="1"/>
  <c r="Y1370" i="1" s="1"/>
  <c r="X1544" i="1"/>
  <c r="X1560" i="1"/>
  <c r="X1576" i="1"/>
  <c r="X2001" i="1"/>
  <c r="Y2001" i="1" s="1"/>
  <c r="Y2241" i="1"/>
  <c r="Y2248" i="1"/>
  <c r="X2010" i="1"/>
  <c r="Y2010" i="1" s="1"/>
  <c r="X740" i="1"/>
  <c r="Y740" i="1" s="1"/>
  <c r="Y991" i="1"/>
  <c r="X2310" i="1"/>
  <c r="Y2310" i="1" s="1"/>
  <c r="X937" i="1"/>
  <c r="Y937" i="1" s="1"/>
  <c r="X716" i="1"/>
  <c r="Y716" i="1" s="1"/>
  <c r="X769" i="1"/>
  <c r="Y769" i="1" s="1"/>
  <c r="X1280" i="1"/>
  <c r="X1546" i="1"/>
  <c r="Y1546" i="1" s="1"/>
  <c r="X1562" i="1"/>
  <c r="Y1562" i="1" s="1"/>
  <c r="Y1578" i="1"/>
  <c r="X1642" i="1"/>
  <c r="Y1642" i="1" s="1"/>
  <c r="X1664" i="1"/>
  <c r="X1696" i="1"/>
  <c r="X1706" i="1"/>
  <c r="Y1706" i="1" s="1"/>
  <c r="Y1762" i="1"/>
  <c r="X753" i="1"/>
  <c r="Y753" i="1" s="1"/>
  <c r="X777" i="1"/>
  <c r="Y777" i="1" s="1"/>
  <c r="X1514" i="1"/>
  <c r="Y1514" i="1" s="1"/>
  <c r="X2074" i="1"/>
  <c r="Y2074" i="1" s="1"/>
  <c r="X2338" i="1"/>
  <c r="X1114" i="1"/>
  <c r="Y1114" i="1" s="1"/>
  <c r="X695" i="1"/>
  <c r="Y732" i="1"/>
  <c r="X1409" i="1"/>
  <c r="Y1733" i="1"/>
  <c r="X1861" i="1"/>
  <c r="Y1861" i="1" s="1"/>
  <c r="X1910" i="1"/>
  <c r="Y1910" i="1" s="1"/>
  <c r="X1978" i="1"/>
  <c r="Y1978" i="1" s="1"/>
  <c r="Y2132" i="1"/>
  <c r="Y2142" i="1"/>
  <c r="X2250" i="1"/>
  <c r="Y2250" i="1" s="1"/>
  <c r="X2334" i="1"/>
  <c r="Y2334" i="1" s="1"/>
  <c r="X1037" i="1"/>
  <c r="Y1037" i="1" s="1"/>
  <c r="X1426" i="1"/>
  <c r="X1484" i="1"/>
  <c r="X1878" i="1"/>
  <c r="X2160" i="1"/>
  <c r="X683" i="1"/>
  <c r="Y683" i="1" s="1"/>
  <c r="X995" i="1"/>
  <c r="Y995" i="1" s="1"/>
  <c r="X688" i="1"/>
  <c r="Y688" i="1" s="1"/>
  <c r="X816" i="1"/>
  <c r="Y816" i="1" s="1"/>
  <c r="X1565" i="1"/>
  <c r="Y1565" i="1" s="1"/>
  <c r="X1749" i="1"/>
  <c r="Y1749" i="1" s="1"/>
  <c r="X1853" i="1"/>
  <c r="Y1853" i="1" s="1"/>
  <c r="Y1849" i="1"/>
  <c r="X2200" i="1"/>
  <c r="Y2200" i="1" s="1"/>
  <c r="X2218" i="1"/>
  <c r="Y2218" i="1" s="1"/>
  <c r="X1998" i="1"/>
  <c r="Y1998" i="1" s="1"/>
  <c r="X1693" i="1"/>
  <c r="Y1693" i="1" s="1"/>
  <c r="X567" i="1"/>
  <c r="Y567" i="1" s="1"/>
  <c r="X1385" i="1"/>
  <c r="Y1385" i="1" s="1"/>
  <c r="X248" i="1"/>
  <c r="Y248" i="1" s="1"/>
  <c r="X768" i="1"/>
  <c r="Y768" i="1" s="1"/>
  <c r="X559" i="1"/>
  <c r="Y559" i="1" s="1"/>
  <c r="X724" i="1"/>
  <c r="Y724" i="1" s="1"/>
  <c r="Y605" i="1"/>
  <c r="Y621" i="1"/>
  <c r="Y671" i="1"/>
  <c r="Y558" i="1"/>
  <c r="X310" i="1"/>
  <c r="X593" i="1"/>
  <c r="X641" i="1"/>
  <c r="Y761" i="1"/>
  <c r="X775" i="1"/>
  <c r="Y775" i="1" s="1"/>
  <c r="X771" i="1"/>
  <c r="X799" i="1"/>
  <c r="Y922" i="1"/>
  <c r="X955" i="1"/>
  <c r="Y955" i="1" s="1"/>
  <c r="Y970" i="1"/>
  <c r="X984" i="1"/>
  <c r="Y984" i="1" s="1"/>
  <c r="X1016" i="1"/>
  <c r="Y1016" i="1" s="1"/>
  <c r="X1032" i="1"/>
  <c r="Y1032" i="1" s="1"/>
  <c r="X779" i="1"/>
  <c r="X1326" i="1"/>
  <c r="Y1326" i="1" s="1"/>
  <c r="X1072" i="1"/>
  <c r="Y1128" i="1"/>
  <c r="X1200" i="1"/>
  <c r="X1543" i="1"/>
  <c r="Y1543" i="1" s="1"/>
  <c r="X1607" i="1"/>
  <c r="Y1607" i="1" s="1"/>
  <c r="Y1631" i="1"/>
  <c r="X1671" i="1"/>
  <c r="X1548" i="1"/>
  <c r="X1816" i="1"/>
  <c r="X1851" i="1"/>
  <c r="Y1851" i="1" s="1"/>
  <c r="Y2013" i="1"/>
  <c r="X1884" i="1"/>
  <c r="X2171" i="1"/>
  <c r="X2205" i="1"/>
  <c r="X2215" i="1"/>
  <c r="Y38" i="1"/>
  <c r="X85" i="1"/>
  <c r="Y115" i="1"/>
  <c r="X295" i="1"/>
  <c r="Y295" i="1" s="1"/>
  <c r="X175" i="1"/>
  <c r="X300" i="1"/>
  <c r="Y300" i="1" s="1"/>
  <c r="X375" i="1"/>
  <c r="Y375" i="1" s="1"/>
  <c r="Y555" i="1"/>
  <c r="X776" i="1"/>
  <c r="Y776" i="1" s="1"/>
  <c r="X601" i="1"/>
  <c r="Y601" i="1" s="1"/>
  <c r="X665" i="1"/>
  <c r="Y665" i="1" s="1"/>
  <c r="X687" i="1"/>
  <c r="X427" i="1"/>
  <c r="Y427" i="1" s="1"/>
  <c r="X532" i="1"/>
  <c r="Y532" i="1" s="1"/>
  <c r="X636" i="1"/>
  <c r="Y636" i="1" s="1"/>
  <c r="X949" i="1"/>
  <c r="Y1224" i="1"/>
  <c r="X628" i="1"/>
  <c r="Y628" i="1" s="1"/>
  <c r="X1253" i="1"/>
  <c r="Y1253" i="1" s="1"/>
  <c r="X1388" i="1"/>
  <c r="Y1388" i="1" s="1"/>
  <c r="X1792" i="1"/>
  <c r="Y1792" i="1" s="1"/>
  <c r="X1413" i="1"/>
  <c r="Y1413" i="1" s="1"/>
  <c r="X1428" i="1"/>
  <c r="X1554" i="1"/>
  <c r="Y1554" i="1" s="1"/>
  <c r="X1697" i="1"/>
  <c r="Y1697" i="1" s="1"/>
  <c r="X1770" i="1"/>
  <c r="Y1885" i="1"/>
  <c r="Y1900" i="1"/>
  <c r="X1938" i="1"/>
  <c r="X1946" i="1"/>
  <c r="Y1946" i="1" s="1"/>
  <c r="X2004" i="1"/>
  <c r="Y2004" i="1" s="1"/>
  <c r="X2024" i="1"/>
  <c r="Y2024" i="1" s="1"/>
  <c r="X2134" i="1"/>
  <c r="Y2134" i="1" s="1"/>
  <c r="X2144" i="1"/>
  <c r="Y2144" i="1" s="1"/>
  <c r="Y2212" i="1"/>
  <c r="Y2264" i="1"/>
  <c r="X1482" i="1"/>
  <c r="Y1482" i="1" s="1"/>
  <c r="Y1561" i="1"/>
  <c r="X1736" i="1"/>
  <c r="Y1736" i="1" s="1"/>
  <c r="Y1769" i="1"/>
  <c r="X2136" i="1"/>
  <c r="Y2136" i="1" s="1"/>
  <c r="Y2228" i="1"/>
  <c r="Y13" i="1"/>
  <c r="X2274" i="1"/>
  <c r="X1206" i="1"/>
  <c r="X1232" i="1"/>
  <c r="X1264" i="1"/>
  <c r="Y1264" i="1" s="1"/>
  <c r="X1826" i="1"/>
  <c r="Y1826" i="1" s="1"/>
  <c r="X1772" i="1"/>
  <c r="X1806" i="1"/>
  <c r="X379" i="1"/>
  <c r="Y379" i="1" s="1"/>
  <c r="Y391" i="1"/>
  <c r="X403" i="1"/>
  <c r="Y403" i="1" s="1"/>
  <c r="X571" i="1"/>
  <c r="Y571" i="1" s="1"/>
  <c r="X274" i="1"/>
  <c r="Y274" i="1" s="1"/>
  <c r="X332" i="1"/>
  <c r="Y332" i="1" s="1"/>
  <c r="X551" i="1"/>
  <c r="Y551" i="1" s="1"/>
  <c r="X643" i="1"/>
  <c r="Y643" i="1" s="1"/>
  <c r="X752" i="1"/>
  <c r="Y752" i="1" s="1"/>
  <c r="Y1053" i="1"/>
  <c r="Y1289" i="1"/>
  <c r="X1317" i="1"/>
  <c r="Y1317" i="1" s="1"/>
  <c r="Y1458" i="1"/>
  <c r="X1506" i="1"/>
  <c r="Y1506" i="1" s="1"/>
  <c r="X1569" i="1"/>
  <c r="Y1569" i="1" s="1"/>
  <c r="Y2238" i="1"/>
  <c r="X1980" i="1"/>
  <c r="Y1980" i="1" s="1"/>
  <c r="X2062" i="1"/>
  <c r="Y2062" i="1" s="1"/>
  <c r="X2198" i="1"/>
  <c r="Y2198" i="1" s="1"/>
  <c r="X2236" i="1"/>
  <c r="Y2236" i="1" s="1"/>
  <c r="X2280" i="1"/>
  <c r="Y2280" i="1" s="1"/>
  <c r="X1380" i="1"/>
  <c r="Y1380" i="1" s="1"/>
  <c r="X2139" i="1"/>
  <c r="Y2139" i="1" s="1"/>
  <c r="X2319" i="1"/>
  <c r="X2109" i="1"/>
  <c r="X2125" i="1"/>
  <c r="X1855" i="1"/>
  <c r="X33" i="1"/>
  <c r="Y33" i="1" s="1"/>
  <c r="X1421" i="1"/>
  <c r="Y1421" i="1" s="1"/>
  <c r="X311" i="1"/>
  <c r="Y311" i="1" s="1"/>
  <c r="Y316" i="1"/>
  <c r="X304" i="1"/>
  <c r="Y387" i="1"/>
  <c r="X580" i="1"/>
  <c r="Y580" i="1" s="1"/>
  <c r="X611" i="1"/>
  <c r="Y611" i="1" s="1"/>
  <c r="Y977" i="1"/>
  <c r="X383" i="1"/>
  <c r="X788" i="1"/>
  <c r="Y788" i="1" s="1"/>
  <c r="Y836" i="1"/>
  <c r="Y1097" i="1"/>
  <c r="Y700" i="1"/>
  <c r="X846" i="1"/>
  <c r="Y846" i="1" s="1"/>
  <c r="X883" i="1"/>
  <c r="Y883" i="1" s="1"/>
  <c r="Y1245" i="1"/>
  <c r="Y1622" i="1"/>
  <c r="Y1638" i="1"/>
  <c r="X1648" i="1"/>
  <c r="X1658" i="1"/>
  <c r="Y1658" i="1" s="1"/>
  <c r="X1776" i="1"/>
  <c r="X1834" i="1"/>
  <c r="Y1834" i="1" s="1"/>
  <c r="X1293" i="1"/>
  <c r="Y1293" i="1" s="1"/>
  <c r="X1436" i="1"/>
  <c r="X1468" i="1"/>
  <c r="Y1468" i="1" s="1"/>
  <c r="X1541" i="1"/>
  <c r="Y1541" i="1" s="1"/>
  <c r="X1649" i="1"/>
  <c r="Y1649" i="1" s="1"/>
  <c r="X1738" i="1"/>
  <c r="X1745" i="1"/>
  <c r="Y1745" i="1" s="1"/>
  <c r="X2068" i="1"/>
  <c r="X1865" i="1"/>
  <c r="Y1865" i="1" s="1"/>
  <c r="X1914" i="1"/>
  <c r="Y1914" i="1" s="1"/>
  <c r="X1974" i="1"/>
  <c r="Y1974" i="1" s="1"/>
  <c r="Y2000" i="1"/>
  <c r="X2180" i="1"/>
  <c r="Y2180" i="1" s="1"/>
  <c r="X832" i="1"/>
  <c r="Y832" i="1" s="1"/>
  <c r="X884" i="1"/>
  <c r="X967" i="1"/>
  <c r="Y997" i="1"/>
  <c r="X1003" i="1"/>
  <c r="Y1003" i="1" s="1"/>
  <c r="Y1019" i="1"/>
  <c r="X1201" i="1"/>
  <c r="X1928" i="1"/>
  <c r="Y1928" i="1" s="1"/>
  <c r="Y2230" i="1"/>
  <c r="X1908" i="1"/>
  <c r="Y1908" i="1" s="1"/>
  <c r="X159" i="1"/>
  <c r="Y159" i="1" s="1"/>
  <c r="Y1669" i="1"/>
  <c r="X1813" i="1"/>
  <c r="Y1813" i="1" s="1"/>
  <c r="X1825" i="1"/>
  <c r="Y1825" i="1" s="1"/>
  <c r="X1958" i="1"/>
  <c r="Y1958" i="1" s="1"/>
  <c r="X1039" i="1"/>
  <c r="Y1039" i="1" s="1"/>
  <c r="X1181" i="1"/>
  <c r="Y1181" i="1" s="1"/>
  <c r="X220" i="1"/>
  <c r="X120" i="1"/>
  <c r="Y120" i="1" s="1"/>
  <c r="X245" i="1"/>
  <c r="Y245" i="1" s="1"/>
  <c r="X594" i="1"/>
  <c r="Y594" i="1" s="1"/>
  <c r="X400" i="1"/>
  <c r="Y400" i="1" s="1"/>
  <c r="X528" i="1"/>
  <c r="Y528" i="1" s="1"/>
  <c r="X637" i="1"/>
  <c r="Y637" i="1" s="1"/>
  <c r="Y656" i="1"/>
  <c r="X426" i="1"/>
  <c r="X633" i="1"/>
  <c r="Y633" i="1" s="1"/>
  <c r="X437" i="1"/>
  <c r="Y437" i="1" s="1"/>
  <c r="Y654" i="1"/>
  <c r="X881" i="1"/>
  <c r="Y881" i="1" s="1"/>
  <c r="X754" i="1"/>
  <c r="X855" i="1"/>
  <c r="Y855" i="1" s="1"/>
  <c r="X1038" i="1"/>
  <c r="Y1038" i="1" s="1"/>
  <c r="X1071" i="1"/>
  <c r="X1103" i="1"/>
  <c r="X1167" i="1"/>
  <c r="X1183" i="1"/>
  <c r="X1327" i="1"/>
  <c r="Y1327" i="1" s="1"/>
  <c r="X1343" i="1"/>
  <c r="Y885" i="1"/>
  <c r="Y181" i="1"/>
  <c r="Y90" i="1"/>
  <c r="X134" i="1"/>
  <c r="X21" i="1"/>
  <c r="Y21" i="1" s="1"/>
  <c r="Y315" i="1"/>
  <c r="X150" i="1"/>
  <c r="Y150" i="1" s="1"/>
  <c r="X287" i="1"/>
  <c r="Y548" i="1"/>
  <c r="Y596" i="1"/>
  <c r="X238" i="1"/>
  <c r="X545" i="1"/>
  <c r="X642" i="1"/>
  <c r="Y642" i="1" s="1"/>
  <c r="X650" i="1"/>
  <c r="Y650" i="1" s="1"/>
  <c r="X326" i="1"/>
  <c r="X480" i="1"/>
  <c r="Y480" i="1" s="1"/>
  <c r="X533" i="1"/>
  <c r="X652" i="1"/>
  <c r="Y652" i="1" s="1"/>
  <c r="X460" i="1"/>
  <c r="X246" i="1"/>
  <c r="X766" i="1"/>
  <c r="Y766" i="1" s="1"/>
  <c r="X774" i="1"/>
  <c r="Y774" i="1" s="1"/>
  <c r="X806" i="1"/>
  <c r="Y806" i="1" s="1"/>
  <c r="X838" i="1"/>
  <c r="X847" i="1"/>
  <c r="Y847" i="1" s="1"/>
  <c r="Y858" i="1"/>
  <c r="X879" i="1"/>
  <c r="Y879" i="1" s="1"/>
  <c r="X897" i="1"/>
  <c r="X929" i="1"/>
  <c r="Y929" i="1" s="1"/>
  <c r="X1028" i="1"/>
  <c r="Y767" i="1"/>
  <c r="X895" i="1"/>
  <c r="Y895" i="1" s="1"/>
  <c r="X914" i="1"/>
  <c r="Y914" i="1" s="1"/>
  <c r="X1254" i="1"/>
  <c r="Y1254" i="1" s="1"/>
  <c r="X1422" i="1"/>
  <c r="X2206" i="1"/>
  <c r="Y552" i="1"/>
  <c r="X305" i="1"/>
  <c r="X369" i="1"/>
  <c r="X417" i="1"/>
  <c r="X449" i="1"/>
  <c r="Y449" i="1" s="1"/>
  <c r="X481" i="1"/>
  <c r="X577" i="1"/>
  <c r="Y675" i="1"/>
  <c r="Y723" i="1"/>
  <c r="Y512" i="1"/>
  <c r="X428" i="1"/>
  <c r="X911" i="1"/>
  <c r="Y911" i="1" s="1"/>
  <c r="X961" i="1"/>
  <c r="Y961" i="1" s="1"/>
  <c r="X1000" i="1"/>
  <c r="Y1000" i="1" s="1"/>
  <c r="X710" i="1"/>
  <c r="X726" i="1"/>
  <c r="X742" i="1"/>
  <c r="Y742" i="1" s="1"/>
  <c r="X903" i="1"/>
  <c r="Y903" i="1" s="1"/>
  <c r="X1059" i="1"/>
  <c r="X1123" i="1"/>
  <c r="Y2256" i="1"/>
  <c r="Y2034" i="1"/>
  <c r="X708" i="1"/>
  <c r="Y708" i="1" s="1"/>
  <c r="X852" i="1"/>
  <c r="Y852" i="1" s="1"/>
  <c r="X1052" i="1"/>
  <c r="Y1052" i="1" s="1"/>
  <c r="X1076" i="1"/>
  <c r="Y1076" i="1" s="1"/>
  <c r="Y1084" i="1"/>
  <c r="Y1092" i="1"/>
  <c r="X1140" i="1"/>
  <c r="Y1140" i="1" s="1"/>
  <c r="X1148" i="1"/>
  <c r="Y1148" i="1" s="1"/>
  <c r="X1172" i="1"/>
  <c r="Y1172" i="1" s="1"/>
  <c r="X1180" i="1"/>
  <c r="Y1180" i="1" s="1"/>
  <c r="Y1196" i="1"/>
  <c r="X1239" i="1"/>
  <c r="X1271" i="1"/>
  <c r="X1287" i="1"/>
  <c r="X1303" i="1"/>
  <c r="X1416" i="1"/>
  <c r="Y1416" i="1" s="1"/>
  <c r="X1832" i="1"/>
  <c r="Y1832" i="1" s="1"/>
  <c r="Y1862" i="1"/>
  <c r="X1812" i="1"/>
  <c r="Y1812" i="1" s="1"/>
  <c r="X1917" i="1"/>
  <c r="Y1917" i="1" s="1"/>
  <c r="Y2117" i="1"/>
  <c r="X2127" i="1"/>
  <c r="X2299" i="1"/>
  <c r="Y2316" i="1"/>
  <c r="X2163" i="1"/>
  <c r="X2227" i="1"/>
  <c r="Y2145" i="1"/>
  <c r="X1863" i="1"/>
  <c r="Y1863" i="1" s="1"/>
  <c r="Y85" i="1"/>
  <c r="X231" i="1"/>
  <c r="Y231" i="1" s="1"/>
  <c r="X95" i="1"/>
  <c r="Y95" i="1" s="1"/>
  <c r="X69" i="1"/>
  <c r="Y69" i="1" s="1"/>
  <c r="X34" i="1"/>
  <c r="Y34" i="1" s="1"/>
  <c r="X419" i="1"/>
  <c r="Y419" i="1" s="1"/>
  <c r="X446" i="1"/>
  <c r="Y446" i="1" s="1"/>
  <c r="X483" i="1"/>
  <c r="Y483" i="1" s="1"/>
  <c r="Y521" i="1"/>
  <c r="X131" i="1"/>
  <c r="X324" i="1"/>
  <c r="Y324" i="1" s="1"/>
  <c r="X344" i="1"/>
  <c r="Y344" i="1" s="1"/>
  <c r="X542" i="1"/>
  <c r="X717" i="1"/>
  <c r="Y717" i="1" s="1"/>
  <c r="Y867" i="1"/>
  <c r="X878" i="1"/>
  <c r="Y878" i="1" s="1"/>
  <c r="Y900" i="1"/>
  <c r="Y951" i="1"/>
  <c r="Y851" i="1"/>
  <c r="X784" i="1"/>
  <c r="Y784" i="1" s="1"/>
  <c r="Y975" i="1"/>
  <c r="Y1028" i="1"/>
  <c r="X1050" i="1"/>
  <c r="Y1050" i="1" s="1"/>
  <c r="X1118" i="1"/>
  <c r="Y1118" i="1" s="1"/>
  <c r="Y1145" i="1"/>
  <c r="X1190" i="1"/>
  <c r="Y1190" i="1" s="1"/>
  <c r="X840" i="1"/>
  <c r="Y840" i="1" s="1"/>
  <c r="X860" i="1"/>
  <c r="Y860" i="1" s="1"/>
  <c r="X1193" i="1"/>
  <c r="Y1193" i="1" s="1"/>
  <c r="X1233" i="1"/>
  <c r="Y1233" i="1" s="1"/>
  <c r="X1533" i="1"/>
  <c r="Y1533" i="1" s="1"/>
  <c r="Y1545" i="1"/>
  <c r="X1586" i="1"/>
  <c r="X1657" i="1"/>
  <c r="Y1657" i="1" s="1"/>
  <c r="X1705" i="1"/>
  <c r="Y1705" i="1" s="1"/>
  <c r="X1713" i="1"/>
  <c r="Y1713" i="1" s="1"/>
  <c r="Y2082" i="1"/>
  <c r="Y2088" i="1"/>
  <c r="X2108" i="1"/>
  <c r="Y2108" i="1" s="1"/>
  <c r="X2124" i="1"/>
  <c r="X2268" i="1"/>
  <c r="Y2268" i="1" s="1"/>
  <c r="X1972" i="1"/>
  <c r="Y1972" i="1" s="1"/>
  <c r="X1519" i="1"/>
  <c r="Y1519" i="1" s="1"/>
  <c r="Y2040" i="1"/>
  <c r="X1046" i="1"/>
  <c r="Y1046" i="1" s="1"/>
  <c r="X1174" i="1"/>
  <c r="Y1174" i="1" s="1"/>
  <c r="X1377" i="1"/>
  <c r="Y1377" i="1" s="1"/>
  <c r="X2290" i="1"/>
  <c r="X684" i="1"/>
  <c r="X1260" i="1"/>
  <c r="Y1260" i="1" s="1"/>
  <c r="X1356" i="1"/>
  <c r="Y1356" i="1" s="1"/>
  <c r="Y1484" i="1"/>
  <c r="X1510" i="1"/>
  <c r="Y1510" i="1" s="1"/>
  <c r="Y1646" i="1"/>
  <c r="Y1678" i="1"/>
  <c r="Y1710" i="1"/>
  <c r="X1754" i="1"/>
  <c r="Y1754" i="1" s="1"/>
  <c r="X1786" i="1"/>
  <c r="Y1786" i="1" s="1"/>
  <c r="X1992" i="1"/>
  <c r="Y1992" i="1" s="1"/>
  <c r="X308" i="1"/>
  <c r="Y308" i="1" s="1"/>
  <c r="X31" i="1"/>
  <c r="Y31" i="1" s="1"/>
  <c r="X139" i="1"/>
  <c r="Y139" i="1" s="1"/>
  <c r="X340" i="1"/>
  <c r="Y340" i="1" s="1"/>
  <c r="X888" i="1"/>
  <c r="Y888" i="1" s="1"/>
  <c r="Y1490" i="1"/>
  <c r="Y1629" i="1"/>
  <c r="X1934" i="1"/>
  <c r="Y1934" i="1" s="1"/>
  <c r="X1984" i="1"/>
  <c r="Y1984" i="1" s="1"/>
  <c r="X2044" i="1"/>
  <c r="Y2044" i="1" s="1"/>
  <c r="X2122" i="1"/>
  <c r="Y2122" i="1" s="1"/>
  <c r="X2166" i="1"/>
  <c r="Y2166" i="1" s="1"/>
  <c r="Y1950" i="1"/>
  <c r="X2032" i="1"/>
  <c r="Y2032" i="1" s="1"/>
  <c r="X2111" i="1"/>
  <c r="X2245" i="1"/>
  <c r="Y2245" i="1" s="1"/>
  <c r="X68" i="1"/>
  <c r="Y68" i="1" s="1"/>
  <c r="X3" i="1"/>
  <c r="Y3" i="1" s="1"/>
  <c r="X228" i="1"/>
  <c r="X91" i="1"/>
  <c r="Y91" i="1" s="1"/>
  <c r="X473" i="1"/>
  <c r="Y473" i="1" s="1"/>
  <c r="X457" i="1"/>
  <c r="Y457" i="1" s="1"/>
  <c r="X701" i="1"/>
  <c r="Y701" i="1" s="1"/>
  <c r="X328" i="1"/>
  <c r="Y328" i="1" s="1"/>
  <c r="X510" i="1"/>
  <c r="X1078" i="1"/>
  <c r="Y1078" i="1" s="1"/>
  <c r="X697" i="1"/>
  <c r="Y697" i="1" s="1"/>
  <c r="X535" i="1"/>
  <c r="X815" i="1"/>
  <c r="X1357" i="1"/>
  <c r="X1500" i="1"/>
  <c r="Y1500" i="1" s="1"/>
  <c r="X1577" i="1"/>
  <c r="Y1577" i="1" s="1"/>
  <c r="Y2006" i="1"/>
  <c r="X2084" i="1"/>
  <c r="Y2084" i="1" s="1"/>
  <c r="X2176" i="1"/>
  <c r="Y2176" i="1" s="1"/>
  <c r="Y2204" i="1"/>
  <c r="X2312" i="1"/>
  <c r="X9" i="1"/>
  <c r="Y9" i="1" s="1"/>
  <c r="X932" i="1"/>
  <c r="X956" i="1"/>
  <c r="Y956" i="1" s="1"/>
  <c r="X1599" i="1"/>
  <c r="Y1599" i="1" s="1"/>
  <c r="X899" i="1"/>
  <c r="Y899" i="1" s="1"/>
  <c r="X2306" i="1"/>
  <c r="X284" i="1"/>
  <c r="Y284" i="1" s="1"/>
  <c r="X1369" i="1"/>
  <c r="Y1516" i="1"/>
  <c r="X1570" i="1"/>
  <c r="Y1570" i="1" s="1"/>
  <c r="X1634" i="1"/>
  <c r="X1670" i="1"/>
  <c r="Y1670" i="1" s="1"/>
  <c r="X1702" i="1"/>
  <c r="Y1702" i="1" s="1"/>
  <c r="Y2160" i="1"/>
  <c r="X981" i="1"/>
  <c r="X1567" i="1"/>
  <c r="Y1567" i="1" s="1"/>
  <c r="Y1806" i="1"/>
  <c r="X143" i="1"/>
  <c r="Y143" i="1" s="1"/>
  <c r="Y1581" i="1"/>
  <c r="X1920" i="1"/>
  <c r="Y1920" i="1" s="1"/>
  <c r="X1968" i="1"/>
  <c r="Y1968" i="1" s="1"/>
  <c r="X1286" i="1"/>
  <c r="Y1286" i="1" s="1"/>
  <c r="X1322" i="1"/>
  <c r="Y1322" i="1" s="1"/>
  <c r="X1088" i="1"/>
  <c r="X1160" i="1"/>
  <c r="Y1160" i="1" s="1"/>
  <c r="X1192" i="1"/>
  <c r="Y1192" i="1" s="1"/>
  <c r="Y1200" i="1"/>
  <c r="X1367" i="1"/>
  <c r="Y1367" i="1" s="1"/>
  <c r="X1427" i="1"/>
  <c r="Y1427" i="1" s="1"/>
  <c r="X1439" i="1"/>
  <c r="Y1439" i="1" s="1"/>
  <c r="X1503" i="1"/>
  <c r="X1587" i="1"/>
  <c r="Y1587" i="1" s="1"/>
  <c r="X1603" i="1"/>
  <c r="Y1603" i="1" s="1"/>
  <c r="X1635" i="1"/>
  <c r="Y1635" i="1" s="1"/>
  <c r="X56" i="1"/>
  <c r="X1683" i="1"/>
  <c r="X1403" i="1"/>
  <c r="Y1403" i="1" s="1"/>
  <c r="X1419" i="1"/>
  <c r="Y1419" i="1" s="1"/>
  <c r="X1435" i="1"/>
  <c r="Y1435" i="1" s="1"/>
  <c r="X1831" i="1"/>
  <c r="Y1831" i="1" s="1"/>
  <c r="X1893" i="1"/>
  <c r="Y1893" i="1" s="1"/>
  <c r="Y1925" i="1"/>
  <c r="X2005" i="1"/>
  <c r="Y2005" i="1" s="1"/>
  <c r="X2021" i="1"/>
  <c r="Y2021" i="1" s="1"/>
  <c r="X2037" i="1"/>
  <c r="Y2037" i="1" s="1"/>
  <c r="X2071" i="1"/>
  <c r="Y2175" i="1"/>
  <c r="Y2181" i="1"/>
  <c r="X2303" i="1"/>
  <c r="Y2303" i="1" s="1"/>
  <c r="X2339" i="1"/>
  <c r="Y58" i="1"/>
  <c r="X36" i="1"/>
  <c r="Y36" i="1" s="1"/>
  <c r="X20" i="1"/>
  <c r="Y20" i="1" s="1"/>
  <c r="X171" i="1"/>
  <c r="Y171" i="1" s="1"/>
  <c r="Y260" i="1"/>
  <c r="X219" i="1"/>
  <c r="Y219" i="1" s="1"/>
  <c r="X455" i="1"/>
  <c r="Y455" i="1" s="1"/>
  <c r="Y659" i="1"/>
  <c r="Y510" i="1"/>
  <c r="X543" i="1"/>
  <c r="Y543" i="1" s="1"/>
  <c r="X757" i="1"/>
  <c r="Y757" i="1" s="1"/>
  <c r="Y793" i="1"/>
  <c r="X737" i="1"/>
  <c r="Y737" i="1" s="1"/>
  <c r="X16" i="1"/>
  <c r="Y16" i="1" s="1"/>
  <c r="X804" i="1"/>
  <c r="Y804" i="1" s="1"/>
  <c r="Y1256" i="1"/>
  <c r="X731" i="1"/>
  <c r="Y731" i="1" s="1"/>
  <c r="X962" i="1"/>
  <c r="Y962" i="1" s="1"/>
  <c r="X999" i="1"/>
  <c r="Y999" i="1" s="1"/>
  <c r="Y1320" i="1"/>
  <c r="Y1352" i="1"/>
  <c r="X979" i="1"/>
  <c r="Y979" i="1" s="1"/>
  <c r="X1062" i="1"/>
  <c r="X1090" i="1"/>
  <c r="Y1090" i="1" s="1"/>
  <c r="X1094" i="1"/>
  <c r="Y1094" i="1" s="1"/>
  <c r="X1153" i="1"/>
  <c r="Y1153" i="1" s="1"/>
  <c r="Y1325" i="1"/>
  <c r="X1350" i="1"/>
  <c r="Y1350" i="1" s="1"/>
  <c r="X1464" i="1"/>
  <c r="X1498" i="1"/>
  <c r="Y1498" i="1" s="1"/>
  <c r="X1609" i="1"/>
  <c r="Y1609" i="1" s="1"/>
  <c r="X1689" i="1"/>
  <c r="Y1689" i="1" s="1"/>
  <c r="X1720" i="1"/>
  <c r="Y1720" i="1" s="1"/>
  <c r="Y1738" i="1"/>
  <c r="Y1770" i="1"/>
  <c r="X1777" i="1"/>
  <c r="Y1777" i="1" s="1"/>
  <c r="X1892" i="1"/>
  <c r="X1912" i="1"/>
  <c r="Y1912" i="1" s="1"/>
  <c r="Y1960" i="1"/>
  <c r="X2252" i="1"/>
  <c r="Y2252" i="1" s="1"/>
  <c r="X2110" i="1"/>
  <c r="Y2110" i="1" s="1"/>
  <c r="X2172" i="1"/>
  <c r="Y2172" i="1" s="1"/>
  <c r="Y2336" i="1"/>
  <c r="X537" i="1"/>
  <c r="Y537" i="1" s="1"/>
  <c r="X591" i="1"/>
  <c r="Y591" i="1" s="1"/>
  <c r="X856" i="1"/>
  <c r="Y856" i="1" s="1"/>
  <c r="X1417" i="1"/>
  <c r="Y1373" i="1"/>
  <c r="X1415" i="1"/>
  <c r="Y1415" i="1" s="1"/>
  <c r="Y1593" i="1"/>
  <c r="X1800" i="1"/>
  <c r="Y1800" i="1" s="1"/>
  <c r="Y1880" i="1"/>
  <c r="Y1988" i="1"/>
  <c r="Y2206" i="1"/>
  <c r="X2242" i="1"/>
  <c r="Y2298" i="1"/>
  <c r="X2324" i="1"/>
  <c r="Y2324" i="1" s="1"/>
  <c r="Y884" i="1"/>
  <c r="X912" i="1"/>
  <c r="Y912" i="1" s="1"/>
  <c r="X1452" i="1"/>
  <c r="Y1452" i="1" s="1"/>
  <c r="Y1474" i="1"/>
  <c r="Y1850" i="1"/>
  <c r="X1875" i="1"/>
  <c r="Y1875" i="1" s="1"/>
  <c r="X2140" i="1"/>
  <c r="Y2140" i="1" s="1"/>
  <c r="X1399" i="1"/>
  <c r="X1462" i="1"/>
  <c r="X320" i="1"/>
  <c r="Y320" i="1" s="1"/>
  <c r="X359" i="1"/>
  <c r="Y359" i="1" s="1"/>
  <c r="X478" i="1"/>
  <c r="Y478" i="1" s="1"/>
  <c r="X179" i="1"/>
  <c r="Y179" i="1" s="1"/>
  <c r="X451" i="1"/>
  <c r="Y451" i="1" s="1"/>
  <c r="X575" i="1"/>
  <c r="Y575" i="1" s="1"/>
  <c r="X968" i="1"/>
  <c r="Y968" i="1" s="1"/>
  <c r="X1033" i="1"/>
  <c r="Y1033" i="1" s="1"/>
  <c r="X1553" i="1"/>
  <c r="Y1553" i="1" s="1"/>
  <c r="Y1717" i="1"/>
  <c r="X1470" i="1"/>
  <c r="Y1470" i="1" s="1"/>
  <c r="X1837" i="1"/>
  <c r="Y1837" i="1" s="1"/>
  <c r="X2048" i="1"/>
  <c r="Y2048" i="1" s="1"/>
  <c r="X1532" i="1"/>
  <c r="Y1532" i="1" s="1"/>
  <c r="X1617" i="1"/>
  <c r="Y1617" i="1" s="1"/>
  <c r="X1661" i="1"/>
  <c r="Y1661" i="1" s="1"/>
  <c r="X1780" i="1"/>
  <c r="Y1780" i="1" s="1"/>
  <c r="Y2078" i="1"/>
  <c r="X1916" i="1"/>
  <c r="Y1916" i="1" s="1"/>
  <c r="X2086" i="1"/>
  <c r="Y2086" i="1" s="1"/>
  <c r="X2240" i="1"/>
  <c r="Y2240" i="1" s="1"/>
  <c r="X2304" i="1"/>
  <c r="Y2304" i="1" s="1"/>
  <c r="X1518" i="1"/>
  <c r="Y1518" i="1" s="1"/>
  <c r="X1753" i="1"/>
  <c r="Y1753" i="1" s="1"/>
  <c r="X1904" i="1"/>
  <c r="Y1904" i="1" s="1"/>
  <c r="X2022" i="1"/>
  <c r="Y2022" i="1" s="1"/>
  <c r="X1727" i="1"/>
  <c r="Y1727" i="1" s="1"/>
  <c r="X1743" i="1"/>
  <c r="Y1743" i="1" s="1"/>
  <c r="X1759" i="1"/>
  <c r="X1775" i="1"/>
  <c r="Y1775" i="1" s="1"/>
  <c r="X1791" i="1"/>
  <c r="X1807" i="1"/>
  <c r="Y1807" i="1" s="1"/>
  <c r="Y2111" i="1"/>
  <c r="X119" i="1"/>
  <c r="Y119" i="1" s="1"/>
  <c r="X157" i="1"/>
  <c r="Y157" i="1" s="1"/>
  <c r="X87" i="1"/>
  <c r="Y87" i="1" s="1"/>
  <c r="X154" i="1"/>
  <c r="Y154" i="1" s="1"/>
  <c r="X187" i="1"/>
  <c r="X191" i="1"/>
  <c r="X338" i="1"/>
  <c r="Y338" i="1" s="1"/>
  <c r="X491" i="1"/>
  <c r="Y491" i="1" s="1"/>
  <c r="Y542" i="1"/>
  <c r="Y931" i="1"/>
  <c r="X862" i="1"/>
  <c r="Y862" i="1" s="1"/>
  <c r="X715" i="1"/>
  <c r="X735" i="1"/>
  <c r="Y735" i="1" s="1"/>
  <c r="X946" i="1"/>
  <c r="Y946" i="1" s="1"/>
  <c r="Y1248" i="1"/>
  <c r="X924" i="1"/>
  <c r="Y924" i="1" s="1"/>
  <c r="Y908" i="1"/>
  <c r="X1142" i="1"/>
  <c r="Y1142" i="1" s="1"/>
  <c r="Y1428" i="1"/>
  <c r="Y1436" i="1"/>
  <c r="X1496" i="1"/>
  <c r="X2056" i="1"/>
  <c r="Y2056" i="1" s="1"/>
  <c r="Y1450" i="1"/>
  <c r="Y1540" i="1"/>
  <c r="X1768" i="1"/>
  <c r="X1793" i="1"/>
  <c r="Y1793" i="1" s="1"/>
  <c r="Y687" i="1"/>
  <c r="X618" i="1"/>
  <c r="X770" i="1"/>
  <c r="Y770" i="1" s="1"/>
  <c r="X865" i="1"/>
  <c r="Y949" i="1"/>
  <c r="Y445" i="1"/>
  <c r="X1334" i="1"/>
  <c r="Y1334" i="1" s="1"/>
  <c r="X2100" i="1"/>
  <c r="Y2100" i="1" s="1"/>
  <c r="Y2266" i="1"/>
  <c r="X1376" i="1"/>
  <c r="X1529" i="1"/>
  <c r="Y1529" i="1" s="1"/>
  <c r="Y206" i="1"/>
  <c r="X273" i="1"/>
  <c r="Y273" i="1" s="1"/>
  <c r="X227" i="1"/>
  <c r="Y227" i="1" s="1"/>
  <c r="X148" i="1"/>
  <c r="Y148" i="1" s="1"/>
  <c r="Y57" i="1"/>
  <c r="Y77" i="1"/>
  <c r="X59" i="1"/>
  <c r="Y220" i="1"/>
  <c r="Y1963" i="1"/>
  <c r="X7" i="1"/>
  <c r="X75" i="1"/>
  <c r="Y75" i="1" s="1"/>
  <c r="X102" i="1"/>
  <c r="X153" i="1"/>
  <c r="Y153" i="1" s="1"/>
  <c r="X156" i="1"/>
  <c r="Y156" i="1" s="1"/>
  <c r="Y197" i="1"/>
  <c r="X169" i="1"/>
  <c r="X218" i="1"/>
  <c r="X297" i="1"/>
  <c r="Y297" i="1" s="1"/>
  <c r="Y299" i="1"/>
  <c r="X213" i="1"/>
  <c r="X190" i="1"/>
  <c r="Y190" i="1" s="1"/>
  <c r="X371" i="1"/>
  <c r="X393" i="1"/>
  <c r="X388" i="1"/>
  <c r="Y388" i="1" s="1"/>
  <c r="X350" i="1"/>
  <c r="Y350" i="1" s="1"/>
  <c r="Y369" i="1"/>
  <c r="X382" i="1"/>
  <c r="Y382" i="1" s="1"/>
  <c r="X522" i="1"/>
  <c r="X544" i="1"/>
  <c r="Y544" i="1" s="1"/>
  <c r="X538" i="1"/>
  <c r="Y246" i="1"/>
  <c r="X758" i="1"/>
  <c r="Y758" i="1" s="1"/>
  <c r="X718" i="1"/>
  <c r="X734" i="1"/>
  <c r="Y734" i="1" s="1"/>
  <c r="Y890" i="1"/>
  <c r="Y917" i="1"/>
  <c r="Y1036" i="1"/>
  <c r="Y974" i="1"/>
  <c r="Y990" i="1"/>
  <c r="Y1006" i="1"/>
  <c r="Y1022" i="1"/>
  <c r="Y2209" i="1"/>
  <c r="Y2289" i="1"/>
  <c r="X1719" i="1"/>
  <c r="X1735" i="1"/>
  <c r="X1751" i="1"/>
  <c r="X1767" i="1"/>
  <c r="Y1767" i="1" s="1"/>
  <c r="X1783" i="1"/>
  <c r="Y1783" i="1" s="1"/>
  <c r="X1799" i="1"/>
  <c r="X83" i="1"/>
  <c r="Y83" i="1" s="1"/>
  <c r="Y135" i="1"/>
  <c r="X48" i="1"/>
  <c r="Y48" i="1" s="1"/>
  <c r="Y199" i="1"/>
  <c r="X1070" i="1"/>
  <c r="Y1070" i="1" s="1"/>
  <c r="X1098" i="1"/>
  <c r="Y1098" i="1" s="1"/>
  <c r="X1134" i="1"/>
  <c r="Y1134" i="1" s="1"/>
  <c r="X1162" i="1"/>
  <c r="Y1162" i="1" s="1"/>
  <c r="X676" i="1"/>
  <c r="Y676" i="1" s="1"/>
  <c r="X435" i="1"/>
  <c r="Y435" i="1" s="1"/>
  <c r="X499" i="1"/>
  <c r="Y499" i="1" s="1"/>
  <c r="Y1312" i="1"/>
  <c r="X1041" i="1"/>
  <c r="Y1041" i="1" s="1"/>
  <c r="Y1049" i="1"/>
  <c r="X1082" i="1"/>
  <c r="Y1082" i="1" s="1"/>
  <c r="X1154" i="1"/>
  <c r="Y1154" i="1" s="1"/>
  <c r="Y1177" i="1"/>
  <c r="X703" i="1"/>
  <c r="Y703" i="1" s="1"/>
  <c r="X1883" i="1"/>
  <c r="Y1883" i="1" s="1"/>
  <c r="Y1990" i="1"/>
  <c r="Y2124" i="1"/>
  <c r="Y2162" i="1"/>
  <c r="Y2224" i="1"/>
  <c r="Y1465" i="1"/>
  <c r="Y967" i="1"/>
  <c r="Y371" i="1"/>
  <c r="Y202" i="1"/>
  <c r="X270" i="1"/>
  <c r="Y270" i="1" s="1"/>
  <c r="Y109" i="1"/>
  <c r="X98" i="1"/>
  <c r="Y98" i="1" s="1"/>
  <c r="X201" i="1"/>
  <c r="Y201" i="1" s="1"/>
  <c r="X204" i="1"/>
  <c r="Y204" i="1" s="1"/>
  <c r="X52" i="1"/>
  <c r="Y52" i="1" s="1"/>
  <c r="X86" i="1"/>
  <c r="X223" i="1"/>
  <c r="X254" i="1"/>
  <c r="Y254" i="1" s="1"/>
  <c r="X257" i="1"/>
  <c r="Y257" i="1" s="1"/>
  <c r="Y277" i="1"/>
  <c r="X166" i="1"/>
  <c r="Y166" i="1" s="1"/>
  <c r="Y275" i="1"/>
  <c r="X294" i="1"/>
  <c r="Y294" i="1" s="1"/>
  <c r="X291" i="1"/>
  <c r="Y291" i="1" s="1"/>
  <c r="X373" i="1"/>
  <c r="Y373" i="1" s="1"/>
  <c r="X303" i="1"/>
  <c r="Y303" i="1" s="1"/>
  <c r="X346" i="1"/>
  <c r="Y346" i="1" s="1"/>
  <c r="X351" i="1"/>
  <c r="Y351" i="1" s="1"/>
  <c r="X418" i="1"/>
  <c r="Y418" i="1" s="1"/>
  <c r="X498" i="1"/>
  <c r="Y498" i="1" s="1"/>
  <c r="X422" i="1"/>
  <c r="Y422" i="1" s="1"/>
  <c r="X486" i="1"/>
  <c r="Y486" i="1" s="1"/>
  <c r="X496" i="1"/>
  <c r="Y496" i="1" s="1"/>
  <c r="X550" i="1"/>
  <c r="X614" i="1"/>
  <c r="Y614" i="1" s="1"/>
  <c r="X624" i="1"/>
  <c r="Y624" i="1" s="1"/>
  <c r="X55" i="1"/>
  <c r="Y55" i="1" s="1"/>
  <c r="X490" i="1"/>
  <c r="Y490" i="1" s="1"/>
  <c r="X609" i="1"/>
  <c r="Y658" i="1"/>
  <c r="Y715" i="1"/>
  <c r="Y747" i="1"/>
  <c r="X281" i="1"/>
  <c r="X416" i="1"/>
  <c r="Y416" i="1" s="1"/>
  <c r="X626" i="1"/>
  <c r="Y626" i="1" s="1"/>
  <c r="X501" i="1"/>
  <c r="X666" i="1"/>
  <c r="X682" i="1"/>
  <c r="Y682" i="1" s="1"/>
  <c r="X698" i="1"/>
  <c r="X469" i="1"/>
  <c r="Y469" i="1" s="1"/>
  <c r="X778" i="1"/>
  <c r="Y778" i="1" s="1"/>
  <c r="X787" i="1"/>
  <c r="Y787" i="1" s="1"/>
  <c r="X803" i="1"/>
  <c r="X722" i="1"/>
  <c r="X738" i="1"/>
  <c r="Y799" i="1"/>
  <c r="Y815" i="1"/>
  <c r="Y826" i="1"/>
  <c r="X833" i="1"/>
  <c r="Y853" i="1"/>
  <c r="X870" i="1"/>
  <c r="X945" i="1"/>
  <c r="Y945" i="1" s="1"/>
  <c r="Y965" i="1"/>
  <c r="Y1223" i="1"/>
  <c r="Y1239" i="1"/>
  <c r="Y1255" i="1"/>
  <c r="Y1271" i="1"/>
  <c r="Y1287" i="1"/>
  <c r="Y1303" i="1"/>
  <c r="Y1315" i="1"/>
  <c r="Y1331" i="1"/>
  <c r="Y1347" i="1"/>
  <c r="Y1359" i="1"/>
  <c r="Y1556" i="1"/>
  <c r="Y1572" i="1"/>
  <c r="Y1588" i="1"/>
  <c r="Y1604" i="1"/>
  <c r="Y1620" i="1"/>
  <c r="Y1636" i="1"/>
  <c r="Y1768" i="1"/>
  <c r="X1371" i="1"/>
  <c r="X1387" i="1"/>
  <c r="Y1387" i="1" s="1"/>
  <c r="Y1449" i="1"/>
  <c r="X1521" i="1"/>
  <c r="Y1521" i="1" s="1"/>
  <c r="X1808" i="1"/>
  <c r="X2239" i="1"/>
  <c r="Y2239" i="1" s="1"/>
  <c r="Y2113" i="1"/>
  <c r="Y2129" i="1"/>
  <c r="Y356" i="1"/>
  <c r="Y404" i="1"/>
  <c r="X585" i="1"/>
  <c r="Y585" i="1" s="1"/>
  <c r="Y603" i="1"/>
  <c r="X736" i="1"/>
  <c r="Y736" i="1" s="1"/>
  <c r="Y647" i="1"/>
  <c r="X926" i="1"/>
  <c r="Y926" i="1" s="1"/>
  <c r="X764" i="1"/>
  <c r="Y764" i="1" s="1"/>
  <c r="Y809" i="1"/>
  <c r="X910" i="1"/>
  <c r="Y910" i="1" s="1"/>
  <c r="Y1280" i="1"/>
  <c r="X817" i="1"/>
  <c r="Y817" i="1" s="1"/>
  <c r="Y935" i="1"/>
  <c r="X1573" i="1"/>
  <c r="Y1573" i="1" s="1"/>
  <c r="Y1586" i="1"/>
  <c r="X1870" i="1"/>
  <c r="Y1870" i="1" s="1"/>
  <c r="Y1833" i="1"/>
  <c r="Y1805" i="1"/>
  <c r="X1926" i="1"/>
  <c r="Y1926" i="1" s="1"/>
  <c r="Y1940" i="1"/>
  <c r="Y1942" i="1"/>
  <c r="Y2018" i="1"/>
  <c r="X2058" i="1"/>
  <c r="Y2058" i="1" s="1"/>
  <c r="Y2156" i="1"/>
  <c r="X1081" i="1"/>
  <c r="Y1081" i="1" s="1"/>
  <c r="X1336" i="1"/>
  <c r="Y1336" i="1" s="1"/>
  <c r="Y1417" i="1"/>
  <c r="X1494" i="1"/>
  <c r="X1550" i="1"/>
  <c r="Y1550" i="1" s="1"/>
  <c r="X1644" i="1"/>
  <c r="Y1644" i="1" s="1"/>
  <c r="X1660" i="1"/>
  <c r="Y1660" i="1" s="1"/>
  <c r="X1676" i="1"/>
  <c r="Y1676" i="1" s="1"/>
  <c r="X1692" i="1"/>
  <c r="Y1692" i="1" s="1"/>
  <c r="X1804" i="1"/>
  <c r="Y1804" i="1" s="1"/>
  <c r="X920" i="1"/>
  <c r="Y920" i="1" s="1"/>
  <c r="X983" i="1"/>
  <c r="Y983" i="1" s="1"/>
  <c r="X1566" i="1"/>
  <c r="Y1566" i="1" s="1"/>
  <c r="Y2002" i="1"/>
  <c r="Y2052" i="1"/>
  <c r="Y2214" i="1"/>
  <c r="X79" i="1"/>
  <c r="Y79" i="1" s="1"/>
  <c r="Y151" i="1"/>
  <c r="Y684" i="1"/>
  <c r="X1086" i="1"/>
  <c r="Y1086" i="1" s="1"/>
  <c r="Y1201" i="1"/>
  <c r="Y1369" i="1"/>
  <c r="X1412" i="1"/>
  <c r="Y1412" i="1" s="1"/>
  <c r="X1429" i="1"/>
  <c r="Y1429" i="1" s="1"/>
  <c r="X1480" i="1"/>
  <c r="X1589" i="1"/>
  <c r="Y1589" i="1" s="1"/>
  <c r="Y1634" i="1"/>
  <c r="X1725" i="1"/>
  <c r="Y1725" i="1" s="1"/>
  <c r="Y2182" i="1"/>
  <c r="X1073" i="1"/>
  <c r="Y1073" i="1" s="1"/>
  <c r="X1431" i="1"/>
  <c r="Y1431" i="1" s="1"/>
  <c r="X1708" i="1"/>
  <c r="Y1708" i="1" s="1"/>
  <c r="X1829" i="1"/>
  <c r="Y1892" i="1"/>
  <c r="X241" i="1"/>
  <c r="Y241" i="1" s="1"/>
  <c r="X458" i="1"/>
  <c r="X513" i="1"/>
  <c r="X586" i="1"/>
  <c r="Y586" i="1" s="1"/>
  <c r="Y679" i="1"/>
  <c r="Y695" i="1"/>
  <c r="Y743" i="1"/>
  <c r="X289" i="1"/>
  <c r="Y289" i="1" s="1"/>
  <c r="X448" i="1"/>
  <c r="Y448" i="1" s="1"/>
  <c r="X576" i="1"/>
  <c r="Y576" i="1" s="1"/>
  <c r="Y622" i="1"/>
  <c r="X625" i="1"/>
  <c r="Y625" i="1" s="1"/>
  <c r="Y310" i="1"/>
  <c r="X492" i="1"/>
  <c r="Y492" i="1" s="1"/>
  <c r="Y501" i="1"/>
  <c r="X638" i="1"/>
  <c r="X674" i="1"/>
  <c r="Y674" i="1" s="1"/>
  <c r="X690" i="1"/>
  <c r="Y690" i="1" s="1"/>
  <c r="X706" i="1"/>
  <c r="Y706" i="1" s="1"/>
  <c r="X30" i="1"/>
  <c r="Y30" i="1" s="1"/>
  <c r="X794" i="1"/>
  <c r="Y794" i="1" s="1"/>
  <c r="X751" i="1"/>
  <c r="Y751" i="1" s="1"/>
  <c r="X980" i="1"/>
  <c r="Y980" i="1" s="1"/>
  <c r="X996" i="1"/>
  <c r="Y996" i="1" s="1"/>
  <c r="X798" i="1"/>
  <c r="Y798" i="1" s="1"/>
  <c r="Y811" i="1"/>
  <c r="Y834" i="1"/>
  <c r="Y866" i="1"/>
  <c r="X898" i="1"/>
  <c r="Y898" i="1" s="1"/>
  <c r="X930" i="1"/>
  <c r="Y930" i="1" s="1"/>
  <c r="X1042" i="1"/>
  <c r="Y1059" i="1"/>
  <c r="Y1075" i="1"/>
  <c r="Y1091" i="1"/>
  <c r="Y1107" i="1"/>
  <c r="Y1123" i="1"/>
  <c r="Y1139" i="1"/>
  <c r="Y1155" i="1"/>
  <c r="Y1171" i="1"/>
  <c r="Y1187" i="1"/>
  <c r="X1218" i="1"/>
  <c r="Y1218" i="1" s="1"/>
  <c r="X1234" i="1"/>
  <c r="Y1234" i="1" s="1"/>
  <c r="X1242" i="1"/>
  <c r="Y1242" i="1" s="1"/>
  <c r="X1250" i="1"/>
  <c r="Y1250" i="1" s="1"/>
  <c r="X1266" i="1"/>
  <c r="Y1266" i="1" s="1"/>
  <c r="X1274" i="1"/>
  <c r="Y1274" i="1" s="1"/>
  <c r="X1282" i="1"/>
  <c r="Y1282" i="1" s="1"/>
  <c r="X1298" i="1"/>
  <c r="Y1298" i="1" s="1"/>
  <c r="X1306" i="1"/>
  <c r="Y1306" i="1" s="1"/>
  <c r="X1048" i="1"/>
  <c r="Y1048" i="1" s="1"/>
  <c r="X1056" i="1"/>
  <c r="Y1056" i="1" s="1"/>
  <c r="X1064" i="1"/>
  <c r="Y1064" i="1" s="1"/>
  <c r="Y1072" i="1"/>
  <c r="Y1088" i="1"/>
  <c r="X1096" i="1"/>
  <c r="Y1096" i="1" s="1"/>
  <c r="X1104" i="1"/>
  <c r="Y1104" i="1" s="1"/>
  <c r="X1112" i="1"/>
  <c r="Y1112" i="1" s="1"/>
  <c r="X1120" i="1"/>
  <c r="Y1120" i="1" s="1"/>
  <c r="X1136" i="1"/>
  <c r="Y1136" i="1" s="1"/>
  <c r="Y1144" i="1"/>
  <c r="X1152" i="1"/>
  <c r="Y1152" i="1" s="1"/>
  <c r="X1168" i="1"/>
  <c r="Y1168" i="1" s="1"/>
  <c r="X1176" i="1"/>
  <c r="Y1176" i="1" s="1"/>
  <c r="X1208" i="1"/>
  <c r="Y1208" i="1" s="1"/>
  <c r="X1216" i="1"/>
  <c r="Y1216" i="1" s="1"/>
  <c r="X1231" i="1"/>
  <c r="Y1231" i="1" s="1"/>
  <c r="X1247" i="1"/>
  <c r="Y1247" i="1" s="1"/>
  <c r="X1263" i="1"/>
  <c r="Y1263" i="1" s="1"/>
  <c r="X1279" i="1"/>
  <c r="Y1279" i="1" s="1"/>
  <c r="X1295" i="1"/>
  <c r="Y1295" i="1" s="1"/>
  <c r="X1311" i="1"/>
  <c r="Y1311" i="1" s="1"/>
  <c r="X1366" i="1"/>
  <c r="Y1366" i="1" s="1"/>
  <c r="X1382" i="1"/>
  <c r="Y1382" i="1" s="1"/>
  <c r="Y1399" i="1"/>
  <c r="X1355" i="1"/>
  <c r="Y1355" i="1" s="1"/>
  <c r="X1378" i="1"/>
  <c r="Y1378" i="1" s="1"/>
  <c r="X1391" i="1"/>
  <c r="Y1391" i="1" s="1"/>
  <c r="Y1406" i="1"/>
  <c r="X1527" i="1"/>
  <c r="Y1527" i="1" s="1"/>
  <c r="X1551" i="1"/>
  <c r="Y1551" i="1" s="1"/>
  <c r="X1583" i="1"/>
  <c r="Y1583" i="1" s="1"/>
  <c r="X1615" i="1"/>
  <c r="Y1615" i="1" s="1"/>
  <c r="X1663" i="1"/>
  <c r="Y1663" i="1" s="1"/>
  <c r="X1695" i="1"/>
  <c r="Y1724" i="1"/>
  <c r="Y1772" i="1"/>
  <c r="Y1788" i="1"/>
  <c r="X1445" i="1"/>
  <c r="Y1445" i="1" s="1"/>
  <c r="X1461" i="1"/>
  <c r="Y1461" i="1" s="1"/>
  <c r="X1477" i="1"/>
  <c r="Y1477" i="1" s="1"/>
  <c r="X1493" i="1"/>
  <c r="Y1493" i="1" s="1"/>
  <c r="X1501" i="1"/>
  <c r="Y1501" i="1" s="1"/>
  <c r="X1564" i="1"/>
  <c r="X1580" i="1"/>
  <c r="Y1580" i="1" s="1"/>
  <c r="X1612" i="1"/>
  <c r="Y1612" i="1" s="1"/>
  <c r="X1628" i="1"/>
  <c r="Y1867" i="1"/>
  <c r="X1824" i="1"/>
  <c r="Y1824" i="1" s="1"/>
  <c r="X1866" i="1"/>
  <c r="Y1866" i="1" s="1"/>
  <c r="X1897" i="1"/>
  <c r="Y1897" i="1" s="1"/>
  <c r="Y1929" i="1"/>
  <c r="X1977" i="1"/>
  <c r="Y1977" i="1" s="1"/>
  <c r="X1993" i="1"/>
  <c r="Y1993" i="1" s="1"/>
  <c r="X2009" i="1"/>
  <c r="Y2009" i="1" s="1"/>
  <c r="X2041" i="1"/>
  <c r="Y2041" i="1" s="1"/>
  <c r="X2073" i="1"/>
  <c r="Y2073" i="1" s="1"/>
  <c r="X2089" i="1"/>
  <c r="Y2089" i="1" s="1"/>
  <c r="Y1759" i="1"/>
  <c r="Y1791" i="1"/>
  <c r="X1911" i="1"/>
  <c r="Y1911" i="1" s="1"/>
  <c r="X1975" i="1"/>
  <c r="Y1975" i="1" s="1"/>
  <c r="X2039" i="1"/>
  <c r="Y2039" i="1" s="1"/>
  <c r="X2133" i="1"/>
  <c r="Y2143" i="1"/>
  <c r="Y2149" i="1"/>
  <c r="Y2213" i="1"/>
  <c r="X2261" i="1"/>
  <c r="Y2277" i="1"/>
  <c r="Y2225" i="1"/>
  <c r="Y2251" i="1"/>
  <c r="X2331" i="1"/>
  <c r="X1715" i="1"/>
  <c r="Y1715" i="1" s="1"/>
  <c r="X1731" i="1"/>
  <c r="Y1731" i="1" s="1"/>
  <c r="X1747" i="1"/>
  <c r="Y1747" i="1" s="1"/>
  <c r="X1763" i="1"/>
  <c r="Y1763" i="1" s="1"/>
  <c r="X1779" i="1"/>
  <c r="Y1779" i="1" s="1"/>
  <c r="X1795" i="1"/>
  <c r="Y1795" i="1" s="1"/>
  <c r="X2123" i="1"/>
  <c r="Y2123" i="1" s="1"/>
  <c r="X2155" i="1"/>
  <c r="Y2155" i="1" s="1"/>
  <c r="X2177" i="1"/>
  <c r="X2203" i="1"/>
  <c r="Y2203" i="1" s="1"/>
  <c r="X2297" i="1"/>
  <c r="Y2297" i="1" s="1"/>
  <c r="X4" i="1"/>
  <c r="Y4" i="1" s="1"/>
  <c r="X130" i="1"/>
  <c r="Y130" i="1" s="1"/>
  <c r="X50" i="1"/>
  <c r="Y50" i="1" s="1"/>
  <c r="X70" i="1"/>
  <c r="Y70" i="1" s="1"/>
  <c r="Y228" i="1"/>
  <c r="X101" i="1"/>
  <c r="Y101" i="1" s="1"/>
  <c r="X252" i="1"/>
  <c r="Y252" i="1" s="1"/>
  <c r="Y415" i="1"/>
  <c r="X475" i="1"/>
  <c r="Y475" i="1" s="1"/>
  <c r="X247" i="1"/>
  <c r="Y247" i="1" s="1"/>
  <c r="X296" i="1"/>
  <c r="Y296" i="1" s="1"/>
  <c r="Y471" i="1"/>
  <c r="Y639" i="1"/>
  <c r="X649" i="1"/>
  <c r="Y649" i="1" s="1"/>
  <c r="X720" i="1"/>
  <c r="Y720" i="1" s="1"/>
  <c r="X749" i="1"/>
  <c r="Y749" i="1" s="1"/>
  <c r="X587" i="1"/>
  <c r="Y587" i="1" s="1"/>
  <c r="X632" i="1"/>
  <c r="Y632" i="1" s="1"/>
  <c r="Y672" i="1"/>
  <c r="X681" i="1"/>
  <c r="Y681" i="1" s="1"/>
  <c r="X663" i="1"/>
  <c r="Y663" i="1" s="1"/>
  <c r="X711" i="1"/>
  <c r="Y711" i="1" s="1"/>
  <c r="X830" i="1"/>
  <c r="Y830" i="1" s="1"/>
  <c r="X894" i="1"/>
  <c r="Y894" i="1" s="1"/>
  <c r="X960" i="1"/>
  <c r="Y960" i="1" s="1"/>
  <c r="X1089" i="1"/>
  <c r="Y1089" i="1" s="1"/>
  <c r="X1138" i="1"/>
  <c r="Y1138" i="1" s="1"/>
  <c r="X1186" i="1"/>
  <c r="Y1186" i="1" s="1"/>
  <c r="Y689" i="1"/>
  <c r="X812" i="1"/>
  <c r="Y812" i="1" s="1"/>
  <c r="Y904" i="1"/>
  <c r="X1031" i="1"/>
  <c r="Y1031" i="1" s="1"/>
  <c r="X1110" i="1"/>
  <c r="Y1110" i="1" s="1"/>
  <c r="X1137" i="1"/>
  <c r="Y1137" i="1" s="1"/>
  <c r="Y1150" i="1"/>
  <c r="X1214" i="1"/>
  <c r="Y1214" i="1" s="1"/>
  <c r="X651" i="1"/>
  <c r="Y651" i="1" s="1"/>
  <c r="X705" i="1"/>
  <c r="Y705" i="1" s="1"/>
  <c r="X713" i="1"/>
  <c r="Y713" i="1" s="1"/>
  <c r="X848" i="1"/>
  <c r="Y848" i="1" s="1"/>
  <c r="X1013" i="1"/>
  <c r="Y1013" i="1" s="1"/>
  <c r="Y1062" i="1"/>
  <c r="X1074" i="1"/>
  <c r="Y1074" i="1" s="1"/>
  <c r="X1106" i="1"/>
  <c r="Y1106" i="1" s="1"/>
  <c r="X1265" i="1"/>
  <c r="Y1265" i="1" s="1"/>
  <c r="Y1462" i="1"/>
  <c r="X1466" i="1"/>
  <c r="Y1494" i="1"/>
  <c r="X1520" i="1"/>
  <c r="Y1520" i="1" s="1"/>
  <c r="X1605" i="1"/>
  <c r="Y1605" i="1" s="1"/>
  <c r="X1618" i="1"/>
  <c r="Y1618" i="1" s="1"/>
  <c r="Y1773" i="1"/>
  <c r="X1784" i="1"/>
  <c r="Y1784" i="1" s="1"/>
  <c r="Y1954" i="1"/>
  <c r="X1994" i="1"/>
  <c r="Y1994" i="1" s="1"/>
  <c r="X2020" i="1"/>
  <c r="Y2020" i="1" s="1"/>
  <c r="X2128" i="1"/>
  <c r="Y2128" i="1" s="1"/>
  <c r="X1029" i="1"/>
  <c r="Y1029" i="1" s="1"/>
  <c r="X1329" i="1"/>
  <c r="Y1329" i="1" s="1"/>
  <c r="X1384" i="1"/>
  <c r="Y1384" i="1" s="1"/>
  <c r="X1582" i="1"/>
  <c r="Y1582" i="1" s="1"/>
  <c r="X699" i="1"/>
  <c r="Y699" i="1" s="1"/>
  <c r="X719" i="1"/>
  <c r="Y719" i="1" s="1"/>
  <c r="X1364" i="1"/>
  <c r="Y1364" i="1" s="1"/>
  <c r="Y1409" i="1"/>
  <c r="X1598" i="1"/>
  <c r="Y1598" i="1" s="1"/>
  <c r="X1756" i="1"/>
  <c r="Y1756" i="1" s="1"/>
  <c r="X1758" i="1"/>
  <c r="Y1758" i="1" s="1"/>
  <c r="Y1924" i="1"/>
  <c r="Y2066" i="1"/>
  <c r="Y2332" i="1"/>
  <c r="Y2338" i="1"/>
  <c r="X553" i="1"/>
  <c r="Y553" i="1" s="1"/>
  <c r="X635" i="1"/>
  <c r="Y635" i="1" s="1"/>
  <c r="X844" i="1"/>
  <c r="Y844" i="1" s="1"/>
  <c r="X1015" i="1"/>
  <c r="Y1015" i="1" s="1"/>
  <c r="X1113" i="1"/>
  <c r="Y1113" i="1" s="1"/>
  <c r="X1169" i="1"/>
  <c r="Y1169" i="1" s="1"/>
  <c r="X1194" i="1"/>
  <c r="Y1194" i="1" s="1"/>
  <c r="X1198" i="1"/>
  <c r="Y1198" i="1" s="1"/>
  <c r="Y1206" i="1"/>
  <c r="Y1232" i="1"/>
  <c r="X1240" i="1"/>
  <c r="X1272" i="1"/>
  <c r="Y1272" i="1" s="1"/>
  <c r="Y1296" i="1"/>
  <c r="X1304" i="1"/>
  <c r="X1448" i="1"/>
  <c r="Y1448" i="1" s="1"/>
  <c r="X1507" i="1"/>
  <c r="Y1507" i="1" s="1"/>
  <c r="X1662" i="1"/>
  <c r="Y1662" i="1" s="1"/>
  <c r="X1694" i="1"/>
  <c r="Y1694" i="1" s="1"/>
  <c r="X1729" i="1"/>
  <c r="Y1729" i="1" s="1"/>
  <c r="X1757" i="1"/>
  <c r="Y1757" i="1" s="1"/>
  <c r="X1614" i="1"/>
  <c r="Y1614" i="1" s="1"/>
  <c r="Y2036" i="1"/>
  <c r="Y2274" i="1"/>
  <c r="X40" i="1"/>
  <c r="Y40" i="1" s="1"/>
  <c r="X1146" i="1"/>
  <c r="Y1146" i="1" s="1"/>
  <c r="Y1376" i="1"/>
  <c r="X1742" i="1"/>
  <c r="Y1742" i="1" s="1"/>
  <c r="X1400" i="1"/>
  <c r="Y1400" i="1" s="1"/>
  <c r="X1432" i="1"/>
  <c r="Y1432" i="1" s="1"/>
  <c r="X1467" i="1"/>
  <c r="Y1467" i="1" s="1"/>
  <c r="X1483" i="1"/>
  <c r="Y1483" i="1" s="1"/>
  <c r="X1499" i="1"/>
  <c r="Y1544" i="1"/>
  <c r="Y1560" i="1"/>
  <c r="Y1576" i="1"/>
  <c r="Y1592" i="1"/>
  <c r="Y1608" i="1"/>
  <c r="Y1624" i="1"/>
  <c r="Y1640" i="1"/>
  <c r="Y1648" i="1"/>
  <c r="Y1664" i="1"/>
  <c r="Y1672" i="1"/>
  <c r="Y1680" i="1"/>
  <c r="Y1696" i="1"/>
  <c r="Y1704" i="1"/>
  <c r="Y1712" i="1"/>
  <c r="Y1760" i="1"/>
  <c r="Y1776" i="1"/>
  <c r="Y1371" i="1"/>
  <c r="X1398" i="1"/>
  <c r="Y1398" i="1" s="1"/>
  <c r="X1414" i="1"/>
  <c r="Y1414" i="1" s="1"/>
  <c r="X1430" i="1"/>
  <c r="Y1430" i="1" s="1"/>
  <c r="Y1447" i="1"/>
  <c r="Y1479" i="1"/>
  <c r="Y1511" i="1"/>
  <c r="Y1526" i="1"/>
  <c r="X1534" i="1"/>
  <c r="Y1534" i="1" s="1"/>
  <c r="X1632" i="1"/>
  <c r="Y1632" i="1" s="1"/>
  <c r="Y1878" i="1"/>
  <c r="X1840" i="1"/>
  <c r="Y1840" i="1" s="1"/>
  <c r="X1949" i="1"/>
  <c r="Y1949" i="1" s="1"/>
  <c r="X1965" i="1"/>
  <c r="Y1965" i="1" s="1"/>
  <c r="X1981" i="1"/>
  <c r="Y1981" i="1" s="1"/>
  <c r="X2029" i="1"/>
  <c r="Y2029" i="1" s="1"/>
  <c r="X2045" i="1"/>
  <c r="Y2045" i="1" s="1"/>
  <c r="X2077" i="1"/>
  <c r="Y2077" i="1" s="1"/>
  <c r="X2093" i="1"/>
  <c r="Y2093" i="1" s="1"/>
  <c r="X2207" i="1"/>
  <c r="Y2207" i="1" s="1"/>
  <c r="X2271" i="1"/>
  <c r="Y2271" i="1" s="1"/>
  <c r="X2283" i="1"/>
  <c r="Y2283" i="1" s="1"/>
  <c r="Y2171" i="1"/>
  <c r="Y2177" i="1"/>
  <c r="Y2235" i="1"/>
  <c r="X2327" i="1"/>
  <c r="Y1719" i="1"/>
  <c r="Y1735" i="1"/>
  <c r="Y1751" i="1"/>
  <c r="Y1799" i="1"/>
  <c r="Y2312" i="1"/>
  <c r="X2317" i="1"/>
  <c r="Y2317" i="1" s="1"/>
  <c r="X2333" i="1"/>
  <c r="Y2333" i="1" s="1"/>
  <c r="X60" i="1"/>
  <c r="Y60" i="1" s="1"/>
  <c r="X1868" i="1"/>
  <c r="X1879" i="1"/>
  <c r="Y1879" i="1" s="1"/>
  <c r="X1891" i="1"/>
  <c r="Y1891" i="1" s="1"/>
  <c r="X1955" i="1"/>
  <c r="Y1955" i="1" s="1"/>
  <c r="X2019" i="1"/>
  <c r="X2083" i="1"/>
  <c r="X5" i="1"/>
  <c r="Y5" i="1" s="1"/>
  <c r="X45" i="1"/>
  <c r="Y45" i="1" s="1"/>
  <c r="Y175" i="1"/>
  <c r="Y264" i="1"/>
  <c r="Y187" i="1"/>
  <c r="X224" i="1"/>
  <c r="Y224" i="1" s="1"/>
  <c r="Y304" i="1"/>
  <c r="Y191" i="1"/>
  <c r="X463" i="1"/>
  <c r="Y463" i="1" s="1"/>
  <c r="Y574" i="1"/>
  <c r="Y131" i="1"/>
  <c r="Y479" i="1"/>
  <c r="X583" i="1"/>
  <c r="Y583" i="1" s="1"/>
  <c r="Y383" i="1"/>
  <c r="X607" i="1"/>
  <c r="Y607" i="1" s="1"/>
  <c r="X673" i="1"/>
  <c r="Y673" i="1" s="1"/>
  <c r="X704" i="1"/>
  <c r="Y704" i="1" s="1"/>
  <c r="X733" i="1"/>
  <c r="Y733" i="1" s="1"/>
  <c r="X1066" i="1"/>
  <c r="Y1066" i="1" s="1"/>
  <c r="X1102" i="1"/>
  <c r="Y1102" i="1" s="1"/>
  <c r="X1130" i="1"/>
  <c r="Y1130" i="1" s="1"/>
  <c r="X1166" i="1"/>
  <c r="Y1166" i="1" s="1"/>
  <c r="X280" i="1"/>
  <c r="Y280" i="1" s="1"/>
  <c r="X527" i="1"/>
  <c r="Y527" i="1" s="1"/>
  <c r="X623" i="1"/>
  <c r="Y623" i="1" s="1"/>
  <c r="Y680" i="1"/>
  <c r="X519" i="1"/>
  <c r="Y519" i="1" s="1"/>
  <c r="X669" i="1"/>
  <c r="Y669" i="1" s="1"/>
  <c r="X685" i="1"/>
  <c r="Y685" i="1" s="1"/>
  <c r="X1105" i="1"/>
  <c r="Y1105" i="1" s="1"/>
  <c r="X1126" i="1"/>
  <c r="Y1126" i="1" s="1"/>
  <c r="X1178" i="1"/>
  <c r="Y1178" i="1" s="1"/>
  <c r="Y1244" i="1"/>
  <c r="Y1276" i="1"/>
  <c r="Y1308" i="1"/>
  <c r="X615" i="1"/>
  <c r="Y615" i="1" s="1"/>
  <c r="X727" i="1"/>
  <c r="Y727" i="1" s="1"/>
  <c r="X1005" i="1"/>
  <c r="Y1005" i="1" s="1"/>
  <c r="X1043" i="1"/>
  <c r="Y1043" i="1" s="1"/>
  <c r="X1121" i="1"/>
  <c r="Y1121" i="1" s="1"/>
  <c r="X1158" i="1"/>
  <c r="Y1158" i="1" s="1"/>
  <c r="X1170" i="1"/>
  <c r="Y1170" i="1" s="1"/>
  <c r="Y535" i="1"/>
  <c r="X627" i="1"/>
  <c r="Y627" i="1" s="1"/>
  <c r="X808" i="1"/>
  <c r="Y808" i="1" s="1"/>
  <c r="X896" i="1"/>
  <c r="Y896" i="1" s="1"/>
  <c r="X1202" i="1"/>
  <c r="Y1202" i="1" s="1"/>
  <c r="X1297" i="1"/>
  <c r="Y1297" i="1" s="1"/>
  <c r="Y1357" i="1"/>
  <c r="X1372" i="1"/>
  <c r="Y1372" i="1" s="1"/>
  <c r="X1396" i="1"/>
  <c r="Y1396" i="1" s="1"/>
  <c r="Y1464" i="1"/>
  <c r="Y1496" i="1"/>
  <c r="X1637" i="1"/>
  <c r="Y1637" i="1" s="1"/>
  <c r="Y1741" i="1"/>
  <c r="X1752" i="1"/>
  <c r="Y1752" i="1" s="1"/>
  <c r="X1802" i="1"/>
  <c r="Y1802" i="1" s="1"/>
  <c r="X1809" i="1"/>
  <c r="Y1809" i="1" s="1"/>
  <c r="Y1829" i="1"/>
  <c r="Y1890" i="1"/>
  <c r="X1930" i="1"/>
  <c r="Y1930" i="1" s="1"/>
  <c r="X1956" i="1"/>
  <c r="Y1956" i="1" s="1"/>
  <c r="X1976" i="1"/>
  <c r="Y1976" i="1" s="1"/>
  <c r="X2054" i="1"/>
  <c r="Y2054" i="1" s="1"/>
  <c r="Y2068" i="1"/>
  <c r="Y2070" i="1"/>
  <c r="X203" i="1"/>
  <c r="Y203" i="1" s="1"/>
  <c r="Y932" i="1"/>
  <c r="X952" i="1"/>
  <c r="Y952" i="1" s="1"/>
  <c r="X1365" i="1"/>
  <c r="Y1365" i="1" s="1"/>
  <c r="X1652" i="1"/>
  <c r="Y1652" i="1" s="1"/>
  <c r="X1668" i="1"/>
  <c r="Y1668" i="1" s="1"/>
  <c r="X1684" i="1"/>
  <c r="Y1684" i="1" s="1"/>
  <c r="X1740" i="1"/>
  <c r="Y1740" i="1" s="1"/>
  <c r="X1774" i="1"/>
  <c r="Y1774" i="1" s="1"/>
  <c r="X721" i="1"/>
  <c r="Y721" i="1" s="1"/>
  <c r="X729" i="1"/>
  <c r="Y729" i="1" s="1"/>
  <c r="X785" i="1"/>
  <c r="Y785" i="1" s="1"/>
  <c r="X813" i="1"/>
  <c r="Y813" i="1" s="1"/>
  <c r="X868" i="1"/>
  <c r="Y868" i="1" s="1"/>
  <c r="X973" i="1"/>
  <c r="Y973" i="1" s="1"/>
  <c r="X1054" i="1"/>
  <c r="Y1054" i="1" s="1"/>
  <c r="X1057" i="1"/>
  <c r="Y1057" i="1" s="1"/>
  <c r="X1182" i="1"/>
  <c r="Y1182" i="1" s="1"/>
  <c r="X1401" i="1"/>
  <c r="Y1401" i="1" s="1"/>
  <c r="X1433" i="1"/>
  <c r="Y1433" i="1" s="1"/>
  <c r="X1446" i="1"/>
  <c r="Y1446" i="1" s="1"/>
  <c r="X1478" i="1"/>
  <c r="Y1478" i="1" s="1"/>
  <c r="X1630" i="1"/>
  <c r="Y1630" i="1" s="1"/>
  <c r="Y1938" i="1"/>
  <c r="X2112" i="1"/>
  <c r="Y2112" i="1" s="1"/>
  <c r="Y2194" i="1"/>
  <c r="X1058" i="1"/>
  <c r="Y1058" i="1" s="1"/>
  <c r="Y1228" i="1"/>
  <c r="Y1240" i="1"/>
  <c r="Y1292" i="1"/>
  <c r="Y1304" i="1"/>
  <c r="X1333" i="1"/>
  <c r="Y1333" i="1" s="1"/>
  <c r="X1397" i="1"/>
  <c r="Y1397" i="1" s="1"/>
  <c r="Y1480" i="1"/>
  <c r="X1536" i="1"/>
  <c r="Y1536" i="1" s="1"/>
  <c r="X1557" i="1"/>
  <c r="Y1557" i="1" s="1"/>
  <c r="X1602" i="1"/>
  <c r="Y1602" i="1" s="1"/>
  <c r="X1621" i="1"/>
  <c r="Y1621" i="1" s="1"/>
  <c r="X1654" i="1"/>
  <c r="Y1654" i="1" s="1"/>
  <c r="X1686" i="1"/>
  <c r="Y1686" i="1" s="1"/>
  <c r="X1722" i="1"/>
  <c r="Y1722" i="1" s="1"/>
  <c r="X1761" i="1"/>
  <c r="Y1761" i="1" s="1"/>
  <c r="X1789" i="1"/>
  <c r="Y1789" i="1" s="1"/>
  <c r="X1842" i="1"/>
  <c r="Y1842" i="1" s="1"/>
  <c r="Y2306" i="1"/>
  <c r="Y1466" i="1"/>
  <c r="Y2242" i="1"/>
  <c r="Y2290" i="1"/>
  <c r="X835" i="1"/>
  <c r="Y835" i="1" s="1"/>
  <c r="Y981" i="1"/>
  <c r="X1425" i="1"/>
  <c r="Y1425" i="1" s="1"/>
  <c r="X1700" i="1"/>
  <c r="Y1700" i="1" s="1"/>
  <c r="Y1463" i="1"/>
  <c r="Y1495" i="1"/>
  <c r="Y1659" i="1"/>
  <c r="X2195" i="1"/>
  <c r="Y2195" i="1" s="1"/>
  <c r="X2259" i="1"/>
  <c r="Y2259" i="1" s="1"/>
  <c r="Y133" i="1"/>
  <c r="Y174" i="1"/>
  <c r="Y1422" i="1"/>
  <c r="Y1455" i="1"/>
  <c r="Y1471" i="1"/>
  <c r="Y1487" i="1"/>
  <c r="Y1503" i="1"/>
  <c r="Y1643" i="1"/>
  <c r="Y1675" i="1"/>
  <c r="Y1691" i="1"/>
  <c r="Y1707" i="1"/>
  <c r="X39" i="1"/>
  <c r="Y39" i="1" s="1"/>
  <c r="X46" i="1"/>
  <c r="Y46" i="1" s="1"/>
  <c r="Y88" i="1"/>
  <c r="X108" i="1"/>
  <c r="Y108" i="1" s="1"/>
  <c r="Y110" i="1"/>
  <c r="X116" i="1"/>
  <c r="Y116" i="1" s="1"/>
  <c r="Y138" i="1"/>
  <c r="Y142" i="1"/>
  <c r="X161" i="1"/>
  <c r="Y161" i="1" s="1"/>
  <c r="X15" i="1"/>
  <c r="Y15" i="1" s="1"/>
  <c r="X93" i="1"/>
  <c r="Y102" i="1"/>
  <c r="X114" i="1"/>
  <c r="Y114" i="1" s="1"/>
  <c r="X177" i="1"/>
  <c r="Y177" i="1" s="1"/>
  <c r="X65" i="1"/>
  <c r="X144" i="1"/>
  <c r="Y214" i="1"/>
  <c r="X233" i="1"/>
  <c r="Y233" i="1" s="1"/>
  <c r="Y235" i="1"/>
  <c r="Y298" i="1"/>
  <c r="Y319" i="1"/>
  <c r="Y323" i="1"/>
  <c r="X342" i="1"/>
  <c r="Y342" i="1" s="1"/>
  <c r="X32" i="1"/>
  <c r="Y32" i="1" s="1"/>
  <c r="X54" i="1"/>
  <c r="Y54" i="1" s="1"/>
  <c r="X81" i="1"/>
  <c r="Y81" i="1" s="1"/>
  <c r="X164" i="1"/>
  <c r="X188" i="1"/>
  <c r="Y188" i="1" s="1"/>
  <c r="Y229" i="1"/>
  <c r="X249" i="1"/>
  <c r="Y249" i="1" s="1"/>
  <c r="Y251" i="1"/>
  <c r="Y314" i="1"/>
  <c r="Y335" i="1"/>
  <c r="Y339" i="1"/>
  <c r="X358" i="1"/>
  <c r="Y358" i="1" s="1"/>
  <c r="X1651" i="1"/>
  <c r="Y1651" i="1" s="1"/>
  <c r="X325" i="1"/>
  <c r="X384" i="1"/>
  <c r="Y384" i="1" s="1"/>
  <c r="X145" i="1"/>
  <c r="X185" i="1"/>
  <c r="Y185" i="1" s="1"/>
  <c r="X239" i="1"/>
  <c r="X282" i="1"/>
  <c r="Y282" i="1" s="1"/>
  <c r="X192" i="1"/>
  <c r="Y192" i="1" s="1"/>
  <c r="X302" i="1"/>
  <c r="Y302" i="1" s="1"/>
  <c r="X454" i="1"/>
  <c r="Y454" i="1" s="1"/>
  <c r="X464" i="1"/>
  <c r="Y464" i="1" s="1"/>
  <c r="X582" i="1"/>
  <c r="Y582" i="1" s="1"/>
  <c r="X592" i="1"/>
  <c r="Y592" i="1" s="1"/>
  <c r="X84" i="1"/>
  <c r="Y84" i="1" s="1"/>
  <c r="X331" i="1"/>
  <c r="Y331" i="1" s="1"/>
  <c r="X347" i="1"/>
  <c r="Y347" i="1" s="1"/>
  <c r="X394" i="1"/>
  <c r="X396" i="1"/>
  <c r="Y396" i="1" s="1"/>
  <c r="Y417" i="1"/>
  <c r="Y426" i="1"/>
  <c r="Y458" i="1"/>
  <c r="Y481" i="1"/>
  <c r="Y513" i="1"/>
  <c r="Y522" i="1"/>
  <c r="Y545" i="1"/>
  <c r="Y554" i="1"/>
  <c r="Y577" i="1"/>
  <c r="Y609" i="1"/>
  <c r="Y618" i="1"/>
  <c r="Y281" i="1"/>
  <c r="X329" i="1"/>
  <c r="Y329" i="1" s="1"/>
  <c r="X406" i="1"/>
  <c r="Y406" i="1" s="1"/>
  <c r="X438" i="1"/>
  <c r="X470" i="1"/>
  <c r="Y470" i="1" s="1"/>
  <c r="X502" i="1"/>
  <c r="Y502" i="1" s="1"/>
  <c r="X534" i="1"/>
  <c r="Y534" i="1" s="1"/>
  <c r="X566" i="1"/>
  <c r="X598" i="1"/>
  <c r="Y598" i="1" s="1"/>
  <c r="X608" i="1"/>
  <c r="Y608" i="1" s="1"/>
  <c r="X565" i="1"/>
  <c r="Y565" i="1" s="1"/>
  <c r="X570" i="1"/>
  <c r="Y570" i="1" s="1"/>
  <c r="X100" i="1"/>
  <c r="Y100" i="1" s="1"/>
  <c r="X405" i="1"/>
  <c r="X410" i="1"/>
  <c r="Y410" i="1" s="1"/>
  <c r="X465" i="1"/>
  <c r="Y465" i="1" s="1"/>
  <c r="X620" i="1"/>
  <c r="Y620" i="1" s="1"/>
  <c r="X377" i="1"/>
  <c r="Y638" i="1"/>
  <c r="X678" i="1"/>
  <c r="Y678" i="1" s="1"/>
  <c r="X694" i="1"/>
  <c r="Y694" i="1" s="1"/>
  <c r="X398" i="1"/>
  <c r="Y398" i="1" s="1"/>
  <c r="X597" i="1"/>
  <c r="X602" i="1"/>
  <c r="Y602" i="1" s="1"/>
  <c r="Y755" i="1"/>
  <c r="X714" i="1"/>
  <c r="Y714" i="1" s="1"/>
  <c r="X730" i="1"/>
  <c r="Y730" i="1" s="1"/>
  <c r="X746" i="1"/>
  <c r="Y746" i="1" s="1"/>
  <c r="Y791" i="1"/>
  <c r="Y823" i="1"/>
  <c r="X750" i="1"/>
  <c r="X762" i="1"/>
  <c r="Y771" i="1"/>
  <c r="X790" i="1"/>
  <c r="Y790" i="1" s="1"/>
  <c r="Y953" i="1"/>
  <c r="X827" i="1"/>
  <c r="Y827" i="1" s="1"/>
  <c r="Y837" i="1"/>
  <c r="X854" i="1"/>
  <c r="Y854" i="1" s="1"/>
  <c r="Y874" i="1"/>
  <c r="X891" i="1"/>
  <c r="Y891" i="1" s="1"/>
  <c r="Y901" i="1"/>
  <c r="X918" i="1"/>
  <c r="Y918" i="1" s="1"/>
  <c r="Y938" i="1"/>
  <c r="X950" i="1"/>
  <c r="Y950" i="1" s="1"/>
  <c r="X782" i="1"/>
  <c r="Y782" i="1" s="1"/>
  <c r="Y795" i="1"/>
  <c r="Y849" i="1"/>
  <c r="Y913" i="1"/>
  <c r="Y1040" i="1"/>
  <c r="Y1047" i="1"/>
  <c r="Y1063" i="1"/>
  <c r="Y1079" i="1"/>
  <c r="Y1095" i="1"/>
  <c r="Y1111" i="1"/>
  <c r="Y1127" i="1"/>
  <c r="Y1143" i="1"/>
  <c r="Y1159" i="1"/>
  <c r="Y1175" i="1"/>
  <c r="Y1191" i="1"/>
  <c r="Y1207" i="1"/>
  <c r="Y1219" i="1"/>
  <c r="Y1227" i="1"/>
  <c r="Y1235" i="1"/>
  <c r="Y1243" i="1"/>
  <c r="Y1251" i="1"/>
  <c r="Y1259" i="1"/>
  <c r="Y1267" i="1"/>
  <c r="Y1275" i="1"/>
  <c r="Y1283" i="1"/>
  <c r="Y1291" i="1"/>
  <c r="Y1299" i="1"/>
  <c r="Y1307" i="1"/>
  <c r="X978" i="1"/>
  <c r="Y978" i="1" s="1"/>
  <c r="X994" i="1"/>
  <c r="Y994" i="1" s="1"/>
  <c r="X1010" i="1"/>
  <c r="Y1010" i="1" s="1"/>
  <c r="X1026" i="1"/>
  <c r="Y1026" i="1" s="1"/>
  <c r="X969" i="1"/>
  <c r="Y1363" i="1"/>
  <c r="Y1379" i="1"/>
  <c r="X1383" i="1"/>
  <c r="Y1383" i="1" s="1"/>
  <c r="Y1395" i="1"/>
  <c r="Y1426" i="1"/>
  <c r="X1323" i="1"/>
  <c r="X1339" i="1"/>
  <c r="Y1339" i="1" s="1"/>
  <c r="Y1343" i="1"/>
  <c r="X1394" i="1"/>
  <c r="Y1394" i="1" s="1"/>
  <c r="Y1548" i="1"/>
  <c r="Y1564" i="1"/>
  <c r="Y1596" i="1"/>
  <c r="Y1628" i="1"/>
  <c r="X1408" i="1"/>
  <c r="Y1408" i="1" s="1"/>
  <c r="X1424" i="1"/>
  <c r="Y1424" i="1" s="1"/>
  <c r="Y1535" i="1"/>
  <c r="Y1647" i="1"/>
  <c r="Y1679" i="1"/>
  <c r="Y1695" i="1"/>
  <c r="Y1711" i="1"/>
  <c r="X1386" i="1"/>
  <c r="Y1386" i="1" s="1"/>
  <c r="Y1816" i="1"/>
  <c r="X1815" i="1"/>
  <c r="Y1815" i="1" s="1"/>
  <c r="X1811" i="1"/>
  <c r="Y1811" i="1" s="1"/>
  <c r="X1871" i="1"/>
  <c r="Y1871" i="1" s="1"/>
  <c r="Y1884" i="1"/>
  <c r="X1895" i="1"/>
  <c r="X1959" i="1"/>
  <c r="X2023" i="1"/>
  <c r="Y2023" i="1" s="1"/>
  <c r="X2087" i="1"/>
  <c r="Y2087" i="1" s="1"/>
  <c r="Y2101" i="1"/>
  <c r="Y2159" i="1"/>
  <c r="Y2165" i="1"/>
  <c r="Y2223" i="1"/>
  <c r="Y2229" i="1"/>
  <c r="Y2287" i="1"/>
  <c r="Y2293" i="1"/>
  <c r="X2169" i="1"/>
  <c r="Y2169" i="1" s="1"/>
  <c r="X2233" i="1"/>
  <c r="Y2233" i="1" s="1"/>
  <c r="X2275" i="1"/>
  <c r="Y2275" i="1" s="1"/>
  <c r="X1899" i="1"/>
  <c r="Y1899" i="1" s="1"/>
  <c r="X1915" i="1"/>
  <c r="Y1915" i="1" s="1"/>
  <c r="X1931" i="1"/>
  <c r="Y1931" i="1" s="1"/>
  <c r="X1947" i="1"/>
  <c r="X17" i="1"/>
  <c r="Y17" i="1" s="1"/>
  <c r="X1979" i="1"/>
  <c r="Y1979" i="1" s="1"/>
  <c r="X1995" i="1"/>
  <c r="Y1995" i="1" s="1"/>
  <c r="X2011" i="1"/>
  <c r="Y2011" i="1" s="1"/>
  <c r="X2027" i="1"/>
  <c r="Y2027" i="1" s="1"/>
  <c r="X2043" i="1"/>
  <c r="Y2043" i="1" s="1"/>
  <c r="X2059" i="1"/>
  <c r="X2075" i="1"/>
  <c r="X2091" i="1"/>
  <c r="Y2091" i="1" s="1"/>
  <c r="Y2219" i="1"/>
  <c r="X1839" i="1"/>
  <c r="Y1839" i="1" s="1"/>
  <c r="X1858" i="1"/>
  <c r="Y1858" i="1" s="1"/>
  <c r="Y2103" i="1"/>
  <c r="Y2109" i="1"/>
  <c r="Y2135" i="1"/>
  <c r="Y2141" i="1"/>
  <c r="Y2167" i="1"/>
  <c r="Y2173" i="1"/>
  <c r="Y2199" i="1"/>
  <c r="Y2205" i="1"/>
  <c r="Y2231" i="1"/>
  <c r="Y2237" i="1"/>
  <c r="Y2263" i="1"/>
  <c r="Y2269" i="1"/>
  <c r="Y2295" i="1"/>
  <c r="Y2301" i="1"/>
  <c r="X2313" i="1"/>
  <c r="Y2313" i="1" s="1"/>
  <c r="Y2319" i="1"/>
  <c r="Y2327" i="1"/>
  <c r="Y2335" i="1"/>
  <c r="Y1868" i="1"/>
  <c r="X1874" i="1"/>
  <c r="Y1874" i="1" s="1"/>
  <c r="X1939" i="1"/>
  <c r="Y1939" i="1" s="1"/>
  <c r="X2003" i="1"/>
  <c r="Y2003" i="1" s="1"/>
  <c r="X2067" i="1"/>
  <c r="X2201" i="1"/>
  <c r="Y2201" i="1" s="1"/>
  <c r="X1723" i="1"/>
  <c r="Y1723" i="1" s="1"/>
  <c r="X1739" i="1"/>
  <c r="X1755" i="1"/>
  <c r="Y1755" i="1" s="1"/>
  <c r="X1771" i="1"/>
  <c r="Y1771" i="1" s="1"/>
  <c r="X1787" i="1"/>
  <c r="Y1787" i="1" s="1"/>
  <c r="X1803" i="1"/>
  <c r="Y1803" i="1" s="1"/>
  <c r="Y144" i="1"/>
  <c r="X843" i="1"/>
  <c r="Y843" i="1" s="1"/>
  <c r="Y93" i="1"/>
  <c r="Y218" i="1"/>
  <c r="Y234" i="1"/>
  <c r="Y255" i="1"/>
  <c r="Y259" i="1"/>
  <c r="Y250" i="1"/>
  <c r="X92" i="1"/>
  <c r="Y92" i="1" s="1"/>
  <c r="Y287" i="1"/>
  <c r="X366" i="1"/>
  <c r="Y366" i="1" s="1"/>
  <c r="X432" i="1"/>
  <c r="Y432" i="1" s="1"/>
  <c r="X560" i="1"/>
  <c r="Y560" i="1" s="1"/>
  <c r="Y305" i="1"/>
  <c r="Y394" i="1"/>
  <c r="X421" i="1"/>
  <c r="Y421" i="1" s="1"/>
  <c r="X453" i="1"/>
  <c r="Y453" i="1" s="1"/>
  <c r="X485" i="1"/>
  <c r="Y485" i="1" s="1"/>
  <c r="X517" i="1"/>
  <c r="Y517" i="1" s="1"/>
  <c r="X549" i="1"/>
  <c r="Y549" i="1" s="1"/>
  <c r="X581" i="1"/>
  <c r="Y581" i="1" s="1"/>
  <c r="X613" i="1"/>
  <c r="Y613" i="1" s="1"/>
  <c r="X225" i="1"/>
  <c r="Y225" i="1" s="1"/>
  <c r="X262" i="1"/>
  <c r="Y262" i="1" s="1"/>
  <c r="X345" i="1"/>
  <c r="Y345" i="1" s="1"/>
  <c r="X353" i="1"/>
  <c r="Y353" i="1" s="1"/>
  <c r="Y438" i="1"/>
  <c r="Y566" i="1"/>
  <c r="X629" i="1"/>
  <c r="Y629" i="1" s="1"/>
  <c r="X172" i="1"/>
  <c r="X442" i="1"/>
  <c r="Y442" i="1" s="1"/>
  <c r="X497" i="1"/>
  <c r="Y497" i="1" s="1"/>
  <c r="Y533" i="1"/>
  <c r="Y460" i="1"/>
  <c r="X506" i="1"/>
  <c r="Y506" i="1" s="1"/>
  <c r="X561" i="1"/>
  <c r="Y561" i="1" s="1"/>
  <c r="X646" i="1"/>
  <c r="Y666" i="1"/>
  <c r="Y698" i="1"/>
  <c r="Y428" i="1"/>
  <c r="X474" i="1"/>
  <c r="Y474" i="1" s="1"/>
  <c r="X529" i="1"/>
  <c r="Y529" i="1" s="1"/>
  <c r="X662" i="1"/>
  <c r="Y662" i="1" s="1"/>
  <c r="X947" i="1"/>
  <c r="Y947" i="1" s="1"/>
  <c r="X963" i="1"/>
  <c r="Y963" i="1" s="1"/>
  <c r="Y718" i="1"/>
  <c r="Y722" i="1"/>
  <c r="Y738" i="1"/>
  <c r="Y754" i="1"/>
  <c r="X875" i="1"/>
  <c r="Y875" i="1" s="1"/>
  <c r="X939" i="1"/>
  <c r="Y939" i="1" s="1"/>
  <c r="Y710" i="1"/>
  <c r="Y726" i="1"/>
  <c r="X759" i="1"/>
  <c r="Y759" i="1" s="1"/>
  <c r="Y779" i="1"/>
  <c r="Y838" i="1"/>
  <c r="Y870" i="1"/>
  <c r="Y902" i="1"/>
  <c r="Y934" i="1"/>
  <c r="Y1051" i="1"/>
  <c r="Y1067" i="1"/>
  <c r="Y1083" i="1"/>
  <c r="Y1099" i="1"/>
  <c r="Y1115" i="1"/>
  <c r="Y1131" i="1"/>
  <c r="Y1147" i="1"/>
  <c r="Y1163" i="1"/>
  <c r="Y1195" i="1"/>
  <c r="Y1211" i="1"/>
  <c r="Y982" i="1"/>
  <c r="Y998" i="1"/>
  <c r="Y1014" i="1"/>
  <c r="Y1030" i="1"/>
  <c r="X1319" i="1"/>
  <c r="Y1319" i="1" s="1"/>
  <c r="Y1323" i="1"/>
  <c r="X1335" i="1"/>
  <c r="X1351" i="1"/>
  <c r="Y1351" i="1" s="1"/>
  <c r="Y1443" i="1"/>
  <c r="Y1451" i="1"/>
  <c r="Y1459" i="1"/>
  <c r="Y1475" i="1"/>
  <c r="Y1491" i="1"/>
  <c r="Y1499" i="1"/>
  <c r="Y1523" i="1"/>
  <c r="Y56" i="1"/>
  <c r="Y1667" i="1"/>
  <c r="Y1683" i="1"/>
  <c r="Y1699" i="1"/>
  <c r="Y1808" i="1"/>
  <c r="X1827" i="1"/>
  <c r="Y1827" i="1" s="1"/>
  <c r="X1860" i="1"/>
  <c r="Y1860" i="1" s="1"/>
  <c r="X1836" i="1"/>
  <c r="Y1836" i="1" s="1"/>
  <c r="Y1943" i="1"/>
  <c r="Y2007" i="1"/>
  <c r="Y2071" i="1"/>
  <c r="X2211" i="1"/>
  <c r="Y2211" i="1" s="1"/>
  <c r="X2265" i="1"/>
  <c r="X2307" i="1"/>
  <c r="Y2307" i="1" s="1"/>
  <c r="X2329" i="1"/>
  <c r="Y2329" i="1" s="1"/>
  <c r="X2337" i="1"/>
  <c r="Y2337" i="1" s="1"/>
  <c r="Y1855" i="1"/>
  <c r="X1923" i="1"/>
  <c r="Y1923" i="1" s="1"/>
  <c r="X1987" i="1"/>
  <c r="Y1987" i="1" s="1"/>
  <c r="Y2019" i="1"/>
  <c r="X2051" i="1"/>
  <c r="Y2051" i="1" s="1"/>
  <c r="Y2083" i="1"/>
  <c r="X2099" i="1"/>
  <c r="Y2099" i="1" s="1"/>
  <c r="X2115" i="1"/>
  <c r="Y2115" i="1" s="1"/>
  <c r="X2131" i="1"/>
  <c r="Y2131" i="1" s="1"/>
  <c r="X2147" i="1"/>
  <c r="Y2147" i="1" s="1"/>
  <c r="X2179" i="1"/>
  <c r="Y2179" i="1" s="1"/>
  <c r="X2243" i="1"/>
  <c r="Y2243" i="1" s="1"/>
  <c r="X2281" i="1"/>
  <c r="Y2281" i="1" s="1"/>
  <c r="Y97" i="1"/>
  <c r="Y158" i="1"/>
  <c r="Y86" i="1"/>
  <c r="Y362" i="1"/>
  <c r="Y170" i="1"/>
  <c r="Y325" i="1"/>
  <c r="Y145" i="1"/>
  <c r="Y819" i="1"/>
  <c r="Y783" i="1"/>
  <c r="X907" i="1"/>
  <c r="Y907" i="1" s="1"/>
  <c r="Y59" i="1"/>
  <c r="Y82" i="1"/>
  <c r="Y169" i="1"/>
  <c r="Y223" i="1"/>
  <c r="X104" i="1"/>
  <c r="Y104" i="1" s="1"/>
  <c r="Y164" i="1"/>
  <c r="Y271" i="1"/>
  <c r="Y243" i="1"/>
  <c r="X261" i="1"/>
  <c r="Y261" i="1" s="1"/>
  <c r="X208" i="1"/>
  <c r="Y208" i="1" s="1"/>
  <c r="Y6" i="1"/>
  <c r="X96" i="1"/>
  <c r="Y96" i="1" s="1"/>
  <c r="X61" i="1"/>
  <c r="Y61" i="1" s="1"/>
  <c r="X19" i="1"/>
  <c r="Y19" i="1" s="1"/>
  <c r="Y7" i="1"/>
  <c r="X89" i="1"/>
  <c r="Y89" i="1" s="1"/>
  <c r="X44" i="1"/>
  <c r="Y44" i="1" s="1"/>
  <c r="X745" i="1"/>
  <c r="Y745" i="1" s="1"/>
  <c r="X63" i="1"/>
  <c r="Y63" i="1" s="1"/>
  <c r="X94" i="1"/>
  <c r="Y94" i="1" s="1"/>
  <c r="X121" i="1"/>
  <c r="Y121" i="1" s="1"/>
  <c r="X137" i="1"/>
  <c r="Y137" i="1" s="1"/>
  <c r="X140" i="1"/>
  <c r="Y140" i="1" s="1"/>
  <c r="Y160" i="1"/>
  <c r="X180" i="1"/>
  <c r="Y180" i="1" s="1"/>
  <c r="Y182" i="1"/>
  <c r="X132" i="1"/>
  <c r="Y132" i="1" s="1"/>
  <c r="Y134" i="1"/>
  <c r="X196" i="1"/>
  <c r="Y196" i="1" s="1"/>
  <c r="Y198" i="1"/>
  <c r="Y65" i="1"/>
  <c r="X118" i="1"/>
  <c r="Y118" i="1" s="1"/>
  <c r="X126" i="1"/>
  <c r="Y126" i="1" s="1"/>
  <c r="Y128" i="1"/>
  <c r="X186" i="1"/>
  <c r="Y186" i="1" s="1"/>
  <c r="X321" i="1"/>
  <c r="Y321" i="1" s="1"/>
  <c r="Y341" i="1"/>
  <c r="X361" i="1"/>
  <c r="Y361" i="1" s="1"/>
  <c r="Y363" i="1"/>
  <c r="X113" i="1"/>
  <c r="Y113" i="1" s="1"/>
  <c r="X122" i="1"/>
  <c r="Y122" i="1" s="1"/>
  <c r="X193" i="1"/>
  <c r="Y193" i="1" s="1"/>
  <c r="X209" i="1"/>
  <c r="Y209" i="1" s="1"/>
  <c r="Y213" i="1"/>
  <c r="X230" i="1"/>
  <c r="Y230" i="1" s="1"/>
  <c r="X337" i="1"/>
  <c r="Y337" i="1" s="1"/>
  <c r="Y357" i="1"/>
  <c r="X129" i="1"/>
  <c r="Y129" i="1" s="1"/>
  <c r="X10" i="1"/>
  <c r="Y10" i="1" s="1"/>
  <c r="X307" i="1"/>
  <c r="Y307" i="1" s="1"/>
  <c r="Y309" i="1"/>
  <c r="Y355" i="1"/>
  <c r="Y12" i="1"/>
  <c r="Y393" i="1"/>
  <c r="Y239" i="1"/>
  <c r="Y330" i="1"/>
  <c r="X367" i="1"/>
  <c r="Y367" i="1" s="1"/>
  <c r="X378" i="1"/>
  <c r="Y378" i="1" s="1"/>
  <c r="Y238" i="1"/>
  <c r="X286" i="1"/>
  <c r="Y286" i="1" s="1"/>
  <c r="X518" i="1"/>
  <c r="Y518" i="1" s="1"/>
  <c r="Y550" i="1"/>
  <c r="Y634" i="1"/>
  <c r="Y645" i="1"/>
  <c r="Y661" i="1"/>
  <c r="X165" i="1"/>
  <c r="Y165" i="1" s="1"/>
  <c r="X267" i="1"/>
  <c r="Y267" i="1" s="1"/>
  <c r="X283" i="1"/>
  <c r="Y283" i="1" s="1"/>
  <c r="X412" i="1"/>
  <c r="Y412" i="1" s="1"/>
  <c r="X444" i="1"/>
  <c r="Y444" i="1" s="1"/>
  <c r="X476" i="1"/>
  <c r="Y476" i="1" s="1"/>
  <c r="X508" i="1"/>
  <c r="Y508" i="1" s="1"/>
  <c r="X540" i="1"/>
  <c r="Y540" i="1" s="1"/>
  <c r="X572" i="1"/>
  <c r="Y572" i="1" s="1"/>
  <c r="X604" i="1"/>
  <c r="Y604" i="1" s="1"/>
  <c r="Y630" i="1"/>
  <c r="X51" i="1"/>
  <c r="Y51" i="1" s="1"/>
  <c r="X124" i="1"/>
  <c r="Y124" i="1" s="1"/>
  <c r="X265" i="1"/>
  <c r="Y265" i="1" s="1"/>
  <c r="Y326" i="1"/>
  <c r="Y172" i="1"/>
  <c r="X524" i="1"/>
  <c r="Y524" i="1" s="1"/>
  <c r="Y405" i="1"/>
  <c r="Y538" i="1"/>
  <c r="Y593" i="1"/>
  <c r="Y641" i="1"/>
  <c r="Y377" i="1"/>
  <c r="X433" i="1"/>
  <c r="Y433" i="1" s="1"/>
  <c r="X588" i="1"/>
  <c r="Y588" i="1" s="1"/>
  <c r="Y646" i="1"/>
  <c r="X657" i="1"/>
  <c r="Y657" i="1" s="1"/>
  <c r="X670" i="1"/>
  <c r="Y670" i="1" s="1"/>
  <c r="X686" i="1"/>
  <c r="Y686" i="1" s="1"/>
  <c r="X702" i="1"/>
  <c r="Y702" i="1" s="1"/>
  <c r="X374" i="1"/>
  <c r="Y374" i="1" s="1"/>
  <c r="X401" i="1"/>
  <c r="Y401" i="1" s="1"/>
  <c r="X556" i="1"/>
  <c r="Y556" i="1" s="1"/>
  <c r="Y597" i="1"/>
  <c r="Y807" i="1"/>
  <c r="X942" i="1"/>
  <c r="Y942" i="1" s="1"/>
  <c r="X958" i="1"/>
  <c r="Y958" i="1" s="1"/>
  <c r="Y750" i="1"/>
  <c r="Y762" i="1"/>
  <c r="Y803" i="1"/>
  <c r="X822" i="1"/>
  <c r="Y822" i="1" s="1"/>
  <c r="X786" i="1"/>
  <c r="Y786" i="1" s="1"/>
  <c r="X802" i="1"/>
  <c r="Y802" i="1" s="1"/>
  <c r="X818" i="1"/>
  <c r="Y818" i="1" s="1"/>
  <c r="Y842" i="1"/>
  <c r="X859" i="1"/>
  <c r="Y859" i="1" s="1"/>
  <c r="Y869" i="1"/>
  <c r="X886" i="1"/>
  <c r="Y886" i="1" s="1"/>
  <c r="Y906" i="1"/>
  <c r="X923" i="1"/>
  <c r="Y923" i="1" s="1"/>
  <c r="Y933" i="1"/>
  <c r="X966" i="1"/>
  <c r="Y966" i="1" s="1"/>
  <c r="X763" i="1"/>
  <c r="Y763" i="1" s="1"/>
  <c r="X814" i="1"/>
  <c r="Y814" i="1" s="1"/>
  <c r="Y833" i="1"/>
  <c r="Y865" i="1"/>
  <c r="Y897" i="1"/>
  <c r="Y1042" i="1"/>
  <c r="Y1055" i="1"/>
  <c r="Y1071" i="1"/>
  <c r="Y1087" i="1"/>
  <c r="Y1103" i="1"/>
  <c r="Y1119" i="1"/>
  <c r="Y1135" i="1"/>
  <c r="Y1151" i="1"/>
  <c r="Y1167" i="1"/>
  <c r="Y1183" i="1"/>
  <c r="Y1199" i="1"/>
  <c r="Y1215" i="1"/>
  <c r="X986" i="1"/>
  <c r="Y986" i="1" s="1"/>
  <c r="X1002" i="1"/>
  <c r="Y1002" i="1" s="1"/>
  <c r="X1018" i="1"/>
  <c r="Y1018" i="1" s="1"/>
  <c r="Y969" i="1"/>
  <c r="X1034" i="1"/>
  <c r="Y1034" i="1" s="1"/>
  <c r="Y1410" i="1"/>
  <c r="Y1335" i="1"/>
  <c r="X1362" i="1"/>
  <c r="Y1362" i="1" s="1"/>
  <c r="Y1375" i="1"/>
  <c r="X1358" i="1"/>
  <c r="Y1358" i="1" s="1"/>
  <c r="X1374" i="1"/>
  <c r="Y1374" i="1" s="1"/>
  <c r="X1390" i="1"/>
  <c r="Y1390" i="1" s="1"/>
  <c r="X1509" i="1"/>
  <c r="Y1509" i="1" s="1"/>
  <c r="X1517" i="1"/>
  <c r="Y1517" i="1" s="1"/>
  <c r="Y1531" i="1"/>
  <c r="Y1539" i="1"/>
  <c r="Y1655" i="1"/>
  <c r="Y1671" i="1"/>
  <c r="Y1687" i="1"/>
  <c r="Y1703" i="1"/>
  <c r="X1835" i="1"/>
  <c r="Y1835" i="1" s="1"/>
  <c r="Y1848" i="1"/>
  <c r="Y1828" i="1"/>
  <c r="X1847" i="1"/>
  <c r="Y1847" i="1" s="1"/>
  <c r="X1843" i="1"/>
  <c r="Y1843" i="1" s="1"/>
  <c r="X1876" i="1"/>
  <c r="Y1876" i="1" s="1"/>
  <c r="Y1895" i="1"/>
  <c r="X1927" i="1"/>
  <c r="Y1927" i="1" s="1"/>
  <c r="Y1959" i="1"/>
  <c r="X1991" i="1"/>
  <c r="Y1991" i="1" s="1"/>
  <c r="X2055" i="1"/>
  <c r="Y2055" i="1" s="1"/>
  <c r="Y2127" i="1"/>
  <c r="Y2133" i="1"/>
  <c r="Y2191" i="1"/>
  <c r="Y2197" i="1"/>
  <c r="Y2255" i="1"/>
  <c r="Y2261" i="1"/>
  <c r="Y2267" i="1"/>
  <c r="Y2273" i="1"/>
  <c r="Y2299" i="1"/>
  <c r="Y2311" i="1"/>
  <c r="Y2163" i="1"/>
  <c r="X2185" i="1"/>
  <c r="Y2185" i="1" s="1"/>
  <c r="Y2227" i="1"/>
  <c r="X2249" i="1"/>
  <c r="Y2249" i="1" s="1"/>
  <c r="Y2265" i="1"/>
  <c r="X2291" i="1"/>
  <c r="Y2291" i="1" s="1"/>
  <c r="X1823" i="1"/>
  <c r="Y1823" i="1" s="1"/>
  <c r="X1852" i="1"/>
  <c r="Y1852" i="1" s="1"/>
  <c r="Y1947" i="1"/>
  <c r="Y2059" i="1"/>
  <c r="Y2075" i="1"/>
  <c r="Y2187" i="1"/>
  <c r="Y2193" i="1"/>
  <c r="Y2257" i="1"/>
  <c r="X1887" i="1"/>
  <c r="Y1887" i="1" s="1"/>
  <c r="X1903" i="1"/>
  <c r="Y1903" i="1" s="1"/>
  <c r="X1919" i="1"/>
  <c r="Y1919" i="1" s="1"/>
  <c r="X1935" i="1"/>
  <c r="Y1935" i="1" s="1"/>
  <c r="X1951" i="1"/>
  <c r="Y1951" i="1" s="1"/>
  <c r="X1967" i="1"/>
  <c r="Y1967" i="1" s="1"/>
  <c r="X1983" i="1"/>
  <c r="Y1983" i="1" s="1"/>
  <c r="X1999" i="1"/>
  <c r="Y1999" i="1" s="1"/>
  <c r="X2015" i="1"/>
  <c r="Y2015" i="1" s="1"/>
  <c r="X2031" i="1"/>
  <c r="Y2031" i="1" s="1"/>
  <c r="X2047" i="1"/>
  <c r="Y2047" i="1" s="1"/>
  <c r="X2063" i="1"/>
  <c r="Y2063" i="1" s="1"/>
  <c r="X2079" i="1"/>
  <c r="Y2079" i="1" s="1"/>
  <c r="X2095" i="1"/>
  <c r="Y2095" i="1" s="1"/>
  <c r="Y2119" i="1"/>
  <c r="Y2125" i="1"/>
  <c r="Y2151" i="1"/>
  <c r="Y2157" i="1"/>
  <c r="Y2183" i="1"/>
  <c r="Y2189" i="1"/>
  <c r="Y2215" i="1"/>
  <c r="Y2221" i="1"/>
  <c r="Y2247" i="1"/>
  <c r="Y2253" i="1"/>
  <c r="Y2279" i="1"/>
  <c r="Y2285" i="1"/>
  <c r="Y2323" i="1"/>
  <c r="Y2331" i="1"/>
  <c r="Y2339" i="1"/>
  <c r="X1820" i="1"/>
  <c r="Y1820" i="1" s="1"/>
  <c r="X1907" i="1"/>
  <c r="Y1907" i="1" s="1"/>
  <c r="X1971" i="1"/>
  <c r="Y1971" i="1" s="1"/>
  <c r="X2035" i="1"/>
  <c r="Y2035" i="1" s="1"/>
  <c r="Y2067" i="1"/>
  <c r="X2105" i="1"/>
  <c r="Y2105" i="1" s="1"/>
  <c r="X2121" i="1"/>
  <c r="Y2121" i="1" s="1"/>
  <c r="X2137" i="1"/>
  <c r="Y2137" i="1" s="1"/>
  <c r="X2153" i="1"/>
  <c r="Y2153" i="1" s="1"/>
  <c r="X2217" i="1"/>
  <c r="Y2217" i="1" s="1"/>
  <c r="Y1739" i="1"/>
  <c r="Y28" i="1"/>
  <c r="Y25" i="1"/>
  <c r="X23" i="1"/>
  <c r="Y23" i="1" s="1"/>
</calcChain>
</file>

<file path=xl/sharedStrings.xml><?xml version="1.0" encoding="utf-8"?>
<sst xmlns="http://schemas.openxmlformats.org/spreadsheetml/2006/main" count="14937" uniqueCount="2366">
  <si>
    <t>منطقه</t>
  </si>
  <si>
    <t>ناحیه</t>
  </si>
  <si>
    <t>پیمان</t>
  </si>
  <si>
    <t>آدرس</t>
  </si>
  <si>
    <t>آبنما نظافت متر مربع</t>
  </si>
  <si>
    <t>حفظ و نگهداری درخت و درختچه متر مربع</t>
  </si>
  <si>
    <t>حفظ و نگهداری سطوح شیبدار گل دایمی متر مربع</t>
  </si>
  <si>
    <t>حفظ و نگهداری سطوح شیبدار گل فصلی متر مربع</t>
  </si>
  <si>
    <t>حفظ و نگهداری پرچین متر مربع</t>
  </si>
  <si>
    <t>حفظ و نگهداری چمن متر مربع</t>
  </si>
  <si>
    <t>حفظ و نگهداری گل دایمی متر مربع</t>
  </si>
  <si>
    <t>حفظ و نگهداری گل فصلی متر مربع</t>
  </si>
  <si>
    <t>درخت و درختچه آبیاری تانکری</t>
  </si>
  <si>
    <t>درخت و درختچه آبیاری تحت فشار</t>
  </si>
  <si>
    <t>درخت و درختچه آبیاری ثقلی</t>
  </si>
  <si>
    <t>درخت و درختچه آبیاری شلنگی</t>
  </si>
  <si>
    <t>درخت و درختچه اصله</t>
  </si>
  <si>
    <t>درخت و درختچه اصله مستقل</t>
  </si>
  <si>
    <t>درخت و درختچه متر مربع</t>
  </si>
  <si>
    <t>فضاهای مسقف متر مربع</t>
  </si>
  <si>
    <t>محوطه بازی كودكان متر مربع</t>
  </si>
  <si>
    <t>معابر متر مربع</t>
  </si>
  <si>
    <t>پرچین آبیاری تانکری</t>
  </si>
  <si>
    <t>پرچین آبیاری تحت فشار</t>
  </si>
  <si>
    <t>پرچین آبیاری ثقلی</t>
  </si>
  <si>
    <t>پرچین آبیاری شلنگی</t>
  </si>
  <si>
    <t>پرچین متر مربع</t>
  </si>
  <si>
    <t>چمن آبیاری تانکری</t>
  </si>
  <si>
    <t>چمن آبیاری تحت فشار</t>
  </si>
  <si>
    <t>چمن آبیاری شلنگی</t>
  </si>
  <si>
    <t>چمن متر مربع</t>
  </si>
  <si>
    <t>گل دایم باغچه های معمولی آبیاری تانکری</t>
  </si>
  <si>
    <t>گل دایم باغچه های معمولی آبیاری تحت فشار</t>
  </si>
  <si>
    <t>گل دایم باغچه های معمولی آبیاری شلنگی</t>
  </si>
  <si>
    <t>گل دایم باغچه های معمولی سایر گل های دایمی</t>
  </si>
  <si>
    <t>گل دایم باغچه های معمولی متر مربع</t>
  </si>
  <si>
    <t>گل دایم باغچه های معمولی گل رز</t>
  </si>
  <si>
    <t>گل دایم فلاورباکسهای سطوح شیب دار آبیاری تحت فشار</t>
  </si>
  <si>
    <t>گل دایم فلاورباکسهای سطوح شیب دار آبیاری شلنگی</t>
  </si>
  <si>
    <t>گل دایم فلاورباکسهای سطوح شیب دار سایر گل های دایمی</t>
  </si>
  <si>
    <t>گل دایم فلاورباکسهای سطوح شیب دار متر مربع</t>
  </si>
  <si>
    <t>گل دایم فلاورباکسهای سطوح شیب دار گل رز</t>
  </si>
  <si>
    <t>گل فصل باغچه های معمولی آبیاری تانکری</t>
  </si>
  <si>
    <t>گل فصل باغچه های معمولی آبیاری تحت فشار</t>
  </si>
  <si>
    <t>گل فصل باغچه های معمولی آبیاری شلنگی</t>
  </si>
  <si>
    <t>گل فصل باغچه های معمولی متر مربع</t>
  </si>
  <si>
    <t>گل فصل فلاورباکس های سطوح شیب دار آبیاری تحت فشار</t>
  </si>
  <si>
    <t>گل فصل فلاورباکس های سطوح شیب دار آبیاری شلنگی</t>
  </si>
  <si>
    <t>گل فصل فلاورباکس های سطوح شیب دار متر مربع</t>
  </si>
  <si>
    <t>مساحت آدرس حجمی</t>
  </si>
  <si>
    <t>مساحت آدرس ریزآیتمی</t>
  </si>
  <si>
    <t>نام نوع لکه</t>
  </si>
  <si>
    <t>نام لکه</t>
  </si>
  <si>
    <t>مجموع سطوح غیر سبز</t>
  </si>
  <si>
    <t>مجموع سطوح سبز به غیر از درخت و درختچه</t>
  </si>
  <si>
    <t>مجموع سطوح</t>
  </si>
  <si>
    <t>مجموع سطوح آبیاری تانکری</t>
  </si>
  <si>
    <t>مجموع سطوح آبیاری تحت فشار</t>
  </si>
  <si>
    <t>مجموع سطوح آبیاری ثقلی</t>
  </si>
  <si>
    <t>مجموع سطوح آبیاری شلنگی</t>
  </si>
  <si>
    <t>مجموع کل مساحت تحت آبیاری</t>
  </si>
  <si>
    <t>01</t>
  </si>
  <si>
    <t>001</t>
  </si>
  <si>
    <t>آیلند ها</t>
  </si>
  <si>
    <t>آیلند بلوار ابوذر و لچکی ها</t>
  </si>
  <si>
    <t>002</t>
  </si>
  <si>
    <t>آیلند بلوار احمد آباد</t>
  </si>
  <si>
    <t>003</t>
  </si>
  <si>
    <t>آیلند بلوار بعثت</t>
  </si>
  <si>
    <t>004</t>
  </si>
  <si>
    <t>آیلند بلوار رضا (میدان و لچکی ها تا خیابان کوهسنگی)</t>
  </si>
  <si>
    <t>005</t>
  </si>
  <si>
    <t>آیلند بلوار ملاصدرا (تا خیابان کوهسنگی)</t>
  </si>
  <si>
    <t>006</t>
  </si>
  <si>
    <t>آیلند بلوار منتظری</t>
  </si>
  <si>
    <t>007</t>
  </si>
  <si>
    <t>آیلند بلوار ناصر خسرو</t>
  </si>
  <si>
    <t>008</t>
  </si>
  <si>
    <t>آیلند بلوار کلاهدوز (تا تقاطع سناباد)</t>
  </si>
  <si>
    <t>009</t>
  </si>
  <si>
    <t>آیلند خیابان دانشگاه</t>
  </si>
  <si>
    <t>010</t>
  </si>
  <si>
    <t>پارک های زیر 6 هکتار</t>
  </si>
  <si>
    <t>بوستان ابونصر</t>
  </si>
  <si>
    <t>011</t>
  </si>
  <si>
    <t>بوستان بابک</t>
  </si>
  <si>
    <t>012</t>
  </si>
  <si>
    <t>بوستان بخارایی</t>
  </si>
  <si>
    <t>013</t>
  </si>
  <si>
    <t>بوستان خطی فلسطین 19</t>
  </si>
  <si>
    <t>014</t>
  </si>
  <si>
    <t>بوستان خطی منتظری</t>
  </si>
  <si>
    <t>015</t>
  </si>
  <si>
    <t>بوستان سلمان</t>
  </si>
  <si>
    <t>016</t>
  </si>
  <si>
    <t>بوستان شیرین</t>
  </si>
  <si>
    <t>017</t>
  </si>
  <si>
    <t>بوستان صفا</t>
  </si>
  <si>
    <t>018</t>
  </si>
  <si>
    <t>بوستان قایم 24</t>
  </si>
  <si>
    <t>019</t>
  </si>
  <si>
    <t>بوستان قایم 29</t>
  </si>
  <si>
    <t>020</t>
  </si>
  <si>
    <t>بوستان محتشمی</t>
  </si>
  <si>
    <t>021</t>
  </si>
  <si>
    <t>بوستان کلاهدوز</t>
  </si>
  <si>
    <t>022</t>
  </si>
  <si>
    <t>بوستان گل سوسن</t>
  </si>
  <si>
    <t>023</t>
  </si>
  <si>
    <t>حاشیه معابر</t>
  </si>
  <si>
    <t>حاشیه بلوار ابوذر (تا خیابان کوهسنگی)</t>
  </si>
  <si>
    <t>024</t>
  </si>
  <si>
    <t>حاشیه بلوار احمداباد</t>
  </si>
  <si>
    <t>025</t>
  </si>
  <si>
    <t>حاشیه بلوار بعثت</t>
  </si>
  <si>
    <t>026</t>
  </si>
  <si>
    <t>حاشیه بلوار دانشگاه (از چهارراه دکترا تا انتها)</t>
  </si>
  <si>
    <t>027</t>
  </si>
  <si>
    <t>حاشیه بلوار رضا (تا خیابان کوهسنگی)</t>
  </si>
  <si>
    <t>028</t>
  </si>
  <si>
    <t>حاشیه بلوار ملاصدرا (تا خیابان کوهسنگی)</t>
  </si>
  <si>
    <t>029</t>
  </si>
  <si>
    <t>حاشیه بلوار منتظری (سمت دیوار باغ)</t>
  </si>
  <si>
    <t>030</t>
  </si>
  <si>
    <t>حاشیه بلوار ناصر خسرو و لچکی ها</t>
  </si>
  <si>
    <t>031</t>
  </si>
  <si>
    <t>حاشیه بلوار کلاهدوز (تا تقاطع سناباد)</t>
  </si>
  <si>
    <t>032</t>
  </si>
  <si>
    <t>خیابان ابومسلم و ابن سینا 2</t>
  </si>
  <si>
    <t>033</t>
  </si>
  <si>
    <t>خیابان ابونصر و نشاط</t>
  </si>
  <si>
    <t>034</t>
  </si>
  <si>
    <t>خیابان بابک</t>
  </si>
  <si>
    <t>035</t>
  </si>
  <si>
    <t>خیابان بخارایی</t>
  </si>
  <si>
    <t>036</t>
  </si>
  <si>
    <t>خیابان بعثت 11</t>
  </si>
  <si>
    <t>037</t>
  </si>
  <si>
    <t>خیابان بعثت 12</t>
  </si>
  <si>
    <t>038</t>
  </si>
  <si>
    <t>خیابان بعثت 14 و یاس</t>
  </si>
  <si>
    <t>039</t>
  </si>
  <si>
    <t>خیابان بهشت</t>
  </si>
  <si>
    <t>040</t>
  </si>
  <si>
    <t>خیابان دادگر</t>
  </si>
  <si>
    <t>041</t>
  </si>
  <si>
    <t>خیابان راهنمایی (تا تقاطع سناباد)</t>
  </si>
  <si>
    <t>042</t>
  </si>
  <si>
    <t>خیابان رضا 35</t>
  </si>
  <si>
    <t>043</t>
  </si>
  <si>
    <t>خیابان رضا 38</t>
  </si>
  <si>
    <t>044</t>
  </si>
  <si>
    <t>خیابان سلمان</t>
  </si>
  <si>
    <t>045</t>
  </si>
  <si>
    <t>خیابان صبوری</t>
  </si>
  <si>
    <t>046</t>
  </si>
  <si>
    <t>خیابان طالقانی</t>
  </si>
  <si>
    <t>047</t>
  </si>
  <si>
    <t>خیابان طالقانی 36 و 37</t>
  </si>
  <si>
    <t>048</t>
  </si>
  <si>
    <t>خیابان عارف</t>
  </si>
  <si>
    <t>049</t>
  </si>
  <si>
    <t>خیابان عدالت</t>
  </si>
  <si>
    <t>050</t>
  </si>
  <si>
    <t>خیابان فروردین و اردیبهشت</t>
  </si>
  <si>
    <t>051</t>
  </si>
  <si>
    <t>خیابان فلسطین 21 و 23</t>
  </si>
  <si>
    <t>052</t>
  </si>
  <si>
    <t>خیابان قایم و لچکی</t>
  </si>
  <si>
    <t>053</t>
  </si>
  <si>
    <t>خیابان محتشمی</t>
  </si>
  <si>
    <t>054</t>
  </si>
  <si>
    <t>خیابان ملاصدرا 22</t>
  </si>
  <si>
    <t>055</t>
  </si>
  <si>
    <t>خیابان ناصر خسرو 19</t>
  </si>
  <si>
    <t>056</t>
  </si>
  <si>
    <t>خیابان پاستور</t>
  </si>
  <si>
    <t>057</t>
  </si>
  <si>
    <t>خیابان پرستار</t>
  </si>
  <si>
    <t>058</t>
  </si>
  <si>
    <t>خیابان پرستار 1 (ملاصدرا 2)</t>
  </si>
  <si>
    <t>059</t>
  </si>
  <si>
    <t>خیابان کفایی</t>
  </si>
  <si>
    <t>060</t>
  </si>
  <si>
    <t>خیابان کوهسنگی 17</t>
  </si>
  <si>
    <t>061</t>
  </si>
  <si>
    <t>خیابان کوهسنگی 21</t>
  </si>
  <si>
    <t>062</t>
  </si>
  <si>
    <t>خیابان کوهسنگی 31</t>
  </si>
  <si>
    <t>063</t>
  </si>
  <si>
    <t>لچکی ها</t>
  </si>
  <si>
    <t>لچکی مالک اشتر</t>
  </si>
  <si>
    <t>064</t>
  </si>
  <si>
    <t>لچکی منتظری 2 (ابتدای نوفل)</t>
  </si>
  <si>
    <t>065</t>
  </si>
  <si>
    <t>لچکی های پشت بنیاد - (5 لکه)</t>
  </si>
  <si>
    <t>066</t>
  </si>
  <si>
    <t>لچکی پلیس قضایی</t>
  </si>
  <si>
    <t>067</t>
  </si>
  <si>
    <t>میادین</t>
  </si>
  <si>
    <t>میدان شریعتی و لچکی ها</t>
  </si>
  <si>
    <t>068</t>
  </si>
  <si>
    <t>میدان فلسطین و باغچه های رینگ میدان</t>
  </si>
  <si>
    <t>069</t>
  </si>
  <si>
    <t>میدان قایم 20</t>
  </si>
  <si>
    <t>070</t>
  </si>
  <si>
    <t>چهارراه احمدآباد (لچکی ها)</t>
  </si>
  <si>
    <t>02</t>
  </si>
  <si>
    <t>آیلند بلوار ارشاد</t>
  </si>
  <si>
    <t>آیلند بلوار دهخدا</t>
  </si>
  <si>
    <t>آیلند بلوار شهید دستغیب</t>
  </si>
  <si>
    <t>آیلند بلوار شهید صادقی</t>
  </si>
  <si>
    <t>آیلند بلوار فلسطین</t>
  </si>
  <si>
    <t>آیلند نوربخش 13</t>
  </si>
  <si>
    <t>بلوار ارشاد</t>
  </si>
  <si>
    <t>بلوار دهخدا</t>
  </si>
  <si>
    <t>بلوار شهید دستغیب</t>
  </si>
  <si>
    <t>بلوار شهید صادقی</t>
  </si>
  <si>
    <t>بلوار فلسطین</t>
  </si>
  <si>
    <t>بلوار نوربخش 13</t>
  </si>
  <si>
    <t>بوستان افرا</t>
  </si>
  <si>
    <t>بوستان دستغیب 10</t>
  </si>
  <si>
    <t>بوستان فرهاد</t>
  </si>
  <si>
    <t>بوستان فلسطین</t>
  </si>
  <si>
    <t>بوستان قبا</t>
  </si>
  <si>
    <t>بوستان مالک اشتر</t>
  </si>
  <si>
    <t>پارک های بالای 10 هکتار</t>
  </si>
  <si>
    <t>بوستان مهر و ماه</t>
  </si>
  <si>
    <t>بوستان نسترن جنوبی</t>
  </si>
  <si>
    <t>بوستان نسترن شمالی</t>
  </si>
  <si>
    <t>بوستان هجرت</t>
  </si>
  <si>
    <t>بوستان پیام</t>
  </si>
  <si>
    <t>حاشیه کال خیام از 11 تا 17</t>
  </si>
  <si>
    <t>حاشیه کال خیام از 23 تا دستغیب</t>
  </si>
  <si>
    <t>حاشیه کال خیام از 3 تا 11</t>
  </si>
  <si>
    <t>حاشیه کال خیام از ارشاد تا فردوسی</t>
  </si>
  <si>
    <t>حاشیه کال خیام از دستغیب تا ارشاد</t>
  </si>
  <si>
    <t>خیابان آپادانا</t>
  </si>
  <si>
    <t>خیابان ارشاد 1</t>
  </si>
  <si>
    <t>خیابان ارشاد 1.16</t>
  </si>
  <si>
    <t>خیابان ارشاد 9</t>
  </si>
  <si>
    <t>خیابان بیستون و بیستون 1</t>
  </si>
  <si>
    <t>خیابان توفیق</t>
  </si>
  <si>
    <t>خیابان توفیق 14</t>
  </si>
  <si>
    <t>خیابان راهنمایی</t>
  </si>
  <si>
    <t>خیابان سناباد غربی</t>
  </si>
  <si>
    <t>خیابان شهید علیانی</t>
  </si>
  <si>
    <t>خیابان فرهاد</t>
  </si>
  <si>
    <t>خیابان فرهاد 20</t>
  </si>
  <si>
    <t>خیابان فرهاد 22</t>
  </si>
  <si>
    <t>خیابان فرهاد 23</t>
  </si>
  <si>
    <t>خیابان فرهاد 25</t>
  </si>
  <si>
    <t>خیابان فلسطین 18 (خیام 11)</t>
  </si>
  <si>
    <t>خیابان فلسطین 24</t>
  </si>
  <si>
    <t>خیابان فلسطین 26</t>
  </si>
  <si>
    <t>خیابان قدس</t>
  </si>
  <si>
    <t>خیابان مالک اشتر</t>
  </si>
  <si>
    <t>خیابان مالک اشتر 2</t>
  </si>
  <si>
    <t>خیابان ملک آباد 13</t>
  </si>
  <si>
    <t>خیابان نسترن</t>
  </si>
  <si>
    <t>خیابان نوربخش 19 و 21</t>
  </si>
  <si>
    <t>خیابان نوربخش 4</t>
  </si>
  <si>
    <t>خیابان هجرت</t>
  </si>
  <si>
    <t>خیابان هجرت 5 و 6</t>
  </si>
  <si>
    <t>خیابان هوشیار</t>
  </si>
  <si>
    <t>خیابان وحدت</t>
  </si>
  <si>
    <t>خیابان پیام و پیام 16</t>
  </si>
  <si>
    <t>فلسطین 20</t>
  </si>
  <si>
    <t>فلسطین 22</t>
  </si>
  <si>
    <t>لچکی فرهاد 22</t>
  </si>
  <si>
    <t>لچکی فرهاد 25</t>
  </si>
  <si>
    <t>لچکی فرهاد 27</t>
  </si>
  <si>
    <t>لچکی های ارشاد صادقی</t>
  </si>
  <si>
    <t>لچکی های اسفندیانی</t>
  </si>
  <si>
    <t>لچکی های میدان راهنمایی</t>
  </si>
  <si>
    <t>لچکی چهارراه راهنمایی</t>
  </si>
  <si>
    <t>محوطه ساختمان منطقه</t>
  </si>
  <si>
    <t>میدان راهنمایی</t>
  </si>
  <si>
    <t>میدان سه راه فلسطین</t>
  </si>
  <si>
    <t>آیلند بلوار جانیاز</t>
  </si>
  <si>
    <t>آیلند بلوار خیام</t>
  </si>
  <si>
    <t>آیلند بلوار سجاد</t>
  </si>
  <si>
    <t>آیلند بلوار ملک آباد</t>
  </si>
  <si>
    <t>بلوار جانباز (اخوان ثالث)</t>
  </si>
  <si>
    <t>بلوار خیام</t>
  </si>
  <si>
    <t>بلوار سجاد</t>
  </si>
  <si>
    <t>بلوار ملک آباد</t>
  </si>
  <si>
    <t>بوستان امین</t>
  </si>
  <si>
    <t>بوستان بنفشه</t>
  </si>
  <si>
    <t>بوستان بهزاد</t>
  </si>
  <si>
    <t>بوستان جامی</t>
  </si>
  <si>
    <t>بوستان خطی خیام فاز 1</t>
  </si>
  <si>
    <t>بوستان خطی خیام فاز 2</t>
  </si>
  <si>
    <t>بوستان خطی خیام فاز 3</t>
  </si>
  <si>
    <t>بوستان خطی لاله</t>
  </si>
  <si>
    <t>بوستان مینا</t>
  </si>
  <si>
    <t>بوستان نیلوفر</t>
  </si>
  <si>
    <t>بوستان پامچال</t>
  </si>
  <si>
    <t>بوستان یاس (گلریز)</t>
  </si>
  <si>
    <t>بوستان یاسمن</t>
  </si>
  <si>
    <t>خیابان آزادی 25</t>
  </si>
  <si>
    <t>خیابان ابریشم</t>
  </si>
  <si>
    <t>خیابان ابن سینا غربی</t>
  </si>
  <si>
    <t>خیابان اقاقیا</t>
  </si>
  <si>
    <t>خیابان امین غربی</t>
  </si>
  <si>
    <t>خیابان امین و امین 4</t>
  </si>
  <si>
    <t>خیابان بزرگمهر 13</t>
  </si>
  <si>
    <t>خیابان بزرگمهر جنوبی</t>
  </si>
  <si>
    <t>خیابان بزرگمهر شمالی</t>
  </si>
  <si>
    <t>خیابان بنفشه</t>
  </si>
  <si>
    <t>خیابان بهار 1 و 2</t>
  </si>
  <si>
    <t>خیابان بهار 9 و 10</t>
  </si>
  <si>
    <t>خیابان بهارستان</t>
  </si>
  <si>
    <t>خیابان جامی</t>
  </si>
  <si>
    <t>خیابان جانباز - میلاد</t>
  </si>
  <si>
    <t>خیابان جانباز 2</t>
  </si>
  <si>
    <t>خیابان حامد 10</t>
  </si>
  <si>
    <t>خیابان حامد جنوبی</t>
  </si>
  <si>
    <t>خیابان حامد شمالی</t>
  </si>
  <si>
    <t>خیابان خیام 10</t>
  </si>
  <si>
    <t>خیابان زنبق</t>
  </si>
  <si>
    <t>خیابان شهرک 72 تن</t>
  </si>
  <si>
    <t>خیابان فرزان</t>
  </si>
  <si>
    <t>خیابان مولوی (آیت اله نمر)</t>
  </si>
  <si>
    <t>خیابان میلاد</t>
  </si>
  <si>
    <t>خیابان مینا</t>
  </si>
  <si>
    <t>خیابان نیلوفر</t>
  </si>
  <si>
    <t>خیابان پامچال</t>
  </si>
  <si>
    <t>خیابان کوشا</t>
  </si>
  <si>
    <t>خیابان گلایل</t>
  </si>
  <si>
    <t>خیابان گلریز 2</t>
  </si>
  <si>
    <t>خیابان گلشن</t>
  </si>
  <si>
    <t>خیابان گویا</t>
  </si>
  <si>
    <t>خیابان یاس و گلریز</t>
  </si>
  <si>
    <t>خیابان یاسمن</t>
  </si>
  <si>
    <t>لچكی عمید</t>
  </si>
  <si>
    <t>لچکی آزادی 15</t>
  </si>
  <si>
    <t>لچکی آزادی 17</t>
  </si>
  <si>
    <t>لچکی بزرگمهر</t>
  </si>
  <si>
    <t>لچکی بنفشه 7</t>
  </si>
  <si>
    <t>لچکی بهار 10/3</t>
  </si>
  <si>
    <t>لچکی بهزاد</t>
  </si>
  <si>
    <t>لچکی جانباز 1 و 2</t>
  </si>
  <si>
    <t>لچکی حامد جنوبی</t>
  </si>
  <si>
    <t>لچکی حامد شمالی</t>
  </si>
  <si>
    <t>لچکی خیام - ارشاد</t>
  </si>
  <si>
    <t>لچکی خیام - دستغیب</t>
  </si>
  <si>
    <t>لچکی خیام - فردوسی</t>
  </si>
  <si>
    <t>لچکی خیام - ملک آباد</t>
  </si>
  <si>
    <t>071</t>
  </si>
  <si>
    <t>لچکی خیام 1</t>
  </si>
  <si>
    <t>072</t>
  </si>
  <si>
    <t>لچکی فرهاد</t>
  </si>
  <si>
    <t>073</t>
  </si>
  <si>
    <t>لچکی میدان جانباز</t>
  </si>
  <si>
    <t>074</t>
  </si>
  <si>
    <t>لچکی نیلوفر 10</t>
  </si>
  <si>
    <t>075</t>
  </si>
  <si>
    <t>لچکی پارک امین</t>
  </si>
  <si>
    <t>03</t>
  </si>
  <si>
    <t>آیلند بلوار البسکو</t>
  </si>
  <si>
    <t>آیلند بلوار قاضی طباطبایی</t>
  </si>
  <si>
    <t>آیلند بلوار مجد</t>
  </si>
  <si>
    <t>آیلند خیابان دانشگاه (حد فاصل چهارراه دكترا تا میدان سعدی)</t>
  </si>
  <si>
    <t>آیلند کلاهدوز ( سناباد تا قرنی)</t>
  </si>
  <si>
    <t>اسفندیانی 12</t>
  </si>
  <si>
    <t>بلوار البسکو</t>
  </si>
  <si>
    <t>بلوار قاضی طباطبایی</t>
  </si>
  <si>
    <t>بلوار مجد</t>
  </si>
  <si>
    <t>بوستان ادب</t>
  </si>
  <si>
    <t>بوستان سینا</t>
  </si>
  <si>
    <t>بوستان علوی</t>
  </si>
  <si>
    <t>بوستان کاج</t>
  </si>
  <si>
    <t>خیابان 20 متری امکان</t>
  </si>
  <si>
    <t>خیابان 20 متری صاحب الزمان</t>
  </si>
  <si>
    <t>خیابان آبکوه</t>
  </si>
  <si>
    <t>خیابان ابن سینا</t>
  </si>
  <si>
    <t>خیابان ابوسعید</t>
  </si>
  <si>
    <t>خیابان اسداله زاده</t>
  </si>
  <si>
    <t>خیابان اسرار</t>
  </si>
  <si>
    <t>خیابان اسفندیانی</t>
  </si>
  <si>
    <t>خیابان ایرج شمالی و جنوبی</t>
  </si>
  <si>
    <t>خیابان باباطاهر</t>
  </si>
  <si>
    <t>خیابان تربیت</t>
  </si>
  <si>
    <t>خیابان تورج</t>
  </si>
  <si>
    <t>خیابان دانشگاه</t>
  </si>
  <si>
    <t>خیابان دانشگاه 25</t>
  </si>
  <si>
    <t>خیابان سناباد</t>
  </si>
  <si>
    <t>خیابان سنایی</t>
  </si>
  <si>
    <t>خیابان شهید اعتمادی</t>
  </si>
  <si>
    <t>خیابان شهید اکبری</t>
  </si>
  <si>
    <t>خیابان صاحب الزمان</t>
  </si>
  <si>
    <t>خیابان طاهری</t>
  </si>
  <si>
    <t>خیابان عطار</t>
  </si>
  <si>
    <t>خیابان مجد 25</t>
  </si>
  <si>
    <t>خیابان مجد 28</t>
  </si>
  <si>
    <t>خیابان مسعود شرقی و غربی</t>
  </si>
  <si>
    <t>خیابان منوچهری</t>
  </si>
  <si>
    <t>خیابان مهدیزاده</t>
  </si>
  <si>
    <t>خیابان مولوی</t>
  </si>
  <si>
    <t>خیابان کاشف</t>
  </si>
  <si>
    <t>خیابان کفاش</t>
  </si>
  <si>
    <t>خیابان کلاهدوز 23</t>
  </si>
  <si>
    <t>خیابان کلاهدوز 47</t>
  </si>
  <si>
    <t>دانشسرای شمالی و جنوبی</t>
  </si>
  <si>
    <t>لچکی آبکوه و کلاهدوز</t>
  </si>
  <si>
    <t>لچکی بیمارستان دکتر شیخ</t>
  </si>
  <si>
    <t>لچکی تکتم</t>
  </si>
  <si>
    <t>لچکی دانشگاه 1</t>
  </si>
  <si>
    <t>لچکی سه راه ادبیات</t>
  </si>
  <si>
    <t>لچکی صاحب الزمان</t>
  </si>
  <si>
    <t>لچکی قاضی 1</t>
  </si>
  <si>
    <t>لچکی قرنی 12 و 14</t>
  </si>
  <si>
    <t>لچکی قرنی 6 و 8</t>
  </si>
  <si>
    <t>لچکی مانی</t>
  </si>
  <si>
    <t>لچکی مجد و مجد 14</t>
  </si>
  <si>
    <t>لچکی پمپ بنزین سعدآباد</t>
  </si>
  <si>
    <t>لچکی کلاهدوز 47</t>
  </si>
  <si>
    <t>لچکی گوهرشاد</t>
  </si>
  <si>
    <t>مطهری جنوبی</t>
  </si>
  <si>
    <t>میدان ابوسعید ابوالخیر</t>
  </si>
  <si>
    <t>میدان تختی</t>
  </si>
  <si>
    <t>میدان سعدی</t>
  </si>
  <si>
    <t>میدان صاحب الزمان</t>
  </si>
  <si>
    <t>میدان پنجراه سناباد</t>
  </si>
  <si>
    <t>کلاهدوز (سناباد - قرنی)</t>
  </si>
  <si>
    <t>آیلند بلوار حر عاملی (الف ناحیه1)</t>
  </si>
  <si>
    <t>آیلند بلوار مطهری</t>
  </si>
  <si>
    <t>آیلند خیابان عبادی (تقاطع چهارراه آهن تا کاشانی)</t>
  </si>
  <si>
    <t>آیلند شهید کریمی</t>
  </si>
  <si>
    <t>حاشیه بلوار حر عاملی (الف ناحیه1)</t>
  </si>
  <si>
    <t>حاشیه معابر بلوار مطهری</t>
  </si>
  <si>
    <t>حاشیه معابر خیابان توحید</t>
  </si>
  <si>
    <t>حاشیه معابر خیابان حجت</t>
  </si>
  <si>
    <t>حاشیه معابر خیابان شهید کریمی</t>
  </si>
  <si>
    <t>حاشیه معابر خیابان عبادی</t>
  </si>
  <si>
    <t>حاشیه معابر خیابان قرنی</t>
  </si>
  <si>
    <t>حاشیه معابر خیابان موحدین</t>
  </si>
  <si>
    <t>حاشیه معابر خیابان نکاح</t>
  </si>
  <si>
    <t>حاشیه معابر خیابان کاشانی</t>
  </si>
  <si>
    <t>لچکی تقاطع کریمی عبدالمطلب</t>
  </si>
  <si>
    <t>لچکی سه راه کاشانی</t>
  </si>
  <si>
    <t>لچکی شهرداری منطقه 2</t>
  </si>
  <si>
    <t>لچکی های میدان ابوطالب</t>
  </si>
  <si>
    <t>لچکی چهارراه ابوطالب</t>
  </si>
  <si>
    <t>لچکی چهارراه کریمی</t>
  </si>
  <si>
    <t>لچکی کریمی 27</t>
  </si>
  <si>
    <t>لچکی کریمی 30</t>
  </si>
  <si>
    <t>میدان توحید</t>
  </si>
  <si>
    <t>میدان شهدا</t>
  </si>
  <si>
    <t>میدان شیشه چی</t>
  </si>
  <si>
    <t>پاتوق های خیابان توحید</t>
  </si>
  <si>
    <t>پاتوق های خیابان قرنی</t>
  </si>
  <si>
    <t>پارک ترنم</t>
  </si>
  <si>
    <t>پارک توحید (هشت آباد)</t>
  </si>
  <si>
    <t>پارک جواهری</t>
  </si>
  <si>
    <t>پارک رز (رفاه)</t>
  </si>
  <si>
    <t>پارک سرو (اصفهانیها)</t>
  </si>
  <si>
    <t>پارک طراوات</t>
  </si>
  <si>
    <t>پارک همیشه بهار</t>
  </si>
  <si>
    <t>پارک پامچال (گلزار)</t>
  </si>
  <si>
    <t>پارک کودک</t>
  </si>
  <si>
    <t>آیلند بلوار استکی</t>
  </si>
  <si>
    <t>آیلند بلوار شفا</t>
  </si>
  <si>
    <t>آیلند بلوار عبادی</t>
  </si>
  <si>
    <t>آیلند بلوار عبدالمطلب</t>
  </si>
  <si>
    <t>آیلند بلوار مطهری (ب ناحیه 1)</t>
  </si>
  <si>
    <t>آیلند بلوار هدایت</t>
  </si>
  <si>
    <t>آیلند بلوار هنرور</t>
  </si>
  <si>
    <t>آیلند بلوار کامیاب</t>
  </si>
  <si>
    <t>بلوار استکی</t>
  </si>
  <si>
    <t>بلوار شفا</t>
  </si>
  <si>
    <t>بلوار عبادی</t>
  </si>
  <si>
    <t>بلوار عبدالمطلب</t>
  </si>
  <si>
    <t>بلوار مطهری</t>
  </si>
  <si>
    <t>بلوار هدایت</t>
  </si>
  <si>
    <t>بلوار هنرور</t>
  </si>
  <si>
    <t>بلوار کامیاب</t>
  </si>
  <si>
    <t>خیابان ایثارگران</t>
  </si>
  <si>
    <t>خیابان صفدری نژاد</t>
  </si>
  <si>
    <t>خیابان چهل متری پردیس</t>
  </si>
  <si>
    <t>لچکی جنگل حجاب</t>
  </si>
  <si>
    <t>لچکی مجتمع سامان خیام</t>
  </si>
  <si>
    <t>لچکی های بلوار شفا</t>
  </si>
  <si>
    <t>لچکی های بلوار مطهری</t>
  </si>
  <si>
    <t>لچکی های بلوار هدایت</t>
  </si>
  <si>
    <t>لچکی های بلوار کامیاب</t>
  </si>
  <si>
    <t>لچکی های شهرک پردیس (لعل و یاقوت) و نگین 4</t>
  </si>
  <si>
    <t>پارک ایثارگر 5 و 11</t>
  </si>
  <si>
    <t>پارک خطی خیام فاز 3</t>
  </si>
  <si>
    <t>پارک خطی خیام فاز 4 (هدایت 35)</t>
  </si>
  <si>
    <t>پارک خطی خیام فاز 5</t>
  </si>
  <si>
    <t>پارک خطی خیام فاز 6</t>
  </si>
  <si>
    <t>پارک خطی هدایت</t>
  </si>
  <si>
    <t>پارک راش</t>
  </si>
  <si>
    <t>پارک رافونه</t>
  </si>
  <si>
    <t>پارک شمیم</t>
  </si>
  <si>
    <t>پارک شهرک پردیس</t>
  </si>
  <si>
    <t>پارک مطهر</t>
  </si>
  <si>
    <t>پارک های چهارگانه خیابان مدنی</t>
  </si>
  <si>
    <t>پارک هدایت 5 و 11 و 15</t>
  </si>
  <si>
    <t>پارک پردیس 8</t>
  </si>
  <si>
    <t>آپارتمانهای مرتفع فردوسی و استعدادهای درخشان قرنی</t>
  </si>
  <si>
    <t>آیلند بلوار ابوطالب</t>
  </si>
  <si>
    <t>آیلند بلوار توس</t>
  </si>
  <si>
    <t>آیلند بلوار حر عاملی</t>
  </si>
  <si>
    <t>آیلند بلوار فردوسی</t>
  </si>
  <si>
    <t>آیلند بلوار قرنی</t>
  </si>
  <si>
    <t>آیلند بلوار موسوی قوچانی</t>
  </si>
  <si>
    <t>بلوار ابوطالب</t>
  </si>
  <si>
    <t>بلوار توس</t>
  </si>
  <si>
    <t>بلوار حرعاملی</t>
  </si>
  <si>
    <t>بلوار فردوسی</t>
  </si>
  <si>
    <t>بلوار قرنی</t>
  </si>
  <si>
    <t>بلوار موسوی قوچانی</t>
  </si>
  <si>
    <t>بوستان خایقان</t>
  </si>
  <si>
    <t>بوستان زیتون (موسوی)</t>
  </si>
  <si>
    <t>بوستان سعیدی</t>
  </si>
  <si>
    <t>بوستان شفا 2</t>
  </si>
  <si>
    <t>بوستان فتح المبین</t>
  </si>
  <si>
    <t>بوستان نوایی 4</t>
  </si>
  <si>
    <t>توانبخشی فتح المبین و شاهید</t>
  </si>
  <si>
    <t>حاشیه خیام (بین توس و هدایت)</t>
  </si>
  <si>
    <t>لچکی تقاطع شفا - ابوطالب</t>
  </si>
  <si>
    <t>لچکی شفا 30</t>
  </si>
  <si>
    <t>لچکی عبدالمطلب 31</t>
  </si>
  <si>
    <t>لچکی موسوی 30 و 24</t>
  </si>
  <si>
    <t>لچکی موسوی 35</t>
  </si>
  <si>
    <t>لچکی پل روسها</t>
  </si>
  <si>
    <t>میدان ابوطالب</t>
  </si>
  <si>
    <t>میدان بوعلی و اطراف</t>
  </si>
  <si>
    <t>میدان فردوسی</t>
  </si>
  <si>
    <t>پارک ابریشم</t>
  </si>
  <si>
    <t>پارک خطی خیام فاز 1</t>
  </si>
  <si>
    <t>پارک خطی خیام فاز 2</t>
  </si>
  <si>
    <t>پارک رایا</t>
  </si>
  <si>
    <t>پارک نسیم</t>
  </si>
  <si>
    <t>پارک پرنیان (هدایت 2-8)</t>
  </si>
  <si>
    <t>چهارراه شفا</t>
  </si>
  <si>
    <t>آیلند بلوار اسماعیل آباد</t>
  </si>
  <si>
    <t>آیلند سپاد (میدان بهارستان تا میدان وصال)</t>
  </si>
  <si>
    <t>آیلند سپاد (میدان خیام تا میدان بهارستان)</t>
  </si>
  <si>
    <t>آیلند سپاد میدان وصال تا میدان قدس</t>
  </si>
  <si>
    <t>آیلند های بزرگراه</t>
  </si>
  <si>
    <t>آیلند صدمتری میدان امام حسین(ع) تا میدان خیام</t>
  </si>
  <si>
    <t>آیلند صدمتری میدان خیام تا میدان شهید فهمیده</t>
  </si>
  <si>
    <t>جنگل کاری داخل محدوده</t>
  </si>
  <si>
    <t>جنگل آتش نشانی</t>
  </si>
  <si>
    <t>جنگل جنب بازار وصال</t>
  </si>
  <si>
    <t>جنگل جنب کلانتری اسماعیل آباد</t>
  </si>
  <si>
    <t>جنگل شرکت سپاد</t>
  </si>
  <si>
    <t>جنگل ماهدشت</t>
  </si>
  <si>
    <t>جنگل های حاشیه کال اسماعیل آباد</t>
  </si>
  <si>
    <t>جنگل پشت باغ پرندگان</t>
  </si>
  <si>
    <t>جنگل پشت شهربازی</t>
  </si>
  <si>
    <t>جنگل پشت پایانه</t>
  </si>
  <si>
    <t>جنگل کال اسماعیل آباد</t>
  </si>
  <si>
    <t>خیابان بهارستان 2</t>
  </si>
  <si>
    <t>خیابان بهارستان 4</t>
  </si>
  <si>
    <t>خیابان بهارستان 6</t>
  </si>
  <si>
    <t>حاشیه های بزرگراه</t>
  </si>
  <si>
    <t>صدمتری - لوپ های ابوطالب</t>
  </si>
  <si>
    <t>ضلع جنوبی میدان بهارستان تا وصال</t>
  </si>
  <si>
    <t>ضلع جنوبی میدان وصال تا میدان قدس</t>
  </si>
  <si>
    <t>ضلع شرقی بلوار اسماعیل آباد</t>
  </si>
  <si>
    <t>ضلع شمالی میدان بهارستان تا میدان وصال</t>
  </si>
  <si>
    <t>ضلع شمالی میدان وصال تا میدان قدس</t>
  </si>
  <si>
    <t>ضلع غربی بلوار اسماعیل آباد</t>
  </si>
  <si>
    <t>فاز دو حدفاصل ابوطالب تا میدان امام حسین(ع)</t>
  </si>
  <si>
    <t>فاز یک حدفاصل میدان خیام تا لوپ های انتهای بلوار ابوطالب(ع)</t>
  </si>
  <si>
    <t>فضای سبز مقابل بازار سپاد</t>
  </si>
  <si>
    <t>فضای سبز مقابل میدان بار سپاد</t>
  </si>
  <si>
    <t>فضای سبز نوید</t>
  </si>
  <si>
    <t>فلاورباکس های ابوطالب</t>
  </si>
  <si>
    <t>فلاورباکس های خیام</t>
  </si>
  <si>
    <t>لچکی های میدان بهارستان</t>
  </si>
  <si>
    <t>لچکی های میدان خیام</t>
  </si>
  <si>
    <t>میدان بهارستان</t>
  </si>
  <si>
    <t>میدان خیام</t>
  </si>
  <si>
    <t>میدان قدس</t>
  </si>
  <si>
    <t>میدان وصال</t>
  </si>
  <si>
    <t>پارک های بین 6 تا 10 هکتار</t>
  </si>
  <si>
    <t>پارک اسماعیل آباد</t>
  </si>
  <si>
    <t>پارک محلی بهارستان</t>
  </si>
  <si>
    <t>پارک چراغچی 25</t>
  </si>
  <si>
    <t>کنار گذرهای صدمتری - حدفاصل میدان فهمیده تا میدان خیام</t>
  </si>
  <si>
    <t>کنار گذرهای صدمتری حدفاصل میدان امام حسین(ع) تا لوپ های صدمتری</t>
  </si>
  <si>
    <t>آیلند میانی صدمتری (از قایم تا فهمیده)</t>
  </si>
  <si>
    <t>بلوار توس (بین فهمیده تا ساجدی)</t>
  </si>
  <si>
    <t>بوستان پردیس قایم (عج)</t>
  </si>
  <si>
    <t>صد متری ضلع جنوبی (از قایم تا فهمیده)</t>
  </si>
  <si>
    <t>صد متری ضلع شمال (حاشیه از فهمیده تا قایم)</t>
  </si>
  <si>
    <t>لچکی های میدان شهید فهمیده</t>
  </si>
  <si>
    <t>میدان شهید فهمیده</t>
  </si>
  <si>
    <t>آیلند بلوار توس - توس 91 تا کال زرکش</t>
  </si>
  <si>
    <t>آیلند بلوار توس - سه راه دانش تا توس 91</t>
  </si>
  <si>
    <t>آیلند بلوار توس - فهمیده تا معراج</t>
  </si>
  <si>
    <t>آیلند بلوار توس - معراج تا سه راه دانش</t>
  </si>
  <si>
    <t>آیلند بلوار نجف (نوده)</t>
  </si>
  <si>
    <t>آیلند سپاد - میدان بهارستان تا میدان وصال</t>
  </si>
  <si>
    <t>بوستان توس 63</t>
  </si>
  <si>
    <t>توس 33 فاز 2</t>
  </si>
  <si>
    <t>توس 41 درودی 17</t>
  </si>
  <si>
    <t>توس 43 فاز 1</t>
  </si>
  <si>
    <t>توس 43 فاز 2</t>
  </si>
  <si>
    <t>توس 43 فاز 3</t>
  </si>
  <si>
    <t>توس 43 فاز 4</t>
  </si>
  <si>
    <t>توس 81/1</t>
  </si>
  <si>
    <t>جنگل 80 متری معراج</t>
  </si>
  <si>
    <t>حاشیه بلوار توس - سه راه دانش تا توس 91</t>
  </si>
  <si>
    <t>حاشیه بلوار توس - فهمیده تا معراج</t>
  </si>
  <si>
    <t>حاشیه بلوار توس - معراج تا سه راه دانش</t>
  </si>
  <si>
    <t>لچکی توس 55</t>
  </si>
  <si>
    <t>لچکی توس 69</t>
  </si>
  <si>
    <t>لچکی توس 87</t>
  </si>
  <si>
    <t>لچکی روبروی توس 53</t>
  </si>
  <si>
    <t>لچکی روبروی فیاض بخش</t>
  </si>
  <si>
    <t>لچکی سازمان میادین و سالن چدنی</t>
  </si>
  <si>
    <t>لچکی های توس 24</t>
  </si>
  <si>
    <t>لچکی های روبروی پارک پردیس</t>
  </si>
  <si>
    <t>مجموعه فیاض بخش</t>
  </si>
  <si>
    <t>میدان معراج</t>
  </si>
  <si>
    <t>نجف 29</t>
  </si>
  <si>
    <t>پارک توس 33 فاز 1</t>
  </si>
  <si>
    <t>پارک توس 81</t>
  </si>
  <si>
    <t>پارک خطی توس 87</t>
  </si>
  <si>
    <t>پارک خطی حاشیه توس 39</t>
  </si>
  <si>
    <t>04</t>
  </si>
  <si>
    <t>آیلند بلوار جانباز</t>
  </si>
  <si>
    <t>آیلند بلوار ساجدی</t>
  </si>
  <si>
    <t>آیلند بلوار فرامرز عباسی</t>
  </si>
  <si>
    <t>آیلند جانباز 3</t>
  </si>
  <si>
    <t>باند کندروی آزادی</t>
  </si>
  <si>
    <t>بلوار جانباز</t>
  </si>
  <si>
    <t>بلوار ساجدی</t>
  </si>
  <si>
    <t>بلوار فرامرز عباسی</t>
  </si>
  <si>
    <t>حاشیه خیام شمالی سمت کال(حدفاصل تقاطع خیام فردوسی تا پل روسها)</t>
  </si>
  <si>
    <t>خیابان رسالت و مهدی</t>
  </si>
  <si>
    <t>رینگ جنوبی فهمیده</t>
  </si>
  <si>
    <t>لچکی های تقاطع فرامرز - فردوسی</t>
  </si>
  <si>
    <t>لچکی های پروما</t>
  </si>
  <si>
    <t>میدان جانباز</t>
  </si>
  <si>
    <t>پارک آلاله</t>
  </si>
  <si>
    <t>پارک ثمانه</t>
  </si>
  <si>
    <t>پارک خطی حاشیه کال فرامرز فاز 2</t>
  </si>
  <si>
    <t>پارک خطی حاشیه کال فرامرز فاز 3</t>
  </si>
  <si>
    <t>پارک خطی حاشیه کال فرامرز فاز 4</t>
  </si>
  <si>
    <t>پارک خطی حاشیه کال فرامرز فاز 5</t>
  </si>
  <si>
    <t>پارک خطی حاشیه کال فرامرز فاز 6/1</t>
  </si>
  <si>
    <t>پارک رسالت</t>
  </si>
  <si>
    <t>پارک زنبق</t>
  </si>
  <si>
    <t>پارک زیبا</t>
  </si>
  <si>
    <t>پارک سمیه</t>
  </si>
  <si>
    <t>پارک سوسن</t>
  </si>
  <si>
    <t>پارک فخر</t>
  </si>
  <si>
    <t>پارک محلی استقلال (بلوط)</t>
  </si>
  <si>
    <t>پارک گلایل</t>
  </si>
  <si>
    <t>پارک یاسمن</t>
  </si>
  <si>
    <t>پارک یاسمین</t>
  </si>
  <si>
    <t>آیلند تلاش</t>
  </si>
  <si>
    <t>آیلند توس</t>
  </si>
  <si>
    <t>آیلند حمزه</t>
  </si>
  <si>
    <t>آیلند خیام</t>
  </si>
  <si>
    <t>آیلند ولیعصر</t>
  </si>
  <si>
    <t>آیلند کارگر</t>
  </si>
  <si>
    <t>بوستان امیر</t>
  </si>
  <si>
    <t>بوستان توس جنوبی (گلشن)</t>
  </si>
  <si>
    <t>بوستان توس شمالی (گل پونه)</t>
  </si>
  <si>
    <t>بوستان جامعه</t>
  </si>
  <si>
    <t>بوستان حجاب</t>
  </si>
  <si>
    <t>بوستان خطی توس (ساجدی تا فهمیده)</t>
  </si>
  <si>
    <t>بوستان فاز1 صدمتری (میخک)</t>
  </si>
  <si>
    <t>بوستان فاز2و3 صدمتری (مهدیس)</t>
  </si>
  <si>
    <t>بوستان فاز4 صدمتری (شقایق)</t>
  </si>
  <si>
    <t>بوستان فاز5 صدمتری (مهتاب)</t>
  </si>
  <si>
    <t>حاشیه تلاش</t>
  </si>
  <si>
    <t>حاشیه توس</t>
  </si>
  <si>
    <t>حاشیه حمزه</t>
  </si>
  <si>
    <t>حاشیه خیام</t>
  </si>
  <si>
    <t>حاشیه ولیعصر</t>
  </si>
  <si>
    <t>لچکی حمزه 1و2و3</t>
  </si>
  <si>
    <t>لچکی خیام 40</t>
  </si>
  <si>
    <t>لچکی خیام فردوسی</t>
  </si>
  <si>
    <t>لچکی سامان خیام</t>
  </si>
  <si>
    <t>لچکی های امیر</t>
  </si>
  <si>
    <t>لچکی های خیبر (14-18-24)</t>
  </si>
  <si>
    <t>لچکی های ذوالفقار (34-31-28)</t>
  </si>
  <si>
    <t>لچکی های فدک (1و2)</t>
  </si>
  <si>
    <t>لچکی های نیلوفر (حمزه ولیعصر- ولیعصر27-نیلوفر3)</t>
  </si>
  <si>
    <t>لچکی های پل روس ها (1و2)</t>
  </si>
  <si>
    <t>لچکی های کارگر</t>
  </si>
  <si>
    <t>لچکی پل روس ها - عبدالمطلب</t>
  </si>
  <si>
    <t>میدان کارگر</t>
  </si>
  <si>
    <t>پارک خطی تلاش (پیمان ب)</t>
  </si>
  <si>
    <t>پارک خطی خیام 1</t>
  </si>
  <si>
    <t>پارک خطی خیام 2</t>
  </si>
  <si>
    <t>پارک خطی کارگر</t>
  </si>
  <si>
    <t>آیلند بلوار ابوذر</t>
  </si>
  <si>
    <t>آیلند بلوار حبیب</t>
  </si>
  <si>
    <t>آیلند بلوار خاکزادی</t>
  </si>
  <si>
    <t>آیلند بلوار رسالت</t>
  </si>
  <si>
    <t>آیلند بلوار فاطمیه</t>
  </si>
  <si>
    <t>آیلند بلوار مجلسی</t>
  </si>
  <si>
    <t>آیلند بلوار مسلم</t>
  </si>
  <si>
    <t>آیلند بلوار گاز</t>
  </si>
  <si>
    <t>بلوار حبیب</t>
  </si>
  <si>
    <t>بلوار خاکزادی</t>
  </si>
  <si>
    <t>بلوار رسالت</t>
  </si>
  <si>
    <t>بلوار شیخ صدوق</t>
  </si>
  <si>
    <t>بلوار فاطمیه</t>
  </si>
  <si>
    <t>بلوار مجلسی</t>
  </si>
  <si>
    <t>بلوار مسلم</t>
  </si>
  <si>
    <t>بلوار گاز</t>
  </si>
  <si>
    <t>خیابان ابوذر (حد فاصل بلوار مسلم جنوبی تا بلوار رسالت)</t>
  </si>
  <si>
    <t>خیابان شیرازی</t>
  </si>
  <si>
    <t>خیابان هاشمی نژاد</t>
  </si>
  <si>
    <t>خیابان هانی (مجلسی غربی 33)</t>
  </si>
  <si>
    <t>خیابان کاشانی</t>
  </si>
  <si>
    <t>لچکی سمزقند</t>
  </si>
  <si>
    <t>لچکی شهید گمنام</t>
  </si>
  <si>
    <t>میدان راه آهن</t>
  </si>
  <si>
    <t>میدان مجلسی</t>
  </si>
  <si>
    <t>پارک ابوذر غربی 2</t>
  </si>
  <si>
    <t>پارک اقاقیا</t>
  </si>
  <si>
    <t>پارک ریحان</t>
  </si>
  <si>
    <t>پارک ستاره</t>
  </si>
  <si>
    <t>پارک لاله</t>
  </si>
  <si>
    <t>پارک نیلوفر</t>
  </si>
  <si>
    <t>پارک پونه</t>
  </si>
  <si>
    <t>پارک گل گندم</t>
  </si>
  <si>
    <t>پارک گلها</t>
  </si>
  <si>
    <t>آیلند بزرگراه صدمتری</t>
  </si>
  <si>
    <t>آیلند بلوار رسالت جنوبی</t>
  </si>
  <si>
    <t>آیلند بلوار سیس آباد</t>
  </si>
  <si>
    <t>آیلند بلوار شیخ صدوق</t>
  </si>
  <si>
    <t>آیلند بلوار مقداد</t>
  </si>
  <si>
    <t>آیلند رسالت شمالی</t>
  </si>
  <si>
    <t>بلوار رسالت جنوبی</t>
  </si>
  <si>
    <t>بلوار سیس آباد</t>
  </si>
  <si>
    <t>بلوار مقداد</t>
  </si>
  <si>
    <t>بوستان خطی صدمتری</t>
  </si>
  <si>
    <t>بوستان رسالت</t>
  </si>
  <si>
    <t>بوستان رسالت ضلع شرقی</t>
  </si>
  <si>
    <t>بوستان سخاوتی</t>
  </si>
  <si>
    <t>بوستان سیس آباد</t>
  </si>
  <si>
    <t>بوستان شقایق</t>
  </si>
  <si>
    <t>بوستان محبی</t>
  </si>
  <si>
    <t>بوستان نرگس</t>
  </si>
  <si>
    <t>بوستان گلهای داودی</t>
  </si>
  <si>
    <t>بوستان یاس</t>
  </si>
  <si>
    <t>حاشیه بزرگراه صدمتری</t>
  </si>
  <si>
    <t>حاشیه رسالت شمالی</t>
  </si>
  <si>
    <t>لچکی محبی 42</t>
  </si>
  <si>
    <t>لچکی مقداد 19</t>
  </si>
  <si>
    <t>لچکی مقداد 7</t>
  </si>
  <si>
    <t>لچکی پل نوغان</t>
  </si>
  <si>
    <t>اراضی جنگلی میرزایی 6</t>
  </si>
  <si>
    <t>بهمن</t>
  </si>
  <si>
    <t>جاده کلات</t>
  </si>
  <si>
    <t>حاشیه صدمتری</t>
  </si>
  <si>
    <t>خواجه ربیع</t>
  </si>
  <si>
    <t>خواجه ربیع 7</t>
  </si>
  <si>
    <t>ده متری بلال</t>
  </si>
  <si>
    <t>مسیر دسترسی میدان بار ولی عصر (بلوار شهیدان موسوی بایگی)</t>
  </si>
  <si>
    <t>مهر مادر</t>
  </si>
  <si>
    <t>میدان امام حسین</t>
  </si>
  <si>
    <t>میدان رسالت</t>
  </si>
  <si>
    <t>میدان ناصری</t>
  </si>
  <si>
    <t>ناصری</t>
  </si>
  <si>
    <t>ورودی طالقانی</t>
  </si>
  <si>
    <t>وسط صدمتری و سوزنی برگان</t>
  </si>
  <si>
    <t>پارک آزادی (ارکیده - بنفشه - زنبق)</t>
  </si>
  <si>
    <t>پارک باغو (آلاله)</t>
  </si>
  <si>
    <t>پارک بلال (پونه)</t>
  </si>
  <si>
    <t>پارک بهمن 44 (نسترن)</t>
  </si>
  <si>
    <t>پارک خطی آرامگاه</t>
  </si>
  <si>
    <t>پارک خطی بهمن (زمرد)</t>
  </si>
  <si>
    <t>پارک خطی حاشیه خواجه ربیع</t>
  </si>
  <si>
    <t>پارک خطی دروی</t>
  </si>
  <si>
    <t>پارک خطی ناصری (پرنیان)</t>
  </si>
  <si>
    <t>پارک رز</t>
  </si>
  <si>
    <t>پارک زیتون</t>
  </si>
  <si>
    <t>پارک طالقانی (پیچک)</t>
  </si>
  <si>
    <t>پارک فجر</t>
  </si>
  <si>
    <t>پارک مهر مادر</t>
  </si>
  <si>
    <t>پارک نگین (سنبل)</t>
  </si>
  <si>
    <t>پارک نیک فرجام</t>
  </si>
  <si>
    <t>پارک یوسف زاده (گلایل)</t>
  </si>
  <si>
    <t>چاهش شرقی و غربی</t>
  </si>
  <si>
    <t>پارک بهار فاز1</t>
  </si>
  <si>
    <t>پارک بهار فاز2</t>
  </si>
  <si>
    <t>پارک بهار فاز3</t>
  </si>
  <si>
    <t>آیلند بلوار الغدیر</t>
  </si>
  <si>
    <t>آیلند بلوار امام رضا (ع)</t>
  </si>
  <si>
    <t>آیلند بلوار فاز 2 مهرگان</t>
  </si>
  <si>
    <t>آیلند بلوار مهرگان</t>
  </si>
  <si>
    <t>آیلند بلوار کشمیری (حکمت )</t>
  </si>
  <si>
    <t>بلوار مهرگان</t>
  </si>
  <si>
    <t>خیابان آسمان</t>
  </si>
  <si>
    <t>خیابان امام رضا</t>
  </si>
  <si>
    <t>خیابان مهرگان 11</t>
  </si>
  <si>
    <t>لچکی ابتدای آسمان</t>
  </si>
  <si>
    <t>میدان فاز 2 مهرگان</t>
  </si>
  <si>
    <t>پارک آسمان 33</t>
  </si>
  <si>
    <t>پارک امام رضا 16</t>
  </si>
  <si>
    <t>پارک خطی آسمان</t>
  </si>
  <si>
    <t>پارک خطی مهرگان</t>
  </si>
  <si>
    <t>پارک غنچه</t>
  </si>
  <si>
    <t>پارک مجتمع تجاری (امام رضا 17)</t>
  </si>
  <si>
    <t>پارک ورودی شهرک</t>
  </si>
  <si>
    <t>آیلند بلوار ابوریحان</t>
  </si>
  <si>
    <t>آیلند بلوار امت</t>
  </si>
  <si>
    <t>آیلند بلوار مفتح</t>
  </si>
  <si>
    <t>آیلند بلوار نبوت</t>
  </si>
  <si>
    <t>بلوار نبوت</t>
  </si>
  <si>
    <t>بوستان بهشت</t>
  </si>
  <si>
    <t>بوستان زیتون</t>
  </si>
  <si>
    <t>حاشیه بلوار ابوریحان</t>
  </si>
  <si>
    <t>حاشیه بلوار امت</t>
  </si>
  <si>
    <t>حاشیه بلوار طبرسی (مقدم تا چهارراه گاز)</t>
  </si>
  <si>
    <t>حاشیه بلوار مجلسی</t>
  </si>
  <si>
    <t>حاشیه بلوار مفتح</t>
  </si>
  <si>
    <t>خیابان علیمردانی</t>
  </si>
  <si>
    <t>خیابان میثم</t>
  </si>
  <si>
    <t>خیابان وحید</t>
  </si>
  <si>
    <t>لچکی امت</t>
  </si>
  <si>
    <t>لچکی عسگریه</t>
  </si>
  <si>
    <t>لچکی وحید</t>
  </si>
  <si>
    <t>میدان ابوریحان</t>
  </si>
  <si>
    <t>میدان امت</t>
  </si>
  <si>
    <t>میدان جوادالایمه</t>
  </si>
  <si>
    <t>میدان عسگریه</t>
  </si>
  <si>
    <t>آیلند بزرگراه شهید بابانظر</t>
  </si>
  <si>
    <t>آیلند بلوار نبی زاده</t>
  </si>
  <si>
    <t>بزرگراه شهید بابانظر</t>
  </si>
  <si>
    <t>بلوار طبرسی</t>
  </si>
  <si>
    <t>بلوار نبی زاده</t>
  </si>
  <si>
    <t>خیابان ستایش</t>
  </si>
  <si>
    <t>لچکی طبرسی</t>
  </si>
  <si>
    <t>لچکی چهارصد دستگاه</t>
  </si>
  <si>
    <t>میدان فجر</t>
  </si>
  <si>
    <t>میدان نبی زاده</t>
  </si>
  <si>
    <t>پارک بسیج</t>
  </si>
  <si>
    <t>پارک خطی شهید بابانظر</t>
  </si>
  <si>
    <t>پارک شهید حکیمی</t>
  </si>
  <si>
    <t>پارک شکوفه</t>
  </si>
  <si>
    <t>آیلند بلوار آفرینش</t>
  </si>
  <si>
    <t>آیلند بلوار التیمور</t>
  </si>
  <si>
    <t>آیلند بلوار دوم طبرسی</t>
  </si>
  <si>
    <t>آیلند بلوار سوم طبرسی</t>
  </si>
  <si>
    <t>آیلند بلوار شاهی</t>
  </si>
  <si>
    <t>بوستان آرامش</t>
  </si>
  <si>
    <t>بوستان ارم</t>
  </si>
  <si>
    <t>بوستان اقاقیا</t>
  </si>
  <si>
    <t>بوستان بانوان ارم</t>
  </si>
  <si>
    <t>بوستان سرو</t>
  </si>
  <si>
    <t>بوستان صادقیه</t>
  </si>
  <si>
    <t>بوستان لاله</t>
  </si>
  <si>
    <t>حاشیه بلوار آفرینش</t>
  </si>
  <si>
    <t>حاشیه بلوار التیمور</t>
  </si>
  <si>
    <t>حاشیه بلوار دوم طبرسی</t>
  </si>
  <si>
    <t>حاشیه بلوار سوم طبرسی</t>
  </si>
  <si>
    <t>حاشیه شرقی صدمتری</t>
  </si>
  <si>
    <t>خیابان میثم شمالی</t>
  </si>
  <si>
    <t>خیابان وحید شمالی</t>
  </si>
  <si>
    <t>خیابان پنج تن</t>
  </si>
  <si>
    <t>خیابان پنجتن 55</t>
  </si>
  <si>
    <t>شهرک صادقیه</t>
  </si>
  <si>
    <t>لچکی انتهای التیمور</t>
  </si>
  <si>
    <t>محوطه ساختمان شهرداری منطقه 4</t>
  </si>
  <si>
    <t>میدان محراب حسینی</t>
  </si>
  <si>
    <t>میدان چهارده معصوم</t>
  </si>
  <si>
    <t>پارک خطی آفرینش</t>
  </si>
  <si>
    <t>پارک خطی حاشیه بابانظر</t>
  </si>
  <si>
    <t>پایانه طبرسی</t>
  </si>
  <si>
    <t>05</t>
  </si>
  <si>
    <t>پارک وحدت</t>
  </si>
  <si>
    <t>آیلند بلوار الزهرا</t>
  </si>
  <si>
    <t>آیلند بلوار تاکسیرانی</t>
  </si>
  <si>
    <t>آیلند بلوار شهید احمد عزیزی (خیبر)</t>
  </si>
  <si>
    <t>آیلند بلوار شهید دهقان</t>
  </si>
  <si>
    <t>آیلند بلوار شهید رحیمی</t>
  </si>
  <si>
    <t>آیلند بلوار فیض زاده</t>
  </si>
  <si>
    <t>آیلند بلوار میرزا کوچک خان</t>
  </si>
  <si>
    <t>آیلند بلوار وحدت</t>
  </si>
  <si>
    <t>آیلند بلوار ولایت</t>
  </si>
  <si>
    <t>آیلند بلوار پور طرقی</t>
  </si>
  <si>
    <t>آیلند بلوار چمن</t>
  </si>
  <si>
    <t>آیلند بلوار کرامت (راضیه)</t>
  </si>
  <si>
    <t>ارغوان (بوستان قوه قضاییه )</t>
  </si>
  <si>
    <t>بوستان اطلسی</t>
  </si>
  <si>
    <t>بوستان امت</t>
  </si>
  <si>
    <t>بوستان انتهای رضاییه</t>
  </si>
  <si>
    <t>بوستان بجمهن</t>
  </si>
  <si>
    <t>بوستان حکمت</t>
  </si>
  <si>
    <t>بوستان رستگار مقدم</t>
  </si>
  <si>
    <t>بوستان زنبق</t>
  </si>
  <si>
    <t>بوستان شهدای تاکسیرانی</t>
  </si>
  <si>
    <t>بوستان فروغی بسطامی</t>
  </si>
  <si>
    <t>بوستان گلبرگ</t>
  </si>
  <si>
    <t>حاشیه بزرگراه شهید بابانظر</t>
  </si>
  <si>
    <t>حاشیه بلوار الزهرا</t>
  </si>
  <si>
    <t>حاشیه بلوار شهدای تاکسیرانی</t>
  </si>
  <si>
    <t>حاشیه بلوار شهید احمد عزیزی (خیبر)</t>
  </si>
  <si>
    <t>حاشیه بلوار شهید اسماعیل پورطرقی</t>
  </si>
  <si>
    <t>حاشیه بلوار شهید دهقان</t>
  </si>
  <si>
    <t>حاشیه بلوار فیض زاده</t>
  </si>
  <si>
    <t>حاشیه بلوار میرزا کوچک خان</t>
  </si>
  <si>
    <t>حاشیه بلوار وحدت</t>
  </si>
  <si>
    <t>حاشیه بلوار ولایت</t>
  </si>
  <si>
    <t>حاشیه بلوار چمن</t>
  </si>
  <si>
    <t>حاشیه بلوار کرامت (راضیه)</t>
  </si>
  <si>
    <t>حاشیه خیابان امت 27</t>
  </si>
  <si>
    <t>حاشیه خیابان سرخس</t>
  </si>
  <si>
    <t>حاشیه خیابان سرخس 2</t>
  </si>
  <si>
    <t>حاشیه خیابان شهید رحیمی</t>
  </si>
  <si>
    <t>حاشیه خیابان علیمردانی و علیمردانی 38</t>
  </si>
  <si>
    <t>حاشیه خیابان میرزای 3</t>
  </si>
  <si>
    <t>حاشیه خیابان وحدت 12</t>
  </si>
  <si>
    <t>حاشیه خیابان وحدت 2</t>
  </si>
  <si>
    <t>حاشیه خیابان وحدت 22</t>
  </si>
  <si>
    <t>حاشیه خیابان کارگر رازی</t>
  </si>
  <si>
    <t>خیابان عبادت</t>
  </si>
  <si>
    <t>خیابان مهرآباد</t>
  </si>
  <si>
    <t>خیابان پورطرقی 16 (سالن ورزشی)</t>
  </si>
  <si>
    <t>خیابان گلریز</t>
  </si>
  <si>
    <t>رحیمی 24</t>
  </si>
  <si>
    <t>لچکی ابتدای مهرآباد</t>
  </si>
  <si>
    <t>لچکی الزهرا</t>
  </si>
  <si>
    <t>لچکی امت 4</t>
  </si>
  <si>
    <t>لچکی انتهای بلوار مفتح</t>
  </si>
  <si>
    <t>لچکی انتهای مهرآباد</t>
  </si>
  <si>
    <t>لچکی بابانظر 84</t>
  </si>
  <si>
    <t>لچکی عباس پور</t>
  </si>
  <si>
    <t>لچکی میرزا 5</t>
  </si>
  <si>
    <t>لچکی های انتهای نبوت</t>
  </si>
  <si>
    <t>لچکی های تاکسیرانی</t>
  </si>
  <si>
    <t>لچکی های حاشیه میرزا</t>
  </si>
  <si>
    <t>لچکی های میدان مفتح</t>
  </si>
  <si>
    <t>لچکی های میدان میرزا</t>
  </si>
  <si>
    <t>لچکی های میدان ولایت</t>
  </si>
  <si>
    <t>لچکی وحدت 2</t>
  </si>
  <si>
    <t>لچکی وحدت 8</t>
  </si>
  <si>
    <t>لچکی ولایت 10</t>
  </si>
  <si>
    <t>لچکی پنجراه و چهارراه عرب</t>
  </si>
  <si>
    <t>محوطه ساختمان شهرداری منطقه 5</t>
  </si>
  <si>
    <t>میدان مفتح</t>
  </si>
  <si>
    <t>076</t>
  </si>
  <si>
    <t>میدان میرزا</t>
  </si>
  <si>
    <t>077</t>
  </si>
  <si>
    <t>میدان نبوت</t>
  </si>
  <si>
    <t>078</t>
  </si>
  <si>
    <t>میدان ولایت</t>
  </si>
  <si>
    <t>079</t>
  </si>
  <si>
    <t>پارک الزهرا</t>
  </si>
  <si>
    <t>080</t>
  </si>
  <si>
    <t>پارک خطی گلبن</t>
  </si>
  <si>
    <t>081</t>
  </si>
  <si>
    <t>پارک مهر فاز 1</t>
  </si>
  <si>
    <t>082</t>
  </si>
  <si>
    <t>پارک مهر فاز 2</t>
  </si>
  <si>
    <t>083</t>
  </si>
  <si>
    <t>پارک گل افروز</t>
  </si>
  <si>
    <t>084</t>
  </si>
  <si>
    <t>پارک گلبید</t>
  </si>
  <si>
    <t>085</t>
  </si>
  <si>
    <t>پارک گلدان</t>
  </si>
  <si>
    <t>آیلند بلوار شهید آوینی</t>
  </si>
  <si>
    <t>آیلند بلوار مفتح شرقی (میامی)</t>
  </si>
  <si>
    <t>آیلند بلوار مهدی آباد</t>
  </si>
  <si>
    <t>آیلند بلوار کرامت (جمعه بازار)</t>
  </si>
  <si>
    <t>آیلند فاز 2 مفتح شرقی (میامی)</t>
  </si>
  <si>
    <t>بوستان خطی آوینی فاز 1</t>
  </si>
  <si>
    <t>بوستان خطی آوینی فاز 2</t>
  </si>
  <si>
    <t>حاشیه بلوار مهدی آباد</t>
  </si>
  <si>
    <t>حاشیه خیابان کرامت (جمعه بازار)</t>
  </si>
  <si>
    <t>حاشیه فاز 2 میامی</t>
  </si>
  <si>
    <t>خیابان آرمون</t>
  </si>
  <si>
    <t>خیابان بابانظر 54</t>
  </si>
  <si>
    <t>خیابان بابانظر 64 (شهید یعقوبی)</t>
  </si>
  <si>
    <t>خیابان سخاوت</t>
  </si>
  <si>
    <t>خیابان عباس آباد</t>
  </si>
  <si>
    <t>خیابان مفتح شرقی (میامی) و شهید روحنده 4</t>
  </si>
  <si>
    <t>خیابان کرامت 14/9 ، 14/8، 14/7، 14/6، 14/5، 14/4، 14/3، 14/2 و 14</t>
  </si>
  <si>
    <t>خیابان کرامت 17</t>
  </si>
  <si>
    <t>شهرک صنعتی صدف (حاشیه کال و داخل شهرک)</t>
  </si>
  <si>
    <t>لچکی ابتدای عبادت</t>
  </si>
  <si>
    <t>لچکی ابتدای مفتح شرقی (میامی)</t>
  </si>
  <si>
    <t>لچکی تقاطع کرامت و سخاوت</t>
  </si>
  <si>
    <t>لچکی تلاش</t>
  </si>
  <si>
    <t>لچکی جواد الایمه</t>
  </si>
  <si>
    <t>لچکی فرزین</t>
  </si>
  <si>
    <t>لچکی کرامت 16</t>
  </si>
  <si>
    <t>میدان اروند</t>
  </si>
  <si>
    <t>میدان امام جواد (ع)</t>
  </si>
  <si>
    <t>میدان سخاوت</t>
  </si>
  <si>
    <t>میدان شهرآباد</t>
  </si>
  <si>
    <t>میدان میامی</t>
  </si>
  <si>
    <t>پارک آلاله ها (گلشهر)</t>
  </si>
  <si>
    <t>پارک الهی (ارکیده)</t>
  </si>
  <si>
    <t>پارک ترنج (عباس آباد)</t>
  </si>
  <si>
    <t>پارک ثامن</t>
  </si>
  <si>
    <t>پارک خطی اخلاقی</t>
  </si>
  <si>
    <t>پارک خطی مفتح شرقی (سمت زوج)</t>
  </si>
  <si>
    <t>پارک خطی مفتح شرقی (سمت فرد)</t>
  </si>
  <si>
    <t>پارک خطی گلفام فاز 1</t>
  </si>
  <si>
    <t>پارک خطی گلفام فاز 3 (پونه)</t>
  </si>
  <si>
    <t>پارک خطی گلفام فاز2 (پامچال)</t>
  </si>
  <si>
    <t>پارک رضوی</t>
  </si>
  <si>
    <t>پارک سخاوت</t>
  </si>
  <si>
    <t>پارک هرمی باف</t>
  </si>
  <si>
    <t>پارک کنویس (بلوط)</t>
  </si>
  <si>
    <t>پارک کوثر</t>
  </si>
  <si>
    <t>پارک گل افشان</t>
  </si>
  <si>
    <t>پارگ گل سرخ</t>
  </si>
  <si>
    <t>پارگ گلشن</t>
  </si>
  <si>
    <t>پل عباس پور</t>
  </si>
  <si>
    <t>06</t>
  </si>
  <si>
    <t>آیلند بلوار 17 شهریور</t>
  </si>
  <si>
    <t>آیلند بلوار رستمی</t>
  </si>
  <si>
    <t>آیلند بلوار شیرودی</t>
  </si>
  <si>
    <t>آیلند بلوار مصلی اول و زیر پل عدالت</t>
  </si>
  <si>
    <t>آیلند بلوار ژاندارمری</t>
  </si>
  <si>
    <t>آیلند میانی رستمی 17 و لچکی انتهای آن</t>
  </si>
  <si>
    <t>بلوار 17 شهریور</t>
  </si>
  <si>
    <t>بلوار شیرودی</t>
  </si>
  <si>
    <t>بلوار صدر</t>
  </si>
  <si>
    <t>بلوار مصلی اول</t>
  </si>
  <si>
    <t>بلوار چمن</t>
  </si>
  <si>
    <t>سه راه صدر تا میدان 17 شهریور</t>
  </si>
  <si>
    <t>فرهنگسرای غدیر</t>
  </si>
  <si>
    <t>لچکی انتهای رستمی</t>
  </si>
  <si>
    <t>لچکی های کارمندان اول</t>
  </si>
  <si>
    <t>لچکی چهارراه مصلی و مصلی 3</t>
  </si>
  <si>
    <t>لچکی چهنو 25</t>
  </si>
  <si>
    <t>میدان 17 شهریور</t>
  </si>
  <si>
    <t>میدان عدالت</t>
  </si>
  <si>
    <t>میدان و بلوار مصلی 15</t>
  </si>
  <si>
    <t>میدان گوهرشاد</t>
  </si>
  <si>
    <t>پارک خطی رستمی لاین فرد</t>
  </si>
  <si>
    <t>پارک رز (مصلی)</t>
  </si>
  <si>
    <t>پارک زنبق 1</t>
  </si>
  <si>
    <t>پارک زنبق 2</t>
  </si>
  <si>
    <t>پارک مریم</t>
  </si>
  <si>
    <t>پارک میخک و لچکی رستمی 17/2</t>
  </si>
  <si>
    <t>پارک نارنج (غدیر)</t>
  </si>
  <si>
    <t>پارک نرگس</t>
  </si>
  <si>
    <t>آیلند بلوار عباسپور</t>
  </si>
  <si>
    <t>آیلند بلوار واحد و مصلی 26</t>
  </si>
  <si>
    <t>آیلند میانی بلوار مصلی دوم</t>
  </si>
  <si>
    <t>بلوار شهرک شیرازی (مصلی 30-30/5- لچکی گلبن و کل محدوده)</t>
  </si>
  <si>
    <t>بلوار عباسپور</t>
  </si>
  <si>
    <t>بلوار واحد و مصلی 26</t>
  </si>
  <si>
    <t>حاشیه های بلوار مصلی دوم</t>
  </si>
  <si>
    <t>خیابان محمدآباد</t>
  </si>
  <si>
    <t>شهرک بهشتی</t>
  </si>
  <si>
    <t>لچکی ابتدای 22 بهمن</t>
  </si>
  <si>
    <t>لچکی های آستان قدس</t>
  </si>
  <si>
    <t>لچکی های ابراهیمیان (12-10-8)</t>
  </si>
  <si>
    <t>لچکی های انتهای مصلی دوم</t>
  </si>
  <si>
    <t>لچکی های کارمندان دوم</t>
  </si>
  <si>
    <t>هلیا</t>
  </si>
  <si>
    <t>پارک ارکیده</t>
  </si>
  <si>
    <t>پارک اطلسی</t>
  </si>
  <si>
    <t>پارک افرا</t>
  </si>
  <si>
    <t>پارک انتهای رستمی</t>
  </si>
  <si>
    <t>پارک انتهای محمدآباد</t>
  </si>
  <si>
    <t>پارک بنفشه</t>
  </si>
  <si>
    <t>پارک بهشت</t>
  </si>
  <si>
    <t>پارک خطی بلوار 22 بهمن لاین فرد</t>
  </si>
  <si>
    <t>پارک خطی رستمی لاین زوج</t>
  </si>
  <si>
    <t>پارک خطی شهید رستمی22</t>
  </si>
  <si>
    <t>پارک رستمی16و بلوار آسیه</t>
  </si>
  <si>
    <t>پارک محمد آباد</t>
  </si>
  <si>
    <t>پارک محمدی</t>
  </si>
  <si>
    <t>پارک مهر</t>
  </si>
  <si>
    <t>پارک مینا</t>
  </si>
  <si>
    <t>پارک نخل</t>
  </si>
  <si>
    <t>پارک و بلوار تاجر یزدی</t>
  </si>
  <si>
    <t>پارک و بلوار جنب ریل (رستمی2)</t>
  </si>
  <si>
    <t>پارک پامچال و میدان کارمندان</t>
  </si>
  <si>
    <t>پارک پردیس</t>
  </si>
  <si>
    <t>پارک کوچک جنب ارکیده</t>
  </si>
  <si>
    <t>پارک گلایول</t>
  </si>
  <si>
    <t>آقا مصطفی خمینی</t>
  </si>
  <si>
    <t>آیلند بزرگراه بسیج (آیلند میانی)</t>
  </si>
  <si>
    <t>آیلند بزرگراه بسیج (آیلندهای جانبی)</t>
  </si>
  <si>
    <t>آیلند بلوار بصیرت</t>
  </si>
  <si>
    <t>آیلند میانی بلوار شیرین</t>
  </si>
  <si>
    <t>آیلند کال امیرآباد</t>
  </si>
  <si>
    <t>آیلند یوترن های بزرگراه بسیج</t>
  </si>
  <si>
    <t>امیرآباد 8</t>
  </si>
  <si>
    <t>امیرآباد6</t>
  </si>
  <si>
    <t>بازار حافظ</t>
  </si>
  <si>
    <t>بزرگراه بسیج لاین شرقی</t>
  </si>
  <si>
    <t>بزرگراه بسیج لاین غربی</t>
  </si>
  <si>
    <t>بلوار عباس پور</t>
  </si>
  <si>
    <t>حاشیه بلوار بصیرت</t>
  </si>
  <si>
    <t>خشکبار (لچکی انتهای مصلی دوم)</t>
  </si>
  <si>
    <t>پارک ارغوان</t>
  </si>
  <si>
    <t>پارک خطی شیرین</t>
  </si>
  <si>
    <t>پارک خطی صدمتری لاین شرقی فاز1</t>
  </si>
  <si>
    <t>پارک خطی صدمتری لاین شرقی فاز2</t>
  </si>
  <si>
    <t>پارک خطی صدمتری لاین غربی</t>
  </si>
  <si>
    <t>پارک شب بو</t>
  </si>
  <si>
    <t>پارک شقایق</t>
  </si>
  <si>
    <t>پارک شیرین</t>
  </si>
  <si>
    <t>کوی عمار</t>
  </si>
  <si>
    <t>آیلند بلوار حر</t>
  </si>
  <si>
    <t>آیلند بلوار سرخس</t>
  </si>
  <si>
    <t>آیلند بلوار مهریز</t>
  </si>
  <si>
    <t>انتهای مهریز</t>
  </si>
  <si>
    <t>بلوار حر</t>
  </si>
  <si>
    <t>بلوار سرخس</t>
  </si>
  <si>
    <t>بلوار مهریز</t>
  </si>
  <si>
    <t>شهرک صنعتی مهریز</t>
  </si>
  <si>
    <t>میدان مهریز</t>
  </si>
  <si>
    <t>پارک امید</t>
  </si>
  <si>
    <t>پارک رجا</t>
  </si>
  <si>
    <t>آیلند بلوار حر حد فاصل حر 74 تا 106 (آیلند میانی شهید باهنر)</t>
  </si>
  <si>
    <t>بلوار حر حدفاصل حر 74 تا 106 (حاشیه بلوار باهنر)</t>
  </si>
  <si>
    <t>حاشیه بلوار حر سمت زوج</t>
  </si>
  <si>
    <t>حاشیه کال امیرآباد لاین شمالی (کال نصرت)</t>
  </si>
  <si>
    <t>حر 28 (خیابان اروند)</t>
  </si>
  <si>
    <t>حر 39</t>
  </si>
  <si>
    <t>حر 41 (بسکابادی)</t>
  </si>
  <si>
    <t>حر 56</t>
  </si>
  <si>
    <t>لچکی ابراهیم آباد</t>
  </si>
  <si>
    <t>پارک آرامستان (آرام)</t>
  </si>
  <si>
    <t>پارک آلاله (شهدای ده دی)- (بوستان آلاله)</t>
  </si>
  <si>
    <t>پارک اروند</t>
  </si>
  <si>
    <t>پارک خطی شهید باهنر فاز1 - (بوستان گل یاس)</t>
  </si>
  <si>
    <t>پارک خطی شهید باهنر فاز2 (جاده حدفاصل)</t>
  </si>
  <si>
    <t>پارک نصرت</t>
  </si>
  <si>
    <t>پارک پورسینا</t>
  </si>
  <si>
    <t>07</t>
  </si>
  <si>
    <t>آیلند بلوار امانی و بیست متری</t>
  </si>
  <si>
    <t>آیلند بلوار جمهوری</t>
  </si>
  <si>
    <t>آیلند بلوار شهید تونی</t>
  </si>
  <si>
    <t>آیلند بلوار صابر</t>
  </si>
  <si>
    <t>آیلند بلوار صدر</t>
  </si>
  <si>
    <t>آیلند بلوار فرودگاه</t>
  </si>
  <si>
    <t>آیلند بلوار کوشش</t>
  </si>
  <si>
    <t>آیلند صدر 33</t>
  </si>
  <si>
    <t>آیلند صدمتری حدفاصل قطارشهری تا تقاطع غیرهمسطح غدیر</t>
  </si>
  <si>
    <t>بلوار امانی و بیست متری</t>
  </si>
  <si>
    <t>بلوار جمهوری</t>
  </si>
  <si>
    <t>بلوار شهید تونی</t>
  </si>
  <si>
    <t>بلوار صابر</t>
  </si>
  <si>
    <t>بلوار فرودگاه و محوطه شهرداری منطقه 7</t>
  </si>
  <si>
    <t>بلوار کوشش</t>
  </si>
  <si>
    <t>بوستان اختر</t>
  </si>
  <si>
    <t>بوستان حاشیه پل سلام و حاشیه کال</t>
  </si>
  <si>
    <t>بوستان خطی کلانتری</t>
  </si>
  <si>
    <t>بوستان خطی گیاهشناسی</t>
  </si>
  <si>
    <t>بوستان سلام</t>
  </si>
  <si>
    <t>بوستان میرزا کوچک خان</t>
  </si>
  <si>
    <t>بوستان پرواز</t>
  </si>
  <si>
    <t>بوستان پروین</t>
  </si>
  <si>
    <t>بوستان گل خطمی</t>
  </si>
  <si>
    <t>بوستان گلشید</t>
  </si>
  <si>
    <t>جنگل تندرستی (چاه سلام)</t>
  </si>
  <si>
    <t>حاشیه صدمتری حدفاصل قطارشهری تا تقاطع غیرهمسطح غدیر</t>
  </si>
  <si>
    <t>خیابان امام رضا 70</t>
  </si>
  <si>
    <t>خیابان دانش</t>
  </si>
  <si>
    <t>خیابان سلیمانی منش</t>
  </si>
  <si>
    <t>خیابان شهید سالم</t>
  </si>
  <si>
    <t>خیابان صدر 50 و بنی هاشم 22</t>
  </si>
  <si>
    <t>خیابان عنصری</t>
  </si>
  <si>
    <t>خیابان فداییان</t>
  </si>
  <si>
    <t>خیابان نسترن و یاران</t>
  </si>
  <si>
    <t>خیابان پروین</t>
  </si>
  <si>
    <t>خیابان پروین 26 و 27</t>
  </si>
  <si>
    <t>سلسله الذهب (ایستگاه استقبال زایر)</t>
  </si>
  <si>
    <t>صدری 33</t>
  </si>
  <si>
    <t>فضای سبز حاشیه پل غدیر</t>
  </si>
  <si>
    <t>لچکی ابتدای 17 شهریور</t>
  </si>
  <si>
    <t>لچکی انتهای پروین</t>
  </si>
  <si>
    <t>لچکی سلیمانی منش</t>
  </si>
  <si>
    <t>لچکی فداییان 28</t>
  </si>
  <si>
    <t>لچکی فداییان 8</t>
  </si>
  <si>
    <t>لچکی مقابل بازار رضا</t>
  </si>
  <si>
    <t>لچکی های سراهای 17 شهریور</t>
  </si>
  <si>
    <t>لچکی های میدان حافظ</t>
  </si>
  <si>
    <t>لچکی های پشت ترمینال</t>
  </si>
  <si>
    <t>لچکی های چهارراه کوشش</t>
  </si>
  <si>
    <t>لچکی ورودی فرودگاه</t>
  </si>
  <si>
    <t>لچکی چمن 45</t>
  </si>
  <si>
    <t>لچکی چهارراه مقدم</t>
  </si>
  <si>
    <t>لچکی چهارراه میهن تور</t>
  </si>
  <si>
    <t>لچکی گیاهشناسی</t>
  </si>
  <si>
    <t>لچکی یاران 23</t>
  </si>
  <si>
    <t>میدان حافظ</t>
  </si>
  <si>
    <t>میدان غدیر و شیب ها</t>
  </si>
  <si>
    <t>میدان فرودگاه</t>
  </si>
  <si>
    <t>میدان چمن</t>
  </si>
  <si>
    <t>کوی پلیس</t>
  </si>
  <si>
    <t>آیلند بلوار المهدی</t>
  </si>
  <si>
    <t>آیلند بلوار انتهای خیابان قایم</t>
  </si>
  <si>
    <t>آیلند بلوار ایمان</t>
  </si>
  <si>
    <t>آیلند بلوار دایی</t>
  </si>
  <si>
    <t>آیلند بلوار شهید حسین زاده</t>
  </si>
  <si>
    <t>آیلند بلوار صبا (الف ناحیه 2)</t>
  </si>
  <si>
    <t>آیلند بلوار صبای غربی</t>
  </si>
  <si>
    <t>آیلند بلوار قایم 27</t>
  </si>
  <si>
    <t>آیلند بلوار قایم 48</t>
  </si>
  <si>
    <t>آیلند دکلها</t>
  </si>
  <si>
    <t>آیلند سکانس 1</t>
  </si>
  <si>
    <t>آیلند سکانس 2</t>
  </si>
  <si>
    <t>آیلند سکانس 3</t>
  </si>
  <si>
    <t>آیلند سکانس 4 و 5</t>
  </si>
  <si>
    <t>آیلند سکانس 6</t>
  </si>
  <si>
    <t>آیلند میانی پل حافظ</t>
  </si>
  <si>
    <t>ارتفاعات بوستان قایم</t>
  </si>
  <si>
    <t>کمربند سبز حفاظتی</t>
  </si>
  <si>
    <t>ارتفاعات قایم (یزدان)</t>
  </si>
  <si>
    <t>بلوار المهدی</t>
  </si>
  <si>
    <t>بلوار ایمان</t>
  </si>
  <si>
    <t>بلوار دایی</t>
  </si>
  <si>
    <t>بلوار دکلها</t>
  </si>
  <si>
    <t>بلوار شهید حسین زاده</t>
  </si>
  <si>
    <t>بلوار صبا (الف ناحیه 2)</t>
  </si>
  <si>
    <t>بلوار صبای غربی</t>
  </si>
  <si>
    <t>بلوار قایم 27</t>
  </si>
  <si>
    <t>بلوار قایم 48</t>
  </si>
  <si>
    <t>بوستان ایمان</t>
  </si>
  <si>
    <t>بوستان دایی 51</t>
  </si>
  <si>
    <t>بوستان سبحان</t>
  </si>
  <si>
    <t>بوستان سحر</t>
  </si>
  <si>
    <t>بوستان سرور</t>
  </si>
  <si>
    <t>بوستان شادی</t>
  </si>
  <si>
    <t>بوستان شاهین</t>
  </si>
  <si>
    <t>بوستان قایم</t>
  </si>
  <si>
    <t>بوستان قایم 26</t>
  </si>
  <si>
    <t>بوستان قایم 28</t>
  </si>
  <si>
    <t>بوستان قایم 30</t>
  </si>
  <si>
    <t>بوستان نقیبی فرد 10</t>
  </si>
  <si>
    <t>بوستان نقیبی فرد 17</t>
  </si>
  <si>
    <t>جنگل کاری ابتدای خلج</t>
  </si>
  <si>
    <t>خیابان خلج</t>
  </si>
  <si>
    <t>خیابان سبحان</t>
  </si>
  <si>
    <t>خیابان شهید ریاضی</t>
  </si>
  <si>
    <t>خیابان شهید نقیبی فرد</t>
  </si>
  <si>
    <t>خیابان قایم</t>
  </si>
  <si>
    <t>شهرک صنعتی ریاضی</t>
  </si>
  <si>
    <t>فضای سبز کال اقبال</t>
  </si>
  <si>
    <t>لچکی ابتدای خیابان خلج</t>
  </si>
  <si>
    <t>لچکی ابتدای قایم</t>
  </si>
  <si>
    <t>لچکی تقاطع صبا - خلج</t>
  </si>
  <si>
    <t>لچکی مقابل موتوری</t>
  </si>
  <si>
    <t>لچکی میدان حافظ</t>
  </si>
  <si>
    <t>لچکی های شهرک صنعتی ریاضی</t>
  </si>
  <si>
    <t>لچکی پارک سوار حافظ</t>
  </si>
  <si>
    <t>لچکی کوشش 38</t>
  </si>
  <si>
    <t>محوطه خدمات شهری</t>
  </si>
  <si>
    <t>آیلند بلوار ثامن</t>
  </si>
  <si>
    <t>آیلند بلوار سپاه</t>
  </si>
  <si>
    <t>آیلند بلوار صبا</t>
  </si>
  <si>
    <t>بزرگراه سلسله الذهب</t>
  </si>
  <si>
    <t>بلوار ثامن</t>
  </si>
  <si>
    <t>بلوار سپاه</t>
  </si>
  <si>
    <t>بلوار صبا</t>
  </si>
  <si>
    <t>بوستان بهارستان</t>
  </si>
  <si>
    <t>بوستان ثامن</t>
  </si>
  <si>
    <t>بوستان ریحان</t>
  </si>
  <si>
    <t>بوستان سپیده 1</t>
  </si>
  <si>
    <t>بوستان سپیده 2</t>
  </si>
  <si>
    <t>بوستان صبا</t>
  </si>
  <si>
    <t>بوستان ورودی شهر</t>
  </si>
  <si>
    <t>بوستان گلایل</t>
  </si>
  <si>
    <t>بوستان گلنار 1</t>
  </si>
  <si>
    <t>بوستان گلنار 2</t>
  </si>
  <si>
    <t>حاشیه شهید قاسمی</t>
  </si>
  <si>
    <t>خیابان سحر</t>
  </si>
  <si>
    <t>شهرک عسکریه</t>
  </si>
  <si>
    <t>میدان احسان</t>
  </si>
  <si>
    <t>میدان ثامن</t>
  </si>
  <si>
    <t>میدان حسن آزادی</t>
  </si>
  <si>
    <t>میدان سلام</t>
  </si>
  <si>
    <t>میدان صبا</t>
  </si>
  <si>
    <t>پارک خطی آفتاب</t>
  </si>
  <si>
    <t>پارک خطی حاشیه كال خلج</t>
  </si>
  <si>
    <t>پایانه اتوبوس رانی صبا</t>
  </si>
  <si>
    <t>آیلند بلوار باقری</t>
  </si>
  <si>
    <t>آیلند بلوار جهانی</t>
  </si>
  <si>
    <t>آیلند بلوار صبا (ج ناحیه 2)</t>
  </si>
  <si>
    <t>آیلند بلوار غفاری</t>
  </si>
  <si>
    <t>آیلند بلوار غفاری 1</t>
  </si>
  <si>
    <t>آیلند بلوار یاس</t>
  </si>
  <si>
    <t>آیلند میانی جاده قدیم نیشابور</t>
  </si>
  <si>
    <t>بوستان خطی شهرک ابوذر</t>
  </si>
  <si>
    <t>بوستان شهرک ابوذر (فاز 1و2و3)</t>
  </si>
  <si>
    <t>بوستان شهرک ابوذر (فاز 4و5و6)</t>
  </si>
  <si>
    <t>بوستان گلاب</t>
  </si>
  <si>
    <t>تقاطع حسن آزادی</t>
  </si>
  <si>
    <t>حاشیه بزرگراه شهید شوشتری</t>
  </si>
  <si>
    <t>حاشیه بلوار باقری</t>
  </si>
  <si>
    <t>حاشیه بلوار صبا</t>
  </si>
  <si>
    <t>حاشیه بلوار غفاری</t>
  </si>
  <si>
    <t>حاشیه جاده قدیم فاز 1</t>
  </si>
  <si>
    <t>حاشیه جاده قدیم فاز 2</t>
  </si>
  <si>
    <t>حاشیه منازل ویلایی</t>
  </si>
  <si>
    <t>میدان مسجد</t>
  </si>
  <si>
    <t>بوستان غدیر</t>
  </si>
  <si>
    <t>باغ ایرانی</t>
  </si>
  <si>
    <t>فاز1</t>
  </si>
  <si>
    <t>فاز2</t>
  </si>
  <si>
    <t>فاز3</t>
  </si>
  <si>
    <t>فاز4</t>
  </si>
  <si>
    <t>آیلند بلوار رجایی</t>
  </si>
  <si>
    <t>آیلند بلوار ساعی</t>
  </si>
  <si>
    <t>آیلند بلوار سردخانه</t>
  </si>
  <si>
    <t>آیلند بلوار کارآفرین</t>
  </si>
  <si>
    <t>آیلند بلوار کارگر</t>
  </si>
  <si>
    <t>آیلند جاده محمدآباد</t>
  </si>
  <si>
    <t>بوستان صفاعلی</t>
  </si>
  <si>
    <t>بوستان گلسار</t>
  </si>
  <si>
    <t>حاشیه بلوار ساعی</t>
  </si>
  <si>
    <t>حاشیه بلوار سردخانه</t>
  </si>
  <si>
    <t>حاشیه بلوار شهید رجایی</t>
  </si>
  <si>
    <t>حاشیه بلوار کارگر</t>
  </si>
  <si>
    <t>حاشیه جاده قدیم نیشابور</t>
  </si>
  <si>
    <t>حاشیه خیابان ساعی 15</t>
  </si>
  <si>
    <t>حاشیه خیابان شهید لوحی</t>
  </si>
  <si>
    <t>حاشیه خیابان صاحب الزمان</t>
  </si>
  <si>
    <t>حاشیه خیابان ولیعصر</t>
  </si>
  <si>
    <t>حاشیه خیابان پیشه</t>
  </si>
  <si>
    <t>حاشیه خیابان کارآفرین</t>
  </si>
  <si>
    <t>حاشیه مقابل پمپ بنزین</t>
  </si>
  <si>
    <t>حاشیه کال طرق</t>
  </si>
  <si>
    <t>لچکی های پل طرق</t>
  </si>
  <si>
    <t>میدان کارآفرین</t>
  </si>
  <si>
    <t>بوستان ثامن الایمه</t>
  </si>
  <si>
    <t>جنگل اباصلت</t>
  </si>
  <si>
    <t>جنگل کمپوست</t>
  </si>
  <si>
    <t>حاشیه خیابان رباط طرق</t>
  </si>
  <si>
    <t>حاشیه خیابان معاینه فنی</t>
  </si>
  <si>
    <t>08</t>
  </si>
  <si>
    <t>آیلند آخوند خراسانی</t>
  </si>
  <si>
    <t>آیلند بلوار مدرس</t>
  </si>
  <si>
    <t>آیلند خیابان امام خمینی(ره)</t>
  </si>
  <si>
    <t>آیلند صابری</t>
  </si>
  <si>
    <t>باغ ملی</t>
  </si>
  <si>
    <t>خانه ملک</t>
  </si>
  <si>
    <t>خیابان آخوند خراسانی</t>
  </si>
  <si>
    <t>خیابان ارشاد</t>
  </si>
  <si>
    <t>خیابان امام خمینی</t>
  </si>
  <si>
    <t>خیابان ثبت و دخانیات</t>
  </si>
  <si>
    <t>خیابان جانبازان</t>
  </si>
  <si>
    <t>خیابان جنت</t>
  </si>
  <si>
    <t>خیابان جهاد</t>
  </si>
  <si>
    <t>خیابان دانش غربی</t>
  </si>
  <si>
    <t>خیابان دیالمه</t>
  </si>
  <si>
    <t>خیابان رازی</t>
  </si>
  <si>
    <t>خیابان سعدی</t>
  </si>
  <si>
    <t>خیابان فرخی</t>
  </si>
  <si>
    <t>خیابان مدرس</t>
  </si>
  <si>
    <t>خیابان مهران</t>
  </si>
  <si>
    <t>خیابان پاسداران</t>
  </si>
  <si>
    <t>خیابان چمران</t>
  </si>
  <si>
    <t>خیابان گلستان</t>
  </si>
  <si>
    <t>لچکی بیمارستان سینا</t>
  </si>
  <si>
    <t>میدان امام رضا</t>
  </si>
  <si>
    <t>میدان بسیج</t>
  </si>
  <si>
    <t>میدان ده دی</t>
  </si>
  <si>
    <t>میدان گنبد سبز</t>
  </si>
  <si>
    <t>پارک دانش</t>
  </si>
  <si>
    <t>پارک رازی</t>
  </si>
  <si>
    <t>پارک شهید دهقانی</t>
  </si>
  <si>
    <t>پارک فرهنگ سرا</t>
  </si>
  <si>
    <t>پارک چمران</t>
  </si>
  <si>
    <t>آیلند بلوار نماز</t>
  </si>
  <si>
    <t>آیلند خلیلی</t>
  </si>
  <si>
    <t>آیلند محدوده مجتمع آبادگران</t>
  </si>
  <si>
    <t>آیلند نامجو</t>
  </si>
  <si>
    <t>بزرگراه کلانتری</t>
  </si>
  <si>
    <t>حاشیه بلوار نماز</t>
  </si>
  <si>
    <t>حاشیه محدوده مجتمع آبادگران</t>
  </si>
  <si>
    <t>حاشیه معابر خیابان كوهسنگی</t>
  </si>
  <si>
    <t>خیابان آبادگران</t>
  </si>
  <si>
    <t>خیابان ارشادالرضا</t>
  </si>
  <si>
    <t>خیابان امیرکبیر</t>
  </si>
  <si>
    <t>خیابان باقران و ثامن</t>
  </si>
  <si>
    <t>خیابان بهشتی 19</t>
  </si>
  <si>
    <t>خیابان بهشتی 59</t>
  </si>
  <si>
    <t>خیابان توس گستر</t>
  </si>
  <si>
    <t>خیابان جهان آرا</t>
  </si>
  <si>
    <t>خیابان حاشیه نامجو</t>
  </si>
  <si>
    <t>خیابان حکیم نظامی</t>
  </si>
  <si>
    <t>خیابان رزم و رزم 1</t>
  </si>
  <si>
    <t>خیابان رودکی</t>
  </si>
  <si>
    <t>خیابان شرکت برق</t>
  </si>
  <si>
    <t>خیابان شهید بهشتی</t>
  </si>
  <si>
    <t>خیابان طرفین زکریا</t>
  </si>
  <si>
    <t>خیابان مرکز آموزش (مقابل نامجو)</t>
  </si>
  <si>
    <t>خیابان مقابل استانداری</t>
  </si>
  <si>
    <t>خیابان نماز 28</t>
  </si>
  <si>
    <t>خیابان همت</t>
  </si>
  <si>
    <t>لچکی دایره لشکر</t>
  </si>
  <si>
    <t>لچکی نامجو</t>
  </si>
  <si>
    <t>میدان شهید حبرانی</t>
  </si>
  <si>
    <t>میدان کوشه ای</t>
  </si>
  <si>
    <t>پارک الندشت</t>
  </si>
  <si>
    <t>پارک خطی بهار</t>
  </si>
  <si>
    <t>پارک خطی کلانتری</t>
  </si>
  <si>
    <t>پارک زکریا</t>
  </si>
  <si>
    <t>پارک زکریا ( بلوار نماز)</t>
  </si>
  <si>
    <t>پارک محوطه استانداری</t>
  </si>
  <si>
    <t>جنگل شرکت برق</t>
  </si>
  <si>
    <t>سایت جنوبی و جنگل افرا</t>
  </si>
  <si>
    <t>سایت شمالی (سمت خیابان کوهسنگی)</t>
  </si>
  <si>
    <t>سایت شمالی (سمت کلانتری)</t>
  </si>
  <si>
    <t>کوه و دامنه</t>
  </si>
  <si>
    <t>آیلند امام خمینی</t>
  </si>
  <si>
    <t>آیلند بزرگراه کلانتری</t>
  </si>
  <si>
    <t>آیلند بلوار نماز (حدفاصل بلوار شهدای ارتش و بلوار دکل ها)</t>
  </si>
  <si>
    <t>آیلند خرمشهر</t>
  </si>
  <si>
    <t>آیلند شهدای ارتش</t>
  </si>
  <si>
    <t>امام خمینی 80</t>
  </si>
  <si>
    <t>بزرگراه شهید کلانتری (حاشیه جنوبی)</t>
  </si>
  <si>
    <t>بزرگراه شهید کلانتری (حاشیه شمالی)</t>
  </si>
  <si>
    <t>ترمینال لاین بالا</t>
  </si>
  <si>
    <t>ترمینال لاین پایین</t>
  </si>
  <si>
    <t>تپه های الله اکبر (کمربند سبز)</t>
  </si>
  <si>
    <t>جلوی درب پارکینگ ترمینال</t>
  </si>
  <si>
    <t>حاشیه امام خمینی</t>
  </si>
  <si>
    <t>حاشیه خرمشهر</t>
  </si>
  <si>
    <t>حاشیه شهدای ارتش</t>
  </si>
  <si>
    <t>خیابان امام خمینی 85</t>
  </si>
  <si>
    <t>خیابان امام خمینی 89</t>
  </si>
  <si>
    <t>خیابان بهار</t>
  </si>
  <si>
    <t>خیابان تولایی</t>
  </si>
  <si>
    <t>خیابان ثامن</t>
  </si>
  <si>
    <t>خیابان فروزنده</t>
  </si>
  <si>
    <t>خیابان فیاض بخش</t>
  </si>
  <si>
    <t>زیر پل انقلاب</t>
  </si>
  <si>
    <t>لچکی امام خمینی 54</t>
  </si>
  <si>
    <t>لچکی امام خمینی 60</t>
  </si>
  <si>
    <t>لچکی دیدگاه لشکر</t>
  </si>
  <si>
    <t>لچکی های 15 خرداد</t>
  </si>
  <si>
    <t>لچکی های بنیاد 15 خرداد</t>
  </si>
  <si>
    <t>محوطه شهرداری</t>
  </si>
  <si>
    <t>میدان امام خمینی</t>
  </si>
  <si>
    <t>میدان انقلاب</t>
  </si>
  <si>
    <t>پادگان ارتش</t>
  </si>
  <si>
    <t>پارک امام خمینی 86</t>
  </si>
  <si>
    <t>پارک امام خمینی 88</t>
  </si>
  <si>
    <t>پارک انقلاب</t>
  </si>
  <si>
    <t>پارک حافظ</t>
  </si>
  <si>
    <t>پل انقلاب و دور مخزن</t>
  </si>
  <si>
    <t>پمپ گاز</t>
  </si>
  <si>
    <t>09</t>
  </si>
  <si>
    <t>آیلند بلوار دعبل خزایی</t>
  </si>
  <si>
    <t>آیلند بلوار رضوی</t>
  </si>
  <si>
    <t>بلوار دعبل خزایی</t>
  </si>
  <si>
    <t>بلوار رضوی</t>
  </si>
  <si>
    <t>بوستان اطلسی (الف)</t>
  </si>
  <si>
    <t>بوستان سایه ها</t>
  </si>
  <si>
    <t>بوستان شکوفه</t>
  </si>
  <si>
    <t>بوستان فردوس</t>
  </si>
  <si>
    <t>حاشیه بزرگراه کلانتری فاز 1و2</t>
  </si>
  <si>
    <t>حاشیه بزرگراه کلانتری فاز 3</t>
  </si>
  <si>
    <t>حاشیه بزرگراه کلانتری فاز 4</t>
  </si>
  <si>
    <t>حاشیه بزرگراه کلانتری فاز 5</t>
  </si>
  <si>
    <t>خیابان رضوی 22</t>
  </si>
  <si>
    <t>خیابان ملک الشعرا</t>
  </si>
  <si>
    <t>خیابان نوفل</t>
  </si>
  <si>
    <t>لچکی پیروزی 25</t>
  </si>
  <si>
    <t>لچکی پیروزی 27 (الف)</t>
  </si>
  <si>
    <t>میدان جمهوری</t>
  </si>
  <si>
    <t>آیلند بلوار دلاوران</t>
  </si>
  <si>
    <t>آیلند بلوار سرافرازان/سرافرازان52</t>
  </si>
  <si>
    <t>آیلند بلوار نماز (حدفاصل سرافرازان تا دلاوران)</t>
  </si>
  <si>
    <t>آیلند بلوار پایداری</t>
  </si>
  <si>
    <t>آیلند بلوار پیروزی</t>
  </si>
  <si>
    <t>بلوار امام علی</t>
  </si>
  <si>
    <t>بلوار دلاوران</t>
  </si>
  <si>
    <t>بلوار سرافرازان/ سرافرازان 52</t>
  </si>
  <si>
    <t>بلوار پایداری</t>
  </si>
  <si>
    <t>بلوار پیروزی</t>
  </si>
  <si>
    <t>بوستان آزادگان</t>
  </si>
  <si>
    <t>بوستان ارکیده</t>
  </si>
  <si>
    <t>بوستان انار</t>
  </si>
  <si>
    <t>بوستان بهار و آذرگون (سرافراز 50/1)</t>
  </si>
  <si>
    <t>بوستان رز</t>
  </si>
  <si>
    <t>بوستان زیتون و رادان 16</t>
  </si>
  <si>
    <t>بوستان نخل</t>
  </si>
  <si>
    <t>بوستان پایداری 8</t>
  </si>
  <si>
    <t>بوستان گل آسا</t>
  </si>
  <si>
    <t>بوستان گل محمدی</t>
  </si>
  <si>
    <t>جنگل رهایی</t>
  </si>
  <si>
    <t>جنگل لویزان</t>
  </si>
  <si>
    <t>خطی فکوری فاز 1 (حدفاصل میدان دلاوران تا ایزدی)</t>
  </si>
  <si>
    <t>خطی فکوری فاز 2 (میدان یادگاران تا میدان دلاوران)</t>
  </si>
  <si>
    <t>لچکی پیروزی 27 (ب)</t>
  </si>
  <si>
    <t>میدان حر</t>
  </si>
  <si>
    <t>میدان دلاوران</t>
  </si>
  <si>
    <t>میدان سرافرازان</t>
  </si>
  <si>
    <t>میدان سلمان</t>
  </si>
  <si>
    <t>میدان یادگاران</t>
  </si>
  <si>
    <t>پارک خطی زیتون</t>
  </si>
  <si>
    <t>پارک خطی نماز فاز 1</t>
  </si>
  <si>
    <t>پارک خطی پایداری 7</t>
  </si>
  <si>
    <t>پارک خطی پیروزی (ب)</t>
  </si>
  <si>
    <t>فاز5</t>
  </si>
  <si>
    <t>فاز6</t>
  </si>
  <si>
    <t>فاز7</t>
  </si>
  <si>
    <t>فاز8</t>
  </si>
  <si>
    <t>فاز9</t>
  </si>
  <si>
    <t>آیلند خاقانی</t>
  </si>
  <si>
    <t>آیلند طالقانی</t>
  </si>
  <si>
    <t>آیلند فکوری</t>
  </si>
  <si>
    <t>آیلند ناصری</t>
  </si>
  <si>
    <t>آیلند نماز</t>
  </si>
  <si>
    <t>آیلند پیروزی</t>
  </si>
  <si>
    <t>آیلند کاوه</t>
  </si>
  <si>
    <t>بهارستان 16</t>
  </si>
  <si>
    <t>بوستان آلاله</t>
  </si>
  <si>
    <t>حاشیه بلوار خاقانی</t>
  </si>
  <si>
    <t>حاشیه بلوار طالقانی</t>
  </si>
  <si>
    <t>حاشیه بلوار پیروزی</t>
  </si>
  <si>
    <t>حاشیه بلوار پیروزی 2/1</t>
  </si>
  <si>
    <t>حاشیه بلوار پیروزی 2/2</t>
  </si>
  <si>
    <t>حاشیه بلوار کاوه</t>
  </si>
  <si>
    <t>خیابان ارغوان</t>
  </si>
  <si>
    <t>میدان آل شهیدی</t>
  </si>
  <si>
    <t>میدان جام عسل</t>
  </si>
  <si>
    <t>میدان جوان</t>
  </si>
  <si>
    <t>پارک خطی فکوری</t>
  </si>
  <si>
    <t>پارک خطی نماز فاز 3</t>
  </si>
  <si>
    <t>پارک خطی پیروزی (د)</t>
  </si>
  <si>
    <t>پارک شادیلون</t>
  </si>
  <si>
    <t>پارک وفا</t>
  </si>
  <si>
    <t>پارک یاس</t>
  </si>
  <si>
    <t>آیلند بلوار باهنر</t>
  </si>
  <si>
    <t>آیلند بلوار صارمی</t>
  </si>
  <si>
    <t>آیلند بلوار نماز ( حد فاصل هاشمیه تا سرافرازان)</t>
  </si>
  <si>
    <t>آیلند بلوار کوثر شمالی</t>
  </si>
  <si>
    <t>بلوار باهنر</t>
  </si>
  <si>
    <t>بلوار صارمی</t>
  </si>
  <si>
    <t>بلوار کوثر شمالی</t>
  </si>
  <si>
    <t>بوستان آبگینه</t>
  </si>
  <si>
    <t>بوستان آذرگل</t>
  </si>
  <si>
    <t>بوستان ایزدی</t>
  </si>
  <si>
    <t>بوستان جواهر</t>
  </si>
  <si>
    <t>بوستان سرافراز 9 تا 13</t>
  </si>
  <si>
    <t>بوستان سپیدار</t>
  </si>
  <si>
    <t>بوستان شبنم</t>
  </si>
  <si>
    <t>بوستان غنچه</t>
  </si>
  <si>
    <t>بوستان نماز</t>
  </si>
  <si>
    <t>بوستان پرنیان</t>
  </si>
  <si>
    <t>بوستان پگاه</t>
  </si>
  <si>
    <t>تپه نیاوران</t>
  </si>
  <si>
    <t>جنگل سرافراز</t>
  </si>
  <si>
    <t>جنگل سروش</t>
  </si>
  <si>
    <t>جنگل هاشمیه</t>
  </si>
  <si>
    <t>حاشیه بلوار سرافراز</t>
  </si>
  <si>
    <t>خیابان هامشیه 28 (صارمی 4)</t>
  </si>
  <si>
    <t>خیابان کوثر جنوبی</t>
  </si>
  <si>
    <t>میدان چهارچشمه</t>
  </si>
  <si>
    <t>میدان کوثر</t>
  </si>
  <si>
    <t>آیلند بلوار فکوری</t>
  </si>
  <si>
    <t>آیلند بلوار هاشمیه</t>
  </si>
  <si>
    <t>آیلند بلوار هاشمیه 65</t>
  </si>
  <si>
    <t>آیلند بلوار هنرستان</t>
  </si>
  <si>
    <t>آیلند خیابان برکپور</t>
  </si>
  <si>
    <t>آیلند خیابان هاشمیه 85 و 91</t>
  </si>
  <si>
    <t>بلوار فکوری</t>
  </si>
  <si>
    <t>بلوار هاشمیه</t>
  </si>
  <si>
    <t>بلوار هاشمیه 65</t>
  </si>
  <si>
    <t>بلوار هنرستان</t>
  </si>
  <si>
    <t>بوستان آسمان</t>
  </si>
  <si>
    <t>بوستان باران</t>
  </si>
  <si>
    <t>بوستان خطی كال آب و برق (حدفاصل هنرستان تا هاشمیه)</t>
  </si>
  <si>
    <t>بوستان دیبا</t>
  </si>
  <si>
    <t>بوستان سامانیه</t>
  </si>
  <si>
    <t>بوستان ستاره</t>
  </si>
  <si>
    <t>بوستان مهتاب</t>
  </si>
  <si>
    <t>بوستان نگار</t>
  </si>
  <si>
    <t>بوستان پیچک</t>
  </si>
  <si>
    <t>بوستان کوکب</t>
  </si>
  <si>
    <t>بوستان گلاب و گلناز</t>
  </si>
  <si>
    <t>بوستان گلبن</t>
  </si>
  <si>
    <t>جنگل ارشاد</t>
  </si>
  <si>
    <t>جنگل سید</t>
  </si>
  <si>
    <t>جنگل هاشمیه 51</t>
  </si>
  <si>
    <t>خیابان 19 بهمن</t>
  </si>
  <si>
    <t>خیابان برکپور</t>
  </si>
  <si>
    <t>خیابان بهاران و پرواز</t>
  </si>
  <si>
    <t>خیابان لاله</t>
  </si>
  <si>
    <t>خیابان هاشمیه 75</t>
  </si>
  <si>
    <t>خیابان هاشمیه 85 و 91</t>
  </si>
  <si>
    <t>خیابان هنرستان 3</t>
  </si>
  <si>
    <t>میدان اول هنرستان</t>
  </si>
  <si>
    <t>میدان دوم هنرستان</t>
  </si>
  <si>
    <t>میدان شهدای غواص</t>
  </si>
  <si>
    <t>میدان نور</t>
  </si>
  <si>
    <t>میدان هاشمیه (تقاطع پیروزی)</t>
  </si>
  <si>
    <t>میدان هاشمیه 48</t>
  </si>
  <si>
    <t>میدان هاشمیه 85</t>
  </si>
  <si>
    <t>میدان وثوق</t>
  </si>
  <si>
    <t>میدان پیروزی 46</t>
  </si>
  <si>
    <t>آیلند بلوار نماز (حد فاصل هاشمیه تا بوستان خورشید)</t>
  </si>
  <si>
    <t>آیلند بلوار اقبال</t>
  </si>
  <si>
    <t>آیلند بلوار برونسی</t>
  </si>
  <si>
    <t>آیلند بلوار حافظ</t>
  </si>
  <si>
    <t>آیلند بلوار حافظیه</t>
  </si>
  <si>
    <t>آیلند بلوار شهرستانی</t>
  </si>
  <si>
    <t>آیلند بلوار صیاد شیرازی</t>
  </si>
  <si>
    <t>آیلند بلوار لادن</t>
  </si>
  <si>
    <t>آیلند بلوار هفت تیر</t>
  </si>
  <si>
    <t>آیلند بلوار گلدیس</t>
  </si>
  <si>
    <t>بلوار اقبال</t>
  </si>
  <si>
    <t>بلوار برونسی</t>
  </si>
  <si>
    <t>بلوار حافظ</t>
  </si>
  <si>
    <t>بلوار حافظیه</t>
  </si>
  <si>
    <t>بلوار شهرستانی</t>
  </si>
  <si>
    <t>بلوار صیاد شیرازی</t>
  </si>
  <si>
    <t>بلوار لادن</t>
  </si>
  <si>
    <t>بلوار هفت تیر</t>
  </si>
  <si>
    <t>بلوار گلدیس</t>
  </si>
  <si>
    <t>بوستان آبرود</t>
  </si>
  <si>
    <t>بوستان آذر (ویلا)</t>
  </si>
  <si>
    <t>بوستان بهامین</t>
  </si>
  <si>
    <t>بوستان سوسن</t>
  </si>
  <si>
    <t>بوستان شهرستانی</t>
  </si>
  <si>
    <t>بوستان صدرا</t>
  </si>
  <si>
    <t>بوستان صیاد 54 و 65</t>
  </si>
  <si>
    <t>بوستان لادن</t>
  </si>
  <si>
    <t>بوستان مشکین</t>
  </si>
  <si>
    <t>بوستان هاله</t>
  </si>
  <si>
    <t>بوستان پاچنار</t>
  </si>
  <si>
    <t>بوستان پرتو</t>
  </si>
  <si>
    <t>بوستان پونه (صیاد 5)</t>
  </si>
  <si>
    <t>بوستان پیروزی 68</t>
  </si>
  <si>
    <t>بوستان گل سرخ (شهرآرا)</t>
  </si>
  <si>
    <t>جنگل زنبق</t>
  </si>
  <si>
    <t>جنگل هفت تیر</t>
  </si>
  <si>
    <t>جنگل چراغچی</t>
  </si>
  <si>
    <t>میدان اقبال لاهوری</t>
  </si>
  <si>
    <t>میدان اول صیاد</t>
  </si>
  <si>
    <t>میدان حکمت</t>
  </si>
  <si>
    <t>میدان عبدا... میلانی (حافظ)</t>
  </si>
  <si>
    <t>میدان لادن</t>
  </si>
  <si>
    <t>میدان لاله</t>
  </si>
  <si>
    <t>میدان هشت شهریور</t>
  </si>
  <si>
    <t>میدان هفت تیر</t>
  </si>
  <si>
    <t>میدان ویلا</t>
  </si>
  <si>
    <t>باغ بانوان</t>
  </si>
  <si>
    <t>باغ خورگشت شرقی</t>
  </si>
  <si>
    <t>باغ خورگشت غربی</t>
  </si>
  <si>
    <t>باغ دانش آموز شرقی</t>
  </si>
  <si>
    <t>باغ دانش آموز غربی</t>
  </si>
  <si>
    <t>باغ شب</t>
  </si>
  <si>
    <t>باغ صخره ای شرقی</t>
  </si>
  <si>
    <t>باغ صخره ای غربی</t>
  </si>
  <si>
    <t>باغ هنرمندان</t>
  </si>
  <si>
    <t>باغ گیاه شناسی</t>
  </si>
  <si>
    <t>آیلند بلوار وکیل آباد</t>
  </si>
  <si>
    <t>حاشیه بلوار وکیل آباد</t>
  </si>
  <si>
    <t>میدان آزادی</t>
  </si>
  <si>
    <t>10</t>
  </si>
  <si>
    <t>آیلند بلوار ادیب (الف)</t>
  </si>
  <si>
    <t>آیلند بلوار استاد یوسفی (الف)</t>
  </si>
  <si>
    <t>آیلند بلوار امامیه (الف)</t>
  </si>
  <si>
    <t>آیلند بلوار شاهد (الف)</t>
  </si>
  <si>
    <t>آیلند بلوار شریعتی (الف)</t>
  </si>
  <si>
    <t>آیلند بلوار فلاحی (الف)</t>
  </si>
  <si>
    <t>آیلند بلوار نیک رفتار (امامیه 7 - 14)</t>
  </si>
  <si>
    <t>بوستان ادیب 19</t>
  </si>
  <si>
    <t>بوستان ثمن</t>
  </si>
  <si>
    <t>بوستان خطی شاهد 1-3-5</t>
  </si>
  <si>
    <t>بوستان دانش</t>
  </si>
  <si>
    <t>بوستان مروارید</t>
  </si>
  <si>
    <t>بوستان همیشه بهار</t>
  </si>
  <si>
    <t>بوستان پرستو</t>
  </si>
  <si>
    <t>بوستان چهل بازه</t>
  </si>
  <si>
    <t>بوستان کاکتوس</t>
  </si>
  <si>
    <t>حاشیه بلوار ادیب</t>
  </si>
  <si>
    <t>حاشیه بلوار استاد یوسفی</t>
  </si>
  <si>
    <t>حاشیه بلوار امامیه</t>
  </si>
  <si>
    <t>حاشیه بلوار شاهد</t>
  </si>
  <si>
    <t>حاشیه بلوار شریعتی</t>
  </si>
  <si>
    <t>حاشیه بلوار فلاحی</t>
  </si>
  <si>
    <t>حاشیه بلوار نیک رفتار (امامیه 7 - 14)</t>
  </si>
  <si>
    <t>حاشیه خیابان شریعتی 26</t>
  </si>
  <si>
    <t>حاشیه خیابان شهرآرا</t>
  </si>
  <si>
    <t>حاشیه خیابان مروارید</t>
  </si>
  <si>
    <t>لچکی ابتدای ادیب</t>
  </si>
  <si>
    <t>لچکی ابتدای امامیه</t>
  </si>
  <si>
    <t>لچکی ابتدای شاهد</t>
  </si>
  <si>
    <t>لچکی ابتدای فلاحی</t>
  </si>
  <si>
    <t>لچکی تقاطع امامیه - شاهد</t>
  </si>
  <si>
    <t>لچکی تقاطع امامیه - شریعتی (مخابرات)</t>
  </si>
  <si>
    <t>لچکی تقاطع امامیه - نیک رفتار</t>
  </si>
  <si>
    <t>لچکی تقاطع شاهد - شریعتی (ورزش)</t>
  </si>
  <si>
    <t>لچکی تقاطع فلاحی - شریعتی</t>
  </si>
  <si>
    <t>میدان مادر</t>
  </si>
  <si>
    <t>آیلند آزادی</t>
  </si>
  <si>
    <t>آیلند وسط 75 متری بالای پل</t>
  </si>
  <si>
    <t>درختکاری پشت فیاض بخش</t>
  </si>
  <si>
    <t>درختکاری پشت لوپ 13 هکتاری</t>
  </si>
  <si>
    <t>درختکاری پشت لوپ آسایشگاه</t>
  </si>
  <si>
    <t>درختکاری پشت لوپ فرامرز</t>
  </si>
  <si>
    <t>درختکاری پشت لوپ نان رضوی</t>
  </si>
  <si>
    <t>راستگرد 75 متری به سمت استقلال</t>
  </si>
  <si>
    <t>راستگرد سنتو به 75 متری</t>
  </si>
  <si>
    <t>لچکی فرامرز</t>
  </si>
  <si>
    <t>میدان قایم لوپ 13 هکتاری</t>
  </si>
  <si>
    <t>میدان قایم لوپ آسایشگاه</t>
  </si>
  <si>
    <t>میدان قایم لوپ فرامرز</t>
  </si>
  <si>
    <t>میدان قایم لوپ نان رضوی</t>
  </si>
  <si>
    <t>اندیشه 19</t>
  </si>
  <si>
    <t>اندیشه 7</t>
  </si>
  <si>
    <t>انصار 6</t>
  </si>
  <si>
    <t>بلوار استاد یوسفی</t>
  </si>
  <si>
    <t>بلوار اندیشه</t>
  </si>
  <si>
    <t>بلوار حجاب</t>
  </si>
  <si>
    <t>بلوار شاهد</t>
  </si>
  <si>
    <t>بلوار شریعتی</t>
  </si>
  <si>
    <t>حاشیه استاد یوسفی</t>
  </si>
  <si>
    <t>حاشیه اندیشه</t>
  </si>
  <si>
    <t>حاشیه حجاب</t>
  </si>
  <si>
    <t>حاشیه خیابان رازی</t>
  </si>
  <si>
    <t>حاشیه شاهد</t>
  </si>
  <si>
    <t>حاشیه کال چهل بازه</t>
  </si>
  <si>
    <t>خیابان شریعتی حاشیه</t>
  </si>
  <si>
    <t>شریعتی 9/5 و 9/7</t>
  </si>
  <si>
    <t>لچکی ابتدای حجاب</t>
  </si>
  <si>
    <t>لچکی ابتدای کرد نوغانی</t>
  </si>
  <si>
    <t>لچکی حجاب 11</t>
  </si>
  <si>
    <t>لچکی حجاب 9</t>
  </si>
  <si>
    <t>لچکی خیابان رازی</t>
  </si>
  <si>
    <t>لچکی رازی 17</t>
  </si>
  <si>
    <t>لچکی سه راه شاهد</t>
  </si>
  <si>
    <t>لچکی شاهد 68</t>
  </si>
  <si>
    <t>لچکی شاهد 83</t>
  </si>
  <si>
    <t>لچکی های چهارراه حجاب - شاهد</t>
  </si>
  <si>
    <t>لچکی کرد نوغانی 25</t>
  </si>
  <si>
    <t>میدان اندیشه</t>
  </si>
  <si>
    <t>میدان حجاب (سرتیپ مظاهری)</t>
  </si>
  <si>
    <t>پارک ایثار</t>
  </si>
  <si>
    <t>پارک باران</t>
  </si>
  <si>
    <t>پارک حجاب 13 و 15 (لاله 3)</t>
  </si>
  <si>
    <t>پارک خطی نهر گناباد (نعنا)</t>
  </si>
  <si>
    <t>پارک شریعتی 8</t>
  </si>
  <si>
    <t>پارک شمشاد</t>
  </si>
  <si>
    <t>پارک لاله 1</t>
  </si>
  <si>
    <t>پارک لاله 2</t>
  </si>
  <si>
    <t>پارک نغمه</t>
  </si>
  <si>
    <t>پارک پامچال</t>
  </si>
  <si>
    <t>آیلند بلوار امام علی (ع)</t>
  </si>
  <si>
    <t>بوستان آفتاب فاز 1</t>
  </si>
  <si>
    <t>بوستان آفتاب فاز 2</t>
  </si>
  <si>
    <t>تقاطع غیرهمسطح امام علی (ع)</t>
  </si>
  <si>
    <t>حاشیه بلوار امام علی (ع)</t>
  </si>
  <si>
    <t>لچکی زیر پل اندیشه</t>
  </si>
  <si>
    <t>میدان امام حسن (ع)</t>
  </si>
  <si>
    <t>آیلند امامیه 68</t>
  </si>
  <si>
    <t>آیلند بلوار ادیب</t>
  </si>
  <si>
    <t>آیلند بلوار حسابی</t>
  </si>
  <si>
    <t>آیلند بلوار رستگاری</t>
  </si>
  <si>
    <t>آیلند بلوار شریعتی</t>
  </si>
  <si>
    <t>آیلند بلوار فلاحی</t>
  </si>
  <si>
    <t>آیلند شاهد 38</t>
  </si>
  <si>
    <t>بوستان فدک</t>
  </si>
  <si>
    <t>جنگل های فاطمیه</t>
  </si>
  <si>
    <t>جنگل های فلاحی 38</t>
  </si>
  <si>
    <t>حاشیه بلوار امامیه 68</t>
  </si>
  <si>
    <t>حاشیه بلوار رستگاری</t>
  </si>
  <si>
    <t>حاشیه خیابان ادیب</t>
  </si>
  <si>
    <t>حاشیه خیابان حسابی</t>
  </si>
  <si>
    <t>حاشیه خیابان راستی</t>
  </si>
  <si>
    <t>حاشیه خیابان فلاحی 50</t>
  </si>
  <si>
    <t>خیابان فلاحی 38</t>
  </si>
  <si>
    <t>لچکی فرهنگ</t>
  </si>
  <si>
    <t>لچکی فلاحی 38/20</t>
  </si>
  <si>
    <t>لچکی های امامیه</t>
  </si>
  <si>
    <t>لچکی های حسابی</t>
  </si>
  <si>
    <t>لچکی های خیابان راستی</t>
  </si>
  <si>
    <t>لچکی های شاهد</t>
  </si>
  <si>
    <t>لچکی های فلاحی</t>
  </si>
  <si>
    <t>لچکی های فلاحی 38</t>
  </si>
  <si>
    <t>میدان راستی</t>
  </si>
  <si>
    <t>پارک خطی راستی</t>
  </si>
  <si>
    <t>پارک راستی 2</t>
  </si>
  <si>
    <t>پارک سنبله</t>
  </si>
  <si>
    <t>پارک شاهد</t>
  </si>
  <si>
    <t>پارک شهاب</t>
  </si>
  <si>
    <t>پارک فرهیخگان</t>
  </si>
  <si>
    <t>پارک ماهور</t>
  </si>
  <si>
    <t>پارک نارنج</t>
  </si>
  <si>
    <t>پارک ورزش</t>
  </si>
  <si>
    <t>پارک پرنیان</t>
  </si>
  <si>
    <t>پارک پیروز</t>
  </si>
  <si>
    <t>پارک یاقوت</t>
  </si>
  <si>
    <t>آزاده 13 تا مجموعه میثاق و آزاده 29</t>
  </si>
  <si>
    <t>آیلند بزرگراه امام علی (ع)</t>
  </si>
  <si>
    <t>آیلند بلوار رفیعی</t>
  </si>
  <si>
    <t>بلوار فلاحی</t>
  </si>
  <si>
    <t>بلوار فلاحی 13</t>
  </si>
  <si>
    <t>بلوار فلاحی 2</t>
  </si>
  <si>
    <t>بلوار فلاحی 4</t>
  </si>
  <si>
    <t>بلوار هاشمی مهنه</t>
  </si>
  <si>
    <t>بلوار هاشمی مهنه 4</t>
  </si>
  <si>
    <t>بهورز 6</t>
  </si>
  <si>
    <t>بوستان احسان</t>
  </si>
  <si>
    <t>بوستان فاطمیه 17</t>
  </si>
  <si>
    <t>بوستان فروغ</t>
  </si>
  <si>
    <t>بوستان فلاح</t>
  </si>
  <si>
    <t>بوستان فلاحی 2</t>
  </si>
  <si>
    <t>بوستان مهنه</t>
  </si>
  <si>
    <t>بوستان پونه</t>
  </si>
  <si>
    <t>جنگل شریعتی 45</t>
  </si>
  <si>
    <t>حاشیه بزرگراه امام علی (ع)</t>
  </si>
  <si>
    <t>حاشیه بلوار رفیعی و رفیعی 17</t>
  </si>
  <si>
    <t>حاشیه بلوار شریعتی و 45</t>
  </si>
  <si>
    <t>حاشیه بلوار فاطمیه</t>
  </si>
  <si>
    <t>حاشیه بلوار فلاحی 13</t>
  </si>
  <si>
    <t>حاشیه بلوار فلاحی 2</t>
  </si>
  <si>
    <t>حاشیه بلوار فلاحی 4</t>
  </si>
  <si>
    <t>حاشیه بلوار هاشمی مهنه</t>
  </si>
  <si>
    <t>حاشیه بلوار هاشمی مهنه 4</t>
  </si>
  <si>
    <t>حاشیه خیابان فلاحی 20 و 32</t>
  </si>
  <si>
    <t>حاشیه فاز تجاری</t>
  </si>
  <si>
    <t>حاشیه فلاحی 1/1</t>
  </si>
  <si>
    <t>حاشیه میعاد (1 الی 3)</t>
  </si>
  <si>
    <t>شهرک امید و لچکی های آزاده (آزاده 18 و 27 و 29)</t>
  </si>
  <si>
    <t>فاز تجاری</t>
  </si>
  <si>
    <t>لچکی اول فلاحی 20-32</t>
  </si>
  <si>
    <t>لچکی اول فلاحی 4</t>
  </si>
  <si>
    <t>لچکی بهورز 3 و 8</t>
  </si>
  <si>
    <t>لچکی فلاحی 6</t>
  </si>
  <si>
    <t>لچکی های بلوار هاشمی مهنه</t>
  </si>
  <si>
    <t>لچکی های رفیعی 17</t>
  </si>
  <si>
    <t>لچکی های میثاق</t>
  </si>
  <si>
    <t>لچکی های میثاق (1 الی 17)</t>
  </si>
  <si>
    <t>لچکی های نرگس (1/6، 4، 1/9، 1/5 و انتهای نرگس)</t>
  </si>
  <si>
    <t>لچکی های ورودی نهضت و نهضت 5</t>
  </si>
  <si>
    <t>میدان فاز تجاری</t>
  </si>
  <si>
    <t>میدان فلاحی 4</t>
  </si>
  <si>
    <t>میدان مطهری</t>
  </si>
  <si>
    <t>میدان هاشمی مهنه</t>
  </si>
  <si>
    <t>نیکی 9 و 10</t>
  </si>
  <si>
    <t>پارک آزاده 18</t>
  </si>
  <si>
    <t>پارک آزاده و آزاده 7/3</t>
  </si>
  <si>
    <t>پارک انتهای نیکی 9</t>
  </si>
  <si>
    <t>پارک رهایی</t>
  </si>
  <si>
    <t>پارک سرو</t>
  </si>
  <si>
    <t>پارک سهره و مجموعه میثاق</t>
  </si>
  <si>
    <t>پارک سپهر</t>
  </si>
  <si>
    <t>پارک میخک</t>
  </si>
  <si>
    <t>پارک نیک</t>
  </si>
  <si>
    <t>پارک ورودی بلوار شهید رفیعی</t>
  </si>
  <si>
    <t>پارک گل محمدی</t>
  </si>
  <si>
    <t>آیلند بلوار اندیشه</t>
  </si>
  <si>
    <t>حاشیه بلوار اندیشه</t>
  </si>
  <si>
    <t>حاشیه بلوار حسابی</t>
  </si>
  <si>
    <t>خیابان آزادی 68</t>
  </si>
  <si>
    <t>خیابان آیت ا... مشکینی</t>
  </si>
  <si>
    <t>خیابان امام دوست</t>
  </si>
  <si>
    <t>خیابان اندیشه 64</t>
  </si>
  <si>
    <t>خیابان اندیشه 71</t>
  </si>
  <si>
    <t>خیابان اندیشه 78</t>
  </si>
  <si>
    <t>خیابان اندیشه 83/2 (شهید آگاه)</t>
  </si>
  <si>
    <t>لچکی حسابی اندیشه</t>
  </si>
  <si>
    <t>لچکی های اندیشه 60 و 62 و حجاب 69/5</t>
  </si>
  <si>
    <t>لچکی های اندیشه 70 و 74</t>
  </si>
  <si>
    <t>لچکی های حجاب 73 (مرکز بهداشت) و 71</t>
  </si>
  <si>
    <t>لچکی های حجاب 89 و 91</t>
  </si>
  <si>
    <t>لچکی های مشکینی 3و13و15و17و43</t>
  </si>
  <si>
    <t>میدان اندیشه 71</t>
  </si>
  <si>
    <t>میدان اندیشه 93</t>
  </si>
  <si>
    <t>پارک آبنوس</t>
  </si>
  <si>
    <t>پارک ابریشم 1</t>
  </si>
  <si>
    <t>پارک ابریشم1 (فاز2)</t>
  </si>
  <si>
    <t>پارک اندیشه 68</t>
  </si>
  <si>
    <t>پارک ایثارگران</t>
  </si>
  <si>
    <t>پارک خانواده</t>
  </si>
  <si>
    <t>پارک رازقی</t>
  </si>
  <si>
    <t>پارک نیلوفرآبی</t>
  </si>
  <si>
    <t>پارک کاج</t>
  </si>
  <si>
    <t>آزادی 79 تا سه راه دانش</t>
  </si>
  <si>
    <t>آیلند بلوار شهید احمدی</t>
  </si>
  <si>
    <t>آیلند بلوار شهید ثنایی و ثنایی 3</t>
  </si>
  <si>
    <t>آیلند بلوار شهید جراح</t>
  </si>
  <si>
    <t>آیلند بلوار شهید خادم الشریعه</t>
  </si>
  <si>
    <t>از سه راه دانش تا کال زرکش</t>
  </si>
  <si>
    <t>از سه راه فردوسی تا کال زرکش</t>
  </si>
  <si>
    <t>از میثاق تا آزادی 52</t>
  </si>
  <si>
    <t>از کال زرکش تا سه راه فردوسی</t>
  </si>
  <si>
    <t>از کال زرکش تا میثاق</t>
  </si>
  <si>
    <t>امام هادی (ع)</t>
  </si>
  <si>
    <t>انبارمرکزی شهرداری (توس 60)</t>
  </si>
  <si>
    <t>باغ آزادی</t>
  </si>
  <si>
    <t>بزرگراه آزادی</t>
  </si>
  <si>
    <t>خیابان آزادی 91 و 93 و 95</t>
  </si>
  <si>
    <t>خیابان امام هادی (ع)</t>
  </si>
  <si>
    <t>خیابان حشمتی 5</t>
  </si>
  <si>
    <t>خیابان خادم الشریعه</t>
  </si>
  <si>
    <t>خیابان شهید احمدی</t>
  </si>
  <si>
    <t>خیابان شهید ثنایی و ثنایی 3</t>
  </si>
  <si>
    <t>خیابان شهید جراح</t>
  </si>
  <si>
    <t>لچکی امام هادی (ع)</t>
  </si>
  <si>
    <t>لچکی خادم الشریعه</t>
  </si>
  <si>
    <t>لچکی شهید غلامی</t>
  </si>
  <si>
    <t>لچکی فضای سبز مقابل بیمارستان رضوی</t>
  </si>
  <si>
    <t>پارک آزادی 103</t>
  </si>
  <si>
    <t>پارک خطی آزادی 91 (شهید غلامی)</t>
  </si>
  <si>
    <t>پارک خطی اول امام هادی</t>
  </si>
  <si>
    <t>پارک خطی خادم الشریعه</t>
  </si>
  <si>
    <t>پارک خطی سه راه دانش</t>
  </si>
  <si>
    <t>پارک خطی میثاق تا آزادی 76</t>
  </si>
  <si>
    <t>پارک زایر</t>
  </si>
  <si>
    <t>پارک سعادت 13</t>
  </si>
  <si>
    <t>پارک سعادت 19</t>
  </si>
  <si>
    <t>پارک سعادت 25</t>
  </si>
  <si>
    <t>پارک صدف</t>
  </si>
  <si>
    <t>پارک قاصدک</t>
  </si>
  <si>
    <t>پارک لادن</t>
  </si>
  <si>
    <t>پارک مقابل آپارتمان های لاله</t>
  </si>
  <si>
    <t>پارک پایداری</t>
  </si>
  <si>
    <t>آیلند بلوار امامیه</t>
  </si>
  <si>
    <t>آیلند بلوار حجاب</t>
  </si>
  <si>
    <t>آیلند بلوار دکتر حسابی</t>
  </si>
  <si>
    <t>حاشیه ادیب 35 و 28/1</t>
  </si>
  <si>
    <t>حاشیه بلوار حجاب و بازار حجاب</t>
  </si>
  <si>
    <t>حاشیه بلوار دکتر حسابی</t>
  </si>
  <si>
    <t>حاشیه خیابان حجاب 52 و 60</t>
  </si>
  <si>
    <t>حاشیه رستگاری 11</t>
  </si>
  <si>
    <t>لچکی امامیه 66</t>
  </si>
  <si>
    <t>لچکی امامیه 67 و 69</t>
  </si>
  <si>
    <t>لچکی حجاب 48- 50</t>
  </si>
  <si>
    <t>لچکی حسابی - حجاب</t>
  </si>
  <si>
    <t>لچکی رستگاری - امامیه</t>
  </si>
  <si>
    <t>لچکی میثاق - امامیه</t>
  </si>
  <si>
    <t>لچکی میثاق - حجاب</t>
  </si>
  <si>
    <t>لچکی های خیابان های فرعی حجاب 64</t>
  </si>
  <si>
    <t>میدان امامیه</t>
  </si>
  <si>
    <t>میدان حجاب</t>
  </si>
  <si>
    <t>میدان عفاف</t>
  </si>
  <si>
    <t>پارک آویشن</t>
  </si>
  <si>
    <t>پارک ادیب</t>
  </si>
  <si>
    <t>پارک جنگلی شاهد</t>
  </si>
  <si>
    <t>پارک رستگاری</t>
  </si>
  <si>
    <t>پارک مهتاب</t>
  </si>
  <si>
    <t>11</t>
  </si>
  <si>
    <t>آیلند بلوار آموزگار</t>
  </si>
  <si>
    <t>آیلند بلوار استقلال</t>
  </si>
  <si>
    <t>آیلند بلوار امامت</t>
  </si>
  <si>
    <t>آیلند بلوار بیهقی</t>
  </si>
  <si>
    <t>آیلند بلوار جلال آل احمد</t>
  </si>
  <si>
    <t>آیلند بلوار سیدرضی</t>
  </si>
  <si>
    <t>آیلند بلوار فرهنگ</t>
  </si>
  <si>
    <t>آیلند بلوار مهران</t>
  </si>
  <si>
    <t>آیلند میانی بلوار آزادی</t>
  </si>
  <si>
    <t>آیلند میانی بلوار ادب</t>
  </si>
  <si>
    <t>آیلند میانی بلوار معلم</t>
  </si>
  <si>
    <t>بلوار استقلال</t>
  </si>
  <si>
    <t>بلوار جلال آل احمد</t>
  </si>
  <si>
    <t>بلوار سیدرضی</t>
  </si>
  <si>
    <t>بلوار فرهنگ از امامت تا دانش آموز</t>
  </si>
  <si>
    <t>بلوار مهران</t>
  </si>
  <si>
    <t>بلوار وکیل آباد</t>
  </si>
  <si>
    <t>بوستان جلال آل احمد (جلال 64)</t>
  </si>
  <si>
    <t>بوستان خطی نارون (حاشیه آموزگار)</t>
  </si>
  <si>
    <t>بوستان سرو و سپیدار (سیدرضی 45)</t>
  </si>
  <si>
    <t>بوستان سروش</t>
  </si>
  <si>
    <t>بوستان عقیق</t>
  </si>
  <si>
    <t>بوستان نسترن ( جلال 72)</t>
  </si>
  <si>
    <t>بوستان نسیم (سیدرضی 51)</t>
  </si>
  <si>
    <t>بوستان پروانه</t>
  </si>
  <si>
    <t>بوستان گلفام</t>
  </si>
  <si>
    <t>بیهقی، میرزاکوچک خان، حسینی</t>
  </si>
  <si>
    <t>جنگل امامت 49</t>
  </si>
  <si>
    <t>حاشیه آزادی 36</t>
  </si>
  <si>
    <t>حاشیه امامت 47</t>
  </si>
  <si>
    <t>حاشیه بلوار آموزگار</t>
  </si>
  <si>
    <t>حاشیه بلوار ادب</t>
  </si>
  <si>
    <t>حاشیه بلوار امامت</t>
  </si>
  <si>
    <t>حاشیه بلوار معلم</t>
  </si>
  <si>
    <t>حاشیه خیابان جلال 72 امامت 74 و 70</t>
  </si>
  <si>
    <t>حاشیه شرقی بلوار آزادی</t>
  </si>
  <si>
    <t>حاشیه غربی بلوار آزادی</t>
  </si>
  <si>
    <t>خیابان های فرعی سیدرضی 45و46و47</t>
  </si>
  <si>
    <t>لچكی های چهارراه نهج البلاغه</t>
  </si>
  <si>
    <t>لچکی ابتدای بلوار امامت</t>
  </si>
  <si>
    <t>لچکی ابتدای بلوار وکیل آباد</t>
  </si>
  <si>
    <t>لچکی ابتدای جلال احمد</t>
  </si>
  <si>
    <t>لچکی انتهای جلال آل احمد</t>
  </si>
  <si>
    <t>لچکی سیدرضی 1 و 3</t>
  </si>
  <si>
    <t>لچکی سیدرضی 2</t>
  </si>
  <si>
    <t>لچکی سیدرضی جنوبی</t>
  </si>
  <si>
    <t>لچکی سیدرضی شمالی</t>
  </si>
  <si>
    <t>لچکی های ابتدای بلوار معلم</t>
  </si>
  <si>
    <t>لچکی های اطراف میدان استقلال</t>
  </si>
  <si>
    <t>لچکی های چهارراه سیدرضی</t>
  </si>
  <si>
    <t>لچکی چهارراه آزادشهر</t>
  </si>
  <si>
    <t>لچکی چهارراه میلاد</t>
  </si>
  <si>
    <t>مجموعه ورزشی امید و زندگی</t>
  </si>
  <si>
    <t>میدان استقلال</t>
  </si>
  <si>
    <t>میدان سیدرضی</t>
  </si>
  <si>
    <t>میدان شیخ مفید و سید مرتضی</t>
  </si>
  <si>
    <t>میدان فلاح</t>
  </si>
  <si>
    <t>میدان قدسی</t>
  </si>
  <si>
    <t>پارک خطی شب بو (فاز1 زیباشهر)</t>
  </si>
  <si>
    <t>پارک خطی شبرنگ (فاز3 زیباشهر)</t>
  </si>
  <si>
    <t>پارک خطی شبنم (فاز2 زیباشهر)</t>
  </si>
  <si>
    <t>بوستان ملت</t>
  </si>
  <si>
    <t>آیلند بلوار آموزگار (الف ناحیه 2)</t>
  </si>
  <si>
    <t>آیلند بلوار دانش اموز</t>
  </si>
  <si>
    <t>آیلند بلوار دانشجو</t>
  </si>
  <si>
    <t>آیلند بلوار فرهنگ (الف ناحیه 2)</t>
  </si>
  <si>
    <t>آیلند بلوار معلم (الف ناحیه 2)</t>
  </si>
  <si>
    <t>آیلند بلوار مهران (الف ناحیه 2)</t>
  </si>
  <si>
    <t>بلوار آموزگار (الف ناحیه 2)</t>
  </si>
  <si>
    <t>بلوار دانش آموز</t>
  </si>
  <si>
    <t>بلوار دانشجو</t>
  </si>
  <si>
    <t>بلوار فرهنگ (الف ناحیه 2)</t>
  </si>
  <si>
    <t>بلوار معلم (الف ناحیه 2)</t>
  </si>
  <si>
    <t>بلوار مهران (الف ناحیه 2)</t>
  </si>
  <si>
    <t>بوستان رضا</t>
  </si>
  <si>
    <t>بوستان معلم - فاز 2</t>
  </si>
  <si>
    <t>بوستان گلسا</t>
  </si>
  <si>
    <t>جنب المی دانشجو</t>
  </si>
  <si>
    <t>لچکی ابتدای دانش آموز</t>
  </si>
  <si>
    <t>لچکی ابتدای دانشجو</t>
  </si>
  <si>
    <t>لچکی انتهای دانشجو</t>
  </si>
  <si>
    <t>لچکی تربیت</t>
  </si>
  <si>
    <t>لچکی دانشجو 27</t>
  </si>
  <si>
    <t>لچکی دانشجو 33</t>
  </si>
  <si>
    <t>لچکی دندان پزشکان</t>
  </si>
  <si>
    <t>لچکی راستگرد دانش آموز به آموزگار</t>
  </si>
  <si>
    <t>لچکی فارغ التحصیلان</t>
  </si>
  <si>
    <t>میدان آموزش</t>
  </si>
  <si>
    <t>میدان دانش آموز</t>
  </si>
  <si>
    <t>میدان دانشجو 1</t>
  </si>
  <si>
    <t>میدان دانشجو 2</t>
  </si>
  <si>
    <t>میدان مهران</t>
  </si>
  <si>
    <t>پارک معلم 45</t>
  </si>
  <si>
    <t>پارک پرستو</t>
  </si>
  <si>
    <t>کال چهل بازه</t>
  </si>
  <si>
    <t>آیلند بلوار دندانپزشکان</t>
  </si>
  <si>
    <t>آیلند بلوار شهید ستاری</t>
  </si>
  <si>
    <t>آیلند بلوار صدف 6 و 30</t>
  </si>
  <si>
    <t>آیلند بلوار فارغ التحصیلان</t>
  </si>
  <si>
    <t>آیلند بلوار قانع و قانع 8 و 3</t>
  </si>
  <si>
    <t>آیلند بلوار معلم</t>
  </si>
  <si>
    <t>آیلند بلوار نمایشگاه و نمایشگاه 5 و 15</t>
  </si>
  <si>
    <t>آیلند منظریه</t>
  </si>
  <si>
    <t>آیلند مهران</t>
  </si>
  <si>
    <t>بلوار قانع 8 و 3</t>
  </si>
  <si>
    <t>بلوار نمایشگاه و نمایشگاه 5 و 15</t>
  </si>
  <si>
    <t>بوستان آموزگار</t>
  </si>
  <si>
    <t>بوستان ارمغان</t>
  </si>
  <si>
    <t>بوستان بهار</t>
  </si>
  <si>
    <t>بوستان توانا</t>
  </si>
  <si>
    <t>بوستان زمرد</t>
  </si>
  <si>
    <t>بوستان زندان</t>
  </si>
  <si>
    <t>بوستان ستاری 1 تا 9</t>
  </si>
  <si>
    <t>بوستان مرجان</t>
  </si>
  <si>
    <t>بوستان منظریه</t>
  </si>
  <si>
    <t>بوستان پژوهش</t>
  </si>
  <si>
    <t>بوستان یاقوت</t>
  </si>
  <si>
    <t>جنگل قانع 32 و 9</t>
  </si>
  <si>
    <t>حاشیه آموزگار</t>
  </si>
  <si>
    <t>حاشیه بلوار فرهنگ</t>
  </si>
  <si>
    <t>حاشیه بلوار منظریه</t>
  </si>
  <si>
    <t>حاشیه بلوار مهران</t>
  </si>
  <si>
    <t>حاشیه دندان</t>
  </si>
  <si>
    <t>حاشیه ستاری</t>
  </si>
  <si>
    <t>حاشیه فارغ التحصیلان</t>
  </si>
  <si>
    <t>خیابان صدف و صدف 6 و 30 و 31</t>
  </si>
  <si>
    <t>خیابان فرهنگ 45 و 46 و 42</t>
  </si>
  <si>
    <t>فضای سبز روبروی زندان</t>
  </si>
  <si>
    <t>لچکی آموزگار 46 و 75</t>
  </si>
  <si>
    <t>لچکی انتهای دندانپزشکان</t>
  </si>
  <si>
    <t>لچکی دانش - صدف</t>
  </si>
  <si>
    <t>لچکی دانشجو 34</t>
  </si>
  <si>
    <t>لچکی ستاری شمالی</t>
  </si>
  <si>
    <t>لچکی غدیر 24 و شریف 15 و فارغ التحصیلان 16</t>
  </si>
  <si>
    <t>لچکی معلم 64 و 68 و 83</t>
  </si>
  <si>
    <t>لچکی چهارراه ستاری - معلم</t>
  </si>
  <si>
    <t>میدان تربیت</t>
  </si>
  <si>
    <t>میدان دانش</t>
  </si>
  <si>
    <t>میدان دانشجو 6 و 26 و معلم 51</t>
  </si>
  <si>
    <t>میدان دندانپزشکان و لچکی های آن</t>
  </si>
  <si>
    <t>میدان ستاری 20 و لچکی های آن</t>
  </si>
  <si>
    <t>میدان ستاری جنوبی</t>
  </si>
  <si>
    <t>پارک چهل بازه فاز یک</t>
  </si>
  <si>
    <t>12</t>
  </si>
  <si>
    <t>آیلند بزرگراه هاشمی رفسنجانی</t>
  </si>
  <si>
    <t>آیلند بلوار الهیه</t>
  </si>
  <si>
    <t>آیلند بلوار سجادیه (حدفاصل جاهدشهر تا تقاطع الهیه)</t>
  </si>
  <si>
    <t>آیلند بلوار صادقیه</t>
  </si>
  <si>
    <t>آیلند بلوار مجیدیه</t>
  </si>
  <si>
    <t>آیلند بلوار محمدیه (حدفاصل تقاطع مجیدیه تا الهیه)</t>
  </si>
  <si>
    <t>آیلند بلوار مهدیه</t>
  </si>
  <si>
    <t>آیلند بلوار نمایشگاه</t>
  </si>
  <si>
    <t>آیلند بلوار گلها</t>
  </si>
  <si>
    <t>الهیه 14</t>
  </si>
  <si>
    <t>الهیه 22</t>
  </si>
  <si>
    <t>الهیه 50 (سیف آبادی 1)</t>
  </si>
  <si>
    <t>الهیه 6</t>
  </si>
  <si>
    <t>باغ مجیدیه</t>
  </si>
  <si>
    <t>بلوار الهیه</t>
  </si>
  <si>
    <t>بلوار سجادیه (حدفاصل جاهدشهر تا تقاطع الهیه)</t>
  </si>
  <si>
    <t>بلوار صادقیه</t>
  </si>
  <si>
    <t>بلوار مجیدیه</t>
  </si>
  <si>
    <t>بلوار محمدیه (حدفاصل تقاطع مجیدیه تا الهیه)</t>
  </si>
  <si>
    <t>بلوار مهدیه</t>
  </si>
  <si>
    <t>بلوار نمایشگاه</t>
  </si>
  <si>
    <t>بلوار گلها</t>
  </si>
  <si>
    <t>بوستان قاصدک</t>
  </si>
  <si>
    <t>بوستان یاسمین</t>
  </si>
  <si>
    <t>حاشیه بزرگراه هاشمی رفسنجانی</t>
  </si>
  <si>
    <t>حاشیه وکیل آباد و وکیل آباد 93</t>
  </si>
  <si>
    <t>خیابان بوستان</t>
  </si>
  <si>
    <t>خیابان بوستان 1</t>
  </si>
  <si>
    <t>خیابان بوستان 18</t>
  </si>
  <si>
    <t>خیابان بوستان 19</t>
  </si>
  <si>
    <t>خیابان بوستان 2</t>
  </si>
  <si>
    <t>خیابان جاهد1</t>
  </si>
  <si>
    <t>خیابان جاهدشهر</t>
  </si>
  <si>
    <t>خیابان رحمانیه</t>
  </si>
  <si>
    <t>خیابان رحمانیه 23</t>
  </si>
  <si>
    <t>خیابان رحمانیه 27</t>
  </si>
  <si>
    <t>خیابان سجادیه 10</t>
  </si>
  <si>
    <t>خیابان سجادیه 2 و 4</t>
  </si>
  <si>
    <t>خیابان سجادیه 22 و قطعات پارکینگ ذوقی 7 و 17</t>
  </si>
  <si>
    <t>خیابان سجادیه 23</t>
  </si>
  <si>
    <t>خیابان سجادیه 8</t>
  </si>
  <si>
    <t>خیابان شهید کاظمی (بوستان 29)</t>
  </si>
  <si>
    <t>خیابان مجیدیه 27</t>
  </si>
  <si>
    <t>خیابان مجیدیه 32 (پشت مجتمع آرمس)</t>
  </si>
  <si>
    <t>خیابان مجیدیه 33</t>
  </si>
  <si>
    <t>خیابان نقویه</t>
  </si>
  <si>
    <t>خیابان نقویه 2</t>
  </si>
  <si>
    <t>خیابان گلها</t>
  </si>
  <si>
    <t>رحمانیه 13</t>
  </si>
  <si>
    <t>رحمانیه 16</t>
  </si>
  <si>
    <t>رحمانیه 22</t>
  </si>
  <si>
    <t>رحمانیه 27</t>
  </si>
  <si>
    <t>رحمانیه 43/2 (برات نیا 5)</t>
  </si>
  <si>
    <t>رحمانیه 48 (مهنه 1 - کمالی 1)</t>
  </si>
  <si>
    <t>رحمانیه 48 (مهنه 2 -غفاردوست 5)</t>
  </si>
  <si>
    <t>رحمانیه 48 (مهنه 8 - شادمهر 9/4)</t>
  </si>
  <si>
    <t>رحمانیه 48 (مهنه 8 - نبش جنوبی)</t>
  </si>
  <si>
    <t>سجادیه 6</t>
  </si>
  <si>
    <t>صادقیه 5</t>
  </si>
  <si>
    <t>قطعات پارکینگ محمدیه 10/1 و 10/5</t>
  </si>
  <si>
    <t>لچکی بزرگراه آیت الله هاشمی رفسنجانی 23</t>
  </si>
  <si>
    <t>لچکی تقاطع سجادیه - مجیدیه</t>
  </si>
  <si>
    <t>لچکی تقاطع مجیدیه - صادقیه</t>
  </si>
  <si>
    <t>لچکی تقاطع محمدیه - مجیدیه</t>
  </si>
  <si>
    <t>لچکی جاهد</t>
  </si>
  <si>
    <t>لچکی دور میدان هفت آذر (مجیدیه)</t>
  </si>
  <si>
    <t>لچکی دور میدان گلها</t>
  </si>
  <si>
    <t>لچکی زیرپل برنسی</t>
  </si>
  <si>
    <t>لچکی فضای سبز وکیل آباد 93</t>
  </si>
  <si>
    <t>لچکی های دور میدان گلستان (بوستان 8 و 11)</t>
  </si>
  <si>
    <t>لچکی های سجادیه 6 و 10</t>
  </si>
  <si>
    <t>لچکی های شهید کاظمی 7 و 7/1</t>
  </si>
  <si>
    <t>لچکی های پایانه اتوبوسرانی و ورودی و خروجی بلوار الهیه</t>
  </si>
  <si>
    <t>لچکی ورودی جاهدشهر</t>
  </si>
  <si>
    <t>مجیدیه 27</t>
  </si>
  <si>
    <t>معابر فرعی اطراف مجتمع قایم</t>
  </si>
  <si>
    <t>میدان امین</t>
  </si>
  <si>
    <t>میدان بوستان</t>
  </si>
  <si>
    <t>میدان سجادیه 6</t>
  </si>
  <si>
    <t>میدان صادقیه</t>
  </si>
  <si>
    <t>میدان مجیدیه</t>
  </si>
  <si>
    <t>میدان محمدیه</t>
  </si>
  <si>
    <t>086</t>
  </si>
  <si>
    <t>میدان میثاق 10</t>
  </si>
  <si>
    <t>087</t>
  </si>
  <si>
    <t>میدان های بوستان گل خورشیدی</t>
  </si>
  <si>
    <t>088</t>
  </si>
  <si>
    <t>میدان ولیعصر</t>
  </si>
  <si>
    <t>089</t>
  </si>
  <si>
    <t>میدان گلستان</t>
  </si>
  <si>
    <t>090</t>
  </si>
  <si>
    <t>میدان گلها</t>
  </si>
  <si>
    <t>091</t>
  </si>
  <si>
    <t>نقوی 14 (ناصری4)</t>
  </si>
  <si>
    <t>092</t>
  </si>
  <si>
    <t>نقویه 14 (ناصری 7)</t>
  </si>
  <si>
    <t>093</t>
  </si>
  <si>
    <t>پارک آفرینش</t>
  </si>
  <si>
    <t>094</t>
  </si>
  <si>
    <t>پارک تقاطع محمدیه - مجیدیه</t>
  </si>
  <si>
    <t>095</t>
  </si>
  <si>
    <t>پارک جهاد</t>
  </si>
  <si>
    <t>096</t>
  </si>
  <si>
    <t>پارک خطی بزرگراه آیت الله هاشمی رفسنجانی حدفاصل 13 تا میدان هفت آذر</t>
  </si>
  <si>
    <t>097</t>
  </si>
  <si>
    <t>پارک خطی جنب شهرداری منطقه 12</t>
  </si>
  <si>
    <t>098</t>
  </si>
  <si>
    <t>پارک خطی مجیدیه 14</t>
  </si>
  <si>
    <t>099</t>
  </si>
  <si>
    <t>پارک خطی نمایشگاه</t>
  </si>
  <si>
    <t>100</t>
  </si>
  <si>
    <t>پارک سجادیه 7 و اطراف سوله بحران</t>
  </si>
  <si>
    <t>101</t>
  </si>
  <si>
    <t>پارک قایم</t>
  </si>
  <si>
    <t>102</t>
  </si>
  <si>
    <t>103</t>
  </si>
  <si>
    <t>پارک نیایش</t>
  </si>
  <si>
    <t>104</t>
  </si>
  <si>
    <t>105</t>
  </si>
  <si>
    <t>پارک گل خورشیدی</t>
  </si>
  <si>
    <t>آیلند بلوار امیریه</t>
  </si>
  <si>
    <t>آیلند بلوار سجادیه</t>
  </si>
  <si>
    <t>آیلند بلوار صادقیه (حد فاصل الهیه تا امیریه)</t>
  </si>
  <si>
    <t>آیلند بلوار عصمتیه و عصمتیه 3</t>
  </si>
  <si>
    <t>آیلند بلوار محمدیه</t>
  </si>
  <si>
    <t>آیلند تند رو و کند رو بزگراه آیت ا... هاشمی رفسنجانی حد فاصل دور برگردان الهیه تا بزگراه خاتم</t>
  </si>
  <si>
    <t>آیلند هاشمی رفسنجانی 34</t>
  </si>
  <si>
    <t>اراضی و خیابانهای پراکنده نیروی انتظامی</t>
  </si>
  <si>
    <t>بلوار امیریه</t>
  </si>
  <si>
    <t>بلوار سجادیه</t>
  </si>
  <si>
    <t>بلوار عصمتیه - آیت ا... رفسنجانی 32 و خیابانهای عصمتیه 1، 3، شهید محترم 8 و 9 و مقابل هنرستان کشاورزی شهید یوسفی</t>
  </si>
  <si>
    <t>بلوار محمدیه</t>
  </si>
  <si>
    <t>جنگل ارغوان (امیریه 61)</t>
  </si>
  <si>
    <t>جنگل اقدسیه 10</t>
  </si>
  <si>
    <t>جنگل امیریه 31 ( آراسته 7/1)</t>
  </si>
  <si>
    <t>جنگل امیریه 37 (نجفی 16)</t>
  </si>
  <si>
    <t>جنگل تقاطع خیابان اقدسیه و بلوار محمدیه</t>
  </si>
  <si>
    <t>جنگل خیابان اقدسیه 53 - انتهای خیابان خوش منظر 5/2</t>
  </si>
  <si>
    <t>جنگل خیابان اقدسیه 53 - حسین پور 1/2</t>
  </si>
  <si>
    <t>جنگل خیابان اقدسیه 53 ، حسین پور 4- حد فاصل چناری 5/2 تا 5/4</t>
  </si>
  <si>
    <t>جنگل خیابان اقدسیه 53 ، حسین پور 4- چناری 4 - گنجعلی 5 -عبد الهی1</t>
  </si>
  <si>
    <t>جنگل خیابان امیریه 1، پناهی 6</t>
  </si>
  <si>
    <t>جنگل خیابان امیریه 31، آراسته 7</t>
  </si>
  <si>
    <t>جنگل خیابان امیریه 37، نجفی 8 - جنب نانوایی</t>
  </si>
  <si>
    <t>جنگل خیابان امیریه 37، نجفی 8 کوچه اول دست راست - کوچه اول دست چپ</t>
  </si>
  <si>
    <t>جنگل خیابان صادقیه 18، پاشازاده 1 - شوریده دل 3</t>
  </si>
  <si>
    <t>جنگل خیابان عصمتیه 9، طرفین ثنایی 7</t>
  </si>
  <si>
    <t>جنگل خیابان نقویه 26- ضرابی 4- کفایی 6/1</t>
  </si>
  <si>
    <t>جنگل خیابان نقویه 26- ضرابی 5/2</t>
  </si>
  <si>
    <t>جنگل خیابان نقویه 26، ضرابی 4-کفایی 5/1 - مزرجی1</t>
  </si>
  <si>
    <t>جنگل خیابان نقویه 34، صادقیه 18- مومنی 5/2</t>
  </si>
  <si>
    <t>جنگل ریحانه</t>
  </si>
  <si>
    <t>جنگل نیروی انتظامی (خیابان سجادیه 67)</t>
  </si>
  <si>
    <t>حاشیه بزرگراه آیت ا... رفسنجانی حدفاصل بلوار شهیدهاشمی مهنه (آیت ا... رفسنجانی31) تا بزرگراه خاتم و لاین برگشت تا بلوارالهیه</t>
  </si>
  <si>
    <t>حاشیه بلوار صادقیه (حد فاصل الهیه تا امیریه)</t>
  </si>
  <si>
    <t>حاشیه های بلوار نقویه</t>
  </si>
  <si>
    <t>خیابان اقدسیه و اقدسیه 9</t>
  </si>
  <si>
    <t>خیابان الهیه 15 - اقدسیه 36</t>
  </si>
  <si>
    <t>خیابان الهیه 25 (اقدسیه 42)</t>
  </si>
  <si>
    <t>خیابان الهیه یک</t>
  </si>
  <si>
    <t>خیابان بهلولی1 (میلان ساختمان معاونت اجرایی منطقه) و خیابان شهید حسینی ( سجادیه 29)</t>
  </si>
  <si>
    <t>خیابان میثاق 34</t>
  </si>
  <si>
    <t>خیابان میثاق 38 ( سجادیه 67)</t>
  </si>
  <si>
    <t>خیابانهای امیریه 29، امیریه31، آراسته 4 و نجفی 1/1</t>
  </si>
  <si>
    <t>خیابانهای شهید تقی زاده و سلیمی و قطعه پشت مجتمع مسکونی هدایت</t>
  </si>
  <si>
    <t>خیابانهای صادقیه 26،20،18 و پاركینگ صادقیه 9 باغشنی 3</t>
  </si>
  <si>
    <t>لچکی امیریه 37</t>
  </si>
  <si>
    <t>لچکی انتهای بزرگراه آیت ا... هاشمی رفسنجانی حاشیه بزرگراه خاتم</t>
  </si>
  <si>
    <t>لچکی جنب ایستگاه آتش نشانی حد فاصل بلوار حجاب و آیت ا... رفسنجانی</t>
  </si>
  <si>
    <t>لچکی خیابان الهیه 25 مقابل فروشگاه شهرداری</t>
  </si>
  <si>
    <t>لچکی خیابان الهیه یک</t>
  </si>
  <si>
    <t>لچکی سالن ورزشی شهدای شهرداری</t>
  </si>
  <si>
    <t>لچکی های تقاطع بلوارهای امیریه - سجادیه و امیریه - محمدیه</t>
  </si>
  <si>
    <t>لچکی های تقاطع بلوارهای امیریه و صادقیه</t>
  </si>
  <si>
    <t>لچکی های شهرک سلحشوران</t>
  </si>
  <si>
    <t>لچکی های ورودی به آیت ا... رفسنجانی 34</t>
  </si>
  <si>
    <t>لچکی های ورودی به آیت ا... رفسنجانی 38 و 40</t>
  </si>
  <si>
    <t>لچکی های ورودی به بلوار های الهیه، اقدسیه و امیریه از بلوار مهدیه</t>
  </si>
  <si>
    <t>لچکی های ورودی به بلوارهای امیریه و عصمتیه از بزرگراه آیت ا... رفسنجانی</t>
  </si>
  <si>
    <t>میدان اقدسیه 9</t>
  </si>
  <si>
    <t>میدان ایمان</t>
  </si>
  <si>
    <t>پارک اقدسیه 21</t>
  </si>
  <si>
    <t>پارک اقدسیه 33</t>
  </si>
  <si>
    <t>پارک امیریه 3</t>
  </si>
  <si>
    <t>پارک خطی حاشیه بزرگراه آیت الله هاشمی رفسنجانی</t>
  </si>
  <si>
    <t>پارک خطی حاشیه بوستان مینیاتوری</t>
  </si>
  <si>
    <t>پارک ستایش</t>
  </si>
  <si>
    <t>پارک سلحشوران</t>
  </si>
  <si>
    <t>پارک شبنم</t>
  </si>
  <si>
    <t>پارک صادقیه 18</t>
  </si>
  <si>
    <t>آیلند بلوار شاهنامه</t>
  </si>
  <si>
    <t>آیلند بلوار پردیس</t>
  </si>
  <si>
    <t>بوستان جلوخان فردوسی</t>
  </si>
  <si>
    <t>جنگل هارونیه</t>
  </si>
  <si>
    <t>حاشیه بلوار شاهنامه</t>
  </si>
  <si>
    <t>حاشیه بلوار پردیس</t>
  </si>
  <si>
    <t>لچکی ابتدای شاهنامه</t>
  </si>
  <si>
    <t>لچکی شاهنامه 35</t>
  </si>
  <si>
    <t>لچکی شاهنامه 57</t>
  </si>
  <si>
    <t>لچکی شاهنامه 67</t>
  </si>
  <si>
    <t>میدان هفت خوان و لچکی های اطراف</t>
  </si>
  <si>
    <t>میدان پاژ</t>
  </si>
  <si>
    <t>پارک هاشمی نژاد</t>
  </si>
  <si>
    <t>13</t>
  </si>
  <si>
    <t>آیلند بلوار آیت الله بهجت</t>
  </si>
  <si>
    <t>آیلند بلوار خزعلی</t>
  </si>
  <si>
    <t>آیلند بلوار رضوان</t>
  </si>
  <si>
    <t>آیلند بلوار شارستان رضوی</t>
  </si>
  <si>
    <t>باب الرضا ضلع غربی</t>
  </si>
  <si>
    <t>بلوار آیت الله بهجت</t>
  </si>
  <si>
    <t>بلوار خزعلی</t>
  </si>
  <si>
    <t>بلوار رضوان</t>
  </si>
  <si>
    <t>بلوار شارستان رضوی</t>
  </si>
  <si>
    <t>خیابان شهید اندرزگو</t>
  </si>
  <si>
    <t>خیابان شهید محسن کاشانی</t>
  </si>
  <si>
    <t>خیابان هاتف و بیهقی</t>
  </si>
  <si>
    <t>ره باغ فردوس</t>
  </si>
  <si>
    <t>لچکی ابتدای کاشانی</t>
  </si>
  <si>
    <t>لچکی بیهقی</t>
  </si>
  <si>
    <t>لچکی های چهارراه شهدا</t>
  </si>
  <si>
    <t>میدان بیت المقدس</t>
  </si>
  <si>
    <t>میدان طبرسی</t>
  </si>
  <si>
    <t>پارک بخارایی</t>
  </si>
  <si>
    <t>پارک بهاء التولیه</t>
  </si>
  <si>
    <t>پارک تندیس</t>
  </si>
  <si>
    <t>پارک خطی کامیاب</t>
  </si>
  <si>
    <t>پارک رازفر</t>
  </si>
  <si>
    <t>پارک ره باغ رازفر</t>
  </si>
  <si>
    <t>پارک ره باغ طوبی</t>
  </si>
  <si>
    <t>پارک زرین</t>
  </si>
  <si>
    <t>پارک نوغان</t>
  </si>
  <si>
    <t>پارک پگاه</t>
  </si>
  <si>
    <t>ارغوان</t>
  </si>
  <si>
    <t>امور شهر (بوستان سراج)</t>
  </si>
  <si>
    <t>امیر</t>
  </si>
  <si>
    <t>امیرالمؤمنین</t>
  </si>
  <si>
    <t>باب الرضا ضلع شرقی</t>
  </si>
  <si>
    <t>بوستان سرخوش</t>
  </si>
  <si>
    <t>بوستان معین</t>
  </si>
  <si>
    <t>ثامن</t>
  </si>
  <si>
    <t>جاویدان</t>
  </si>
  <si>
    <t>خیابان طبرسی</t>
  </si>
  <si>
    <t>خیابان نواب صفوی</t>
  </si>
  <si>
    <t>ره باغ سلام</t>
  </si>
  <si>
    <t>ره باغ نعیم</t>
  </si>
  <si>
    <t>شهدای حج</t>
  </si>
  <si>
    <t>شهید حسنی کارگر</t>
  </si>
  <si>
    <t>شهید شوشتری</t>
  </si>
  <si>
    <t>شهید فهمیده</t>
  </si>
  <si>
    <t>طوبی</t>
  </si>
  <si>
    <t>عباسقلی</t>
  </si>
  <si>
    <t>عیدگاه</t>
  </si>
  <si>
    <t>غفوری محمدی</t>
  </si>
  <si>
    <t>فاز دو بوستان راد</t>
  </si>
  <si>
    <t>لچکی 11-9</t>
  </si>
  <si>
    <t>لچکی ثامن</t>
  </si>
  <si>
    <t>لچکی راد</t>
  </si>
  <si>
    <t>لچکی ره باغ بهشت</t>
  </si>
  <si>
    <t>لچکی شهدای حج</t>
  </si>
  <si>
    <t>لچکی مرکز محله راد</t>
  </si>
  <si>
    <t>محتشم</t>
  </si>
  <si>
    <t>میدان امیرالمومنین(ع)</t>
  </si>
  <si>
    <t>میدان شهید حججی</t>
  </si>
  <si>
    <t>میر</t>
  </si>
  <si>
    <t>نسترن</t>
  </si>
  <si>
    <t>پارک اتابک</t>
  </si>
  <si>
    <t>پارک ره باغ بهشت</t>
  </si>
  <si>
    <t>پارک سارا</t>
  </si>
  <si>
    <t>16</t>
  </si>
  <si>
    <t>پارک ریحانه</t>
  </si>
  <si>
    <t>پاغ گیاهشناسی</t>
  </si>
  <si>
    <t>باغ گلها</t>
  </si>
  <si>
    <t>پارک مینیاتوری</t>
  </si>
  <si>
    <t>اختلاف اصله و اصله مستقل</t>
  </si>
  <si>
    <t>مساحت درخت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</si>
</sst>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B Zar"/>
      <charset val="178"/>
    </font>
    <font>
      <b/>
      <sz val="12"/>
      <name val="B Zar"/>
      <charset val="178"/>
    </font>
    <font>
      <sz val="12"/>
      <color theme="1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4" fillId="0" borderId="0" xfId="0" applyFont="1" applyBorder="1" applyAlignment="1">
      <alignment horizontal="center" vertical="top"/>
    </xf>
    <xf numFmtId="164" fontId="5" fillId="0" borderId="0" xfId="1" applyNumberFormat="1" applyFont="1" applyBorder="1"/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indent="1"/>
    </xf>
    <xf numFmtId="2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43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2">
    <cellStyle name="Comma" xfId="1" builtinId="3"/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Zar"/>
        <charset val="178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Zar"/>
        <charset val="178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Zar"/>
        <charset val="178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Zar"/>
        <charset val="178"/>
        <scheme val="none"/>
      </font>
      <alignment horizontal="center" vertical="top" textRotation="0" wrapText="0" indent="0" justifyLastLine="0" shrinkToFit="0" readingOrder="0"/>
    </dxf>
    <dxf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2"/>
        <name val="B Zar"/>
        <charset val="17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 Zar"/>
        <charset val="178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64738-7936-4513-BEB5-FCF3EF7E5D3E}" name="Table1" displayName="Table1" ref="A1:K107" totalsRowShown="0" headerRowDxfId="13" dataDxfId="12" tableBorderDxfId="11">
  <autoFilter ref="A1:K107" xr:uid="{D65A204D-F03C-4B21-BBC2-29181D1A8338}"/>
  <sortState xmlns:xlrd2="http://schemas.microsoft.com/office/spreadsheetml/2017/richdata2" ref="A2:K107">
    <sortCondition ref="A1:A107"/>
  </sortState>
  <tableColumns count="11">
    <tableColumn id="1" xr3:uid="{F462F68F-5B8E-4EE2-9B99-F8646452DC94}" name="منطقه" dataDxfId="10"/>
    <tableColumn id="2" xr3:uid="{BC319F28-2B6D-4E35-B44B-0E8293CDDEC8}" name="ناحیه" dataDxfId="9"/>
    <tableColumn id="3" xr3:uid="{CE59DD60-168B-4431-AE1B-FC74345B4F58}" name="پیمان" dataDxfId="8"/>
    <tableColumn id="4" xr3:uid="{AFBA3731-147F-4663-AAB2-703E52CD787C}" name="آدرس" dataDxfId="7"/>
    <tableColumn id="5" xr3:uid="{4A65006D-B93E-494E-89AF-7054B05E595C}" name="درخت و درختچه اصله" dataDxfId="6" dataCellStyle="Comma"/>
    <tableColumn id="6" xr3:uid="{6DB26390-2247-44BE-ADC1-E6C4ECFA8B15}" name="درخت و درختچه اصله مستقل" dataDxfId="5" dataCellStyle="Comma"/>
    <tableColumn id="7" xr3:uid="{95CA4FA8-0643-4F3F-A0EB-D16783C7EC70}" name="درخت و درختچه متر مربع" dataDxfId="4" dataCellStyle="Comma"/>
    <tableColumn id="8" xr3:uid="{9F747BDF-8E3F-4E75-9E02-67B33453193A}" name="مساحت آدرس ریزآیتمی" dataDxfId="3" dataCellStyle="Comma"/>
    <tableColumn id="9" xr3:uid="{A8179DEC-B540-4F49-8770-6F6F733CF22E}" name="نام نوع لکه" dataDxfId="2"/>
    <tableColumn id="10" xr3:uid="{262172E6-53D4-4FDA-81E9-A785DC519850}" name="نام لکه" dataDxfId="1"/>
    <tableColumn id="11" xr3:uid="{9D1D4457-9546-487C-A668-B15A7E0F1879}" name="اختلاف اصله و اصله مستقل" dataDxfId="0" dataCellStyle="Comma">
      <calculatedColumnFormula>F2-E2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341"/>
  <sheetViews>
    <sheetView tabSelected="1" workbookViewId="0">
      <pane ySplit="1" topLeftCell="A18" activePane="bottomLeft" state="frozen"/>
      <selection pane="bottomLeft" activeCell="T31" sqref="T31"/>
    </sheetView>
  </sheetViews>
  <sheetFormatPr defaultRowHeight="15" x14ac:dyDescent="0.25"/>
  <cols>
    <col min="4" max="4" width="3.85546875" bestFit="1" customWidth="1"/>
    <col min="5" max="6" width="9.5703125" hidden="1" customWidth="1"/>
    <col min="7" max="8" width="8.7109375" hidden="1" customWidth="1"/>
    <col min="9" max="9" width="8" hidden="1" customWidth="1"/>
    <col min="10" max="10" width="8.42578125" hidden="1" customWidth="1"/>
    <col min="11" max="11" width="9.140625" hidden="1" customWidth="1"/>
    <col min="12" max="12" width="7.85546875" hidden="1" customWidth="1"/>
    <col min="13" max="16" width="11.85546875" bestFit="1" customWidth="1"/>
    <col min="17" max="17" width="7.85546875" bestFit="1" customWidth="1"/>
    <col min="25" max="25" width="7.140625" bestFit="1" customWidth="1"/>
    <col min="26" max="26" width="12" bestFit="1" customWidth="1"/>
    <col min="27" max="27" width="12.42578125" bestFit="1" customWidth="1"/>
    <col min="28" max="28" width="11.42578125" bestFit="1" customWidth="1"/>
    <col min="29" max="29" width="10.140625" bestFit="1" customWidth="1"/>
    <col min="30" max="30" width="10" hidden="1" customWidth="1"/>
    <col min="31" max="31" width="13.5703125" hidden="1" customWidth="1"/>
    <col min="32" max="32" width="12.42578125" hidden="1" customWidth="1"/>
    <col min="33" max="33" width="9.5703125" hidden="1" customWidth="1"/>
    <col min="34" max="34" width="10.5703125" bestFit="1" customWidth="1"/>
    <col min="35" max="35" width="13.42578125" hidden="1" customWidth="1"/>
    <col min="36" max="37" width="13" hidden="1" customWidth="1"/>
    <col min="38" max="38" width="10" bestFit="1" customWidth="1"/>
    <col min="39" max="39" width="11.42578125" hidden="1" customWidth="1"/>
    <col min="40" max="40" width="12.5703125" hidden="1" customWidth="1"/>
    <col min="41" max="41" width="11.42578125" hidden="1" customWidth="1"/>
    <col min="42" max="42" width="12.85546875" hidden="1" customWidth="1"/>
    <col min="43" max="43" width="12.28515625" bestFit="1" customWidth="1"/>
    <col min="44" max="44" width="11.85546875" hidden="1" customWidth="1"/>
    <col min="45" max="46" width="12.5703125" hidden="1" customWidth="1"/>
    <col min="47" max="47" width="12" hidden="1" customWidth="1"/>
    <col min="48" max="48" width="12.5703125" bestFit="1" customWidth="1"/>
    <col min="49" max="50" width="12" hidden="1" customWidth="1"/>
    <col min="51" max="51" width="12.5703125" hidden="1" customWidth="1"/>
    <col min="52" max="52" width="12" hidden="1" customWidth="1"/>
    <col min="53" max="53" width="12.28515625" bestFit="1" customWidth="1"/>
    <col min="54" max="55" width="12.5703125" hidden="1" customWidth="1"/>
    <col min="56" max="56" width="12.5703125" bestFit="1" customWidth="1"/>
    <col min="57" max="57" width="12.5703125" customWidth="1"/>
    <col min="58" max="58" width="11.42578125" bestFit="1" customWidth="1"/>
    <col min="59" max="59" width="11.85546875" bestFit="1" customWidth="1"/>
    <col min="60" max="60" width="20.7109375" bestFit="1" customWidth="1"/>
    <col min="61" max="61" width="32" customWidth="1"/>
    <col min="62" max="62" width="13.28515625" hidden="1" customWidth="1"/>
    <col min="63" max="63" width="13.5703125" hidden="1" customWidth="1"/>
    <col min="64" max="64" width="11.28515625" hidden="1" customWidth="1"/>
    <col min="65" max="65" width="12" hidden="1" customWidth="1"/>
    <col min="66" max="67" width="13.42578125" hidden="1" customWidth="1"/>
    <col min="68" max="68" width="12" hidden="1" customWidth="1"/>
    <col min="69" max="69" width="13.42578125" hidden="1" customWidth="1"/>
    <col min="70" max="70" width="7" bestFit="1" customWidth="1"/>
  </cols>
  <sheetData>
    <row r="1" spans="1:74" s="4" customFormat="1" ht="9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2365</v>
      </c>
      <c r="T1" s="3" t="s">
        <v>12</v>
      </c>
      <c r="U1" s="3" t="s">
        <v>13</v>
      </c>
      <c r="V1" s="3" t="s">
        <v>14</v>
      </c>
      <c r="W1" s="3" t="s">
        <v>15</v>
      </c>
      <c r="X1" s="3"/>
      <c r="Y1" s="3"/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/>
      <c r="BF1" s="3" t="s">
        <v>49</v>
      </c>
      <c r="BG1" s="3" t="s">
        <v>50</v>
      </c>
      <c r="BH1" s="3" t="s">
        <v>51</v>
      </c>
      <c r="BI1" s="3" t="s">
        <v>52</v>
      </c>
      <c r="BJ1" s="3" t="s">
        <v>53</v>
      </c>
      <c r="BK1" s="3" t="s">
        <v>54</v>
      </c>
      <c r="BL1" s="3" t="s">
        <v>55</v>
      </c>
      <c r="BM1" s="3" t="s">
        <v>56</v>
      </c>
      <c r="BN1" s="3" t="s">
        <v>57</v>
      </c>
      <c r="BO1" s="3" t="s">
        <v>58</v>
      </c>
      <c r="BP1" s="3" t="s">
        <v>59</v>
      </c>
      <c r="BQ1" s="3" t="s">
        <v>60</v>
      </c>
      <c r="BR1" s="4" t="s">
        <v>2364</v>
      </c>
    </row>
    <row r="2" spans="1:74" x14ac:dyDescent="0.25">
      <c r="A2" s="7" t="s">
        <v>207</v>
      </c>
      <c r="B2" s="7" t="s">
        <v>359</v>
      </c>
      <c r="C2" s="7" t="s">
        <v>61</v>
      </c>
      <c r="D2" s="1" t="s">
        <v>94</v>
      </c>
      <c r="E2">
        <v>0</v>
      </c>
      <c r="F2">
        <v>28500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94.121532364597087</v>
      </c>
      <c r="N2">
        <v>0</v>
      </c>
      <c r="O2" s="16">
        <v>28405.878467635401</v>
      </c>
      <c r="P2">
        <v>0</v>
      </c>
      <c r="Q2">
        <v>1780</v>
      </c>
      <c r="R2">
        <v>30280</v>
      </c>
      <c r="S2" s="18">
        <f t="shared" ref="S2:S65" si="0">(M2+N2+O2+P2)/R2</f>
        <v>0.94121532364597082</v>
      </c>
      <c r="T2" s="17">
        <f t="shared" ref="T2:T65" si="1">M2/$S2</f>
        <v>100</v>
      </c>
      <c r="U2" s="17">
        <f t="shared" ref="U2:U65" si="2">N2/$S2</f>
        <v>0</v>
      </c>
      <c r="V2" s="17">
        <f t="shared" ref="V2:V65" si="3">O2/$S2</f>
        <v>30180</v>
      </c>
      <c r="W2" s="17">
        <f t="shared" ref="W2:W65" si="4">P2/$S2</f>
        <v>0</v>
      </c>
      <c r="X2" s="17">
        <f t="shared" ref="X2:X65" si="5">Q2-T2-U2-W2</f>
        <v>1680</v>
      </c>
      <c r="Y2" s="19">
        <f t="shared" ref="Y2:Y65" si="6">V2/X2</f>
        <v>17.964285714285715</v>
      </c>
      <c r="Z2">
        <v>28500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f t="shared" ref="BE2:BE65" si="7">SUM(AC2:BD2)</f>
        <v>0</v>
      </c>
      <c r="BF2">
        <v>28500</v>
      </c>
      <c r="BG2">
        <v>28500</v>
      </c>
      <c r="BH2" t="s">
        <v>546</v>
      </c>
      <c r="BI2" t="s">
        <v>608</v>
      </c>
      <c r="BJ2">
        <v>0</v>
      </c>
      <c r="BK2">
        <v>0</v>
      </c>
      <c r="BL2">
        <v>28500</v>
      </c>
      <c r="BM2">
        <v>94.121532364597087</v>
      </c>
      <c r="BN2">
        <v>0</v>
      </c>
      <c r="BO2">
        <v>28405.878467635401</v>
      </c>
      <c r="BP2">
        <v>0</v>
      </c>
      <c r="BQ2">
        <v>28500</v>
      </c>
      <c r="BR2">
        <f t="shared" ref="BR2:BR65" si="8">R2-Q2</f>
        <v>28500</v>
      </c>
      <c r="BS2">
        <f t="shared" ref="BS2:BS65" si="9">R2+Q2</f>
        <v>32060</v>
      </c>
    </row>
    <row r="3" spans="1:74" x14ac:dyDescent="0.25">
      <c r="A3" s="5" t="s">
        <v>207</v>
      </c>
      <c r="B3" s="5" t="s">
        <v>627</v>
      </c>
      <c r="C3" s="5" t="s">
        <v>207</v>
      </c>
      <c r="D3" s="1" t="s">
        <v>141</v>
      </c>
      <c r="E3">
        <v>0</v>
      </c>
      <c r="F3">
        <v>1200</v>
      </c>
      <c r="G3">
        <v>0</v>
      </c>
      <c r="H3">
        <v>0</v>
      </c>
      <c r="I3">
        <v>210</v>
      </c>
      <c r="J3">
        <v>4500</v>
      </c>
      <c r="K3">
        <v>1804</v>
      </c>
      <c r="L3">
        <v>120</v>
      </c>
      <c r="M3">
        <v>0</v>
      </c>
      <c r="N3">
        <v>0</v>
      </c>
      <c r="O3" s="16">
        <v>12546</v>
      </c>
      <c r="P3">
        <v>0</v>
      </c>
      <c r="Q3">
        <v>530</v>
      </c>
      <c r="R3">
        <v>1394</v>
      </c>
      <c r="S3" s="18">
        <f t="shared" si="0"/>
        <v>9</v>
      </c>
      <c r="T3" s="17">
        <f t="shared" si="1"/>
        <v>0</v>
      </c>
      <c r="U3" s="17">
        <f t="shared" si="2"/>
        <v>0</v>
      </c>
      <c r="V3" s="17">
        <f t="shared" si="3"/>
        <v>1394</v>
      </c>
      <c r="W3" s="17">
        <f t="shared" si="4"/>
        <v>0</v>
      </c>
      <c r="X3" s="17">
        <f t="shared" si="5"/>
        <v>530</v>
      </c>
      <c r="Y3" s="19">
        <f t="shared" si="6"/>
        <v>2.6301886792452831</v>
      </c>
      <c r="Z3">
        <v>1200</v>
      </c>
      <c r="AA3">
        <v>5</v>
      </c>
      <c r="AB3">
        <v>283</v>
      </c>
      <c r="AC3">
        <v>6730</v>
      </c>
      <c r="AD3">
        <v>0</v>
      </c>
      <c r="AE3">
        <v>0</v>
      </c>
      <c r="AF3">
        <v>0</v>
      </c>
      <c r="AG3">
        <v>210</v>
      </c>
      <c r="AH3">
        <v>210</v>
      </c>
      <c r="AI3">
        <v>0</v>
      </c>
      <c r="AJ3">
        <v>0</v>
      </c>
      <c r="AK3">
        <v>4500</v>
      </c>
      <c r="AL3">
        <v>4500</v>
      </c>
      <c r="AM3">
        <v>0</v>
      </c>
      <c r="AN3">
        <v>0</v>
      </c>
      <c r="AO3">
        <v>1804</v>
      </c>
      <c r="AP3">
        <v>1112</v>
      </c>
      <c r="AQ3">
        <v>1804</v>
      </c>
      <c r="AR3">
        <v>692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120</v>
      </c>
      <c r="BA3">
        <v>120</v>
      </c>
      <c r="BB3">
        <v>0</v>
      </c>
      <c r="BC3">
        <v>0</v>
      </c>
      <c r="BD3">
        <v>0</v>
      </c>
      <c r="BE3">
        <f t="shared" si="7"/>
        <v>21802</v>
      </c>
      <c r="BF3">
        <v>14852</v>
      </c>
      <c r="BG3">
        <v>14852</v>
      </c>
      <c r="BH3" t="s">
        <v>82</v>
      </c>
      <c r="BI3" t="s">
        <v>696</v>
      </c>
      <c r="BJ3">
        <v>7018</v>
      </c>
      <c r="BK3">
        <v>6634</v>
      </c>
      <c r="BL3">
        <v>14852</v>
      </c>
      <c r="BM3">
        <v>0</v>
      </c>
      <c r="BN3">
        <v>0</v>
      </c>
      <c r="BO3">
        <v>12546</v>
      </c>
      <c r="BP3">
        <v>6634</v>
      </c>
      <c r="BQ3">
        <v>19180</v>
      </c>
      <c r="BR3">
        <f t="shared" si="8"/>
        <v>864</v>
      </c>
      <c r="BS3">
        <f t="shared" si="9"/>
        <v>1924</v>
      </c>
    </row>
    <row r="4" spans="1:74" x14ac:dyDescent="0.25">
      <c r="A4" s="5" t="s">
        <v>359</v>
      </c>
      <c r="B4" s="5" t="s">
        <v>207</v>
      </c>
      <c r="C4" s="5" t="s">
        <v>61</v>
      </c>
      <c r="D4" s="1" t="s">
        <v>106</v>
      </c>
      <c r="E4">
        <v>0</v>
      </c>
      <c r="F4">
        <v>17560</v>
      </c>
      <c r="G4">
        <v>0</v>
      </c>
      <c r="H4">
        <v>0</v>
      </c>
      <c r="I4">
        <v>130</v>
      </c>
      <c r="J4">
        <v>4445</v>
      </c>
      <c r="K4">
        <v>1715</v>
      </c>
      <c r="L4">
        <v>45</v>
      </c>
      <c r="M4">
        <v>1053</v>
      </c>
      <c r="N4">
        <v>0</v>
      </c>
      <c r="O4" s="16">
        <v>52668</v>
      </c>
      <c r="P4">
        <v>468</v>
      </c>
      <c r="Q4">
        <v>560</v>
      </c>
      <c r="R4">
        <v>6021</v>
      </c>
      <c r="S4" s="18">
        <f t="shared" si="0"/>
        <v>9</v>
      </c>
      <c r="T4" s="17">
        <f t="shared" si="1"/>
        <v>117</v>
      </c>
      <c r="U4" s="17">
        <f t="shared" si="2"/>
        <v>0</v>
      </c>
      <c r="V4" s="17">
        <f t="shared" si="3"/>
        <v>5852</v>
      </c>
      <c r="W4" s="17">
        <f t="shared" si="4"/>
        <v>52</v>
      </c>
      <c r="X4" s="17">
        <f t="shared" si="5"/>
        <v>391</v>
      </c>
      <c r="Y4" s="19">
        <f t="shared" si="6"/>
        <v>14.966751918158568</v>
      </c>
      <c r="Z4">
        <v>17909</v>
      </c>
      <c r="AA4">
        <v>0</v>
      </c>
      <c r="AB4">
        <v>0</v>
      </c>
      <c r="AC4">
        <v>1000</v>
      </c>
      <c r="AD4">
        <v>0</v>
      </c>
      <c r="AE4">
        <v>0</v>
      </c>
      <c r="AF4">
        <v>0</v>
      </c>
      <c r="AG4">
        <v>130</v>
      </c>
      <c r="AH4">
        <v>130</v>
      </c>
      <c r="AI4">
        <v>0</v>
      </c>
      <c r="AJ4">
        <v>0</v>
      </c>
      <c r="AK4">
        <v>4445</v>
      </c>
      <c r="AL4">
        <v>4445</v>
      </c>
      <c r="AM4">
        <v>0</v>
      </c>
      <c r="AN4">
        <v>0</v>
      </c>
      <c r="AO4">
        <v>1715</v>
      </c>
      <c r="AP4">
        <v>510</v>
      </c>
      <c r="AQ4">
        <v>1715</v>
      </c>
      <c r="AR4">
        <v>1205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45</v>
      </c>
      <c r="BA4">
        <v>45</v>
      </c>
      <c r="BB4">
        <v>0</v>
      </c>
      <c r="BC4">
        <v>0</v>
      </c>
      <c r="BD4">
        <v>0</v>
      </c>
      <c r="BE4">
        <f t="shared" si="7"/>
        <v>15385</v>
      </c>
      <c r="BF4">
        <v>25371</v>
      </c>
      <c r="BG4">
        <v>25371</v>
      </c>
      <c r="BH4" t="s">
        <v>560</v>
      </c>
      <c r="BI4" t="s">
        <v>750</v>
      </c>
      <c r="BJ4">
        <v>1000</v>
      </c>
      <c r="BK4">
        <v>6335</v>
      </c>
      <c r="BL4">
        <v>25244</v>
      </c>
      <c r="BM4">
        <v>1053</v>
      </c>
      <c r="BN4">
        <v>0</v>
      </c>
      <c r="BO4">
        <v>52668</v>
      </c>
      <c r="BP4">
        <v>6803</v>
      </c>
      <c r="BQ4">
        <v>60524</v>
      </c>
      <c r="BR4">
        <f t="shared" si="8"/>
        <v>5461</v>
      </c>
      <c r="BS4">
        <f t="shared" si="9"/>
        <v>6581</v>
      </c>
    </row>
    <row r="5" spans="1:74" x14ac:dyDescent="0.25">
      <c r="A5" s="5" t="s">
        <v>359</v>
      </c>
      <c r="B5" s="5" t="s">
        <v>359</v>
      </c>
      <c r="C5" s="5" t="s">
        <v>61</v>
      </c>
      <c r="D5" s="1" t="s">
        <v>129</v>
      </c>
      <c r="E5">
        <v>0</v>
      </c>
      <c r="F5">
        <v>10066</v>
      </c>
      <c r="G5">
        <v>0</v>
      </c>
      <c r="H5">
        <v>0</v>
      </c>
      <c r="I5">
        <v>55</v>
      </c>
      <c r="J5">
        <v>0</v>
      </c>
      <c r="K5">
        <v>0</v>
      </c>
      <c r="L5">
        <v>0</v>
      </c>
      <c r="M5">
        <v>0</v>
      </c>
      <c r="N5">
        <v>0</v>
      </c>
      <c r="O5" s="16">
        <v>5047.9429280397026</v>
      </c>
      <c r="P5">
        <v>5073.0570719602983</v>
      </c>
      <c r="Q5">
        <v>1030</v>
      </c>
      <c r="R5">
        <v>1612</v>
      </c>
      <c r="S5" s="18">
        <f t="shared" si="0"/>
        <v>6.2785359801488836</v>
      </c>
      <c r="T5" s="17">
        <f t="shared" si="1"/>
        <v>0</v>
      </c>
      <c r="U5" s="17">
        <f t="shared" si="2"/>
        <v>0</v>
      </c>
      <c r="V5" s="17">
        <f t="shared" si="3"/>
        <v>804</v>
      </c>
      <c r="W5" s="17">
        <f t="shared" si="4"/>
        <v>808.00000000000011</v>
      </c>
      <c r="X5" s="17">
        <f t="shared" si="5"/>
        <v>221.99999999999989</v>
      </c>
      <c r="Y5" s="19">
        <f t="shared" si="6"/>
        <v>3.6216216216216233</v>
      </c>
      <c r="Z5">
        <v>10066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55</v>
      </c>
      <c r="AH5">
        <v>55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f t="shared" si="7"/>
        <v>110</v>
      </c>
      <c r="BF5">
        <v>10121</v>
      </c>
      <c r="BG5">
        <v>10121</v>
      </c>
      <c r="BH5" t="s">
        <v>546</v>
      </c>
      <c r="BI5" t="s">
        <v>788</v>
      </c>
      <c r="BJ5">
        <v>0</v>
      </c>
      <c r="BK5">
        <v>55</v>
      </c>
      <c r="BL5">
        <v>10121</v>
      </c>
      <c r="BM5">
        <v>0</v>
      </c>
      <c r="BN5">
        <v>0</v>
      </c>
      <c r="BO5">
        <v>5047.9429280397026</v>
      </c>
      <c r="BP5">
        <v>5128.0570719602983</v>
      </c>
      <c r="BQ5">
        <v>10176</v>
      </c>
      <c r="BR5">
        <f t="shared" si="8"/>
        <v>582</v>
      </c>
      <c r="BS5">
        <f t="shared" si="9"/>
        <v>2642</v>
      </c>
    </row>
    <row r="6" spans="1:74" x14ac:dyDescent="0.25">
      <c r="A6" s="5" t="s">
        <v>359</v>
      </c>
      <c r="B6" s="5" t="s">
        <v>359</v>
      </c>
      <c r="C6" s="5" t="s">
        <v>61</v>
      </c>
      <c r="D6" s="1" t="s">
        <v>90</v>
      </c>
      <c r="E6">
        <v>0</v>
      </c>
      <c r="F6">
        <v>2040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6">
        <v>6921</v>
      </c>
      <c r="P6">
        <v>0</v>
      </c>
      <c r="Q6">
        <v>304</v>
      </c>
      <c r="R6">
        <v>769</v>
      </c>
      <c r="S6" s="18">
        <f t="shared" si="0"/>
        <v>9</v>
      </c>
      <c r="T6" s="17">
        <f t="shared" si="1"/>
        <v>0</v>
      </c>
      <c r="U6" s="17">
        <f t="shared" si="2"/>
        <v>0</v>
      </c>
      <c r="V6" s="17">
        <f t="shared" si="3"/>
        <v>769</v>
      </c>
      <c r="W6" s="17">
        <f t="shared" si="4"/>
        <v>0</v>
      </c>
      <c r="X6" s="17">
        <f t="shared" si="5"/>
        <v>304</v>
      </c>
      <c r="Y6" s="19">
        <f t="shared" si="6"/>
        <v>2.5296052631578947</v>
      </c>
      <c r="Z6">
        <v>2040</v>
      </c>
      <c r="AA6">
        <v>0</v>
      </c>
      <c r="AB6">
        <v>0</v>
      </c>
      <c r="AC6">
        <v>40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f t="shared" si="7"/>
        <v>40</v>
      </c>
      <c r="BF6">
        <v>2080</v>
      </c>
      <c r="BG6">
        <v>2080</v>
      </c>
      <c r="BH6" t="s">
        <v>190</v>
      </c>
      <c r="BI6" t="s">
        <v>769</v>
      </c>
      <c r="BJ6">
        <v>40</v>
      </c>
      <c r="BK6">
        <v>0</v>
      </c>
      <c r="BL6">
        <v>2080</v>
      </c>
      <c r="BM6">
        <v>0</v>
      </c>
      <c r="BN6">
        <v>0</v>
      </c>
      <c r="BO6">
        <v>6921</v>
      </c>
      <c r="BP6">
        <v>0</v>
      </c>
      <c r="BQ6">
        <v>6921</v>
      </c>
      <c r="BR6">
        <f t="shared" si="8"/>
        <v>465</v>
      </c>
      <c r="BS6">
        <f t="shared" si="9"/>
        <v>1073</v>
      </c>
    </row>
    <row r="7" spans="1:74" x14ac:dyDescent="0.25">
      <c r="A7" s="5" t="s">
        <v>359</v>
      </c>
      <c r="B7" s="5" t="s">
        <v>359</v>
      </c>
      <c r="C7" s="5" t="s">
        <v>61</v>
      </c>
      <c r="D7" s="1" t="s">
        <v>62</v>
      </c>
      <c r="E7">
        <v>0</v>
      </c>
      <c r="F7">
        <v>1840</v>
      </c>
      <c r="G7">
        <v>0</v>
      </c>
      <c r="H7">
        <v>0</v>
      </c>
      <c r="I7">
        <v>218</v>
      </c>
      <c r="J7">
        <v>0</v>
      </c>
      <c r="K7">
        <v>0</v>
      </c>
      <c r="L7">
        <v>0</v>
      </c>
      <c r="M7">
        <v>0</v>
      </c>
      <c r="N7">
        <v>0</v>
      </c>
      <c r="O7" s="16">
        <v>3858</v>
      </c>
      <c r="P7">
        <v>0</v>
      </c>
      <c r="Q7">
        <v>235</v>
      </c>
      <c r="R7">
        <v>636</v>
      </c>
      <c r="S7" s="18">
        <f t="shared" si="0"/>
        <v>6.0660377358490569</v>
      </c>
      <c r="T7" s="17">
        <f t="shared" si="1"/>
        <v>0</v>
      </c>
      <c r="U7" s="17">
        <f t="shared" si="2"/>
        <v>0</v>
      </c>
      <c r="V7" s="17">
        <f t="shared" si="3"/>
        <v>636</v>
      </c>
      <c r="W7" s="17">
        <f t="shared" si="4"/>
        <v>0</v>
      </c>
      <c r="X7" s="17">
        <f t="shared" si="5"/>
        <v>235</v>
      </c>
      <c r="Y7" s="19">
        <f t="shared" si="6"/>
        <v>2.7063829787234042</v>
      </c>
      <c r="Z7">
        <v>1840</v>
      </c>
      <c r="AA7">
        <v>0</v>
      </c>
      <c r="AB7">
        <v>0</v>
      </c>
      <c r="AC7">
        <v>1800</v>
      </c>
      <c r="AD7">
        <v>218</v>
      </c>
      <c r="AE7">
        <v>0</v>
      </c>
      <c r="AF7">
        <v>0</v>
      </c>
      <c r="AG7">
        <v>0</v>
      </c>
      <c r="AH7">
        <v>218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f t="shared" si="7"/>
        <v>2236</v>
      </c>
      <c r="BF7">
        <v>3858</v>
      </c>
      <c r="BG7">
        <v>3858</v>
      </c>
      <c r="BH7" t="s">
        <v>546</v>
      </c>
      <c r="BI7" t="s">
        <v>756</v>
      </c>
      <c r="BJ7">
        <v>1800</v>
      </c>
      <c r="BK7">
        <v>218</v>
      </c>
      <c r="BL7">
        <v>3858</v>
      </c>
      <c r="BM7">
        <v>218</v>
      </c>
      <c r="BN7">
        <v>0</v>
      </c>
      <c r="BO7">
        <v>3858</v>
      </c>
      <c r="BP7">
        <v>0</v>
      </c>
      <c r="BQ7">
        <v>4076</v>
      </c>
      <c r="BR7">
        <f t="shared" si="8"/>
        <v>401</v>
      </c>
      <c r="BS7">
        <f t="shared" si="9"/>
        <v>871</v>
      </c>
    </row>
    <row r="8" spans="1:74" x14ac:dyDescent="0.25">
      <c r="A8" s="5" t="s">
        <v>359</v>
      </c>
      <c r="B8" s="5" t="s">
        <v>359</v>
      </c>
      <c r="C8" s="5" t="s">
        <v>61</v>
      </c>
      <c r="D8" s="1" t="s">
        <v>75</v>
      </c>
      <c r="E8">
        <v>0</v>
      </c>
      <c r="F8">
        <v>1350</v>
      </c>
      <c r="G8">
        <v>0</v>
      </c>
      <c r="H8">
        <v>0</v>
      </c>
      <c r="I8">
        <v>185</v>
      </c>
      <c r="J8">
        <v>0</v>
      </c>
      <c r="K8">
        <v>0</v>
      </c>
      <c r="L8">
        <v>0</v>
      </c>
      <c r="M8">
        <v>0</v>
      </c>
      <c r="N8">
        <v>0</v>
      </c>
      <c r="O8" s="16">
        <v>1170</v>
      </c>
      <c r="P8">
        <v>0</v>
      </c>
      <c r="Q8">
        <v>113</v>
      </c>
      <c r="R8">
        <v>130</v>
      </c>
      <c r="S8" s="18">
        <f t="shared" si="0"/>
        <v>9</v>
      </c>
      <c r="T8" s="17">
        <f t="shared" si="1"/>
        <v>0</v>
      </c>
      <c r="U8" s="17">
        <f t="shared" si="2"/>
        <v>0</v>
      </c>
      <c r="V8" s="17">
        <f t="shared" si="3"/>
        <v>130</v>
      </c>
      <c r="W8" s="17">
        <f t="shared" si="4"/>
        <v>0</v>
      </c>
      <c r="X8" s="17">
        <f t="shared" si="5"/>
        <v>113</v>
      </c>
      <c r="Y8" s="19">
        <f t="shared" si="6"/>
        <v>1.1504424778761062</v>
      </c>
      <c r="Z8">
        <v>1350</v>
      </c>
      <c r="AA8">
        <v>0</v>
      </c>
      <c r="AB8">
        <v>0</v>
      </c>
      <c r="AC8">
        <v>145</v>
      </c>
      <c r="AD8">
        <v>185</v>
      </c>
      <c r="AE8">
        <v>0</v>
      </c>
      <c r="AF8">
        <v>0</v>
      </c>
      <c r="AG8">
        <v>0</v>
      </c>
      <c r="AH8">
        <v>185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f t="shared" si="7"/>
        <v>515</v>
      </c>
      <c r="BF8">
        <v>1680</v>
      </c>
      <c r="BG8">
        <v>1680</v>
      </c>
      <c r="BH8" t="s">
        <v>546</v>
      </c>
      <c r="BI8" t="s">
        <v>762</v>
      </c>
      <c r="BJ8">
        <v>145</v>
      </c>
      <c r="BK8">
        <v>185</v>
      </c>
      <c r="BL8">
        <v>1680</v>
      </c>
      <c r="BM8">
        <v>185</v>
      </c>
      <c r="BN8">
        <v>0</v>
      </c>
      <c r="BO8">
        <v>1170</v>
      </c>
      <c r="BP8">
        <v>0</v>
      </c>
      <c r="BQ8">
        <v>1355</v>
      </c>
      <c r="BR8">
        <f t="shared" si="8"/>
        <v>17</v>
      </c>
      <c r="BS8">
        <f t="shared" si="9"/>
        <v>243</v>
      </c>
    </row>
    <row r="9" spans="1:74" x14ac:dyDescent="0.25">
      <c r="A9" s="5" t="s">
        <v>2359</v>
      </c>
      <c r="B9" s="5" t="s">
        <v>1135</v>
      </c>
      <c r="C9" s="5" t="s">
        <v>61</v>
      </c>
      <c r="D9" s="1" t="s">
        <v>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76563.267514506268</v>
      </c>
      <c r="N9">
        <v>0</v>
      </c>
      <c r="O9">
        <v>0</v>
      </c>
      <c r="P9">
        <v>5530.7324854937269</v>
      </c>
      <c r="Q9">
        <v>0</v>
      </c>
      <c r="R9">
        <v>58423</v>
      </c>
      <c r="S9" s="18">
        <f t="shared" si="0"/>
        <v>1.4051657737534875</v>
      </c>
      <c r="T9" s="17">
        <f t="shared" si="1"/>
        <v>54486.999999999993</v>
      </c>
      <c r="U9" s="17">
        <f t="shared" si="2"/>
        <v>0</v>
      </c>
      <c r="V9" s="17">
        <f t="shared" si="3"/>
        <v>0</v>
      </c>
      <c r="W9" s="17">
        <f t="shared" si="4"/>
        <v>3936</v>
      </c>
      <c r="X9" s="17">
        <f t="shared" si="5"/>
        <v>-58422.999999999993</v>
      </c>
      <c r="Y9" s="19">
        <f t="shared" si="6"/>
        <v>0</v>
      </c>
      <c r="Z9">
        <v>58423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5612</v>
      </c>
      <c r="AH9">
        <v>5612</v>
      </c>
      <c r="AI9">
        <v>0</v>
      </c>
      <c r="AJ9">
        <v>0</v>
      </c>
      <c r="AK9">
        <v>8950</v>
      </c>
      <c r="AL9">
        <v>8950</v>
      </c>
      <c r="AM9">
        <v>0</v>
      </c>
      <c r="AN9">
        <v>0</v>
      </c>
      <c r="AO9">
        <v>6612</v>
      </c>
      <c r="AP9">
        <v>0</v>
      </c>
      <c r="AQ9">
        <v>6612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1513</v>
      </c>
      <c r="BA9">
        <v>1513</v>
      </c>
      <c r="BB9">
        <v>0</v>
      </c>
      <c r="BC9">
        <v>0</v>
      </c>
      <c r="BD9">
        <v>0</v>
      </c>
      <c r="BE9">
        <f t="shared" si="7"/>
        <v>45374</v>
      </c>
      <c r="BF9">
        <v>0</v>
      </c>
      <c r="BG9">
        <v>82094</v>
      </c>
      <c r="BH9" t="s">
        <v>581</v>
      </c>
      <c r="BI9" t="s">
        <v>2360</v>
      </c>
      <c r="BJ9">
        <v>0</v>
      </c>
      <c r="BK9">
        <v>22687</v>
      </c>
      <c r="BL9">
        <v>81110</v>
      </c>
      <c r="BM9">
        <v>76563.267514506268</v>
      </c>
      <c r="BN9">
        <v>0</v>
      </c>
      <c r="BO9">
        <v>0</v>
      </c>
      <c r="BP9">
        <v>28217.732485493729</v>
      </c>
      <c r="BQ9">
        <v>104781</v>
      </c>
      <c r="BR9">
        <f t="shared" si="8"/>
        <v>58423</v>
      </c>
      <c r="BS9">
        <f t="shared" si="9"/>
        <v>58423</v>
      </c>
    </row>
    <row r="10" spans="1:74" x14ac:dyDescent="0.25">
      <c r="A10" s="5" t="s">
        <v>359</v>
      </c>
      <c r="B10" s="5" t="s">
        <v>359</v>
      </c>
      <c r="C10" s="5" t="s">
        <v>61</v>
      </c>
      <c r="D10" s="1" t="s">
        <v>84</v>
      </c>
      <c r="E10">
        <v>0</v>
      </c>
      <c r="F10">
        <v>260</v>
      </c>
      <c r="G10">
        <v>0</v>
      </c>
      <c r="H10">
        <v>0</v>
      </c>
      <c r="I10">
        <v>0</v>
      </c>
      <c r="J10">
        <v>93</v>
      </c>
      <c r="K10">
        <v>0</v>
      </c>
      <c r="L10">
        <v>88</v>
      </c>
      <c r="M10">
        <v>0</v>
      </c>
      <c r="N10">
        <v>0</v>
      </c>
      <c r="O10" s="16">
        <v>585</v>
      </c>
      <c r="P10">
        <v>0</v>
      </c>
      <c r="Q10">
        <v>65</v>
      </c>
      <c r="R10">
        <v>65</v>
      </c>
      <c r="S10" s="18">
        <f t="shared" si="0"/>
        <v>9</v>
      </c>
      <c r="T10" s="17">
        <f t="shared" si="1"/>
        <v>0</v>
      </c>
      <c r="U10" s="17">
        <f t="shared" si="2"/>
        <v>0</v>
      </c>
      <c r="V10" s="17">
        <f t="shared" si="3"/>
        <v>65</v>
      </c>
      <c r="W10" s="17">
        <f t="shared" si="4"/>
        <v>0</v>
      </c>
      <c r="X10" s="17">
        <f t="shared" si="5"/>
        <v>65</v>
      </c>
      <c r="Y10" s="19">
        <f t="shared" si="6"/>
        <v>1</v>
      </c>
      <c r="Z10">
        <v>260</v>
      </c>
      <c r="AA10">
        <v>0</v>
      </c>
      <c r="AB10">
        <v>0</v>
      </c>
      <c r="AC10">
        <v>93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93</v>
      </c>
      <c r="AL10">
        <v>93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88</v>
      </c>
      <c r="BA10">
        <v>88</v>
      </c>
      <c r="BB10">
        <v>0</v>
      </c>
      <c r="BC10">
        <v>0</v>
      </c>
      <c r="BD10">
        <v>0</v>
      </c>
      <c r="BE10">
        <f t="shared" si="7"/>
        <v>455</v>
      </c>
      <c r="BF10">
        <v>534</v>
      </c>
      <c r="BG10">
        <v>534</v>
      </c>
      <c r="BH10" t="s">
        <v>199</v>
      </c>
      <c r="BI10" t="s">
        <v>766</v>
      </c>
      <c r="BJ10">
        <v>93</v>
      </c>
      <c r="BK10">
        <v>181</v>
      </c>
      <c r="BL10">
        <v>534</v>
      </c>
      <c r="BM10">
        <v>0</v>
      </c>
      <c r="BN10">
        <v>0</v>
      </c>
      <c r="BO10">
        <v>585</v>
      </c>
      <c r="BP10">
        <v>181</v>
      </c>
      <c r="BQ10">
        <v>766</v>
      </c>
      <c r="BR10">
        <f t="shared" si="8"/>
        <v>0</v>
      </c>
      <c r="BS10">
        <f t="shared" si="9"/>
        <v>130</v>
      </c>
    </row>
    <row r="11" spans="1:74" x14ac:dyDescent="0.25">
      <c r="A11" s="5" t="s">
        <v>359</v>
      </c>
      <c r="B11" s="5" t="s">
        <v>359</v>
      </c>
      <c r="C11" s="5" t="s">
        <v>61</v>
      </c>
      <c r="D11" s="1" t="s">
        <v>86</v>
      </c>
      <c r="E11">
        <v>0</v>
      </c>
      <c r="F11">
        <v>440</v>
      </c>
      <c r="G11">
        <v>0</v>
      </c>
      <c r="H11">
        <v>0</v>
      </c>
      <c r="I11">
        <v>0</v>
      </c>
      <c r="J11">
        <v>480</v>
      </c>
      <c r="K11">
        <v>0</v>
      </c>
      <c r="L11">
        <v>166</v>
      </c>
      <c r="M11">
        <v>0</v>
      </c>
      <c r="N11">
        <v>0</v>
      </c>
      <c r="O11" s="16">
        <v>990</v>
      </c>
      <c r="P11">
        <v>0</v>
      </c>
      <c r="Q11">
        <v>110</v>
      </c>
      <c r="R11">
        <v>110</v>
      </c>
      <c r="S11" s="18">
        <f t="shared" si="0"/>
        <v>9</v>
      </c>
      <c r="T11" s="17">
        <f t="shared" si="1"/>
        <v>0</v>
      </c>
      <c r="U11" s="17">
        <f t="shared" si="2"/>
        <v>0</v>
      </c>
      <c r="V11" s="17">
        <f t="shared" si="3"/>
        <v>110</v>
      </c>
      <c r="W11" s="17">
        <f t="shared" si="4"/>
        <v>0</v>
      </c>
      <c r="X11" s="17">
        <f t="shared" si="5"/>
        <v>110</v>
      </c>
      <c r="Y11" s="19">
        <f t="shared" si="6"/>
        <v>1</v>
      </c>
      <c r="Z11">
        <v>440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480</v>
      </c>
      <c r="AL11">
        <v>480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166</v>
      </c>
      <c r="BA11">
        <v>166</v>
      </c>
      <c r="BB11">
        <v>0</v>
      </c>
      <c r="BC11">
        <v>0</v>
      </c>
      <c r="BD11">
        <v>0</v>
      </c>
      <c r="BE11">
        <f t="shared" si="7"/>
        <v>1292</v>
      </c>
      <c r="BF11">
        <v>1086</v>
      </c>
      <c r="BG11">
        <v>1086</v>
      </c>
      <c r="BH11" t="s">
        <v>199</v>
      </c>
      <c r="BI11" t="s">
        <v>767</v>
      </c>
      <c r="BJ11">
        <v>0</v>
      </c>
      <c r="BK11">
        <v>646</v>
      </c>
      <c r="BL11">
        <v>1086</v>
      </c>
      <c r="BM11">
        <v>0</v>
      </c>
      <c r="BN11">
        <v>0</v>
      </c>
      <c r="BO11">
        <v>990</v>
      </c>
      <c r="BP11">
        <v>646</v>
      </c>
      <c r="BQ11">
        <v>1636</v>
      </c>
      <c r="BR11">
        <f t="shared" si="8"/>
        <v>0</v>
      </c>
      <c r="BS11">
        <f t="shared" si="9"/>
        <v>220</v>
      </c>
    </row>
    <row r="12" spans="1:74" x14ac:dyDescent="0.25">
      <c r="A12" s="5" t="s">
        <v>359</v>
      </c>
      <c r="B12" s="5" t="s">
        <v>359</v>
      </c>
      <c r="C12" s="5" t="s">
        <v>61</v>
      </c>
      <c r="D12" s="1" t="s">
        <v>92</v>
      </c>
      <c r="E12">
        <v>0</v>
      </c>
      <c r="F12">
        <v>2530</v>
      </c>
      <c r="G12">
        <v>0</v>
      </c>
      <c r="H12">
        <v>0</v>
      </c>
      <c r="I12">
        <v>4328</v>
      </c>
      <c r="J12">
        <v>3962</v>
      </c>
      <c r="K12">
        <v>45</v>
      </c>
      <c r="L12">
        <v>0</v>
      </c>
      <c r="M12">
        <v>0</v>
      </c>
      <c r="N12">
        <v>0</v>
      </c>
      <c r="O12" s="16">
        <v>4113</v>
      </c>
      <c r="P12">
        <v>0</v>
      </c>
      <c r="Q12">
        <v>715</v>
      </c>
      <c r="R12">
        <v>457</v>
      </c>
      <c r="S12" s="18">
        <f t="shared" si="0"/>
        <v>9</v>
      </c>
      <c r="T12" s="17">
        <f t="shared" si="1"/>
        <v>0</v>
      </c>
      <c r="U12" s="17">
        <f t="shared" si="2"/>
        <v>0</v>
      </c>
      <c r="V12" s="17">
        <f t="shared" si="3"/>
        <v>457</v>
      </c>
      <c r="W12" s="17">
        <f t="shared" si="4"/>
        <v>0</v>
      </c>
      <c r="X12" s="17">
        <f t="shared" si="5"/>
        <v>715</v>
      </c>
      <c r="Y12" s="19">
        <f t="shared" si="6"/>
        <v>0.63916083916083921</v>
      </c>
      <c r="Z12">
        <v>2530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506</v>
      </c>
      <c r="AG12">
        <v>3822</v>
      </c>
      <c r="AH12">
        <v>4328</v>
      </c>
      <c r="AI12">
        <v>0</v>
      </c>
      <c r="AJ12">
        <v>0</v>
      </c>
      <c r="AK12">
        <v>3962</v>
      </c>
      <c r="AL12">
        <v>3962</v>
      </c>
      <c r="AM12">
        <v>0</v>
      </c>
      <c r="AN12">
        <v>0</v>
      </c>
      <c r="AO12">
        <v>45</v>
      </c>
      <c r="AP12">
        <v>0</v>
      </c>
      <c r="AQ12">
        <v>45</v>
      </c>
      <c r="AR12">
        <v>45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f t="shared" si="7"/>
        <v>16715</v>
      </c>
      <c r="BF12">
        <v>10865</v>
      </c>
      <c r="BG12">
        <v>10865</v>
      </c>
      <c r="BH12" t="s">
        <v>543</v>
      </c>
      <c r="BI12" t="s">
        <v>770</v>
      </c>
      <c r="BJ12">
        <v>0</v>
      </c>
      <c r="BK12">
        <v>8335</v>
      </c>
      <c r="BL12">
        <v>10865</v>
      </c>
      <c r="BM12">
        <v>0</v>
      </c>
      <c r="BN12">
        <v>0</v>
      </c>
      <c r="BO12">
        <v>4619</v>
      </c>
      <c r="BP12">
        <v>7829</v>
      </c>
      <c r="BQ12">
        <v>12448</v>
      </c>
      <c r="BR12">
        <f t="shared" si="8"/>
        <v>-258</v>
      </c>
      <c r="BS12">
        <f t="shared" si="9"/>
        <v>1172</v>
      </c>
      <c r="BU12">
        <f>R12*9</f>
        <v>4113</v>
      </c>
      <c r="BV12">
        <f>IF(BU12&gt;BG12, 1, 0)</f>
        <v>0</v>
      </c>
    </row>
    <row r="13" spans="1:74" x14ac:dyDescent="0.25">
      <c r="A13" s="5" t="s">
        <v>359</v>
      </c>
      <c r="B13" s="5" t="s">
        <v>207</v>
      </c>
      <c r="C13" s="5" t="s">
        <v>61</v>
      </c>
      <c r="D13" s="1" t="s">
        <v>92</v>
      </c>
      <c r="E13">
        <v>0</v>
      </c>
      <c r="F13">
        <v>2000</v>
      </c>
      <c r="G13">
        <v>0</v>
      </c>
      <c r="H13">
        <v>0</v>
      </c>
      <c r="I13">
        <v>2880</v>
      </c>
      <c r="J13">
        <v>11836</v>
      </c>
      <c r="K13">
        <v>2041</v>
      </c>
      <c r="L13">
        <v>0</v>
      </c>
      <c r="M13">
        <v>0</v>
      </c>
      <c r="N13">
        <v>0</v>
      </c>
      <c r="O13" s="16">
        <v>11106</v>
      </c>
      <c r="P13">
        <v>0</v>
      </c>
      <c r="Q13">
        <v>2151</v>
      </c>
      <c r="R13">
        <v>1234</v>
      </c>
      <c r="S13" s="18">
        <f t="shared" si="0"/>
        <v>9</v>
      </c>
      <c r="T13" s="17">
        <f t="shared" si="1"/>
        <v>0</v>
      </c>
      <c r="U13" s="17">
        <f t="shared" si="2"/>
        <v>0</v>
      </c>
      <c r="V13" s="17">
        <f t="shared" si="3"/>
        <v>1234</v>
      </c>
      <c r="W13" s="17">
        <f t="shared" si="4"/>
        <v>0</v>
      </c>
      <c r="X13" s="17">
        <f t="shared" si="5"/>
        <v>2151</v>
      </c>
      <c r="Y13" s="19">
        <f t="shared" si="6"/>
        <v>0.57368665736866575</v>
      </c>
      <c r="Z13">
        <v>2000</v>
      </c>
      <c r="AA13">
        <v>2</v>
      </c>
      <c r="AB13">
        <v>248</v>
      </c>
      <c r="AC13">
        <v>8332</v>
      </c>
      <c r="AD13">
        <v>550</v>
      </c>
      <c r="AE13">
        <v>0</v>
      </c>
      <c r="AF13">
        <v>0</v>
      </c>
      <c r="AG13">
        <v>2330</v>
      </c>
      <c r="AH13">
        <v>2880</v>
      </c>
      <c r="AI13">
        <v>0</v>
      </c>
      <c r="AJ13">
        <v>0</v>
      </c>
      <c r="AK13">
        <v>11836</v>
      </c>
      <c r="AL13">
        <v>11836</v>
      </c>
      <c r="AM13">
        <v>250</v>
      </c>
      <c r="AN13">
        <v>0</v>
      </c>
      <c r="AO13">
        <v>1791</v>
      </c>
      <c r="AP13">
        <v>345</v>
      </c>
      <c r="AQ13">
        <v>2041</v>
      </c>
      <c r="AR13">
        <v>1696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f t="shared" si="7"/>
        <v>43887</v>
      </c>
      <c r="BF13">
        <v>27339</v>
      </c>
      <c r="BG13">
        <v>27339</v>
      </c>
      <c r="BH13" t="s">
        <v>82</v>
      </c>
      <c r="BI13" t="s">
        <v>744</v>
      </c>
      <c r="BJ13">
        <v>8582</v>
      </c>
      <c r="BK13">
        <v>16757</v>
      </c>
      <c r="BL13">
        <v>27339</v>
      </c>
      <c r="BM13">
        <v>800</v>
      </c>
      <c r="BN13">
        <v>0</v>
      </c>
      <c r="BO13">
        <v>11106</v>
      </c>
      <c r="BP13">
        <v>15957</v>
      </c>
      <c r="BQ13">
        <v>27863</v>
      </c>
      <c r="BR13">
        <f t="shared" si="8"/>
        <v>-917</v>
      </c>
      <c r="BS13">
        <f t="shared" si="9"/>
        <v>3385</v>
      </c>
    </row>
    <row r="14" spans="1:74" x14ac:dyDescent="0.25">
      <c r="A14" s="5" t="s">
        <v>627</v>
      </c>
      <c r="B14" s="5" t="s">
        <v>61</v>
      </c>
      <c r="C14" s="5" t="s">
        <v>61</v>
      </c>
      <c r="D14" s="1" t="s">
        <v>75</v>
      </c>
      <c r="E14">
        <v>3679</v>
      </c>
      <c r="F14">
        <v>14944</v>
      </c>
      <c r="G14">
        <v>370</v>
      </c>
      <c r="H14">
        <v>0</v>
      </c>
      <c r="I14">
        <v>6400</v>
      </c>
      <c r="J14">
        <v>63440</v>
      </c>
      <c r="K14">
        <v>6881</v>
      </c>
      <c r="L14">
        <v>2395</v>
      </c>
      <c r="M14">
        <v>0</v>
      </c>
      <c r="N14">
        <v>0</v>
      </c>
      <c r="O14" s="16">
        <v>48528</v>
      </c>
      <c r="P14">
        <v>21555</v>
      </c>
      <c r="Q14">
        <v>7162</v>
      </c>
      <c r="R14">
        <v>7787</v>
      </c>
      <c r="S14" s="18">
        <f t="shared" si="0"/>
        <v>9</v>
      </c>
      <c r="T14" s="17">
        <f t="shared" si="1"/>
        <v>0</v>
      </c>
      <c r="U14" s="17">
        <f t="shared" si="2"/>
        <v>0</v>
      </c>
      <c r="V14" s="17">
        <f t="shared" si="3"/>
        <v>5392</v>
      </c>
      <c r="W14" s="17">
        <f t="shared" si="4"/>
        <v>2395</v>
      </c>
      <c r="X14" s="17">
        <f t="shared" si="5"/>
        <v>4767</v>
      </c>
      <c r="Y14" s="19">
        <f t="shared" si="6"/>
        <v>1.13110971260751</v>
      </c>
      <c r="Z14">
        <v>14944</v>
      </c>
      <c r="AA14">
        <v>130</v>
      </c>
      <c r="AB14">
        <v>3259</v>
      </c>
      <c r="AC14">
        <v>45126</v>
      </c>
      <c r="AD14">
        <v>0</v>
      </c>
      <c r="AE14">
        <v>250</v>
      </c>
      <c r="AF14">
        <v>0</v>
      </c>
      <c r="AG14">
        <v>6150</v>
      </c>
      <c r="AH14">
        <v>6400</v>
      </c>
      <c r="AI14">
        <v>0</v>
      </c>
      <c r="AJ14">
        <v>14000</v>
      </c>
      <c r="AK14">
        <v>49440</v>
      </c>
      <c r="AL14">
        <v>63440</v>
      </c>
      <c r="AM14">
        <v>0</v>
      </c>
      <c r="AN14">
        <v>700</v>
      </c>
      <c r="AO14">
        <v>6181</v>
      </c>
      <c r="AP14">
        <v>5051</v>
      </c>
      <c r="AQ14">
        <v>6881</v>
      </c>
      <c r="AR14">
        <v>1830</v>
      </c>
      <c r="AS14">
        <v>0</v>
      </c>
      <c r="AT14">
        <v>370</v>
      </c>
      <c r="AU14">
        <v>0</v>
      </c>
      <c r="AV14">
        <v>370</v>
      </c>
      <c r="AW14">
        <v>0</v>
      </c>
      <c r="AX14">
        <v>0</v>
      </c>
      <c r="AY14">
        <v>500</v>
      </c>
      <c r="AZ14">
        <v>1895</v>
      </c>
      <c r="BA14">
        <v>2395</v>
      </c>
      <c r="BB14">
        <v>0</v>
      </c>
      <c r="BC14">
        <v>0</v>
      </c>
      <c r="BD14">
        <v>0</v>
      </c>
      <c r="BE14">
        <f t="shared" si="7"/>
        <v>210979</v>
      </c>
      <c r="BF14">
        <v>146624</v>
      </c>
      <c r="BG14">
        <v>146624</v>
      </c>
      <c r="BH14" t="s">
        <v>226</v>
      </c>
      <c r="BI14" t="s">
        <v>815</v>
      </c>
      <c r="BJ14">
        <v>52194</v>
      </c>
      <c r="BK14">
        <v>79486</v>
      </c>
      <c r="BL14">
        <v>146624</v>
      </c>
      <c r="BM14">
        <v>0</v>
      </c>
      <c r="BN14">
        <v>15450</v>
      </c>
      <c r="BO14">
        <v>48528</v>
      </c>
      <c r="BP14">
        <v>85591</v>
      </c>
      <c r="BQ14">
        <v>149569</v>
      </c>
      <c r="BR14">
        <f t="shared" si="8"/>
        <v>625</v>
      </c>
      <c r="BS14">
        <f t="shared" si="9"/>
        <v>14949</v>
      </c>
    </row>
    <row r="15" spans="1:74" x14ac:dyDescent="0.25">
      <c r="A15" s="5" t="s">
        <v>627</v>
      </c>
      <c r="B15" s="5" t="s">
        <v>207</v>
      </c>
      <c r="C15" s="5" t="s">
        <v>61</v>
      </c>
      <c r="D15" s="1" t="s">
        <v>81</v>
      </c>
      <c r="E15">
        <v>0</v>
      </c>
      <c r="F15">
        <v>340</v>
      </c>
      <c r="G15">
        <v>0</v>
      </c>
      <c r="H15">
        <v>0</v>
      </c>
      <c r="I15">
        <v>10</v>
      </c>
      <c r="J15">
        <v>0</v>
      </c>
      <c r="K15">
        <v>0</v>
      </c>
      <c r="L15">
        <v>0</v>
      </c>
      <c r="M15">
        <v>0</v>
      </c>
      <c r="N15">
        <v>0</v>
      </c>
      <c r="O15" s="16">
        <v>1755</v>
      </c>
      <c r="P15">
        <v>0</v>
      </c>
      <c r="Q15">
        <v>95</v>
      </c>
      <c r="R15">
        <v>195</v>
      </c>
      <c r="S15" s="18">
        <f t="shared" si="0"/>
        <v>9</v>
      </c>
      <c r="T15" s="17">
        <f t="shared" si="1"/>
        <v>0</v>
      </c>
      <c r="U15" s="17">
        <f t="shared" si="2"/>
        <v>0</v>
      </c>
      <c r="V15" s="17">
        <f t="shared" si="3"/>
        <v>195</v>
      </c>
      <c r="W15" s="17">
        <f t="shared" si="4"/>
        <v>0</v>
      </c>
      <c r="X15" s="17">
        <f t="shared" si="5"/>
        <v>95</v>
      </c>
      <c r="Y15" s="19">
        <f t="shared" si="6"/>
        <v>2.0526315789473686</v>
      </c>
      <c r="Z15">
        <v>340</v>
      </c>
      <c r="AA15">
        <v>0</v>
      </c>
      <c r="AB15">
        <v>0</v>
      </c>
      <c r="AC15">
        <v>0</v>
      </c>
      <c r="AD15">
        <v>10</v>
      </c>
      <c r="AE15">
        <v>0</v>
      </c>
      <c r="AF15">
        <v>0</v>
      </c>
      <c r="AG15">
        <v>0</v>
      </c>
      <c r="AH15">
        <v>10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f t="shared" si="7"/>
        <v>20</v>
      </c>
      <c r="BF15">
        <v>350</v>
      </c>
      <c r="BG15">
        <v>350</v>
      </c>
      <c r="BH15" t="s">
        <v>190</v>
      </c>
      <c r="BI15" t="s">
        <v>839</v>
      </c>
      <c r="BJ15">
        <v>0</v>
      </c>
      <c r="BK15">
        <v>10</v>
      </c>
      <c r="BL15">
        <v>350</v>
      </c>
      <c r="BM15">
        <v>10</v>
      </c>
      <c r="BN15">
        <v>0</v>
      </c>
      <c r="BO15">
        <v>1755</v>
      </c>
      <c r="BP15">
        <v>0</v>
      </c>
      <c r="BQ15">
        <v>1765</v>
      </c>
      <c r="BR15">
        <f t="shared" si="8"/>
        <v>100</v>
      </c>
      <c r="BS15">
        <f t="shared" si="9"/>
        <v>290</v>
      </c>
    </row>
    <row r="16" spans="1:74" x14ac:dyDescent="0.25">
      <c r="A16" s="5" t="s">
        <v>627</v>
      </c>
      <c r="B16" s="5" t="s">
        <v>61</v>
      </c>
      <c r="C16" s="5" t="s">
        <v>61</v>
      </c>
      <c r="D16" s="1" t="s">
        <v>73</v>
      </c>
      <c r="E16">
        <v>0</v>
      </c>
      <c r="F16">
        <v>675</v>
      </c>
      <c r="G16">
        <v>0</v>
      </c>
      <c r="H16">
        <v>0</v>
      </c>
      <c r="I16">
        <v>1522</v>
      </c>
      <c r="J16">
        <v>0</v>
      </c>
      <c r="K16">
        <v>10</v>
      </c>
      <c r="L16">
        <v>0</v>
      </c>
      <c r="M16">
        <v>1350</v>
      </c>
      <c r="N16">
        <v>0</v>
      </c>
      <c r="O16" s="16">
        <v>3285</v>
      </c>
      <c r="P16">
        <v>2475</v>
      </c>
      <c r="Q16">
        <v>791</v>
      </c>
      <c r="R16">
        <v>790</v>
      </c>
      <c r="S16" s="18">
        <f t="shared" si="0"/>
        <v>9</v>
      </c>
      <c r="T16" s="17">
        <f t="shared" si="1"/>
        <v>150</v>
      </c>
      <c r="U16" s="17">
        <f t="shared" si="2"/>
        <v>0</v>
      </c>
      <c r="V16" s="17">
        <f t="shared" si="3"/>
        <v>365</v>
      </c>
      <c r="W16" s="17">
        <f t="shared" si="4"/>
        <v>275</v>
      </c>
      <c r="X16" s="17">
        <f t="shared" si="5"/>
        <v>366</v>
      </c>
      <c r="Y16" s="19">
        <f t="shared" si="6"/>
        <v>0.99726775956284153</v>
      </c>
      <c r="Z16">
        <v>675</v>
      </c>
      <c r="AA16">
        <v>0</v>
      </c>
      <c r="AB16">
        <v>0</v>
      </c>
      <c r="AC16">
        <v>0</v>
      </c>
      <c r="AD16">
        <v>300</v>
      </c>
      <c r="AE16">
        <v>0</v>
      </c>
      <c r="AF16">
        <v>0</v>
      </c>
      <c r="AG16">
        <v>1222</v>
      </c>
      <c r="AH16">
        <v>1522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10</v>
      </c>
      <c r="AP16">
        <v>0</v>
      </c>
      <c r="AQ16">
        <v>10</v>
      </c>
      <c r="AR16">
        <v>10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f t="shared" si="7"/>
        <v>3074</v>
      </c>
      <c r="BF16">
        <v>2207</v>
      </c>
      <c r="BG16">
        <v>2207</v>
      </c>
      <c r="BH16" t="s">
        <v>109</v>
      </c>
      <c r="BI16" t="s">
        <v>814</v>
      </c>
      <c r="BJ16">
        <v>0</v>
      </c>
      <c r="BK16">
        <v>1532</v>
      </c>
      <c r="BL16">
        <v>2207</v>
      </c>
      <c r="BM16">
        <v>1650</v>
      </c>
      <c r="BN16">
        <v>0</v>
      </c>
      <c r="BO16">
        <v>3285</v>
      </c>
      <c r="BP16">
        <v>3707</v>
      </c>
      <c r="BQ16">
        <v>8642</v>
      </c>
      <c r="BR16">
        <f t="shared" si="8"/>
        <v>-1</v>
      </c>
      <c r="BS16">
        <f t="shared" si="9"/>
        <v>1581</v>
      </c>
    </row>
    <row r="17" spans="1:74" x14ac:dyDescent="0.25">
      <c r="A17" s="5" t="s">
        <v>627</v>
      </c>
      <c r="B17" s="5" t="s">
        <v>207</v>
      </c>
      <c r="C17" s="5" t="s">
        <v>61</v>
      </c>
      <c r="D17" s="1" t="s">
        <v>67</v>
      </c>
      <c r="E17">
        <v>0</v>
      </c>
      <c r="F17">
        <v>11239</v>
      </c>
      <c r="G17">
        <v>3044</v>
      </c>
      <c r="H17">
        <v>0</v>
      </c>
      <c r="I17">
        <v>1398</v>
      </c>
      <c r="J17">
        <v>7910</v>
      </c>
      <c r="K17">
        <v>1638</v>
      </c>
      <c r="L17">
        <v>283</v>
      </c>
      <c r="M17">
        <v>1791</v>
      </c>
      <c r="N17">
        <v>0</v>
      </c>
      <c r="O17" s="16">
        <v>1755</v>
      </c>
      <c r="P17">
        <v>23796</v>
      </c>
      <c r="Q17">
        <v>3402</v>
      </c>
      <c r="R17">
        <v>3038</v>
      </c>
      <c r="S17" s="18">
        <f t="shared" si="0"/>
        <v>9</v>
      </c>
      <c r="T17" s="17">
        <f t="shared" si="1"/>
        <v>199</v>
      </c>
      <c r="U17" s="17">
        <f t="shared" si="2"/>
        <v>0</v>
      </c>
      <c r="V17" s="17">
        <f t="shared" si="3"/>
        <v>195</v>
      </c>
      <c r="W17" s="17">
        <f t="shared" si="4"/>
        <v>2644</v>
      </c>
      <c r="X17" s="17">
        <f t="shared" si="5"/>
        <v>559</v>
      </c>
      <c r="Y17" s="19">
        <f t="shared" si="6"/>
        <v>0.34883720930232559</v>
      </c>
      <c r="Z17">
        <v>11239</v>
      </c>
      <c r="AA17">
        <v>0</v>
      </c>
      <c r="AB17">
        <v>0</v>
      </c>
      <c r="AC17">
        <v>0</v>
      </c>
      <c r="AD17">
        <v>200</v>
      </c>
      <c r="AE17">
        <v>0</v>
      </c>
      <c r="AF17">
        <v>0</v>
      </c>
      <c r="AG17">
        <v>1198</v>
      </c>
      <c r="AH17">
        <v>1398</v>
      </c>
      <c r="AI17">
        <v>785</v>
      </c>
      <c r="AJ17">
        <v>0</v>
      </c>
      <c r="AK17">
        <v>7125</v>
      </c>
      <c r="AL17">
        <v>7910</v>
      </c>
      <c r="AM17">
        <v>0</v>
      </c>
      <c r="AN17">
        <v>0</v>
      </c>
      <c r="AO17">
        <v>1638</v>
      </c>
      <c r="AP17">
        <v>1442</v>
      </c>
      <c r="AQ17">
        <v>1638</v>
      </c>
      <c r="AR17">
        <v>196</v>
      </c>
      <c r="AS17">
        <v>0</v>
      </c>
      <c r="AT17">
        <v>3044</v>
      </c>
      <c r="AU17">
        <v>3044</v>
      </c>
      <c r="AV17">
        <v>3044</v>
      </c>
      <c r="AW17">
        <v>0</v>
      </c>
      <c r="AX17">
        <v>10</v>
      </c>
      <c r="AY17">
        <v>0</v>
      </c>
      <c r="AZ17">
        <v>273</v>
      </c>
      <c r="BA17">
        <v>283</v>
      </c>
      <c r="BB17">
        <v>0</v>
      </c>
      <c r="BC17">
        <v>0</v>
      </c>
      <c r="BD17">
        <v>0</v>
      </c>
      <c r="BE17">
        <f t="shared" si="7"/>
        <v>33228</v>
      </c>
      <c r="BF17">
        <v>25512</v>
      </c>
      <c r="BG17">
        <v>25512</v>
      </c>
      <c r="BH17" t="s">
        <v>560</v>
      </c>
      <c r="BI17" t="s">
        <v>834</v>
      </c>
      <c r="BJ17">
        <v>0</v>
      </c>
      <c r="BK17">
        <v>14273</v>
      </c>
      <c r="BL17">
        <v>25512</v>
      </c>
      <c r="BM17">
        <v>2786</v>
      </c>
      <c r="BN17">
        <v>0</v>
      </c>
      <c r="BO17">
        <v>1755</v>
      </c>
      <c r="BP17">
        <v>37074</v>
      </c>
      <c r="BQ17">
        <v>41615</v>
      </c>
      <c r="BR17">
        <f t="shared" si="8"/>
        <v>-364</v>
      </c>
      <c r="BS17">
        <f t="shared" si="9"/>
        <v>6440</v>
      </c>
    </row>
    <row r="18" spans="1:74" x14ac:dyDescent="0.25">
      <c r="A18" s="5" t="s">
        <v>1017</v>
      </c>
      <c r="B18" s="5" t="s">
        <v>61</v>
      </c>
      <c r="C18" s="5" t="s">
        <v>207</v>
      </c>
      <c r="D18" s="1" t="s">
        <v>81</v>
      </c>
      <c r="E18">
        <v>0</v>
      </c>
      <c r="F18">
        <v>7172</v>
      </c>
      <c r="G18">
        <v>0</v>
      </c>
      <c r="H18">
        <v>0</v>
      </c>
      <c r="I18">
        <v>1219</v>
      </c>
      <c r="J18">
        <v>4914</v>
      </c>
      <c r="K18">
        <v>345</v>
      </c>
      <c r="L18">
        <v>25</v>
      </c>
      <c r="M18">
        <v>0</v>
      </c>
      <c r="N18">
        <v>0</v>
      </c>
      <c r="O18" s="16">
        <v>13295.91626464507</v>
      </c>
      <c r="P18">
        <v>2658.0837353549282</v>
      </c>
      <c r="Q18">
        <v>2228</v>
      </c>
      <c r="R18">
        <v>5804</v>
      </c>
      <c r="S18" s="18">
        <f t="shared" si="0"/>
        <v>2.7487939352170914</v>
      </c>
      <c r="T18" s="17">
        <f t="shared" si="1"/>
        <v>0</v>
      </c>
      <c r="U18" s="17">
        <f t="shared" si="2"/>
        <v>0</v>
      </c>
      <c r="V18" s="17">
        <f t="shared" si="3"/>
        <v>4836.9999999999991</v>
      </c>
      <c r="W18" s="17">
        <f t="shared" si="4"/>
        <v>967.00000000000034</v>
      </c>
      <c r="X18" s="17">
        <f t="shared" si="5"/>
        <v>1260.9999999999995</v>
      </c>
      <c r="Y18" s="19">
        <f t="shared" si="6"/>
        <v>3.8358445678033313</v>
      </c>
      <c r="Z18">
        <v>7676</v>
      </c>
      <c r="AA18">
        <v>0</v>
      </c>
      <c r="AB18">
        <v>700</v>
      </c>
      <c r="AC18">
        <v>0</v>
      </c>
      <c r="AD18">
        <v>0</v>
      </c>
      <c r="AE18">
        <v>0</v>
      </c>
      <c r="AF18">
        <v>0</v>
      </c>
      <c r="AG18">
        <v>1219</v>
      </c>
      <c r="AH18">
        <v>1219</v>
      </c>
      <c r="AI18">
        <v>0</v>
      </c>
      <c r="AJ18">
        <v>0</v>
      </c>
      <c r="AK18">
        <v>4914</v>
      </c>
      <c r="AL18">
        <v>4914</v>
      </c>
      <c r="AM18">
        <v>0</v>
      </c>
      <c r="AN18">
        <v>0</v>
      </c>
      <c r="AO18">
        <v>1081</v>
      </c>
      <c r="AP18">
        <v>481</v>
      </c>
      <c r="AQ18">
        <v>1081</v>
      </c>
      <c r="AR18">
        <v>600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25</v>
      </c>
      <c r="BA18">
        <v>25</v>
      </c>
      <c r="BB18">
        <v>0</v>
      </c>
      <c r="BC18">
        <v>0</v>
      </c>
      <c r="BD18">
        <v>0</v>
      </c>
      <c r="BE18">
        <f t="shared" si="7"/>
        <v>15559</v>
      </c>
      <c r="BF18">
        <v>15954</v>
      </c>
      <c r="BG18">
        <v>15954</v>
      </c>
      <c r="BH18" t="s">
        <v>82</v>
      </c>
      <c r="BI18" t="s">
        <v>1055</v>
      </c>
      <c r="BJ18">
        <v>700</v>
      </c>
      <c r="BK18">
        <v>7239</v>
      </c>
      <c r="BL18">
        <v>15615</v>
      </c>
      <c r="BM18">
        <v>0</v>
      </c>
      <c r="BN18">
        <v>0</v>
      </c>
      <c r="BO18">
        <v>13295.91626464507</v>
      </c>
      <c r="BP18">
        <v>9897.0837353549286</v>
      </c>
      <c r="BQ18">
        <v>23193</v>
      </c>
      <c r="BR18">
        <f t="shared" si="8"/>
        <v>3576</v>
      </c>
      <c r="BS18">
        <f t="shared" si="9"/>
        <v>8032</v>
      </c>
    </row>
    <row r="19" spans="1:74" x14ac:dyDescent="0.25">
      <c r="A19" s="5" t="s">
        <v>1017</v>
      </c>
      <c r="B19" s="5" t="s">
        <v>61</v>
      </c>
      <c r="C19" s="5" t="s">
        <v>207</v>
      </c>
      <c r="D19" s="1" t="s">
        <v>139</v>
      </c>
      <c r="E19">
        <v>0</v>
      </c>
      <c r="F19">
        <v>1853</v>
      </c>
      <c r="G19">
        <v>0</v>
      </c>
      <c r="H19">
        <v>0</v>
      </c>
      <c r="I19">
        <v>924</v>
      </c>
      <c r="J19">
        <v>3962</v>
      </c>
      <c r="K19">
        <v>60</v>
      </c>
      <c r="L19">
        <v>30</v>
      </c>
      <c r="M19">
        <v>0</v>
      </c>
      <c r="N19">
        <v>0</v>
      </c>
      <c r="O19" s="16">
        <v>7489.222442244225</v>
      </c>
      <c r="P19">
        <v>239.7775577557756</v>
      </c>
      <c r="Q19">
        <v>640</v>
      </c>
      <c r="R19">
        <v>1515</v>
      </c>
      <c r="S19" s="18">
        <f t="shared" si="0"/>
        <v>5.101650165016502</v>
      </c>
      <c r="T19" s="17">
        <f t="shared" si="1"/>
        <v>0</v>
      </c>
      <c r="U19" s="17">
        <f t="shared" si="2"/>
        <v>0</v>
      </c>
      <c r="V19" s="17">
        <f t="shared" si="3"/>
        <v>1468</v>
      </c>
      <c r="W19" s="17">
        <f t="shared" si="4"/>
        <v>47</v>
      </c>
      <c r="X19" s="17">
        <f t="shared" si="5"/>
        <v>593</v>
      </c>
      <c r="Y19" s="19">
        <f t="shared" si="6"/>
        <v>2.4755480607082632</v>
      </c>
      <c r="Z19">
        <v>1853</v>
      </c>
      <c r="AA19">
        <v>0</v>
      </c>
      <c r="AB19">
        <v>900</v>
      </c>
      <c r="AC19">
        <v>0</v>
      </c>
      <c r="AD19">
        <v>133</v>
      </c>
      <c r="AE19">
        <v>0</v>
      </c>
      <c r="AF19">
        <v>0</v>
      </c>
      <c r="AG19">
        <v>791</v>
      </c>
      <c r="AH19">
        <v>924</v>
      </c>
      <c r="AI19">
        <v>0</v>
      </c>
      <c r="AJ19">
        <v>0</v>
      </c>
      <c r="AK19">
        <v>3962</v>
      </c>
      <c r="AL19">
        <v>3962</v>
      </c>
      <c r="AM19">
        <v>0</v>
      </c>
      <c r="AN19">
        <v>0</v>
      </c>
      <c r="AO19">
        <v>60</v>
      </c>
      <c r="AP19">
        <v>0</v>
      </c>
      <c r="AQ19">
        <v>60</v>
      </c>
      <c r="AR19">
        <v>60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30</v>
      </c>
      <c r="BA19">
        <v>30</v>
      </c>
      <c r="BB19">
        <v>0</v>
      </c>
      <c r="BC19">
        <v>0</v>
      </c>
      <c r="BD19">
        <v>0</v>
      </c>
      <c r="BE19">
        <f t="shared" si="7"/>
        <v>10012</v>
      </c>
      <c r="BF19">
        <v>7729</v>
      </c>
      <c r="BG19">
        <v>7729</v>
      </c>
      <c r="BH19" t="s">
        <v>82</v>
      </c>
      <c r="BI19" t="s">
        <v>1081</v>
      </c>
      <c r="BJ19">
        <v>900</v>
      </c>
      <c r="BK19">
        <v>4976</v>
      </c>
      <c r="BL19">
        <v>7729</v>
      </c>
      <c r="BM19">
        <v>133</v>
      </c>
      <c r="BN19">
        <v>0</v>
      </c>
      <c r="BO19">
        <v>7489.222442244225</v>
      </c>
      <c r="BP19">
        <v>5082.7775577557759</v>
      </c>
      <c r="BQ19">
        <v>12705</v>
      </c>
      <c r="BR19">
        <f t="shared" si="8"/>
        <v>875</v>
      </c>
      <c r="BS19">
        <f t="shared" si="9"/>
        <v>2155</v>
      </c>
    </row>
    <row r="20" spans="1:74" x14ac:dyDescent="0.25">
      <c r="A20" s="5" t="s">
        <v>1017</v>
      </c>
      <c r="B20" s="5" t="s">
        <v>61</v>
      </c>
      <c r="C20" s="5" t="s">
        <v>207</v>
      </c>
      <c r="D20" s="1" t="s">
        <v>88</v>
      </c>
      <c r="E20">
        <v>0</v>
      </c>
      <c r="F20">
        <v>132</v>
      </c>
      <c r="G20">
        <v>0</v>
      </c>
      <c r="H20">
        <v>0</v>
      </c>
      <c r="I20">
        <v>132</v>
      </c>
      <c r="J20">
        <v>0</v>
      </c>
      <c r="K20">
        <v>0</v>
      </c>
      <c r="L20">
        <v>0</v>
      </c>
      <c r="M20">
        <v>0</v>
      </c>
      <c r="N20">
        <v>0</v>
      </c>
      <c r="O20" s="16">
        <v>2079</v>
      </c>
      <c r="P20">
        <v>0</v>
      </c>
      <c r="Q20">
        <v>118</v>
      </c>
      <c r="R20">
        <v>231</v>
      </c>
      <c r="S20" s="18">
        <f t="shared" si="0"/>
        <v>9</v>
      </c>
      <c r="T20" s="17">
        <f t="shared" si="1"/>
        <v>0</v>
      </c>
      <c r="U20" s="17">
        <f t="shared" si="2"/>
        <v>0</v>
      </c>
      <c r="V20" s="17">
        <f t="shared" si="3"/>
        <v>231</v>
      </c>
      <c r="W20" s="17">
        <f t="shared" si="4"/>
        <v>0</v>
      </c>
      <c r="X20" s="17">
        <f t="shared" si="5"/>
        <v>118</v>
      </c>
      <c r="Y20" s="19">
        <f t="shared" si="6"/>
        <v>1.9576271186440677</v>
      </c>
      <c r="Z20">
        <v>132</v>
      </c>
      <c r="AA20">
        <v>0</v>
      </c>
      <c r="AB20">
        <v>0</v>
      </c>
      <c r="AC20">
        <v>0</v>
      </c>
      <c r="AD20">
        <v>132</v>
      </c>
      <c r="AE20">
        <v>0</v>
      </c>
      <c r="AF20">
        <v>0</v>
      </c>
      <c r="AG20">
        <v>0</v>
      </c>
      <c r="AH20">
        <v>132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f t="shared" si="7"/>
        <v>264</v>
      </c>
      <c r="BF20">
        <v>264</v>
      </c>
      <c r="BG20">
        <v>264</v>
      </c>
      <c r="BH20" t="s">
        <v>190</v>
      </c>
      <c r="BI20" t="s">
        <v>1058</v>
      </c>
      <c r="BJ20">
        <v>0</v>
      </c>
      <c r="BK20">
        <v>132</v>
      </c>
      <c r="BL20">
        <v>264</v>
      </c>
      <c r="BM20">
        <v>132</v>
      </c>
      <c r="BN20">
        <v>0</v>
      </c>
      <c r="BO20">
        <v>2079</v>
      </c>
      <c r="BP20">
        <v>0</v>
      </c>
      <c r="BQ20">
        <v>2211</v>
      </c>
      <c r="BR20">
        <f t="shared" si="8"/>
        <v>113</v>
      </c>
      <c r="BS20">
        <f t="shared" si="9"/>
        <v>349</v>
      </c>
    </row>
    <row r="21" spans="1:74" x14ac:dyDescent="0.25">
      <c r="A21" s="5" t="s">
        <v>1017</v>
      </c>
      <c r="B21" s="5" t="s">
        <v>61</v>
      </c>
      <c r="C21" s="5" t="s">
        <v>207</v>
      </c>
      <c r="D21" s="1" t="s">
        <v>111</v>
      </c>
      <c r="E21">
        <v>0</v>
      </c>
      <c r="F21">
        <v>184</v>
      </c>
      <c r="G21">
        <v>0</v>
      </c>
      <c r="H21">
        <v>0</v>
      </c>
      <c r="I21">
        <v>351</v>
      </c>
      <c r="J21">
        <v>2610</v>
      </c>
      <c r="K21">
        <v>193</v>
      </c>
      <c r="L21">
        <v>125</v>
      </c>
      <c r="M21">
        <v>0</v>
      </c>
      <c r="N21">
        <v>0</v>
      </c>
      <c r="O21" s="16">
        <v>1971</v>
      </c>
      <c r="P21">
        <v>0</v>
      </c>
      <c r="Q21">
        <v>219</v>
      </c>
      <c r="R21">
        <v>219</v>
      </c>
      <c r="S21" s="18">
        <f t="shared" si="0"/>
        <v>9</v>
      </c>
      <c r="T21" s="17">
        <f t="shared" si="1"/>
        <v>0</v>
      </c>
      <c r="U21" s="17">
        <f t="shared" si="2"/>
        <v>0</v>
      </c>
      <c r="V21" s="17">
        <f t="shared" si="3"/>
        <v>219</v>
      </c>
      <c r="W21" s="17">
        <f t="shared" si="4"/>
        <v>0</v>
      </c>
      <c r="X21" s="17">
        <f t="shared" si="5"/>
        <v>219</v>
      </c>
      <c r="Y21" s="19">
        <f t="shared" si="6"/>
        <v>1</v>
      </c>
      <c r="Z21">
        <v>184</v>
      </c>
      <c r="AA21">
        <v>0</v>
      </c>
      <c r="AB21">
        <v>256</v>
      </c>
      <c r="AC21">
        <v>0</v>
      </c>
      <c r="AD21">
        <v>117</v>
      </c>
      <c r="AE21">
        <v>0</v>
      </c>
      <c r="AF21">
        <v>0</v>
      </c>
      <c r="AG21">
        <v>234</v>
      </c>
      <c r="AH21">
        <v>351</v>
      </c>
      <c r="AI21">
        <v>0</v>
      </c>
      <c r="AJ21">
        <v>0</v>
      </c>
      <c r="AK21">
        <v>2610</v>
      </c>
      <c r="AL21">
        <v>2610</v>
      </c>
      <c r="AM21">
        <v>0</v>
      </c>
      <c r="AN21">
        <v>0</v>
      </c>
      <c r="AO21">
        <v>193</v>
      </c>
      <c r="AP21">
        <v>81</v>
      </c>
      <c r="AQ21">
        <v>193</v>
      </c>
      <c r="AR21">
        <v>112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125</v>
      </c>
      <c r="BA21">
        <v>125</v>
      </c>
      <c r="BB21">
        <v>0</v>
      </c>
      <c r="BC21">
        <v>0</v>
      </c>
      <c r="BD21">
        <v>0</v>
      </c>
      <c r="BE21">
        <f t="shared" si="7"/>
        <v>6751</v>
      </c>
      <c r="BF21">
        <v>3719</v>
      </c>
      <c r="BG21">
        <v>3719</v>
      </c>
      <c r="BH21" t="s">
        <v>82</v>
      </c>
      <c r="BI21" t="s">
        <v>1067</v>
      </c>
      <c r="BJ21">
        <v>256</v>
      </c>
      <c r="BK21">
        <v>3279</v>
      </c>
      <c r="BL21">
        <v>3719</v>
      </c>
      <c r="BM21">
        <v>117</v>
      </c>
      <c r="BN21">
        <v>0</v>
      </c>
      <c r="BO21">
        <v>1971</v>
      </c>
      <c r="BP21">
        <v>3162</v>
      </c>
      <c r="BQ21">
        <v>5250</v>
      </c>
      <c r="BR21">
        <f t="shared" si="8"/>
        <v>0</v>
      </c>
      <c r="BS21">
        <f t="shared" si="9"/>
        <v>438</v>
      </c>
    </row>
    <row r="22" spans="1:74" x14ac:dyDescent="0.25">
      <c r="A22" s="5" t="s">
        <v>1017</v>
      </c>
      <c r="B22" s="5" t="s">
        <v>61</v>
      </c>
      <c r="C22" s="5" t="s">
        <v>207</v>
      </c>
      <c r="D22" s="1" t="s">
        <v>71</v>
      </c>
      <c r="E22">
        <v>0</v>
      </c>
      <c r="F22">
        <v>1238</v>
      </c>
      <c r="G22">
        <v>0</v>
      </c>
      <c r="H22">
        <v>0</v>
      </c>
      <c r="I22">
        <v>1264</v>
      </c>
      <c r="J22">
        <v>321</v>
      </c>
      <c r="K22">
        <v>0</v>
      </c>
      <c r="L22">
        <v>0</v>
      </c>
      <c r="M22">
        <v>1818</v>
      </c>
      <c r="N22">
        <v>0</v>
      </c>
      <c r="O22" s="16">
        <v>4392</v>
      </c>
      <c r="P22">
        <v>0</v>
      </c>
      <c r="Q22">
        <v>811</v>
      </c>
      <c r="R22">
        <v>690</v>
      </c>
      <c r="S22" s="18">
        <f t="shared" si="0"/>
        <v>9</v>
      </c>
      <c r="T22" s="17">
        <f t="shared" si="1"/>
        <v>202</v>
      </c>
      <c r="U22" s="17">
        <f t="shared" si="2"/>
        <v>0</v>
      </c>
      <c r="V22" s="17">
        <f t="shared" si="3"/>
        <v>488</v>
      </c>
      <c r="W22" s="17">
        <f t="shared" si="4"/>
        <v>0</v>
      </c>
      <c r="X22" s="17">
        <f t="shared" si="5"/>
        <v>609</v>
      </c>
      <c r="Y22" s="19">
        <f t="shared" si="6"/>
        <v>0.80131362889983582</v>
      </c>
      <c r="Z22">
        <v>1238</v>
      </c>
      <c r="AA22">
        <v>0</v>
      </c>
      <c r="AB22">
        <v>0</v>
      </c>
      <c r="AC22">
        <v>0</v>
      </c>
      <c r="AD22">
        <v>1246</v>
      </c>
      <c r="AE22">
        <v>0</v>
      </c>
      <c r="AF22">
        <v>0</v>
      </c>
      <c r="AG22">
        <v>18</v>
      </c>
      <c r="AH22">
        <v>1264</v>
      </c>
      <c r="AI22">
        <v>0</v>
      </c>
      <c r="AJ22">
        <v>0</v>
      </c>
      <c r="AK22">
        <v>321</v>
      </c>
      <c r="AL22">
        <v>321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f t="shared" si="7"/>
        <v>3170</v>
      </c>
      <c r="BF22">
        <v>2823</v>
      </c>
      <c r="BG22">
        <v>2823</v>
      </c>
      <c r="BH22" t="s">
        <v>190</v>
      </c>
      <c r="BI22" t="s">
        <v>1050</v>
      </c>
      <c r="BJ22">
        <v>0</v>
      </c>
      <c r="BK22">
        <v>1585</v>
      </c>
      <c r="BL22">
        <v>2823</v>
      </c>
      <c r="BM22">
        <v>3064</v>
      </c>
      <c r="BN22">
        <v>0</v>
      </c>
      <c r="BO22">
        <v>4392</v>
      </c>
      <c r="BP22">
        <v>339</v>
      </c>
      <c r="BQ22">
        <v>7795</v>
      </c>
      <c r="BR22">
        <f t="shared" si="8"/>
        <v>-121</v>
      </c>
      <c r="BS22">
        <f t="shared" si="9"/>
        <v>1501</v>
      </c>
    </row>
    <row r="23" spans="1:74" x14ac:dyDescent="0.25">
      <c r="A23" s="5" t="s">
        <v>1135</v>
      </c>
      <c r="B23" s="5" t="s">
        <v>359</v>
      </c>
      <c r="C23" s="5" t="s">
        <v>207</v>
      </c>
      <c r="D23" s="1" t="s">
        <v>65</v>
      </c>
      <c r="E23">
        <v>0</v>
      </c>
      <c r="F23">
        <v>780000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22426.475602367809</v>
      </c>
      <c r="O23" s="16">
        <v>757673.52439763222</v>
      </c>
      <c r="P23">
        <v>0</v>
      </c>
      <c r="Q23">
        <v>28713</v>
      </c>
      <c r="R23">
        <v>496831</v>
      </c>
      <c r="S23" s="18">
        <f t="shared" si="0"/>
        <v>1.5701516209737316</v>
      </c>
      <c r="T23" s="17">
        <f t="shared" si="1"/>
        <v>0</v>
      </c>
      <c r="U23" s="17">
        <f t="shared" si="2"/>
        <v>14283</v>
      </c>
      <c r="V23" s="17">
        <f t="shared" si="3"/>
        <v>482548</v>
      </c>
      <c r="W23" s="17">
        <f t="shared" si="4"/>
        <v>0</v>
      </c>
      <c r="X23" s="17">
        <f t="shared" si="5"/>
        <v>14430</v>
      </c>
      <c r="Y23" s="19">
        <f t="shared" si="6"/>
        <v>33.440609840609838</v>
      </c>
      <c r="Z23">
        <v>780000</v>
      </c>
      <c r="AA23">
        <v>100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f t="shared" si="7"/>
        <v>0</v>
      </c>
      <c r="BF23">
        <v>780100</v>
      </c>
      <c r="BG23">
        <v>780100</v>
      </c>
      <c r="BH23" t="s">
        <v>546</v>
      </c>
      <c r="BI23" t="s">
        <v>1333</v>
      </c>
      <c r="BJ23">
        <v>100</v>
      </c>
      <c r="BK23">
        <v>0</v>
      </c>
      <c r="BL23">
        <v>780100</v>
      </c>
      <c r="BM23">
        <v>0</v>
      </c>
      <c r="BN23">
        <v>22426.475602367809</v>
      </c>
      <c r="BO23">
        <v>757673.52439763222</v>
      </c>
      <c r="BP23">
        <v>0</v>
      </c>
      <c r="BQ23">
        <v>780100</v>
      </c>
      <c r="BR23">
        <f t="shared" si="8"/>
        <v>468118</v>
      </c>
      <c r="BS23">
        <f t="shared" si="9"/>
        <v>525544</v>
      </c>
      <c r="BT23" s="15">
        <f>SUM(BG23:BG2362)/SUM(Q23:Q2362)</f>
        <v>14.037889497026331</v>
      </c>
      <c r="BU23" s="15">
        <f>BT23^0.5</f>
        <v>3.7467171626673839</v>
      </c>
      <c r="BV23" s="15">
        <f>BU23*2</f>
        <v>7.4934343253347677</v>
      </c>
    </row>
    <row r="24" spans="1:74" x14ac:dyDescent="0.25">
      <c r="A24" s="5" t="s">
        <v>1135</v>
      </c>
      <c r="B24" s="5" t="s">
        <v>207</v>
      </c>
      <c r="C24" s="5" t="s">
        <v>627</v>
      </c>
      <c r="D24" s="1" t="s">
        <v>62</v>
      </c>
      <c r="E24">
        <v>86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5641.6099371250357</v>
      </c>
      <c r="N24">
        <v>0</v>
      </c>
      <c r="O24" s="16">
        <v>951430.03405065869</v>
      </c>
      <c r="P24">
        <v>11767.35601221638</v>
      </c>
      <c r="Q24">
        <v>79646</v>
      </c>
      <c r="R24">
        <v>340199</v>
      </c>
      <c r="S24" s="18">
        <f t="shared" si="0"/>
        <v>2.8478596350959293</v>
      </c>
      <c r="T24" s="17">
        <f t="shared" si="1"/>
        <v>1981</v>
      </c>
      <c r="U24" s="17">
        <f t="shared" si="2"/>
        <v>0</v>
      </c>
      <c r="V24" s="17">
        <f t="shared" si="3"/>
        <v>334086</v>
      </c>
      <c r="W24" s="17">
        <f t="shared" si="4"/>
        <v>4132</v>
      </c>
      <c r="X24" s="17">
        <f t="shared" si="5"/>
        <v>73533</v>
      </c>
      <c r="Y24" s="19">
        <f t="shared" si="6"/>
        <v>4.5433478846232305</v>
      </c>
      <c r="Z24">
        <v>761395</v>
      </c>
      <c r="AA24">
        <v>200</v>
      </c>
      <c r="AB24">
        <v>2210</v>
      </c>
      <c r="AC24">
        <v>156736</v>
      </c>
      <c r="AD24">
        <v>6060</v>
      </c>
      <c r="AE24">
        <v>0</v>
      </c>
      <c r="AF24">
        <v>0</v>
      </c>
      <c r="AG24">
        <v>2135</v>
      </c>
      <c r="AH24">
        <v>8195</v>
      </c>
      <c r="AI24">
        <v>0</v>
      </c>
      <c r="AJ24">
        <v>0</v>
      </c>
      <c r="AK24">
        <v>15581</v>
      </c>
      <c r="AL24">
        <v>15581</v>
      </c>
      <c r="AM24">
        <v>450</v>
      </c>
      <c r="AN24">
        <v>0</v>
      </c>
      <c r="AO24">
        <v>6037</v>
      </c>
      <c r="AP24">
        <v>917</v>
      </c>
      <c r="AQ24">
        <v>6487</v>
      </c>
      <c r="AR24">
        <v>5570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3825</v>
      </c>
      <c r="BA24">
        <v>3825</v>
      </c>
      <c r="BB24">
        <v>0</v>
      </c>
      <c r="BC24">
        <v>0</v>
      </c>
      <c r="BD24">
        <v>0</v>
      </c>
      <c r="BE24">
        <f t="shared" si="7"/>
        <v>231399</v>
      </c>
      <c r="BF24">
        <v>968839</v>
      </c>
      <c r="BG24">
        <v>968839</v>
      </c>
      <c r="BH24" t="s">
        <v>226</v>
      </c>
      <c r="BI24" t="s">
        <v>1303</v>
      </c>
      <c r="BJ24">
        <v>159232</v>
      </c>
      <c r="BK24">
        <v>34088</v>
      </c>
      <c r="BL24">
        <v>954715</v>
      </c>
      <c r="BM24">
        <v>12151.609937125029</v>
      </c>
      <c r="BN24">
        <v>0</v>
      </c>
      <c r="BO24">
        <v>951430.03405065869</v>
      </c>
      <c r="BP24">
        <v>39345.356012216384</v>
      </c>
      <c r="BQ24">
        <v>1002927</v>
      </c>
      <c r="BR24">
        <f t="shared" si="8"/>
        <v>260553</v>
      </c>
      <c r="BS24">
        <f t="shared" si="9"/>
        <v>419845</v>
      </c>
      <c r="BT24" s="15">
        <f>SUM(BG23:BG2362)/SUM(R23:R2362)</f>
        <v>8.2710527707078647</v>
      </c>
      <c r="BU24" s="15">
        <f>BT24^0.5</f>
        <v>2.8759438052068864</v>
      </c>
      <c r="BV24" s="15">
        <f>BU24*2</f>
        <v>5.7518876104137728</v>
      </c>
    </row>
    <row r="25" spans="1:74" x14ac:dyDescent="0.25">
      <c r="A25" s="5" t="s">
        <v>1135</v>
      </c>
      <c r="B25" s="5" t="s">
        <v>207</v>
      </c>
      <c r="C25" s="5" t="s">
        <v>875</v>
      </c>
      <c r="D25" s="1" t="s">
        <v>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767.97909037489717</v>
      </c>
      <c r="N25">
        <v>0</v>
      </c>
      <c r="O25" s="16">
        <v>207610.02090962511</v>
      </c>
      <c r="P25">
        <v>0</v>
      </c>
      <c r="Q25">
        <v>15690</v>
      </c>
      <c r="R25">
        <v>212725</v>
      </c>
      <c r="S25" s="18">
        <f t="shared" si="0"/>
        <v>0.97956516629451174</v>
      </c>
      <c r="T25" s="17">
        <f t="shared" si="1"/>
        <v>784</v>
      </c>
      <c r="U25" s="17">
        <f t="shared" si="2"/>
        <v>0</v>
      </c>
      <c r="V25" s="17">
        <f t="shared" si="3"/>
        <v>211941</v>
      </c>
      <c r="W25" s="17">
        <f t="shared" si="4"/>
        <v>0</v>
      </c>
      <c r="X25" s="17">
        <f t="shared" si="5"/>
        <v>14906</v>
      </c>
      <c r="Y25" s="19">
        <f t="shared" si="6"/>
        <v>14.218502616396082</v>
      </c>
      <c r="Z25">
        <v>197375</v>
      </c>
      <c r="AA25">
        <v>0</v>
      </c>
      <c r="AB25">
        <v>0</v>
      </c>
      <c r="AC25">
        <v>10329</v>
      </c>
      <c r="AD25">
        <v>674</v>
      </c>
      <c r="AE25">
        <v>0</v>
      </c>
      <c r="AF25">
        <v>0</v>
      </c>
      <c r="AG25">
        <v>0</v>
      </c>
      <c r="AH25">
        <v>674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f t="shared" si="7"/>
        <v>11677</v>
      </c>
      <c r="BF25">
        <v>208378</v>
      </c>
      <c r="BG25">
        <v>208378</v>
      </c>
      <c r="BH25" t="s">
        <v>546</v>
      </c>
      <c r="BI25" t="s">
        <v>1307</v>
      </c>
      <c r="BJ25">
        <v>10329</v>
      </c>
      <c r="BK25">
        <v>674</v>
      </c>
      <c r="BL25">
        <v>208378</v>
      </c>
      <c r="BM25">
        <v>1441.9790903748969</v>
      </c>
      <c r="BN25">
        <v>0</v>
      </c>
      <c r="BO25">
        <v>207610.02090962511</v>
      </c>
      <c r="BP25">
        <v>0</v>
      </c>
      <c r="BQ25">
        <v>209052</v>
      </c>
      <c r="BR25">
        <f t="shared" si="8"/>
        <v>197035</v>
      </c>
      <c r="BS25">
        <f t="shared" si="9"/>
        <v>228415</v>
      </c>
      <c r="BT25" s="15">
        <f>SUM(BG23:BG2362)/SUM(BS23:BS2362)</f>
        <v>5.2045553494124919</v>
      </c>
      <c r="BU25" s="15">
        <f>BT25^0.5</f>
        <v>2.2813494579771185</v>
      </c>
      <c r="BV25" s="15">
        <f>BU25*2</f>
        <v>4.562698915954237</v>
      </c>
    </row>
    <row r="26" spans="1:74" x14ac:dyDescent="0.25">
      <c r="A26" s="5" t="s">
        <v>1135</v>
      </c>
      <c r="B26" s="5" t="s">
        <v>207</v>
      </c>
      <c r="C26" s="5" t="s">
        <v>875</v>
      </c>
      <c r="D26" s="1" t="s">
        <v>71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408.43085600336258</v>
      </c>
      <c r="N26">
        <v>0</v>
      </c>
      <c r="O26" s="16">
        <v>268349.61254533188</v>
      </c>
      <c r="P26">
        <v>808.95659866472465</v>
      </c>
      <c r="Q26">
        <v>15330</v>
      </c>
      <c r="R26">
        <v>102301</v>
      </c>
      <c r="S26" s="18">
        <f t="shared" si="0"/>
        <v>2.6350377806668557</v>
      </c>
      <c r="T26" s="17">
        <f t="shared" si="1"/>
        <v>154.99999999999997</v>
      </c>
      <c r="U26" s="17">
        <f t="shared" si="2"/>
        <v>0</v>
      </c>
      <c r="V26" s="17">
        <f t="shared" si="3"/>
        <v>101838.99999999999</v>
      </c>
      <c r="W26" s="17">
        <f t="shared" si="4"/>
        <v>307</v>
      </c>
      <c r="X26" s="17">
        <f t="shared" si="5"/>
        <v>14868</v>
      </c>
      <c r="Y26" s="19">
        <f t="shared" si="6"/>
        <v>6.8495426419155221</v>
      </c>
      <c r="Z26">
        <v>256219</v>
      </c>
      <c r="AA26">
        <v>80</v>
      </c>
      <c r="AB26">
        <v>830</v>
      </c>
      <c r="AC26">
        <v>10271</v>
      </c>
      <c r="AD26">
        <v>1046</v>
      </c>
      <c r="AE26">
        <v>0</v>
      </c>
      <c r="AF26">
        <v>0</v>
      </c>
      <c r="AG26">
        <v>670</v>
      </c>
      <c r="AH26">
        <v>1716</v>
      </c>
      <c r="AI26">
        <v>0</v>
      </c>
      <c r="AJ26">
        <v>0</v>
      </c>
      <c r="AK26">
        <v>258</v>
      </c>
      <c r="AL26">
        <v>258</v>
      </c>
      <c r="AM26">
        <v>0</v>
      </c>
      <c r="AN26">
        <v>0</v>
      </c>
      <c r="AO26">
        <v>163</v>
      </c>
      <c r="AP26">
        <v>163</v>
      </c>
      <c r="AQ26">
        <v>163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30</v>
      </c>
      <c r="BA26">
        <v>30</v>
      </c>
      <c r="BB26">
        <v>0</v>
      </c>
      <c r="BC26">
        <v>0</v>
      </c>
      <c r="BD26">
        <v>0</v>
      </c>
      <c r="BE26">
        <f t="shared" si="7"/>
        <v>14768</v>
      </c>
      <c r="BF26">
        <v>269567</v>
      </c>
      <c r="BG26">
        <v>269567</v>
      </c>
      <c r="BH26" t="s">
        <v>546</v>
      </c>
      <c r="BI26" t="s">
        <v>1308</v>
      </c>
      <c r="BJ26">
        <v>11181</v>
      </c>
      <c r="BK26">
        <v>2167</v>
      </c>
      <c r="BL26">
        <v>269567</v>
      </c>
      <c r="BM26">
        <v>1454.430856003363</v>
      </c>
      <c r="BN26">
        <v>0</v>
      </c>
      <c r="BO26">
        <v>268349.61254533188</v>
      </c>
      <c r="BP26">
        <v>1929.9565986647251</v>
      </c>
      <c r="BQ26">
        <v>271734</v>
      </c>
      <c r="BR26">
        <f t="shared" si="8"/>
        <v>86971</v>
      </c>
      <c r="BS26">
        <f t="shared" si="9"/>
        <v>117631</v>
      </c>
    </row>
    <row r="27" spans="1:74" x14ac:dyDescent="0.25">
      <c r="A27" s="5" t="s">
        <v>1135</v>
      </c>
      <c r="B27" s="5" t="s">
        <v>207</v>
      </c>
      <c r="C27" s="5" t="s">
        <v>875</v>
      </c>
      <c r="D27" s="1" t="s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83.52053942900865</v>
      </c>
      <c r="N27">
        <v>0</v>
      </c>
      <c r="O27" s="16">
        <v>174566.27946057101</v>
      </c>
      <c r="P27">
        <v>0</v>
      </c>
      <c r="Q27">
        <v>11724</v>
      </c>
      <c r="R27">
        <v>83644</v>
      </c>
      <c r="S27" s="18">
        <f t="shared" si="0"/>
        <v>2.0880134857252166</v>
      </c>
      <c r="T27" s="17">
        <f t="shared" si="1"/>
        <v>39.999999999999993</v>
      </c>
      <c r="U27" s="17">
        <f t="shared" si="2"/>
        <v>0</v>
      </c>
      <c r="V27" s="17">
        <f t="shared" si="3"/>
        <v>83604</v>
      </c>
      <c r="W27" s="17">
        <f t="shared" si="4"/>
        <v>0</v>
      </c>
      <c r="X27" s="17">
        <f t="shared" si="5"/>
        <v>11684</v>
      </c>
      <c r="Y27" s="19">
        <f t="shared" si="6"/>
        <v>7.1554262238959261</v>
      </c>
      <c r="Z27">
        <v>165472</v>
      </c>
      <c r="AA27">
        <v>0</v>
      </c>
      <c r="AB27">
        <v>0</v>
      </c>
      <c r="AC27">
        <v>7206.8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1434</v>
      </c>
      <c r="AP27">
        <v>360</v>
      </c>
      <c r="AQ27">
        <v>1434</v>
      </c>
      <c r="AR27">
        <v>1602</v>
      </c>
      <c r="AS27">
        <v>0</v>
      </c>
      <c r="AT27">
        <v>537</v>
      </c>
      <c r="AU27">
        <v>537</v>
      </c>
      <c r="AV27">
        <v>537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f t="shared" si="7"/>
        <v>13647.8</v>
      </c>
      <c r="BF27">
        <v>174649.8</v>
      </c>
      <c r="BG27">
        <v>174649.8</v>
      </c>
      <c r="BH27" t="s">
        <v>546</v>
      </c>
      <c r="BI27" t="s">
        <v>1305</v>
      </c>
      <c r="BJ27">
        <v>7206.8</v>
      </c>
      <c r="BK27">
        <v>1971</v>
      </c>
      <c r="BL27">
        <v>174649.8</v>
      </c>
      <c r="BM27">
        <v>83.52053942900865</v>
      </c>
      <c r="BN27">
        <v>0</v>
      </c>
      <c r="BO27">
        <v>174566.27946057101</v>
      </c>
      <c r="BP27">
        <v>1971</v>
      </c>
      <c r="BQ27">
        <v>176620.79999999999</v>
      </c>
      <c r="BR27">
        <f t="shared" si="8"/>
        <v>71920</v>
      </c>
      <c r="BS27">
        <f t="shared" si="9"/>
        <v>95368</v>
      </c>
    </row>
    <row r="28" spans="1:74" x14ac:dyDescent="0.25">
      <c r="A28" s="5" t="s">
        <v>1135</v>
      </c>
      <c r="B28" s="5" t="s">
        <v>207</v>
      </c>
      <c r="C28" s="5" t="s">
        <v>875</v>
      </c>
      <c r="D28" s="1" t="s">
        <v>67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421.08157075261857</v>
      </c>
      <c r="N28">
        <v>0</v>
      </c>
      <c r="O28" s="16">
        <v>175008.16198217869</v>
      </c>
      <c r="P28">
        <v>1046.7564470686559</v>
      </c>
      <c r="Q28">
        <v>13050</v>
      </c>
      <c r="R28">
        <v>74181</v>
      </c>
      <c r="S28" s="18">
        <f t="shared" si="0"/>
        <v>2.3789919251560363</v>
      </c>
      <c r="T28" s="17">
        <f t="shared" si="1"/>
        <v>177.00000000000006</v>
      </c>
      <c r="U28" s="17">
        <f t="shared" si="2"/>
        <v>0</v>
      </c>
      <c r="V28" s="17">
        <f t="shared" si="3"/>
        <v>73564.000000000015</v>
      </c>
      <c r="W28" s="17">
        <f t="shared" si="4"/>
        <v>440</v>
      </c>
      <c r="X28" s="17">
        <f t="shared" si="5"/>
        <v>12433</v>
      </c>
      <c r="Y28" s="19">
        <f t="shared" si="6"/>
        <v>5.9168342314807383</v>
      </c>
      <c r="Z28">
        <v>160064</v>
      </c>
      <c r="AA28">
        <v>0</v>
      </c>
      <c r="AB28">
        <v>0</v>
      </c>
      <c r="AC28">
        <v>15672</v>
      </c>
      <c r="AD28">
        <v>90</v>
      </c>
      <c r="AE28">
        <v>0</v>
      </c>
      <c r="AF28">
        <v>0</v>
      </c>
      <c r="AG28">
        <v>650</v>
      </c>
      <c r="AH28">
        <v>740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f t="shared" si="7"/>
        <v>17152</v>
      </c>
      <c r="BF28">
        <v>176476</v>
      </c>
      <c r="BG28">
        <v>176476</v>
      </c>
      <c r="BH28" t="s">
        <v>546</v>
      </c>
      <c r="BI28" t="s">
        <v>1306</v>
      </c>
      <c r="BJ28">
        <v>15672</v>
      </c>
      <c r="BK28">
        <v>740</v>
      </c>
      <c r="BL28">
        <v>176476</v>
      </c>
      <c r="BM28">
        <v>511.08157075261857</v>
      </c>
      <c r="BN28">
        <v>0</v>
      </c>
      <c r="BO28">
        <v>175008.16198217869</v>
      </c>
      <c r="BP28">
        <v>1696.7564470686559</v>
      </c>
      <c r="BQ28">
        <v>177216</v>
      </c>
      <c r="BR28">
        <f t="shared" si="8"/>
        <v>61131</v>
      </c>
      <c r="BS28">
        <f t="shared" si="9"/>
        <v>87231</v>
      </c>
    </row>
    <row r="29" spans="1:74" x14ac:dyDescent="0.25">
      <c r="A29" s="5" t="s">
        <v>1135</v>
      </c>
      <c r="B29" s="5" t="s">
        <v>207</v>
      </c>
      <c r="C29" s="5" t="s">
        <v>359</v>
      </c>
      <c r="D29" s="1" t="s">
        <v>79</v>
      </c>
      <c r="E29">
        <v>0</v>
      </c>
      <c r="F29">
        <v>94040</v>
      </c>
      <c r="G29">
        <v>0</v>
      </c>
      <c r="H29">
        <v>0</v>
      </c>
      <c r="I29">
        <v>21750</v>
      </c>
      <c r="J29">
        <v>1830</v>
      </c>
      <c r="K29">
        <v>1713</v>
      </c>
      <c r="L29">
        <v>473</v>
      </c>
      <c r="M29">
        <v>237.24068846188871</v>
      </c>
      <c r="N29">
        <v>0</v>
      </c>
      <c r="O29" s="16">
        <v>126842.7593115381</v>
      </c>
      <c r="P29">
        <v>0</v>
      </c>
      <c r="Q29">
        <v>12505</v>
      </c>
      <c r="R29">
        <v>65886</v>
      </c>
      <c r="S29" s="18">
        <f t="shared" si="0"/>
        <v>1.9287860850560057</v>
      </c>
      <c r="T29" s="17">
        <f t="shared" si="1"/>
        <v>123</v>
      </c>
      <c r="U29" s="17">
        <f t="shared" si="2"/>
        <v>0</v>
      </c>
      <c r="V29" s="17">
        <f t="shared" si="3"/>
        <v>65763</v>
      </c>
      <c r="W29" s="17">
        <f t="shared" si="4"/>
        <v>0</v>
      </c>
      <c r="X29" s="17">
        <f t="shared" si="5"/>
        <v>12382</v>
      </c>
      <c r="Y29" s="19">
        <f t="shared" si="6"/>
        <v>5.3111775157486676</v>
      </c>
      <c r="Z29">
        <v>97790</v>
      </c>
      <c r="AA29">
        <v>0</v>
      </c>
      <c r="AB29">
        <v>1650</v>
      </c>
      <c r="AC29">
        <v>0</v>
      </c>
      <c r="AD29">
        <v>21322</v>
      </c>
      <c r="AE29">
        <v>0</v>
      </c>
      <c r="AF29">
        <v>0</v>
      </c>
      <c r="AG29">
        <v>850</v>
      </c>
      <c r="AH29">
        <v>22172</v>
      </c>
      <c r="AI29">
        <v>0</v>
      </c>
      <c r="AJ29">
        <v>0</v>
      </c>
      <c r="AK29">
        <v>1830</v>
      </c>
      <c r="AL29">
        <v>1830</v>
      </c>
      <c r="AM29">
        <v>978</v>
      </c>
      <c r="AN29">
        <v>0</v>
      </c>
      <c r="AO29">
        <v>735</v>
      </c>
      <c r="AP29">
        <v>325</v>
      </c>
      <c r="AQ29">
        <v>1713</v>
      </c>
      <c r="AR29">
        <v>1388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238</v>
      </c>
      <c r="AY29">
        <v>0</v>
      </c>
      <c r="AZ29">
        <v>235</v>
      </c>
      <c r="BA29">
        <v>473</v>
      </c>
      <c r="BB29">
        <v>0</v>
      </c>
      <c r="BC29">
        <v>0</v>
      </c>
      <c r="BD29">
        <v>0</v>
      </c>
      <c r="BE29">
        <f t="shared" si="7"/>
        <v>54089</v>
      </c>
      <c r="BF29">
        <v>127080</v>
      </c>
      <c r="BG29">
        <v>127080</v>
      </c>
      <c r="BH29" t="s">
        <v>581</v>
      </c>
      <c r="BI29" t="s">
        <v>1291</v>
      </c>
      <c r="BJ29">
        <v>1650</v>
      </c>
      <c r="BK29">
        <v>26188</v>
      </c>
      <c r="BL29">
        <v>125628</v>
      </c>
      <c r="BM29">
        <v>22775.24068846189</v>
      </c>
      <c r="BN29">
        <v>0</v>
      </c>
      <c r="BO29">
        <v>126842.7593115381</v>
      </c>
      <c r="BP29">
        <v>3650</v>
      </c>
      <c r="BQ29">
        <v>153268</v>
      </c>
      <c r="BR29">
        <f t="shared" si="8"/>
        <v>53381</v>
      </c>
      <c r="BS29">
        <f t="shared" si="9"/>
        <v>78391</v>
      </c>
    </row>
    <row r="30" spans="1:74" x14ac:dyDescent="0.25">
      <c r="A30" s="5" t="s">
        <v>1135</v>
      </c>
      <c r="B30" s="5" t="s">
        <v>207</v>
      </c>
      <c r="C30" s="5" t="s">
        <v>359</v>
      </c>
      <c r="D30" s="1" t="s">
        <v>98</v>
      </c>
      <c r="E30">
        <v>0</v>
      </c>
      <c r="F30">
        <v>53241</v>
      </c>
      <c r="G30">
        <v>0</v>
      </c>
      <c r="H30">
        <v>0</v>
      </c>
      <c r="I30">
        <v>15</v>
      </c>
      <c r="J30">
        <v>1935</v>
      </c>
      <c r="K30">
        <v>72</v>
      </c>
      <c r="L30">
        <v>0</v>
      </c>
      <c r="M30">
        <v>0</v>
      </c>
      <c r="N30">
        <v>0</v>
      </c>
      <c r="O30" s="16">
        <v>501471</v>
      </c>
      <c r="P30">
        <v>0</v>
      </c>
      <c r="Q30">
        <v>2478</v>
      </c>
      <c r="R30">
        <v>55719</v>
      </c>
      <c r="S30" s="18">
        <f t="shared" si="0"/>
        <v>9</v>
      </c>
      <c r="T30" s="17">
        <f t="shared" si="1"/>
        <v>0</v>
      </c>
      <c r="U30" s="17">
        <f t="shared" si="2"/>
        <v>0</v>
      </c>
      <c r="V30" s="17">
        <f t="shared" si="3"/>
        <v>55719</v>
      </c>
      <c r="W30" s="17">
        <f t="shared" si="4"/>
        <v>0</v>
      </c>
      <c r="X30" s="17">
        <f t="shared" si="5"/>
        <v>2478</v>
      </c>
      <c r="Y30" s="19">
        <f t="shared" si="6"/>
        <v>22.485472154963681</v>
      </c>
      <c r="Z30">
        <v>53241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15</v>
      </c>
      <c r="AH30">
        <v>15</v>
      </c>
      <c r="AI30">
        <v>0</v>
      </c>
      <c r="AJ30">
        <v>0</v>
      </c>
      <c r="AK30">
        <v>1935</v>
      </c>
      <c r="AL30">
        <v>1935</v>
      </c>
      <c r="AM30">
        <v>0</v>
      </c>
      <c r="AN30">
        <v>0</v>
      </c>
      <c r="AO30">
        <v>72</v>
      </c>
      <c r="AP30">
        <v>0</v>
      </c>
      <c r="AQ30">
        <v>72</v>
      </c>
      <c r="AR30">
        <v>72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f t="shared" si="7"/>
        <v>4116</v>
      </c>
      <c r="BF30">
        <v>55263</v>
      </c>
      <c r="BG30">
        <v>55263</v>
      </c>
      <c r="BH30" t="s">
        <v>560</v>
      </c>
      <c r="BI30" t="s">
        <v>1300</v>
      </c>
      <c r="BJ30">
        <v>0</v>
      </c>
      <c r="BK30">
        <v>2022</v>
      </c>
      <c r="BL30">
        <v>55263</v>
      </c>
      <c r="BM30">
        <v>0</v>
      </c>
      <c r="BN30">
        <v>0</v>
      </c>
      <c r="BO30">
        <v>501471</v>
      </c>
      <c r="BP30">
        <v>2022</v>
      </c>
      <c r="BQ30">
        <v>503493</v>
      </c>
      <c r="BR30">
        <f t="shared" si="8"/>
        <v>53241</v>
      </c>
      <c r="BS30">
        <f t="shared" si="9"/>
        <v>58197</v>
      </c>
    </row>
    <row r="31" spans="1:74" x14ac:dyDescent="0.25">
      <c r="A31" s="5" t="s">
        <v>1135</v>
      </c>
      <c r="B31" s="5" t="s">
        <v>207</v>
      </c>
      <c r="C31" s="5" t="s">
        <v>359</v>
      </c>
      <c r="D31" s="1" t="s">
        <v>81</v>
      </c>
      <c r="E31">
        <v>0</v>
      </c>
      <c r="F31">
        <v>64425</v>
      </c>
      <c r="G31">
        <v>0</v>
      </c>
      <c r="H31">
        <v>0</v>
      </c>
      <c r="I31">
        <v>16310</v>
      </c>
      <c r="J31">
        <v>0</v>
      </c>
      <c r="K31">
        <v>3280</v>
      </c>
      <c r="L31">
        <v>1635</v>
      </c>
      <c r="M31">
        <v>0</v>
      </c>
      <c r="N31">
        <v>0</v>
      </c>
      <c r="O31" s="16">
        <v>79648.039173667072</v>
      </c>
      <c r="P31">
        <v>6001.9608263329337</v>
      </c>
      <c r="Q31">
        <v>11926</v>
      </c>
      <c r="R31">
        <v>46664</v>
      </c>
      <c r="S31" s="18">
        <f t="shared" si="0"/>
        <v>1.8354620264015087</v>
      </c>
      <c r="T31" s="17">
        <f t="shared" si="1"/>
        <v>0</v>
      </c>
      <c r="U31" s="17">
        <f t="shared" si="2"/>
        <v>0</v>
      </c>
      <c r="V31" s="17">
        <f t="shared" si="3"/>
        <v>43394</v>
      </c>
      <c r="W31" s="17">
        <f t="shared" si="4"/>
        <v>3270</v>
      </c>
      <c r="X31" s="17">
        <f t="shared" si="5"/>
        <v>8656</v>
      </c>
      <c r="Y31" s="19">
        <f t="shared" si="6"/>
        <v>5.0131700554528651</v>
      </c>
      <c r="Z31">
        <v>64425</v>
      </c>
      <c r="AA31">
        <v>0</v>
      </c>
      <c r="AB31">
        <v>0</v>
      </c>
      <c r="AC31">
        <v>0</v>
      </c>
      <c r="AD31">
        <v>13770</v>
      </c>
      <c r="AE31">
        <v>0</v>
      </c>
      <c r="AF31">
        <v>0</v>
      </c>
      <c r="AG31">
        <v>2540</v>
      </c>
      <c r="AH31">
        <v>16310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3280</v>
      </c>
      <c r="AP31">
        <v>780</v>
      </c>
      <c r="AQ31">
        <v>3280</v>
      </c>
      <c r="AR31">
        <v>2500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1635</v>
      </c>
      <c r="BA31">
        <v>1635</v>
      </c>
      <c r="BB31">
        <v>0</v>
      </c>
      <c r="BC31">
        <v>0</v>
      </c>
      <c r="BD31">
        <v>0</v>
      </c>
      <c r="BE31">
        <f t="shared" si="7"/>
        <v>45730</v>
      </c>
      <c r="BF31">
        <v>85650</v>
      </c>
      <c r="BG31">
        <v>85650</v>
      </c>
      <c r="BH31" t="s">
        <v>581</v>
      </c>
      <c r="BI31" t="s">
        <v>1292</v>
      </c>
      <c r="BJ31">
        <v>0</v>
      </c>
      <c r="BK31">
        <v>21225</v>
      </c>
      <c r="BL31">
        <v>85650</v>
      </c>
      <c r="BM31">
        <v>13770</v>
      </c>
      <c r="BN31">
        <v>0</v>
      </c>
      <c r="BO31">
        <v>79648.039173667072</v>
      </c>
      <c r="BP31">
        <v>13456.96082633293</v>
      </c>
      <c r="BQ31">
        <v>106875</v>
      </c>
      <c r="BR31">
        <f t="shared" si="8"/>
        <v>34738</v>
      </c>
      <c r="BS31">
        <f t="shared" si="9"/>
        <v>58590</v>
      </c>
    </row>
    <row r="32" spans="1:74" x14ac:dyDescent="0.25">
      <c r="A32" s="5" t="s">
        <v>1135</v>
      </c>
      <c r="B32" s="5" t="s">
        <v>207</v>
      </c>
      <c r="C32" s="5" t="s">
        <v>359</v>
      </c>
      <c r="D32" s="1" t="s">
        <v>96</v>
      </c>
      <c r="E32">
        <v>0</v>
      </c>
      <c r="F32">
        <v>16250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16">
        <v>163116</v>
      </c>
      <c r="P32">
        <v>0</v>
      </c>
      <c r="Q32">
        <v>1974</v>
      </c>
      <c r="R32">
        <v>18124</v>
      </c>
      <c r="S32" s="18">
        <f t="shared" si="0"/>
        <v>9</v>
      </c>
      <c r="T32" s="17">
        <f t="shared" si="1"/>
        <v>0</v>
      </c>
      <c r="U32" s="17">
        <f t="shared" si="2"/>
        <v>0</v>
      </c>
      <c r="V32" s="17">
        <f t="shared" si="3"/>
        <v>18124</v>
      </c>
      <c r="W32" s="17">
        <f t="shared" si="4"/>
        <v>0</v>
      </c>
      <c r="X32" s="17">
        <f t="shared" si="5"/>
        <v>1974</v>
      </c>
      <c r="Y32" s="19">
        <f t="shared" si="6"/>
        <v>9.1813576494427558</v>
      </c>
      <c r="Z32">
        <v>16250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f t="shared" si="7"/>
        <v>0</v>
      </c>
      <c r="BF32">
        <v>16250</v>
      </c>
      <c r="BG32">
        <v>16250</v>
      </c>
      <c r="BH32" t="s">
        <v>560</v>
      </c>
      <c r="BI32" t="s">
        <v>1299</v>
      </c>
      <c r="BJ32">
        <v>0</v>
      </c>
      <c r="BK32">
        <v>0</v>
      </c>
      <c r="BL32">
        <v>16250</v>
      </c>
      <c r="BM32">
        <v>0</v>
      </c>
      <c r="BN32">
        <v>0</v>
      </c>
      <c r="BO32">
        <v>163116</v>
      </c>
      <c r="BP32">
        <v>0</v>
      </c>
      <c r="BQ32">
        <v>163116</v>
      </c>
      <c r="BR32">
        <f t="shared" si="8"/>
        <v>16150</v>
      </c>
      <c r="BS32">
        <f t="shared" si="9"/>
        <v>20098</v>
      </c>
    </row>
    <row r="33" spans="1:71" x14ac:dyDescent="0.25">
      <c r="A33" s="5" t="s">
        <v>1135</v>
      </c>
      <c r="B33" s="5" t="s">
        <v>61</v>
      </c>
      <c r="C33" s="5" t="s">
        <v>61</v>
      </c>
      <c r="D33" s="1" t="s">
        <v>125</v>
      </c>
      <c r="E33">
        <v>0</v>
      </c>
      <c r="F33">
        <v>38854</v>
      </c>
      <c r="G33">
        <v>0</v>
      </c>
      <c r="H33">
        <v>0</v>
      </c>
      <c r="I33">
        <v>240</v>
      </c>
      <c r="J33">
        <v>0</v>
      </c>
      <c r="K33">
        <v>120</v>
      </c>
      <c r="L33">
        <v>0</v>
      </c>
      <c r="M33">
        <v>0</v>
      </c>
      <c r="N33">
        <v>0</v>
      </c>
      <c r="O33" s="16">
        <v>39214</v>
      </c>
      <c r="P33">
        <v>0</v>
      </c>
      <c r="Q33">
        <v>1960</v>
      </c>
      <c r="R33">
        <v>16710</v>
      </c>
      <c r="S33" s="18">
        <f t="shared" si="0"/>
        <v>2.3467384799521245</v>
      </c>
      <c r="T33" s="17">
        <f t="shared" si="1"/>
        <v>0</v>
      </c>
      <c r="U33" s="17">
        <f t="shared" si="2"/>
        <v>0</v>
      </c>
      <c r="V33" s="17">
        <f t="shared" si="3"/>
        <v>16710</v>
      </c>
      <c r="W33" s="17">
        <f t="shared" si="4"/>
        <v>0</v>
      </c>
      <c r="X33" s="17">
        <f t="shared" si="5"/>
        <v>1960</v>
      </c>
      <c r="Y33" s="19">
        <f t="shared" si="6"/>
        <v>8.5255102040816322</v>
      </c>
      <c r="Z33">
        <v>38854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240</v>
      </c>
      <c r="AH33">
        <v>240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120</v>
      </c>
      <c r="AP33">
        <v>120</v>
      </c>
      <c r="AQ33">
        <v>120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f t="shared" si="7"/>
        <v>840</v>
      </c>
      <c r="BF33">
        <v>39214</v>
      </c>
      <c r="BG33">
        <v>39214</v>
      </c>
      <c r="BH33" t="s">
        <v>546</v>
      </c>
      <c r="BI33" t="s">
        <v>1161</v>
      </c>
      <c r="BJ33">
        <v>0</v>
      </c>
      <c r="BK33">
        <v>360</v>
      </c>
      <c r="BL33">
        <v>39214</v>
      </c>
      <c r="BM33">
        <v>0</v>
      </c>
      <c r="BN33">
        <v>0</v>
      </c>
      <c r="BO33">
        <v>39214</v>
      </c>
      <c r="BP33">
        <v>360</v>
      </c>
      <c r="BQ33">
        <v>39574</v>
      </c>
      <c r="BR33">
        <f t="shared" si="8"/>
        <v>14750</v>
      </c>
      <c r="BS33">
        <f t="shared" si="9"/>
        <v>18670</v>
      </c>
    </row>
    <row r="34" spans="1:71" x14ac:dyDescent="0.25">
      <c r="A34" s="5" t="s">
        <v>1135</v>
      </c>
      <c r="B34" s="5" t="s">
        <v>61</v>
      </c>
      <c r="C34" s="5" t="s">
        <v>61</v>
      </c>
      <c r="D34" s="1" t="s">
        <v>153</v>
      </c>
      <c r="E34">
        <v>0</v>
      </c>
      <c r="F34">
        <v>8700</v>
      </c>
      <c r="G34">
        <v>0</v>
      </c>
      <c r="H34">
        <v>0</v>
      </c>
      <c r="I34">
        <v>223</v>
      </c>
      <c r="J34">
        <v>1020</v>
      </c>
      <c r="K34">
        <v>0</v>
      </c>
      <c r="L34">
        <v>80</v>
      </c>
      <c r="M34">
        <v>0</v>
      </c>
      <c r="N34">
        <v>0</v>
      </c>
      <c r="O34" s="16">
        <v>23220</v>
      </c>
      <c r="P34">
        <v>0</v>
      </c>
      <c r="Q34">
        <v>1320</v>
      </c>
      <c r="R34">
        <v>2580</v>
      </c>
      <c r="S34" s="18">
        <f t="shared" si="0"/>
        <v>9</v>
      </c>
      <c r="T34" s="17">
        <f t="shared" si="1"/>
        <v>0</v>
      </c>
      <c r="U34" s="17">
        <f t="shared" si="2"/>
        <v>0</v>
      </c>
      <c r="V34" s="17">
        <f t="shared" si="3"/>
        <v>2580</v>
      </c>
      <c r="W34" s="17">
        <f t="shared" si="4"/>
        <v>0</v>
      </c>
      <c r="X34" s="17">
        <f t="shared" si="5"/>
        <v>1320</v>
      </c>
      <c r="Y34" s="19">
        <f t="shared" si="6"/>
        <v>1.9545454545454546</v>
      </c>
      <c r="Z34">
        <v>8700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223</v>
      </c>
      <c r="AH34">
        <v>223</v>
      </c>
      <c r="AI34">
        <v>0</v>
      </c>
      <c r="AJ34">
        <v>0</v>
      </c>
      <c r="AK34">
        <v>1020</v>
      </c>
      <c r="AL34">
        <v>1020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80</v>
      </c>
      <c r="BA34">
        <v>80</v>
      </c>
      <c r="BB34">
        <v>0</v>
      </c>
      <c r="BC34">
        <v>0</v>
      </c>
      <c r="BD34">
        <v>0</v>
      </c>
      <c r="BE34">
        <f t="shared" si="7"/>
        <v>2646</v>
      </c>
      <c r="BF34">
        <v>10023</v>
      </c>
      <c r="BG34">
        <v>10023</v>
      </c>
      <c r="BH34" t="s">
        <v>560</v>
      </c>
      <c r="BI34" t="s">
        <v>1175</v>
      </c>
      <c r="BJ34">
        <v>0</v>
      </c>
      <c r="BK34">
        <v>1323</v>
      </c>
      <c r="BL34">
        <v>10023</v>
      </c>
      <c r="BM34">
        <v>0</v>
      </c>
      <c r="BN34">
        <v>0</v>
      </c>
      <c r="BO34">
        <v>23220</v>
      </c>
      <c r="BP34">
        <v>1323</v>
      </c>
      <c r="BQ34">
        <v>24543</v>
      </c>
      <c r="BR34">
        <f t="shared" si="8"/>
        <v>1260</v>
      </c>
      <c r="BS34">
        <f t="shared" si="9"/>
        <v>3900</v>
      </c>
    </row>
    <row r="35" spans="1:71" x14ac:dyDescent="0.25">
      <c r="A35" s="5" t="s">
        <v>1451</v>
      </c>
      <c r="B35" s="5" t="s">
        <v>207</v>
      </c>
      <c r="C35" s="5" t="s">
        <v>61</v>
      </c>
      <c r="D35" s="1" t="s">
        <v>119</v>
      </c>
      <c r="E35">
        <v>0</v>
      </c>
      <c r="F35">
        <v>14225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16">
        <v>14225</v>
      </c>
      <c r="P35">
        <v>0</v>
      </c>
      <c r="Q35">
        <v>787</v>
      </c>
      <c r="R35">
        <v>15012</v>
      </c>
      <c r="S35" s="18">
        <f t="shared" si="0"/>
        <v>0.94757527311484147</v>
      </c>
      <c r="T35" s="17">
        <f t="shared" si="1"/>
        <v>0</v>
      </c>
      <c r="U35" s="17">
        <f t="shared" si="2"/>
        <v>0</v>
      </c>
      <c r="V35" s="17">
        <f t="shared" si="3"/>
        <v>15012</v>
      </c>
      <c r="W35" s="17">
        <f t="shared" si="4"/>
        <v>0</v>
      </c>
      <c r="X35" s="17">
        <f t="shared" si="5"/>
        <v>787</v>
      </c>
      <c r="Y35" s="19">
        <f t="shared" si="6"/>
        <v>19.074968233799236</v>
      </c>
      <c r="Z35">
        <v>14225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f t="shared" si="7"/>
        <v>0</v>
      </c>
      <c r="BF35">
        <v>14225</v>
      </c>
      <c r="BG35">
        <v>14225</v>
      </c>
      <c r="BH35" t="s">
        <v>546</v>
      </c>
      <c r="BI35" t="s">
        <v>1554</v>
      </c>
      <c r="BJ35">
        <v>0</v>
      </c>
      <c r="BK35">
        <v>0</v>
      </c>
      <c r="BL35">
        <v>14225</v>
      </c>
      <c r="BM35">
        <v>0</v>
      </c>
      <c r="BN35">
        <v>0</v>
      </c>
      <c r="BO35">
        <v>14225</v>
      </c>
      <c r="BP35">
        <v>0</v>
      </c>
      <c r="BQ35">
        <v>14225</v>
      </c>
      <c r="BR35">
        <f t="shared" si="8"/>
        <v>14225</v>
      </c>
      <c r="BS35">
        <f t="shared" si="9"/>
        <v>15799</v>
      </c>
    </row>
    <row r="36" spans="1:71" x14ac:dyDescent="0.25">
      <c r="A36" s="5" t="s">
        <v>1451</v>
      </c>
      <c r="B36" s="5" t="s">
        <v>359</v>
      </c>
      <c r="C36" s="5" t="s">
        <v>207</v>
      </c>
      <c r="D36" s="1" t="s">
        <v>65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3851.838480103967</v>
      </c>
      <c r="N36">
        <v>0</v>
      </c>
      <c r="O36" s="16">
        <v>43194.161519896043</v>
      </c>
      <c r="P36">
        <v>0</v>
      </c>
      <c r="Q36">
        <v>4752</v>
      </c>
      <c r="R36">
        <v>16159</v>
      </c>
      <c r="S36" s="18">
        <f t="shared" si="0"/>
        <v>2.9114425397611243</v>
      </c>
      <c r="T36" s="17">
        <f t="shared" si="1"/>
        <v>1322.9999999999998</v>
      </c>
      <c r="U36" s="17">
        <f t="shared" si="2"/>
        <v>0</v>
      </c>
      <c r="V36" s="17">
        <f t="shared" si="3"/>
        <v>14836</v>
      </c>
      <c r="W36" s="17">
        <f t="shared" si="4"/>
        <v>0</v>
      </c>
      <c r="X36" s="17">
        <f t="shared" si="5"/>
        <v>3429</v>
      </c>
      <c r="Y36" s="19">
        <f t="shared" si="6"/>
        <v>4.3266258384368621</v>
      </c>
      <c r="Z36">
        <v>38008</v>
      </c>
      <c r="AA36">
        <v>0</v>
      </c>
      <c r="AB36">
        <v>0</v>
      </c>
      <c r="AC36">
        <v>7051</v>
      </c>
      <c r="AD36">
        <v>1168</v>
      </c>
      <c r="AE36">
        <v>0</v>
      </c>
      <c r="AF36">
        <v>819</v>
      </c>
      <c r="AG36">
        <v>0</v>
      </c>
      <c r="AH36">
        <v>1987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f t="shared" si="7"/>
        <v>11025</v>
      </c>
      <c r="BF36">
        <v>47046</v>
      </c>
      <c r="BG36">
        <v>47046</v>
      </c>
      <c r="BH36" t="s">
        <v>226</v>
      </c>
      <c r="BI36" t="s">
        <v>1649</v>
      </c>
      <c r="BJ36">
        <v>7051</v>
      </c>
      <c r="BK36">
        <v>1987</v>
      </c>
      <c r="BL36">
        <v>47046</v>
      </c>
      <c r="BM36">
        <v>5019.8384801039674</v>
      </c>
      <c r="BN36">
        <v>0</v>
      </c>
      <c r="BO36">
        <v>44013.161519896043</v>
      </c>
      <c r="BP36">
        <v>0</v>
      </c>
      <c r="BQ36">
        <v>49033</v>
      </c>
      <c r="BR36">
        <f t="shared" si="8"/>
        <v>11407</v>
      </c>
      <c r="BS36">
        <f t="shared" si="9"/>
        <v>20911</v>
      </c>
    </row>
    <row r="37" spans="1:71" x14ac:dyDescent="0.25">
      <c r="A37" s="5" t="s">
        <v>1451</v>
      </c>
      <c r="B37" s="5" t="s">
        <v>359</v>
      </c>
      <c r="C37" s="5" t="s">
        <v>207</v>
      </c>
      <c r="D37" s="1" t="s">
        <v>79</v>
      </c>
      <c r="E37">
        <v>368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16">
        <v>84573.89375966994</v>
      </c>
      <c r="P37">
        <v>1284.1062403300671</v>
      </c>
      <c r="Q37">
        <v>4258</v>
      </c>
      <c r="R37">
        <v>13573</v>
      </c>
      <c r="S37" s="18">
        <f t="shared" si="0"/>
        <v>6.3256465040890006</v>
      </c>
      <c r="T37" s="17">
        <f t="shared" si="1"/>
        <v>0</v>
      </c>
      <c r="U37" s="17">
        <f t="shared" si="2"/>
        <v>0</v>
      </c>
      <c r="V37" s="17">
        <f t="shared" si="3"/>
        <v>13370</v>
      </c>
      <c r="W37" s="17">
        <f t="shared" si="4"/>
        <v>203</v>
      </c>
      <c r="X37" s="17">
        <f t="shared" si="5"/>
        <v>4055</v>
      </c>
      <c r="Y37" s="19">
        <f t="shared" si="6"/>
        <v>3.2971639950678173</v>
      </c>
      <c r="Z37">
        <v>59763</v>
      </c>
      <c r="AA37">
        <v>456</v>
      </c>
      <c r="AB37">
        <v>521</v>
      </c>
      <c r="AC37">
        <v>11793</v>
      </c>
      <c r="AD37">
        <v>0</v>
      </c>
      <c r="AE37">
        <v>10</v>
      </c>
      <c r="AF37">
        <v>0</v>
      </c>
      <c r="AG37">
        <v>720</v>
      </c>
      <c r="AH37">
        <v>730</v>
      </c>
      <c r="AI37">
        <v>0</v>
      </c>
      <c r="AJ37">
        <v>808</v>
      </c>
      <c r="AK37">
        <v>3100</v>
      </c>
      <c r="AL37">
        <v>3908</v>
      </c>
      <c r="AM37">
        <v>0</v>
      </c>
      <c r="AN37">
        <v>6214</v>
      </c>
      <c r="AO37">
        <v>1302</v>
      </c>
      <c r="AP37">
        <v>7516</v>
      </c>
      <c r="AQ37">
        <v>7516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200</v>
      </c>
      <c r="AZ37">
        <v>603</v>
      </c>
      <c r="BA37">
        <v>803</v>
      </c>
      <c r="BB37">
        <v>0</v>
      </c>
      <c r="BC37">
        <v>0</v>
      </c>
      <c r="BD37">
        <v>0</v>
      </c>
      <c r="BE37">
        <f t="shared" si="7"/>
        <v>45223</v>
      </c>
      <c r="BF37">
        <v>85858</v>
      </c>
      <c r="BG37">
        <v>85858</v>
      </c>
      <c r="BH37" t="s">
        <v>226</v>
      </c>
      <c r="BI37" t="s">
        <v>1656</v>
      </c>
      <c r="BJ37">
        <v>13138</v>
      </c>
      <c r="BK37">
        <v>12957</v>
      </c>
      <c r="BL37">
        <v>85858</v>
      </c>
      <c r="BM37">
        <v>0</v>
      </c>
      <c r="BN37">
        <v>7232</v>
      </c>
      <c r="BO37">
        <v>84573.89375966994</v>
      </c>
      <c r="BP37">
        <v>7009.1062403300684</v>
      </c>
      <c r="BQ37">
        <v>98815</v>
      </c>
      <c r="BR37">
        <f t="shared" si="8"/>
        <v>9315</v>
      </c>
      <c r="BS37">
        <f t="shared" si="9"/>
        <v>17831</v>
      </c>
    </row>
    <row r="38" spans="1:71" x14ac:dyDescent="0.25">
      <c r="A38" s="5" t="s">
        <v>1451</v>
      </c>
      <c r="B38" s="5" t="s">
        <v>359</v>
      </c>
      <c r="C38" s="5" t="s">
        <v>207</v>
      </c>
      <c r="D38" s="1" t="s">
        <v>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6">
        <v>78040</v>
      </c>
      <c r="P38">
        <v>0</v>
      </c>
      <c r="Q38">
        <v>4217</v>
      </c>
      <c r="R38">
        <v>13450</v>
      </c>
      <c r="S38" s="18">
        <f t="shared" si="0"/>
        <v>5.8022304832713756</v>
      </c>
      <c r="T38" s="17">
        <f t="shared" si="1"/>
        <v>0</v>
      </c>
      <c r="U38" s="17">
        <f t="shared" si="2"/>
        <v>0</v>
      </c>
      <c r="V38" s="17">
        <f t="shared" si="3"/>
        <v>13450</v>
      </c>
      <c r="W38" s="17">
        <f t="shared" si="4"/>
        <v>0</v>
      </c>
      <c r="X38" s="17">
        <f t="shared" si="5"/>
        <v>4217</v>
      </c>
      <c r="Y38" s="19">
        <f t="shared" si="6"/>
        <v>3.1894711880483757</v>
      </c>
      <c r="Z38">
        <v>68214</v>
      </c>
      <c r="AA38">
        <v>13</v>
      </c>
      <c r="AB38">
        <v>0</v>
      </c>
      <c r="AC38">
        <v>5096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101</v>
      </c>
      <c r="AL38">
        <v>101</v>
      </c>
      <c r="AM38">
        <v>0</v>
      </c>
      <c r="AN38">
        <v>0</v>
      </c>
      <c r="AO38">
        <v>168</v>
      </c>
      <c r="AP38">
        <v>168</v>
      </c>
      <c r="AQ38">
        <v>168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65</v>
      </c>
      <c r="BA38">
        <v>65</v>
      </c>
      <c r="BB38">
        <v>0</v>
      </c>
      <c r="BC38">
        <v>0</v>
      </c>
      <c r="BD38">
        <v>0</v>
      </c>
      <c r="BE38">
        <f t="shared" si="7"/>
        <v>5932</v>
      </c>
      <c r="BF38">
        <v>78040</v>
      </c>
      <c r="BG38">
        <v>78040</v>
      </c>
      <c r="BH38" t="s">
        <v>226</v>
      </c>
      <c r="BI38" t="s">
        <v>1650</v>
      </c>
      <c r="BJ38">
        <v>5109</v>
      </c>
      <c r="BK38">
        <v>334</v>
      </c>
      <c r="BL38">
        <v>73657</v>
      </c>
      <c r="BM38">
        <v>0</v>
      </c>
      <c r="BN38">
        <v>0</v>
      </c>
      <c r="BO38">
        <v>78040</v>
      </c>
      <c r="BP38">
        <v>334</v>
      </c>
      <c r="BQ38">
        <v>78374</v>
      </c>
      <c r="BR38">
        <f t="shared" si="8"/>
        <v>9233</v>
      </c>
      <c r="BS38">
        <f t="shared" si="9"/>
        <v>17667</v>
      </c>
    </row>
    <row r="39" spans="1:71" x14ac:dyDescent="0.25">
      <c r="A39" s="5" t="s">
        <v>1451</v>
      </c>
      <c r="B39" s="5" t="s">
        <v>359</v>
      </c>
      <c r="C39" s="5" t="s">
        <v>207</v>
      </c>
      <c r="D39" s="1" t="s">
        <v>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16">
        <v>52421</v>
      </c>
      <c r="P39">
        <v>0</v>
      </c>
      <c r="Q39">
        <v>5963</v>
      </c>
      <c r="R39">
        <v>12820</v>
      </c>
      <c r="S39" s="18">
        <f t="shared" si="0"/>
        <v>4.0890015600624023</v>
      </c>
      <c r="T39" s="17">
        <f t="shared" si="1"/>
        <v>0</v>
      </c>
      <c r="U39" s="17">
        <f t="shared" si="2"/>
        <v>0</v>
      </c>
      <c r="V39" s="17">
        <f t="shared" si="3"/>
        <v>12820</v>
      </c>
      <c r="W39" s="17">
        <f t="shared" si="4"/>
        <v>0</v>
      </c>
      <c r="X39" s="17">
        <f t="shared" si="5"/>
        <v>5963</v>
      </c>
      <c r="Y39" s="19">
        <f t="shared" si="6"/>
        <v>2.1499245346302196</v>
      </c>
      <c r="Z39">
        <v>39022</v>
      </c>
      <c r="AA39">
        <v>0</v>
      </c>
      <c r="AB39">
        <v>2558</v>
      </c>
      <c r="AC39">
        <v>6279</v>
      </c>
      <c r="AD39">
        <v>0</v>
      </c>
      <c r="AE39">
        <v>0</v>
      </c>
      <c r="AF39">
        <v>0</v>
      </c>
      <c r="AG39">
        <v>661</v>
      </c>
      <c r="AH39">
        <v>661</v>
      </c>
      <c r="AI39">
        <v>0</v>
      </c>
      <c r="AJ39">
        <v>0</v>
      </c>
      <c r="AK39">
        <v>3030</v>
      </c>
      <c r="AL39">
        <v>3030</v>
      </c>
      <c r="AM39">
        <v>0</v>
      </c>
      <c r="AN39">
        <v>0</v>
      </c>
      <c r="AO39">
        <v>755</v>
      </c>
      <c r="AP39">
        <v>755</v>
      </c>
      <c r="AQ39">
        <v>755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116</v>
      </c>
      <c r="BA39">
        <v>116</v>
      </c>
      <c r="BB39">
        <v>0</v>
      </c>
      <c r="BC39">
        <v>0</v>
      </c>
      <c r="BD39">
        <v>0</v>
      </c>
      <c r="BE39">
        <f t="shared" si="7"/>
        <v>16158</v>
      </c>
      <c r="BF39">
        <v>52421</v>
      </c>
      <c r="BG39">
        <v>52421</v>
      </c>
      <c r="BH39" t="s">
        <v>226</v>
      </c>
      <c r="BI39" t="s">
        <v>1651</v>
      </c>
      <c r="BJ39">
        <v>8837</v>
      </c>
      <c r="BK39">
        <v>4562</v>
      </c>
      <c r="BL39">
        <v>52421</v>
      </c>
      <c r="BM39">
        <v>0</v>
      </c>
      <c r="BN39">
        <v>0</v>
      </c>
      <c r="BO39">
        <v>52421</v>
      </c>
      <c r="BP39">
        <v>4562</v>
      </c>
      <c r="BQ39">
        <v>56983</v>
      </c>
      <c r="BR39">
        <f t="shared" si="8"/>
        <v>6857</v>
      </c>
      <c r="BS39">
        <f t="shared" si="9"/>
        <v>18783</v>
      </c>
    </row>
    <row r="40" spans="1:71" x14ac:dyDescent="0.25">
      <c r="A40" s="5" t="s">
        <v>1451</v>
      </c>
      <c r="B40" s="5" t="s">
        <v>359</v>
      </c>
      <c r="C40" s="5" t="s">
        <v>207</v>
      </c>
      <c r="D40" s="1" t="s">
        <v>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16">
        <v>75146.637931034493</v>
      </c>
      <c r="P40">
        <v>31158.362068965522</v>
      </c>
      <c r="Q40">
        <v>5454</v>
      </c>
      <c r="R40">
        <v>12122</v>
      </c>
      <c r="S40" s="18">
        <f t="shared" si="0"/>
        <v>8.769592476489029</v>
      </c>
      <c r="T40" s="17">
        <f t="shared" si="1"/>
        <v>0</v>
      </c>
      <c r="U40" s="17">
        <f t="shared" si="2"/>
        <v>0</v>
      </c>
      <c r="V40" s="17">
        <f t="shared" si="3"/>
        <v>8569</v>
      </c>
      <c r="W40" s="17">
        <f t="shared" si="4"/>
        <v>3553</v>
      </c>
      <c r="X40" s="17">
        <f t="shared" si="5"/>
        <v>1901</v>
      </c>
      <c r="Y40" s="19">
        <f t="shared" si="6"/>
        <v>4.507627564439769</v>
      </c>
      <c r="Z40">
        <v>72167</v>
      </c>
      <c r="AA40">
        <v>240</v>
      </c>
      <c r="AB40">
        <v>385</v>
      </c>
      <c r="AC40">
        <v>33513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f t="shared" si="7"/>
        <v>33513</v>
      </c>
      <c r="BF40">
        <v>106305</v>
      </c>
      <c r="BG40">
        <v>106305</v>
      </c>
      <c r="BH40" t="s">
        <v>226</v>
      </c>
      <c r="BI40" t="s">
        <v>1648</v>
      </c>
      <c r="BJ40">
        <v>34138</v>
      </c>
      <c r="BK40">
        <v>0</v>
      </c>
      <c r="BL40">
        <v>106305</v>
      </c>
      <c r="BM40">
        <v>0</v>
      </c>
      <c r="BN40">
        <v>0</v>
      </c>
      <c r="BO40">
        <v>75146.637931034493</v>
      </c>
      <c r="BP40">
        <v>31158.362068965522</v>
      </c>
      <c r="BQ40">
        <v>106305</v>
      </c>
      <c r="BR40">
        <f t="shared" si="8"/>
        <v>6668</v>
      </c>
      <c r="BS40">
        <f t="shared" si="9"/>
        <v>17576</v>
      </c>
    </row>
    <row r="41" spans="1:71" x14ac:dyDescent="0.25">
      <c r="A41" s="5" t="s">
        <v>1451</v>
      </c>
      <c r="B41" s="5" t="s">
        <v>207</v>
      </c>
      <c r="C41" s="5" t="s">
        <v>61</v>
      </c>
      <c r="D41" s="1" t="s">
        <v>117</v>
      </c>
      <c r="E41">
        <v>0</v>
      </c>
      <c r="F41">
        <v>6200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16">
        <v>6200</v>
      </c>
      <c r="P41">
        <v>0</v>
      </c>
      <c r="Q41">
        <v>828</v>
      </c>
      <c r="R41">
        <v>7028</v>
      </c>
      <c r="S41" s="18">
        <f t="shared" si="0"/>
        <v>0.88218554354012524</v>
      </c>
      <c r="T41" s="17">
        <f t="shared" si="1"/>
        <v>0</v>
      </c>
      <c r="U41" s="17">
        <f t="shared" si="2"/>
        <v>0</v>
      </c>
      <c r="V41" s="17">
        <f t="shared" si="3"/>
        <v>7028</v>
      </c>
      <c r="W41" s="17">
        <f t="shared" si="4"/>
        <v>0</v>
      </c>
      <c r="X41" s="17">
        <f t="shared" si="5"/>
        <v>828</v>
      </c>
      <c r="Y41" s="19">
        <f t="shared" si="6"/>
        <v>8.4879227053140092</v>
      </c>
      <c r="Z41">
        <v>6200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f t="shared" si="7"/>
        <v>0</v>
      </c>
      <c r="BF41">
        <v>6200</v>
      </c>
      <c r="BG41">
        <v>6200</v>
      </c>
      <c r="BH41" t="s">
        <v>546</v>
      </c>
      <c r="BI41" t="s">
        <v>1553</v>
      </c>
      <c r="BJ41">
        <v>0</v>
      </c>
      <c r="BK41">
        <v>0</v>
      </c>
      <c r="BL41">
        <v>6200</v>
      </c>
      <c r="BM41">
        <v>0</v>
      </c>
      <c r="BN41">
        <v>0</v>
      </c>
      <c r="BO41">
        <v>6200</v>
      </c>
      <c r="BP41">
        <v>0</v>
      </c>
      <c r="BQ41">
        <v>6200</v>
      </c>
      <c r="BR41">
        <f t="shared" si="8"/>
        <v>6200</v>
      </c>
      <c r="BS41">
        <f t="shared" si="9"/>
        <v>7856</v>
      </c>
    </row>
    <row r="42" spans="1:71" x14ac:dyDescent="0.25">
      <c r="A42" s="5" t="s">
        <v>207</v>
      </c>
      <c r="B42" s="5" t="s">
        <v>207</v>
      </c>
      <c r="C42" s="5" t="s">
        <v>61</v>
      </c>
      <c r="D42" s="1" t="s">
        <v>119</v>
      </c>
      <c r="E42">
        <v>0</v>
      </c>
      <c r="F42">
        <v>500</v>
      </c>
      <c r="G42">
        <v>0</v>
      </c>
      <c r="H42">
        <v>0</v>
      </c>
      <c r="I42">
        <v>0</v>
      </c>
      <c r="J42">
        <v>0</v>
      </c>
      <c r="K42">
        <v>900</v>
      </c>
      <c r="L42">
        <v>0</v>
      </c>
      <c r="M42">
        <v>0</v>
      </c>
      <c r="N42">
        <v>0</v>
      </c>
      <c r="O42">
        <v>0</v>
      </c>
      <c r="P42">
        <v>16668</v>
      </c>
      <c r="Q42">
        <v>296</v>
      </c>
      <c r="R42">
        <v>1852</v>
      </c>
      <c r="S42" s="18">
        <f t="shared" si="0"/>
        <v>9</v>
      </c>
      <c r="T42" s="17">
        <f t="shared" si="1"/>
        <v>0</v>
      </c>
      <c r="U42" s="17">
        <f t="shared" si="2"/>
        <v>0</v>
      </c>
      <c r="V42" s="17">
        <f t="shared" si="3"/>
        <v>0</v>
      </c>
      <c r="W42" s="17">
        <f t="shared" si="4"/>
        <v>1852</v>
      </c>
      <c r="X42" s="17">
        <f t="shared" si="5"/>
        <v>-1556</v>
      </c>
      <c r="Y42" s="19">
        <f t="shared" si="6"/>
        <v>0</v>
      </c>
      <c r="Z42">
        <v>500</v>
      </c>
      <c r="AA42">
        <v>0</v>
      </c>
      <c r="AB42">
        <v>0</v>
      </c>
      <c r="AC42">
        <v>14645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f t="shared" si="7"/>
        <v>14645</v>
      </c>
      <c r="BF42">
        <v>15145</v>
      </c>
      <c r="BG42">
        <v>15145</v>
      </c>
      <c r="BH42" t="s">
        <v>560</v>
      </c>
      <c r="BI42" t="s">
        <v>569</v>
      </c>
      <c r="BJ42">
        <v>14645</v>
      </c>
      <c r="BK42">
        <v>0</v>
      </c>
      <c r="BL42">
        <v>15145</v>
      </c>
      <c r="BM42">
        <v>0</v>
      </c>
      <c r="BN42">
        <v>0</v>
      </c>
      <c r="BO42">
        <v>0</v>
      </c>
      <c r="BP42">
        <v>16668</v>
      </c>
      <c r="BQ42">
        <v>16668</v>
      </c>
      <c r="BR42">
        <f t="shared" si="8"/>
        <v>1556</v>
      </c>
      <c r="BS42">
        <f t="shared" si="9"/>
        <v>2148</v>
      </c>
    </row>
    <row r="43" spans="1:71" x14ac:dyDescent="0.25">
      <c r="A43" s="5" t="s">
        <v>1451</v>
      </c>
      <c r="B43" s="5" t="s">
        <v>207</v>
      </c>
      <c r="C43" s="5" t="s">
        <v>61</v>
      </c>
      <c r="D43" s="1" t="s">
        <v>121</v>
      </c>
      <c r="E43">
        <v>0</v>
      </c>
      <c r="F43">
        <v>3500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6">
        <v>3500</v>
      </c>
      <c r="P43">
        <v>0</v>
      </c>
      <c r="Q43">
        <v>722</v>
      </c>
      <c r="R43">
        <v>4222</v>
      </c>
      <c r="S43" s="18">
        <f t="shared" si="0"/>
        <v>0.82899099952629085</v>
      </c>
      <c r="T43" s="17">
        <f t="shared" si="1"/>
        <v>0</v>
      </c>
      <c r="U43" s="17">
        <f t="shared" si="2"/>
        <v>0</v>
      </c>
      <c r="V43" s="17">
        <f t="shared" si="3"/>
        <v>4222</v>
      </c>
      <c r="W43" s="17">
        <f t="shared" si="4"/>
        <v>0</v>
      </c>
      <c r="X43" s="17">
        <f t="shared" si="5"/>
        <v>722</v>
      </c>
      <c r="Y43" s="19">
        <f t="shared" si="6"/>
        <v>5.8476454293628812</v>
      </c>
      <c r="Z43">
        <v>3500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f t="shared" si="7"/>
        <v>0</v>
      </c>
      <c r="BF43">
        <v>3500</v>
      </c>
      <c r="BG43">
        <v>3500</v>
      </c>
      <c r="BH43" t="s">
        <v>546</v>
      </c>
      <c r="BI43" t="s">
        <v>1555</v>
      </c>
      <c r="BJ43">
        <v>0</v>
      </c>
      <c r="BK43">
        <v>0</v>
      </c>
      <c r="BL43">
        <v>3500</v>
      </c>
      <c r="BM43">
        <v>0</v>
      </c>
      <c r="BN43">
        <v>0</v>
      </c>
      <c r="BO43">
        <v>3500</v>
      </c>
      <c r="BP43">
        <v>0</v>
      </c>
      <c r="BQ43">
        <v>3500</v>
      </c>
      <c r="BR43">
        <f t="shared" si="8"/>
        <v>3500</v>
      </c>
      <c r="BS43">
        <f t="shared" si="9"/>
        <v>4944</v>
      </c>
    </row>
    <row r="44" spans="1:71" x14ac:dyDescent="0.25">
      <c r="A44" s="5" t="s">
        <v>1451</v>
      </c>
      <c r="B44" s="5" t="s">
        <v>61</v>
      </c>
      <c r="C44" s="5" t="s">
        <v>207</v>
      </c>
      <c r="D44" s="1" t="s">
        <v>104</v>
      </c>
      <c r="E44">
        <v>0</v>
      </c>
      <c r="F44">
        <v>2800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16">
        <v>2800</v>
      </c>
      <c r="P44">
        <v>0</v>
      </c>
      <c r="Q44">
        <v>165</v>
      </c>
      <c r="R44">
        <v>2965</v>
      </c>
      <c r="S44" s="18">
        <f t="shared" si="0"/>
        <v>0.94435075885328834</v>
      </c>
      <c r="T44" s="17">
        <f t="shared" si="1"/>
        <v>0</v>
      </c>
      <c r="U44" s="17">
        <f t="shared" si="2"/>
        <v>0</v>
      </c>
      <c r="V44" s="17">
        <f t="shared" si="3"/>
        <v>2965</v>
      </c>
      <c r="W44" s="17">
        <f t="shared" si="4"/>
        <v>0</v>
      </c>
      <c r="X44" s="17">
        <f t="shared" si="5"/>
        <v>165</v>
      </c>
      <c r="Y44" s="19">
        <f t="shared" si="6"/>
        <v>17.969696969696969</v>
      </c>
      <c r="Z44">
        <v>2800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f t="shared" si="7"/>
        <v>0</v>
      </c>
      <c r="BF44">
        <v>2800</v>
      </c>
      <c r="BG44">
        <v>2800</v>
      </c>
      <c r="BH44" t="s">
        <v>546</v>
      </c>
      <c r="BI44" t="s">
        <v>1490</v>
      </c>
      <c r="BJ44">
        <v>0</v>
      </c>
      <c r="BK44">
        <v>0</v>
      </c>
      <c r="BL44">
        <v>2800</v>
      </c>
      <c r="BM44">
        <v>0</v>
      </c>
      <c r="BN44">
        <v>0</v>
      </c>
      <c r="BO44">
        <v>2800</v>
      </c>
      <c r="BP44">
        <v>0</v>
      </c>
      <c r="BQ44">
        <v>2800</v>
      </c>
      <c r="BR44">
        <f t="shared" si="8"/>
        <v>2800</v>
      </c>
      <c r="BS44">
        <f t="shared" si="9"/>
        <v>3130</v>
      </c>
    </row>
    <row r="45" spans="1:71" x14ac:dyDescent="0.25">
      <c r="A45" s="5" t="s">
        <v>1451</v>
      </c>
      <c r="B45" s="5" t="s">
        <v>61</v>
      </c>
      <c r="C45" s="5" t="s">
        <v>207</v>
      </c>
      <c r="D45" s="1" t="s">
        <v>106</v>
      </c>
      <c r="E45">
        <v>0</v>
      </c>
      <c r="F45">
        <v>2934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284.59122401847583</v>
      </c>
      <c r="N45">
        <v>0</v>
      </c>
      <c r="O45" s="16">
        <v>2649.4087759815238</v>
      </c>
      <c r="P45">
        <v>0</v>
      </c>
      <c r="Q45">
        <v>391</v>
      </c>
      <c r="R45">
        <v>3031</v>
      </c>
      <c r="S45" s="18">
        <f t="shared" si="0"/>
        <v>0.96799736060706021</v>
      </c>
      <c r="T45" s="17">
        <f t="shared" si="1"/>
        <v>294.00000000000011</v>
      </c>
      <c r="U45" s="17">
        <f t="shared" si="2"/>
        <v>0</v>
      </c>
      <c r="V45" s="17">
        <f t="shared" si="3"/>
        <v>2737</v>
      </c>
      <c r="W45" s="17">
        <f t="shared" si="4"/>
        <v>0</v>
      </c>
      <c r="X45" s="17">
        <f t="shared" si="5"/>
        <v>96.999999999999886</v>
      </c>
      <c r="Y45" s="19">
        <f t="shared" si="6"/>
        <v>28.21649484536086</v>
      </c>
      <c r="Z45">
        <v>2934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f t="shared" si="7"/>
        <v>0</v>
      </c>
      <c r="BF45">
        <v>2934</v>
      </c>
      <c r="BG45">
        <v>2934</v>
      </c>
      <c r="BH45" t="s">
        <v>546</v>
      </c>
      <c r="BI45" t="s">
        <v>1491</v>
      </c>
      <c r="BJ45">
        <v>0</v>
      </c>
      <c r="BK45">
        <v>0</v>
      </c>
      <c r="BL45">
        <v>2934</v>
      </c>
      <c r="BM45">
        <v>284.59122401847583</v>
      </c>
      <c r="BN45">
        <v>0</v>
      </c>
      <c r="BO45">
        <v>2649.4087759815238</v>
      </c>
      <c r="BP45">
        <v>0</v>
      </c>
      <c r="BQ45">
        <v>2934</v>
      </c>
      <c r="BR45">
        <f t="shared" si="8"/>
        <v>2640</v>
      </c>
      <c r="BS45">
        <f t="shared" si="9"/>
        <v>3422</v>
      </c>
    </row>
    <row r="46" spans="1:71" x14ac:dyDescent="0.25">
      <c r="A46" s="5" t="s">
        <v>1451</v>
      </c>
      <c r="B46" s="5" t="s">
        <v>359</v>
      </c>
      <c r="C46" s="5" t="s">
        <v>61</v>
      </c>
      <c r="D46" s="1" t="s">
        <v>149</v>
      </c>
      <c r="E46">
        <v>0</v>
      </c>
      <c r="F46">
        <v>2523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16">
        <v>2523</v>
      </c>
      <c r="P46">
        <v>0</v>
      </c>
      <c r="Q46">
        <v>260</v>
      </c>
      <c r="R46">
        <v>2783</v>
      </c>
      <c r="S46" s="18">
        <f t="shared" si="0"/>
        <v>0.9065756378009342</v>
      </c>
      <c r="T46" s="17">
        <f t="shared" si="1"/>
        <v>0</v>
      </c>
      <c r="U46" s="17">
        <f t="shared" si="2"/>
        <v>0</v>
      </c>
      <c r="V46" s="17">
        <f t="shared" si="3"/>
        <v>2783</v>
      </c>
      <c r="W46" s="17">
        <f t="shared" si="4"/>
        <v>0</v>
      </c>
      <c r="X46" s="17">
        <f t="shared" si="5"/>
        <v>260</v>
      </c>
      <c r="Y46" s="19">
        <f t="shared" si="6"/>
        <v>10.703846153846154</v>
      </c>
      <c r="Z46">
        <v>2523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f t="shared" si="7"/>
        <v>0</v>
      </c>
      <c r="BF46">
        <v>2523</v>
      </c>
      <c r="BG46">
        <v>2523</v>
      </c>
      <c r="BH46" t="s">
        <v>546</v>
      </c>
      <c r="BI46" t="s">
        <v>1637</v>
      </c>
      <c r="BJ46">
        <v>0</v>
      </c>
      <c r="BK46">
        <v>0</v>
      </c>
      <c r="BL46">
        <v>2523</v>
      </c>
      <c r="BM46">
        <v>0</v>
      </c>
      <c r="BN46">
        <v>0</v>
      </c>
      <c r="BO46">
        <v>2523</v>
      </c>
      <c r="BP46">
        <v>0</v>
      </c>
      <c r="BQ46">
        <v>2523</v>
      </c>
      <c r="BR46">
        <f t="shared" si="8"/>
        <v>2523</v>
      </c>
      <c r="BS46">
        <f t="shared" si="9"/>
        <v>3043</v>
      </c>
    </row>
    <row r="47" spans="1:71" x14ac:dyDescent="0.25">
      <c r="A47" s="5" t="s">
        <v>1451</v>
      </c>
      <c r="B47" s="5" t="s">
        <v>359</v>
      </c>
      <c r="C47" s="5" t="s">
        <v>61</v>
      </c>
      <c r="D47" s="1" t="s">
        <v>137</v>
      </c>
      <c r="E47">
        <v>0</v>
      </c>
      <c r="F47">
        <v>2450</v>
      </c>
      <c r="G47">
        <v>0</v>
      </c>
      <c r="H47">
        <v>0</v>
      </c>
      <c r="I47">
        <v>160</v>
      </c>
      <c r="J47">
        <v>1387</v>
      </c>
      <c r="K47">
        <v>1061</v>
      </c>
      <c r="L47">
        <v>0</v>
      </c>
      <c r="M47">
        <v>0</v>
      </c>
      <c r="N47">
        <v>0</v>
      </c>
      <c r="O47" s="16">
        <v>6948</v>
      </c>
      <c r="P47">
        <v>0</v>
      </c>
      <c r="Q47">
        <v>400</v>
      </c>
      <c r="R47">
        <v>2611</v>
      </c>
      <c r="S47" s="18">
        <f t="shared" si="0"/>
        <v>2.6610494063577175</v>
      </c>
      <c r="T47" s="17">
        <f t="shared" si="1"/>
        <v>0</v>
      </c>
      <c r="U47" s="17">
        <f t="shared" si="2"/>
        <v>0</v>
      </c>
      <c r="V47" s="17">
        <f t="shared" si="3"/>
        <v>2611</v>
      </c>
      <c r="W47" s="17">
        <f t="shared" si="4"/>
        <v>0</v>
      </c>
      <c r="X47" s="17">
        <f t="shared" si="5"/>
        <v>400</v>
      </c>
      <c r="Y47" s="19">
        <f t="shared" si="6"/>
        <v>6.5274999999999999</v>
      </c>
      <c r="Z47">
        <v>2450</v>
      </c>
      <c r="AA47">
        <v>0</v>
      </c>
      <c r="AB47">
        <v>0</v>
      </c>
      <c r="AC47">
        <v>1890</v>
      </c>
      <c r="AD47">
        <v>0</v>
      </c>
      <c r="AE47">
        <v>0</v>
      </c>
      <c r="AF47">
        <v>0</v>
      </c>
      <c r="AG47">
        <v>160</v>
      </c>
      <c r="AH47">
        <v>160</v>
      </c>
      <c r="AI47">
        <v>0</v>
      </c>
      <c r="AJ47">
        <v>0</v>
      </c>
      <c r="AK47">
        <v>1387</v>
      </c>
      <c r="AL47">
        <v>1387</v>
      </c>
      <c r="AM47">
        <v>0</v>
      </c>
      <c r="AN47">
        <v>0</v>
      </c>
      <c r="AO47">
        <v>1061</v>
      </c>
      <c r="AP47">
        <v>768</v>
      </c>
      <c r="AQ47">
        <v>1061</v>
      </c>
      <c r="AR47">
        <v>293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f t="shared" si="7"/>
        <v>8167</v>
      </c>
      <c r="BF47">
        <v>6948</v>
      </c>
      <c r="BG47">
        <v>6948</v>
      </c>
      <c r="BH47" t="s">
        <v>82</v>
      </c>
      <c r="BI47" t="s">
        <v>1631</v>
      </c>
      <c r="BJ47">
        <v>1890</v>
      </c>
      <c r="BK47">
        <v>2608</v>
      </c>
      <c r="BL47">
        <v>6948</v>
      </c>
      <c r="BM47">
        <v>0</v>
      </c>
      <c r="BN47">
        <v>0</v>
      </c>
      <c r="BO47">
        <v>6948</v>
      </c>
      <c r="BP47">
        <v>2608</v>
      </c>
      <c r="BQ47">
        <v>9556</v>
      </c>
      <c r="BR47">
        <f t="shared" si="8"/>
        <v>2211</v>
      </c>
      <c r="BS47">
        <f t="shared" si="9"/>
        <v>3011</v>
      </c>
    </row>
    <row r="48" spans="1:71" x14ac:dyDescent="0.25">
      <c r="A48" s="5" t="s">
        <v>1451</v>
      </c>
      <c r="B48" s="5" t="s">
        <v>61</v>
      </c>
      <c r="C48" s="5" t="s">
        <v>627</v>
      </c>
      <c r="D48" s="1" t="s">
        <v>77</v>
      </c>
      <c r="E48">
        <v>0</v>
      </c>
      <c r="F48">
        <v>2300</v>
      </c>
      <c r="G48">
        <v>0</v>
      </c>
      <c r="H48">
        <v>0</v>
      </c>
      <c r="I48">
        <v>100</v>
      </c>
      <c r="J48">
        <v>0</v>
      </c>
      <c r="K48">
        <v>0</v>
      </c>
      <c r="L48">
        <v>0</v>
      </c>
      <c r="M48">
        <v>0</v>
      </c>
      <c r="N48">
        <v>0</v>
      </c>
      <c r="O48" s="16">
        <v>2400</v>
      </c>
      <c r="P48">
        <v>0</v>
      </c>
      <c r="Q48">
        <v>444</v>
      </c>
      <c r="R48">
        <v>1844</v>
      </c>
      <c r="S48" s="18">
        <f t="shared" si="0"/>
        <v>1.3015184381778742</v>
      </c>
      <c r="T48" s="17">
        <f t="shared" si="1"/>
        <v>0</v>
      </c>
      <c r="U48" s="17">
        <f t="shared" si="2"/>
        <v>0</v>
      </c>
      <c r="V48" s="17">
        <f t="shared" si="3"/>
        <v>1844</v>
      </c>
      <c r="W48" s="17">
        <f t="shared" si="4"/>
        <v>0</v>
      </c>
      <c r="X48" s="17">
        <f t="shared" si="5"/>
        <v>444</v>
      </c>
      <c r="Y48" s="19">
        <f t="shared" si="6"/>
        <v>4.1531531531531529</v>
      </c>
      <c r="Z48">
        <v>2300</v>
      </c>
      <c r="AA48">
        <v>0</v>
      </c>
      <c r="AB48">
        <v>0</v>
      </c>
      <c r="AC48">
        <v>0</v>
      </c>
      <c r="AD48">
        <v>100</v>
      </c>
      <c r="AE48">
        <v>0</v>
      </c>
      <c r="AF48">
        <v>0</v>
      </c>
      <c r="AG48">
        <v>0</v>
      </c>
      <c r="AH48">
        <v>100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f t="shared" si="7"/>
        <v>200</v>
      </c>
      <c r="BF48">
        <v>2400</v>
      </c>
      <c r="BG48">
        <v>2400</v>
      </c>
      <c r="BH48" t="s">
        <v>546</v>
      </c>
      <c r="BI48" t="s">
        <v>1516</v>
      </c>
      <c r="BJ48">
        <v>0</v>
      </c>
      <c r="BK48">
        <v>100</v>
      </c>
      <c r="BL48">
        <v>2400</v>
      </c>
      <c r="BM48">
        <v>100</v>
      </c>
      <c r="BN48">
        <v>0</v>
      </c>
      <c r="BO48">
        <v>2400</v>
      </c>
      <c r="BP48">
        <v>0</v>
      </c>
      <c r="BQ48">
        <v>2500</v>
      </c>
      <c r="BR48">
        <f t="shared" si="8"/>
        <v>1400</v>
      </c>
      <c r="BS48">
        <f t="shared" si="9"/>
        <v>2288</v>
      </c>
    </row>
    <row r="49" spans="1:71" x14ac:dyDescent="0.25">
      <c r="A49" s="5" t="s">
        <v>1451</v>
      </c>
      <c r="B49" s="5" t="s">
        <v>359</v>
      </c>
      <c r="C49" s="5" t="s">
        <v>61</v>
      </c>
      <c r="D49" s="1" t="s">
        <v>147</v>
      </c>
      <c r="E49">
        <v>0</v>
      </c>
      <c r="F49">
        <v>3640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16">
        <v>2994.1935483870971</v>
      </c>
      <c r="P49">
        <v>645.80645161290329</v>
      </c>
      <c r="Q49">
        <v>540</v>
      </c>
      <c r="R49">
        <v>1860</v>
      </c>
      <c r="S49" s="18">
        <f t="shared" si="0"/>
        <v>1.9569892473118282</v>
      </c>
      <c r="T49" s="17">
        <f t="shared" si="1"/>
        <v>0</v>
      </c>
      <c r="U49" s="17">
        <f t="shared" si="2"/>
        <v>0</v>
      </c>
      <c r="V49" s="17">
        <f t="shared" si="3"/>
        <v>1530</v>
      </c>
      <c r="W49" s="17">
        <f t="shared" si="4"/>
        <v>330</v>
      </c>
      <c r="X49" s="17">
        <f t="shared" si="5"/>
        <v>210</v>
      </c>
      <c r="Y49" s="19">
        <f t="shared" si="6"/>
        <v>7.2857142857142856</v>
      </c>
      <c r="Z49">
        <v>3640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f t="shared" si="7"/>
        <v>0</v>
      </c>
      <c r="BF49">
        <v>3640</v>
      </c>
      <c r="BG49">
        <v>3640</v>
      </c>
      <c r="BH49" t="s">
        <v>546</v>
      </c>
      <c r="BI49" t="s">
        <v>1636</v>
      </c>
      <c r="BJ49">
        <v>0</v>
      </c>
      <c r="BK49">
        <v>0</v>
      </c>
      <c r="BL49">
        <v>3640</v>
      </c>
      <c r="BM49">
        <v>0</v>
      </c>
      <c r="BN49">
        <v>0</v>
      </c>
      <c r="BO49">
        <v>2994.1935483870971</v>
      </c>
      <c r="BP49">
        <v>645.80645161290329</v>
      </c>
      <c r="BQ49">
        <v>3640</v>
      </c>
      <c r="BR49">
        <f t="shared" si="8"/>
        <v>1320</v>
      </c>
      <c r="BS49">
        <f t="shared" si="9"/>
        <v>2400</v>
      </c>
    </row>
    <row r="50" spans="1:71" x14ac:dyDescent="0.25">
      <c r="A50" s="5" t="s">
        <v>1451</v>
      </c>
      <c r="B50" s="5" t="s">
        <v>359</v>
      </c>
      <c r="C50" s="5" t="s">
        <v>207</v>
      </c>
      <c r="D50" s="1" t="s">
        <v>71</v>
      </c>
      <c r="E50">
        <v>401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16">
        <v>31014</v>
      </c>
      <c r="P50">
        <v>16776</v>
      </c>
      <c r="Q50">
        <v>4264</v>
      </c>
      <c r="R50">
        <v>5310</v>
      </c>
      <c r="S50" s="18">
        <f t="shared" si="0"/>
        <v>9</v>
      </c>
      <c r="T50" s="17">
        <f t="shared" si="1"/>
        <v>0</v>
      </c>
      <c r="U50" s="17">
        <f t="shared" si="2"/>
        <v>0</v>
      </c>
      <c r="V50" s="17">
        <f t="shared" si="3"/>
        <v>3446</v>
      </c>
      <c r="W50" s="17">
        <f t="shared" si="4"/>
        <v>1864</v>
      </c>
      <c r="X50" s="17">
        <f t="shared" si="5"/>
        <v>2400</v>
      </c>
      <c r="Y50" s="19">
        <f t="shared" si="6"/>
        <v>1.4358333333333333</v>
      </c>
      <c r="Z50">
        <v>43055</v>
      </c>
      <c r="AA50">
        <v>4407</v>
      </c>
      <c r="AB50">
        <v>0</v>
      </c>
      <c r="AC50">
        <v>27366</v>
      </c>
      <c r="AD50">
        <v>0</v>
      </c>
      <c r="AE50">
        <v>0</v>
      </c>
      <c r="AF50">
        <v>951</v>
      </c>
      <c r="AG50">
        <v>947</v>
      </c>
      <c r="AH50">
        <v>1898</v>
      </c>
      <c r="AI50">
        <v>0</v>
      </c>
      <c r="AJ50">
        <v>0</v>
      </c>
      <c r="AK50">
        <v>1444</v>
      </c>
      <c r="AL50">
        <v>1444</v>
      </c>
      <c r="AM50">
        <v>0</v>
      </c>
      <c r="AN50">
        <v>0</v>
      </c>
      <c r="AO50">
        <v>5262</v>
      </c>
      <c r="AP50">
        <v>4706</v>
      </c>
      <c r="AQ50">
        <v>5262</v>
      </c>
      <c r="AR50">
        <v>556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551</v>
      </c>
      <c r="BA50">
        <v>551</v>
      </c>
      <c r="BB50">
        <v>0</v>
      </c>
      <c r="BC50">
        <v>0</v>
      </c>
      <c r="BD50">
        <v>0</v>
      </c>
      <c r="BE50">
        <f t="shared" si="7"/>
        <v>50938</v>
      </c>
      <c r="BF50">
        <v>84384</v>
      </c>
      <c r="BG50">
        <v>84384</v>
      </c>
      <c r="BH50" t="s">
        <v>226</v>
      </c>
      <c r="BI50" t="s">
        <v>1652</v>
      </c>
      <c r="BJ50">
        <v>32174</v>
      </c>
      <c r="BK50">
        <v>9155</v>
      </c>
      <c r="BL50">
        <v>84384</v>
      </c>
      <c r="BM50">
        <v>0</v>
      </c>
      <c r="BN50">
        <v>0</v>
      </c>
      <c r="BO50">
        <v>31965</v>
      </c>
      <c r="BP50">
        <v>24980</v>
      </c>
      <c r="BQ50">
        <v>56945</v>
      </c>
      <c r="BR50">
        <f t="shared" si="8"/>
        <v>1046</v>
      </c>
      <c r="BS50">
        <f t="shared" si="9"/>
        <v>9574</v>
      </c>
    </row>
    <row r="51" spans="1:71" x14ac:dyDescent="0.25">
      <c r="A51" s="5" t="s">
        <v>1661</v>
      </c>
      <c r="B51" s="5" t="s">
        <v>359</v>
      </c>
      <c r="C51" s="5" t="s">
        <v>207</v>
      </c>
      <c r="D51" s="1" t="s">
        <v>62</v>
      </c>
      <c r="E51">
        <v>0</v>
      </c>
      <c r="F51">
        <v>27375</v>
      </c>
      <c r="G51">
        <v>0</v>
      </c>
      <c r="H51">
        <v>0</v>
      </c>
      <c r="I51">
        <v>1690</v>
      </c>
      <c r="J51">
        <v>0</v>
      </c>
      <c r="K51">
        <v>6659</v>
      </c>
      <c r="L51">
        <v>0</v>
      </c>
      <c r="M51">
        <v>2925</v>
      </c>
      <c r="N51">
        <v>16623</v>
      </c>
      <c r="O51">
        <v>0</v>
      </c>
      <c r="P51">
        <v>12969</v>
      </c>
      <c r="Q51">
        <v>2532</v>
      </c>
      <c r="R51">
        <v>3613</v>
      </c>
      <c r="S51" s="18">
        <f t="shared" si="0"/>
        <v>9</v>
      </c>
      <c r="T51" s="17">
        <f t="shared" si="1"/>
        <v>325</v>
      </c>
      <c r="U51" s="17">
        <f t="shared" si="2"/>
        <v>1847</v>
      </c>
      <c r="V51" s="17">
        <f t="shared" si="3"/>
        <v>0</v>
      </c>
      <c r="W51" s="17">
        <f t="shared" si="4"/>
        <v>1441</v>
      </c>
      <c r="X51" s="17">
        <f t="shared" si="5"/>
        <v>-1081</v>
      </c>
      <c r="Y51" s="19">
        <f t="shared" si="6"/>
        <v>0</v>
      </c>
      <c r="Z51">
        <v>27375</v>
      </c>
      <c r="AA51">
        <v>0</v>
      </c>
      <c r="AB51">
        <v>0</v>
      </c>
      <c r="AC51">
        <v>0</v>
      </c>
      <c r="AD51">
        <v>98</v>
      </c>
      <c r="AE51">
        <v>1093</v>
      </c>
      <c r="AF51">
        <v>0</v>
      </c>
      <c r="AG51">
        <v>499</v>
      </c>
      <c r="AH51">
        <v>1690</v>
      </c>
      <c r="AI51">
        <v>0</v>
      </c>
      <c r="AJ51">
        <v>0</v>
      </c>
      <c r="AK51">
        <v>0</v>
      </c>
      <c r="AL51">
        <v>0</v>
      </c>
      <c r="AM51">
        <v>91</v>
      </c>
      <c r="AN51">
        <v>5856</v>
      </c>
      <c r="AO51">
        <v>712</v>
      </c>
      <c r="AP51">
        <v>1819</v>
      </c>
      <c r="AQ51">
        <v>6659</v>
      </c>
      <c r="AR51">
        <v>2520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f t="shared" si="7"/>
        <v>21037</v>
      </c>
      <c r="BF51">
        <v>35724</v>
      </c>
      <c r="BG51">
        <v>35724</v>
      </c>
      <c r="BH51" t="s">
        <v>560</v>
      </c>
      <c r="BI51" t="s">
        <v>1882</v>
      </c>
      <c r="BJ51">
        <v>0</v>
      </c>
      <c r="BK51">
        <v>8349</v>
      </c>
      <c r="BL51">
        <v>35724</v>
      </c>
      <c r="BM51">
        <v>3114</v>
      </c>
      <c r="BN51">
        <v>23572</v>
      </c>
      <c r="BO51">
        <v>0</v>
      </c>
      <c r="BP51">
        <v>14180</v>
      </c>
      <c r="BQ51">
        <v>40866</v>
      </c>
      <c r="BR51">
        <f t="shared" si="8"/>
        <v>1081</v>
      </c>
      <c r="BS51">
        <f t="shared" si="9"/>
        <v>6145</v>
      </c>
    </row>
    <row r="52" spans="1:71" x14ac:dyDescent="0.25">
      <c r="A52" s="5" t="s">
        <v>1451</v>
      </c>
      <c r="B52" s="5" t="s">
        <v>359</v>
      </c>
      <c r="C52" s="5" t="s">
        <v>61</v>
      </c>
      <c r="D52" s="1" t="s">
        <v>151</v>
      </c>
      <c r="E52">
        <v>0</v>
      </c>
      <c r="F52">
        <v>860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16">
        <v>860</v>
      </c>
      <c r="P52">
        <v>0</v>
      </c>
      <c r="Q52">
        <v>124</v>
      </c>
      <c r="R52">
        <v>984</v>
      </c>
      <c r="S52" s="18">
        <f t="shared" si="0"/>
        <v>0.87398373983739841</v>
      </c>
      <c r="T52" s="17">
        <f t="shared" si="1"/>
        <v>0</v>
      </c>
      <c r="U52" s="17">
        <f t="shared" si="2"/>
        <v>0</v>
      </c>
      <c r="V52" s="17">
        <f t="shared" si="3"/>
        <v>984</v>
      </c>
      <c r="W52" s="17">
        <f t="shared" si="4"/>
        <v>0</v>
      </c>
      <c r="X52" s="17">
        <f t="shared" si="5"/>
        <v>124</v>
      </c>
      <c r="Y52" s="19">
        <f t="shared" si="6"/>
        <v>7.935483870967742</v>
      </c>
      <c r="Z52">
        <v>860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f t="shared" si="7"/>
        <v>0</v>
      </c>
      <c r="BF52">
        <v>860</v>
      </c>
      <c r="BG52">
        <v>860</v>
      </c>
      <c r="BH52" t="s">
        <v>546</v>
      </c>
      <c r="BI52" t="s">
        <v>1638</v>
      </c>
      <c r="BJ52">
        <v>0</v>
      </c>
      <c r="BK52">
        <v>0</v>
      </c>
      <c r="BL52">
        <v>860</v>
      </c>
      <c r="BM52">
        <v>0</v>
      </c>
      <c r="BN52">
        <v>0</v>
      </c>
      <c r="BO52">
        <v>860</v>
      </c>
      <c r="BP52">
        <v>0</v>
      </c>
      <c r="BQ52">
        <v>860</v>
      </c>
      <c r="BR52">
        <f t="shared" si="8"/>
        <v>860</v>
      </c>
      <c r="BS52">
        <f t="shared" si="9"/>
        <v>1108</v>
      </c>
    </row>
    <row r="53" spans="1:71" x14ac:dyDescent="0.25">
      <c r="A53" s="5" t="s">
        <v>1451</v>
      </c>
      <c r="B53" s="5" t="s">
        <v>359</v>
      </c>
      <c r="C53" s="5" t="s">
        <v>61</v>
      </c>
      <c r="D53" s="1" t="s">
        <v>104</v>
      </c>
      <c r="E53">
        <v>39</v>
      </c>
      <c r="F53">
        <v>3992</v>
      </c>
      <c r="G53">
        <v>0</v>
      </c>
      <c r="H53">
        <v>0</v>
      </c>
      <c r="I53">
        <v>237</v>
      </c>
      <c r="J53">
        <v>723</v>
      </c>
      <c r="K53">
        <v>264</v>
      </c>
      <c r="L53">
        <v>0</v>
      </c>
      <c r="M53">
        <v>14454</v>
      </c>
      <c r="N53">
        <v>0</v>
      </c>
      <c r="O53" s="16">
        <v>7902</v>
      </c>
      <c r="P53">
        <v>0</v>
      </c>
      <c r="Q53">
        <v>1715</v>
      </c>
      <c r="R53">
        <v>2484</v>
      </c>
      <c r="S53" s="18">
        <f t="shared" si="0"/>
        <v>9</v>
      </c>
      <c r="T53" s="17">
        <f t="shared" si="1"/>
        <v>1606</v>
      </c>
      <c r="U53" s="17">
        <f t="shared" si="2"/>
        <v>0</v>
      </c>
      <c r="V53" s="17">
        <f t="shared" si="3"/>
        <v>878</v>
      </c>
      <c r="W53" s="17">
        <f t="shared" si="4"/>
        <v>0</v>
      </c>
      <c r="X53" s="17">
        <f t="shared" si="5"/>
        <v>109</v>
      </c>
      <c r="Y53" s="19">
        <f t="shared" si="6"/>
        <v>8.0550458715596331</v>
      </c>
      <c r="Z53">
        <v>3992</v>
      </c>
      <c r="AA53">
        <v>0</v>
      </c>
      <c r="AB53">
        <v>0</v>
      </c>
      <c r="AC53">
        <v>92</v>
      </c>
      <c r="AD53">
        <v>202</v>
      </c>
      <c r="AE53">
        <v>0</v>
      </c>
      <c r="AF53">
        <v>0</v>
      </c>
      <c r="AG53">
        <v>35</v>
      </c>
      <c r="AH53">
        <v>237</v>
      </c>
      <c r="AI53">
        <v>0</v>
      </c>
      <c r="AJ53">
        <v>0</v>
      </c>
      <c r="AK53">
        <v>723</v>
      </c>
      <c r="AL53">
        <v>723</v>
      </c>
      <c r="AM53">
        <v>141</v>
      </c>
      <c r="AN53">
        <v>0</v>
      </c>
      <c r="AO53">
        <v>123</v>
      </c>
      <c r="AP53">
        <v>166</v>
      </c>
      <c r="AQ53">
        <v>264</v>
      </c>
      <c r="AR53">
        <v>98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f t="shared" si="7"/>
        <v>2804</v>
      </c>
      <c r="BF53">
        <v>5347</v>
      </c>
      <c r="BG53">
        <v>5347</v>
      </c>
      <c r="BH53" t="s">
        <v>109</v>
      </c>
      <c r="BI53" t="s">
        <v>1618</v>
      </c>
      <c r="BJ53">
        <v>131</v>
      </c>
      <c r="BK53">
        <v>1224</v>
      </c>
      <c r="BL53">
        <v>5347</v>
      </c>
      <c r="BM53">
        <v>14797</v>
      </c>
      <c r="BN53">
        <v>0</v>
      </c>
      <c r="BO53">
        <v>7902</v>
      </c>
      <c r="BP53">
        <v>881</v>
      </c>
      <c r="BQ53">
        <v>23580</v>
      </c>
      <c r="BR53">
        <f t="shared" si="8"/>
        <v>769</v>
      </c>
      <c r="BS53">
        <f t="shared" si="9"/>
        <v>4199</v>
      </c>
    </row>
    <row r="54" spans="1:71" x14ac:dyDescent="0.25">
      <c r="A54" s="5" t="s">
        <v>1451</v>
      </c>
      <c r="B54" s="5" t="s">
        <v>61</v>
      </c>
      <c r="C54" s="5" t="s">
        <v>627</v>
      </c>
      <c r="D54" s="1" t="s">
        <v>79</v>
      </c>
      <c r="E54">
        <v>0</v>
      </c>
      <c r="F54">
        <v>850</v>
      </c>
      <c r="G54">
        <v>0</v>
      </c>
      <c r="H54">
        <v>0</v>
      </c>
      <c r="I54">
        <v>0</v>
      </c>
      <c r="J54">
        <v>0</v>
      </c>
      <c r="K54">
        <v>200</v>
      </c>
      <c r="L54">
        <v>0</v>
      </c>
      <c r="M54">
        <v>0</v>
      </c>
      <c r="N54">
        <v>0</v>
      </c>
      <c r="O54" s="16">
        <v>1300</v>
      </c>
      <c r="P54">
        <v>0</v>
      </c>
      <c r="Q54">
        <v>258</v>
      </c>
      <c r="R54">
        <v>843</v>
      </c>
      <c r="S54" s="18">
        <f t="shared" si="0"/>
        <v>1.5421115065243178</v>
      </c>
      <c r="T54" s="17">
        <f t="shared" si="1"/>
        <v>0</v>
      </c>
      <c r="U54" s="17">
        <f t="shared" si="2"/>
        <v>0</v>
      </c>
      <c r="V54" s="17">
        <f t="shared" si="3"/>
        <v>843</v>
      </c>
      <c r="W54" s="17">
        <f t="shared" si="4"/>
        <v>0</v>
      </c>
      <c r="X54" s="17">
        <f t="shared" si="5"/>
        <v>258</v>
      </c>
      <c r="Y54" s="19">
        <f t="shared" si="6"/>
        <v>3.2674418604651163</v>
      </c>
      <c r="Z54">
        <v>850</v>
      </c>
      <c r="AA54">
        <v>0</v>
      </c>
      <c r="AB54">
        <v>250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200</v>
      </c>
      <c r="AP54">
        <v>200</v>
      </c>
      <c r="AQ54">
        <v>200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f t="shared" si="7"/>
        <v>600</v>
      </c>
      <c r="BF54">
        <v>1300</v>
      </c>
      <c r="BG54">
        <v>1300</v>
      </c>
      <c r="BH54" t="s">
        <v>82</v>
      </c>
      <c r="BI54" t="s">
        <v>1517</v>
      </c>
      <c r="BJ54">
        <v>250</v>
      </c>
      <c r="BK54">
        <v>200</v>
      </c>
      <c r="BL54">
        <v>1300</v>
      </c>
      <c r="BM54">
        <v>0</v>
      </c>
      <c r="BN54">
        <v>0</v>
      </c>
      <c r="BO54">
        <v>1300</v>
      </c>
      <c r="BP54">
        <v>200</v>
      </c>
      <c r="BQ54">
        <v>1500</v>
      </c>
      <c r="BR54">
        <f t="shared" si="8"/>
        <v>585</v>
      </c>
      <c r="BS54">
        <f t="shared" si="9"/>
        <v>1101</v>
      </c>
    </row>
    <row r="55" spans="1:71" x14ac:dyDescent="0.25">
      <c r="A55" s="5" t="s">
        <v>1451</v>
      </c>
      <c r="B55" s="5" t="s">
        <v>359</v>
      </c>
      <c r="C55" s="5" t="s">
        <v>61</v>
      </c>
      <c r="D55" s="1" t="s">
        <v>102</v>
      </c>
      <c r="E55">
        <v>0</v>
      </c>
      <c r="F55">
        <v>3065</v>
      </c>
      <c r="G55">
        <v>0</v>
      </c>
      <c r="H55">
        <v>0</v>
      </c>
      <c r="I55">
        <v>460</v>
      </c>
      <c r="J55">
        <v>0</v>
      </c>
      <c r="K55">
        <v>690</v>
      </c>
      <c r="L55">
        <v>0</v>
      </c>
      <c r="M55">
        <v>2601</v>
      </c>
      <c r="N55">
        <v>0</v>
      </c>
      <c r="O55" s="16">
        <v>2979</v>
      </c>
      <c r="P55">
        <v>4716</v>
      </c>
      <c r="Q55">
        <v>1042</v>
      </c>
      <c r="R55">
        <v>1144</v>
      </c>
      <c r="S55" s="18">
        <f t="shared" si="0"/>
        <v>9</v>
      </c>
      <c r="T55" s="17">
        <f t="shared" si="1"/>
        <v>289</v>
      </c>
      <c r="U55" s="17">
        <f t="shared" si="2"/>
        <v>0</v>
      </c>
      <c r="V55" s="17">
        <f t="shared" si="3"/>
        <v>331</v>
      </c>
      <c r="W55" s="17">
        <f t="shared" si="4"/>
        <v>524</v>
      </c>
      <c r="X55" s="17">
        <f t="shared" si="5"/>
        <v>229</v>
      </c>
      <c r="Y55" s="19">
        <f t="shared" si="6"/>
        <v>1.445414847161572</v>
      </c>
      <c r="Z55">
        <v>3065</v>
      </c>
      <c r="AA55">
        <v>0</v>
      </c>
      <c r="AB55">
        <v>0</v>
      </c>
      <c r="AC55">
        <v>0</v>
      </c>
      <c r="AD55">
        <v>307</v>
      </c>
      <c r="AE55">
        <v>0</v>
      </c>
      <c r="AF55">
        <v>0</v>
      </c>
      <c r="AG55">
        <v>153</v>
      </c>
      <c r="AH55">
        <v>460</v>
      </c>
      <c r="AI55">
        <v>0</v>
      </c>
      <c r="AJ55">
        <v>0</v>
      </c>
      <c r="AK55">
        <v>0</v>
      </c>
      <c r="AL55">
        <v>0</v>
      </c>
      <c r="AM55">
        <v>50</v>
      </c>
      <c r="AN55">
        <v>0</v>
      </c>
      <c r="AO55">
        <v>640</v>
      </c>
      <c r="AP55">
        <v>170</v>
      </c>
      <c r="AQ55">
        <v>690</v>
      </c>
      <c r="AR55">
        <v>520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f t="shared" si="7"/>
        <v>2990</v>
      </c>
      <c r="BF55">
        <v>4215</v>
      </c>
      <c r="BG55">
        <v>4215</v>
      </c>
      <c r="BH55" t="s">
        <v>109</v>
      </c>
      <c r="BI55" t="s">
        <v>1567</v>
      </c>
      <c r="BJ55">
        <v>0</v>
      </c>
      <c r="BK55">
        <v>1150</v>
      </c>
      <c r="BL55">
        <v>4215</v>
      </c>
      <c r="BM55">
        <v>2958</v>
      </c>
      <c r="BN55">
        <v>0</v>
      </c>
      <c r="BO55">
        <v>2979</v>
      </c>
      <c r="BP55">
        <v>5509</v>
      </c>
      <c r="BQ55">
        <v>11446</v>
      </c>
      <c r="BR55">
        <f t="shared" si="8"/>
        <v>102</v>
      </c>
      <c r="BS55">
        <f t="shared" si="9"/>
        <v>2186</v>
      </c>
    </row>
    <row r="56" spans="1:71" x14ac:dyDescent="0.25">
      <c r="A56" s="5" t="s">
        <v>1451</v>
      </c>
      <c r="B56" s="5" t="s">
        <v>359</v>
      </c>
      <c r="C56" s="5" t="s">
        <v>207</v>
      </c>
      <c r="D56" s="1" t="s">
        <v>81</v>
      </c>
      <c r="E56">
        <v>170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6">
        <v>30888</v>
      </c>
      <c r="P56">
        <v>0</v>
      </c>
      <c r="Q56">
        <v>3623</v>
      </c>
      <c r="R56">
        <v>3432</v>
      </c>
      <c r="S56" s="18">
        <f t="shared" si="0"/>
        <v>9</v>
      </c>
      <c r="T56" s="17">
        <f t="shared" si="1"/>
        <v>0</v>
      </c>
      <c r="U56" s="17">
        <f t="shared" si="2"/>
        <v>0</v>
      </c>
      <c r="V56" s="17">
        <f t="shared" si="3"/>
        <v>3432</v>
      </c>
      <c r="W56" s="17">
        <f t="shared" si="4"/>
        <v>0</v>
      </c>
      <c r="X56" s="17">
        <f t="shared" si="5"/>
        <v>3623</v>
      </c>
      <c r="Y56" s="19">
        <f t="shared" si="6"/>
        <v>0.94728125862544854</v>
      </c>
      <c r="Z56">
        <v>21311</v>
      </c>
      <c r="AA56">
        <v>445</v>
      </c>
      <c r="AB56">
        <v>0</v>
      </c>
      <c r="AC56">
        <v>11710</v>
      </c>
      <c r="AD56">
        <v>0</v>
      </c>
      <c r="AE56">
        <v>0</v>
      </c>
      <c r="AF56">
        <v>0</v>
      </c>
      <c r="AG56">
        <v>2431</v>
      </c>
      <c r="AH56">
        <v>2431</v>
      </c>
      <c r="AI56">
        <v>0</v>
      </c>
      <c r="AJ56">
        <v>3171</v>
      </c>
      <c r="AK56">
        <v>1621</v>
      </c>
      <c r="AL56">
        <v>4792</v>
      </c>
      <c r="AM56">
        <v>0</v>
      </c>
      <c r="AN56">
        <v>9159</v>
      </c>
      <c r="AO56">
        <v>1163</v>
      </c>
      <c r="AP56">
        <v>10154</v>
      </c>
      <c r="AQ56">
        <v>10322</v>
      </c>
      <c r="AR56">
        <v>168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300</v>
      </c>
      <c r="AZ56">
        <v>700</v>
      </c>
      <c r="BA56">
        <v>1000</v>
      </c>
      <c r="BB56">
        <v>0</v>
      </c>
      <c r="BC56">
        <v>0</v>
      </c>
      <c r="BD56">
        <v>0</v>
      </c>
      <c r="BE56">
        <f t="shared" si="7"/>
        <v>59122</v>
      </c>
      <c r="BF56">
        <v>52181</v>
      </c>
      <c r="BG56">
        <v>52181</v>
      </c>
      <c r="BH56" t="s">
        <v>226</v>
      </c>
      <c r="BI56" t="s">
        <v>1657</v>
      </c>
      <c r="BJ56">
        <v>12325</v>
      </c>
      <c r="BK56">
        <v>18545</v>
      </c>
      <c r="BL56">
        <v>52181</v>
      </c>
      <c r="BM56">
        <v>0</v>
      </c>
      <c r="BN56">
        <v>12630</v>
      </c>
      <c r="BO56">
        <v>30888</v>
      </c>
      <c r="BP56">
        <v>5915</v>
      </c>
      <c r="BQ56">
        <v>49433</v>
      </c>
      <c r="BR56">
        <f t="shared" si="8"/>
        <v>-191</v>
      </c>
      <c r="BS56">
        <f t="shared" si="9"/>
        <v>7055</v>
      </c>
    </row>
    <row r="57" spans="1:71" x14ac:dyDescent="0.25">
      <c r="A57" s="5" t="s">
        <v>1661</v>
      </c>
      <c r="B57" s="5" t="s">
        <v>61</v>
      </c>
      <c r="C57" s="5" t="s">
        <v>627</v>
      </c>
      <c r="D57" s="1" t="s">
        <v>73</v>
      </c>
      <c r="E57">
        <v>0</v>
      </c>
      <c r="F57">
        <v>132</v>
      </c>
      <c r="G57">
        <v>0</v>
      </c>
      <c r="H57">
        <v>0</v>
      </c>
      <c r="I57">
        <v>0</v>
      </c>
      <c r="J57">
        <v>0</v>
      </c>
      <c r="K57">
        <v>355</v>
      </c>
      <c r="L57">
        <v>0</v>
      </c>
      <c r="M57">
        <v>0</v>
      </c>
      <c r="N57">
        <v>0</v>
      </c>
      <c r="O57">
        <v>0</v>
      </c>
      <c r="P57">
        <v>7650</v>
      </c>
      <c r="Q57">
        <v>124</v>
      </c>
      <c r="R57">
        <v>850</v>
      </c>
      <c r="S57" s="18">
        <f t="shared" si="0"/>
        <v>9</v>
      </c>
      <c r="T57" s="17">
        <f t="shared" si="1"/>
        <v>0</v>
      </c>
      <c r="U57" s="17">
        <f t="shared" si="2"/>
        <v>0</v>
      </c>
      <c r="V57" s="17">
        <f t="shared" si="3"/>
        <v>0</v>
      </c>
      <c r="W57" s="17">
        <f t="shared" si="4"/>
        <v>850</v>
      </c>
      <c r="X57" s="17">
        <f t="shared" si="5"/>
        <v>-726</v>
      </c>
      <c r="Y57" s="19">
        <f t="shared" si="6"/>
        <v>0</v>
      </c>
      <c r="Z57">
        <v>132</v>
      </c>
      <c r="AA57">
        <v>0</v>
      </c>
      <c r="AB57">
        <v>0</v>
      </c>
      <c r="AC57">
        <v>180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355</v>
      </c>
      <c r="AP57">
        <v>0</v>
      </c>
      <c r="AQ57">
        <v>355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f t="shared" si="7"/>
        <v>890</v>
      </c>
      <c r="BF57">
        <v>667</v>
      </c>
      <c r="BG57">
        <v>667</v>
      </c>
      <c r="BH57" t="s">
        <v>190</v>
      </c>
      <c r="BI57" t="s">
        <v>1756</v>
      </c>
      <c r="BJ57">
        <v>180</v>
      </c>
      <c r="BK57">
        <v>355</v>
      </c>
      <c r="BL57">
        <v>667</v>
      </c>
      <c r="BM57">
        <v>0</v>
      </c>
      <c r="BN57">
        <v>0</v>
      </c>
      <c r="BO57">
        <v>0</v>
      </c>
      <c r="BP57">
        <v>8005</v>
      </c>
      <c r="BQ57">
        <v>8005</v>
      </c>
      <c r="BR57">
        <f t="shared" si="8"/>
        <v>726</v>
      </c>
      <c r="BS57">
        <f t="shared" si="9"/>
        <v>974</v>
      </c>
    </row>
    <row r="58" spans="1:71" x14ac:dyDescent="0.25">
      <c r="A58" s="5" t="s">
        <v>1661</v>
      </c>
      <c r="B58" s="5" t="s">
        <v>61</v>
      </c>
      <c r="C58" s="5" t="s">
        <v>627</v>
      </c>
      <c r="D58" s="1" t="s">
        <v>75</v>
      </c>
      <c r="E58">
        <v>0</v>
      </c>
      <c r="F58">
        <v>24368</v>
      </c>
      <c r="G58">
        <v>0</v>
      </c>
      <c r="H58">
        <v>0</v>
      </c>
      <c r="I58">
        <v>7740</v>
      </c>
      <c r="J58">
        <v>350</v>
      </c>
      <c r="K58">
        <v>0</v>
      </c>
      <c r="L58">
        <v>0</v>
      </c>
      <c r="M58">
        <v>0</v>
      </c>
      <c r="N58">
        <v>0</v>
      </c>
      <c r="O58" s="16">
        <v>267120</v>
      </c>
      <c r="P58">
        <v>0</v>
      </c>
      <c r="Q58">
        <v>5312</v>
      </c>
      <c r="R58">
        <v>29680</v>
      </c>
      <c r="S58" s="18">
        <f t="shared" si="0"/>
        <v>9</v>
      </c>
      <c r="T58" s="17">
        <f t="shared" si="1"/>
        <v>0</v>
      </c>
      <c r="U58" s="17">
        <f t="shared" si="2"/>
        <v>0</v>
      </c>
      <c r="V58" s="17">
        <f t="shared" si="3"/>
        <v>29680</v>
      </c>
      <c r="W58" s="17">
        <f t="shared" si="4"/>
        <v>0</v>
      </c>
      <c r="X58" s="17">
        <f t="shared" si="5"/>
        <v>5312</v>
      </c>
      <c r="Y58" s="19">
        <f t="shared" si="6"/>
        <v>5.5873493975903612</v>
      </c>
      <c r="Z58">
        <v>24368</v>
      </c>
      <c r="AA58">
        <v>6</v>
      </c>
      <c r="AB58">
        <v>0</v>
      </c>
      <c r="AC58">
        <v>900</v>
      </c>
      <c r="AD58">
        <v>0</v>
      </c>
      <c r="AE58">
        <v>0</v>
      </c>
      <c r="AF58">
        <v>0</v>
      </c>
      <c r="AG58">
        <v>7740</v>
      </c>
      <c r="AH58">
        <v>7740</v>
      </c>
      <c r="AI58">
        <v>0</v>
      </c>
      <c r="AJ58">
        <v>0</v>
      </c>
      <c r="AK58">
        <v>350</v>
      </c>
      <c r="AL58">
        <v>350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f t="shared" si="7"/>
        <v>17080</v>
      </c>
      <c r="BF58">
        <v>33364</v>
      </c>
      <c r="BG58">
        <v>33364</v>
      </c>
      <c r="BH58" t="s">
        <v>199</v>
      </c>
      <c r="BI58" t="s">
        <v>1757</v>
      </c>
      <c r="BJ58">
        <v>906</v>
      </c>
      <c r="BK58">
        <v>8090</v>
      </c>
      <c r="BL58">
        <v>33364</v>
      </c>
      <c r="BM58">
        <v>0</v>
      </c>
      <c r="BN58">
        <v>0</v>
      </c>
      <c r="BO58">
        <v>267120</v>
      </c>
      <c r="BP58">
        <v>8090</v>
      </c>
      <c r="BQ58">
        <v>275210</v>
      </c>
      <c r="BR58">
        <f t="shared" si="8"/>
        <v>24368</v>
      </c>
      <c r="BS58">
        <f t="shared" si="9"/>
        <v>34992</v>
      </c>
    </row>
    <row r="59" spans="1:71" x14ac:dyDescent="0.25">
      <c r="A59" s="5" t="s">
        <v>1946</v>
      </c>
      <c r="B59" s="5" t="s">
        <v>61</v>
      </c>
      <c r="C59" s="5" t="s">
        <v>61</v>
      </c>
      <c r="D59" s="1" t="s">
        <v>123</v>
      </c>
      <c r="E59">
        <v>0</v>
      </c>
      <c r="F59">
        <v>6372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1095.547624789004</v>
      </c>
      <c r="N59">
        <v>0</v>
      </c>
      <c r="O59" s="16">
        <v>5276.4523752109963</v>
      </c>
      <c r="P59">
        <v>0</v>
      </c>
      <c r="Q59">
        <v>2124</v>
      </c>
      <c r="R59">
        <v>4147</v>
      </c>
      <c r="S59" s="18">
        <f t="shared" si="0"/>
        <v>1.5365324330841572</v>
      </c>
      <c r="T59" s="17">
        <f t="shared" si="1"/>
        <v>712.99999999999989</v>
      </c>
      <c r="U59" s="17">
        <f t="shared" si="2"/>
        <v>0</v>
      </c>
      <c r="V59" s="17">
        <f t="shared" si="3"/>
        <v>3434.0000000000005</v>
      </c>
      <c r="W59" s="17">
        <f t="shared" si="4"/>
        <v>0</v>
      </c>
      <c r="X59" s="17">
        <f t="shared" si="5"/>
        <v>1411</v>
      </c>
      <c r="Y59" s="19">
        <f t="shared" si="6"/>
        <v>2.4337349397590367</v>
      </c>
      <c r="Z59">
        <v>6372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f t="shared" si="7"/>
        <v>0</v>
      </c>
      <c r="BF59">
        <v>6372</v>
      </c>
      <c r="BG59">
        <v>6372</v>
      </c>
      <c r="BH59" t="s">
        <v>546</v>
      </c>
      <c r="BI59" t="s">
        <v>1974</v>
      </c>
      <c r="BJ59">
        <v>0</v>
      </c>
      <c r="BK59">
        <v>0</v>
      </c>
      <c r="BL59">
        <v>6372</v>
      </c>
      <c r="BM59">
        <v>1095.547624789004</v>
      </c>
      <c r="BN59">
        <v>0</v>
      </c>
      <c r="BO59">
        <v>5276.4523752109963</v>
      </c>
      <c r="BP59">
        <v>0</v>
      </c>
      <c r="BQ59">
        <v>6372</v>
      </c>
      <c r="BR59">
        <f t="shared" si="8"/>
        <v>2023</v>
      </c>
      <c r="BS59">
        <f t="shared" si="9"/>
        <v>6271</v>
      </c>
    </row>
    <row r="60" spans="1:71" x14ac:dyDescent="0.25">
      <c r="A60" s="5" t="s">
        <v>1946</v>
      </c>
      <c r="B60" s="5" t="s">
        <v>61</v>
      </c>
      <c r="C60" s="5" t="s">
        <v>207</v>
      </c>
      <c r="D60" s="1" t="s">
        <v>62</v>
      </c>
      <c r="E60">
        <v>7462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16">
        <v>84240</v>
      </c>
      <c r="P60">
        <v>12825</v>
      </c>
      <c r="Q60">
        <v>23840</v>
      </c>
      <c r="R60">
        <v>10785</v>
      </c>
      <c r="S60" s="18">
        <f t="shared" si="0"/>
        <v>9</v>
      </c>
      <c r="T60" s="17">
        <f t="shared" si="1"/>
        <v>0</v>
      </c>
      <c r="U60" s="17">
        <f t="shared" si="2"/>
        <v>0</v>
      </c>
      <c r="V60" s="17">
        <f t="shared" si="3"/>
        <v>9360</v>
      </c>
      <c r="W60" s="17">
        <f t="shared" si="4"/>
        <v>1425</v>
      </c>
      <c r="X60" s="17">
        <f t="shared" si="5"/>
        <v>22415</v>
      </c>
      <c r="Y60" s="19">
        <f t="shared" si="6"/>
        <v>0.41757751505688157</v>
      </c>
      <c r="Z60">
        <v>6106</v>
      </c>
      <c r="AA60">
        <v>588</v>
      </c>
      <c r="AB60">
        <v>5676</v>
      </c>
      <c r="AC60">
        <v>180735</v>
      </c>
      <c r="AD60">
        <v>0</v>
      </c>
      <c r="AE60">
        <v>5166</v>
      </c>
      <c r="AF60">
        <v>3170</v>
      </c>
      <c r="AG60">
        <v>11365</v>
      </c>
      <c r="AH60">
        <v>19701</v>
      </c>
      <c r="AI60">
        <v>0</v>
      </c>
      <c r="AJ60">
        <v>120519</v>
      </c>
      <c r="AK60">
        <v>212317</v>
      </c>
      <c r="AL60">
        <v>332836</v>
      </c>
      <c r="AM60">
        <v>0</v>
      </c>
      <c r="AN60">
        <v>16573</v>
      </c>
      <c r="AO60">
        <v>14087</v>
      </c>
      <c r="AP60">
        <v>18205</v>
      </c>
      <c r="AQ60">
        <v>30660</v>
      </c>
      <c r="AR60">
        <v>12455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8197</v>
      </c>
      <c r="BA60">
        <v>8197</v>
      </c>
      <c r="BB60">
        <v>0</v>
      </c>
      <c r="BC60">
        <v>0</v>
      </c>
      <c r="BD60">
        <v>0</v>
      </c>
      <c r="BE60">
        <f t="shared" si="7"/>
        <v>994183</v>
      </c>
      <c r="BF60">
        <v>601129</v>
      </c>
      <c r="BG60">
        <v>601129</v>
      </c>
      <c r="BH60" t="s">
        <v>226</v>
      </c>
      <c r="BI60" t="s">
        <v>2008</v>
      </c>
      <c r="BJ60">
        <v>194461</v>
      </c>
      <c r="BK60">
        <v>391394</v>
      </c>
      <c r="BL60">
        <v>591961</v>
      </c>
      <c r="BM60">
        <v>0</v>
      </c>
      <c r="BN60">
        <v>142258</v>
      </c>
      <c r="BO60">
        <v>87410</v>
      </c>
      <c r="BP60">
        <v>258791</v>
      </c>
      <c r="BQ60">
        <v>488459</v>
      </c>
      <c r="BR60">
        <f t="shared" si="8"/>
        <v>-13055</v>
      </c>
      <c r="BS60">
        <f t="shared" si="9"/>
        <v>34625</v>
      </c>
    </row>
    <row r="61" spans="1:71" x14ac:dyDescent="0.25">
      <c r="A61" s="5" t="s">
        <v>2090</v>
      </c>
      <c r="B61" s="5" t="s">
        <v>207</v>
      </c>
      <c r="C61" s="5" t="s">
        <v>61</v>
      </c>
      <c r="D61" s="1" t="s">
        <v>127</v>
      </c>
      <c r="E61">
        <v>0</v>
      </c>
      <c r="F61">
        <v>9550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6">
        <v>9550</v>
      </c>
      <c r="P61">
        <v>0</v>
      </c>
      <c r="Q61">
        <v>328</v>
      </c>
      <c r="R61">
        <v>9878</v>
      </c>
      <c r="S61" s="18">
        <f t="shared" si="0"/>
        <v>0.96679489775258154</v>
      </c>
      <c r="T61" s="17">
        <f t="shared" si="1"/>
        <v>0</v>
      </c>
      <c r="U61" s="17">
        <f t="shared" si="2"/>
        <v>0</v>
      </c>
      <c r="V61" s="17">
        <f t="shared" si="3"/>
        <v>9878</v>
      </c>
      <c r="W61" s="17">
        <f t="shared" si="4"/>
        <v>0</v>
      </c>
      <c r="X61" s="17">
        <f t="shared" si="5"/>
        <v>328</v>
      </c>
      <c r="Y61" s="19">
        <f t="shared" si="6"/>
        <v>30.115853658536587</v>
      </c>
      <c r="Z61">
        <v>9550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f t="shared" si="7"/>
        <v>0</v>
      </c>
      <c r="BF61">
        <v>9550</v>
      </c>
      <c r="BG61">
        <v>9550</v>
      </c>
      <c r="BH61" t="s">
        <v>546</v>
      </c>
      <c r="BI61" t="s">
        <v>2242</v>
      </c>
      <c r="BJ61">
        <v>0</v>
      </c>
      <c r="BK61">
        <v>0</v>
      </c>
      <c r="BL61">
        <v>9550</v>
      </c>
      <c r="BM61">
        <v>0</v>
      </c>
      <c r="BN61">
        <v>0</v>
      </c>
      <c r="BO61">
        <v>9550</v>
      </c>
      <c r="BP61">
        <v>0</v>
      </c>
      <c r="BQ61">
        <v>9550</v>
      </c>
      <c r="BR61">
        <f t="shared" si="8"/>
        <v>9550</v>
      </c>
      <c r="BS61">
        <f t="shared" si="9"/>
        <v>10206</v>
      </c>
    </row>
    <row r="62" spans="1:71" x14ac:dyDescent="0.25">
      <c r="A62" s="5" t="s">
        <v>2090</v>
      </c>
      <c r="B62" s="5" t="s">
        <v>61</v>
      </c>
      <c r="C62" s="5" t="s">
        <v>61</v>
      </c>
      <c r="D62" s="1" t="s">
        <v>90</v>
      </c>
      <c r="E62">
        <v>0</v>
      </c>
      <c r="F62">
        <v>9500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6">
        <v>90711</v>
      </c>
      <c r="P62">
        <v>0</v>
      </c>
      <c r="Q62">
        <v>579</v>
      </c>
      <c r="R62">
        <v>10079</v>
      </c>
      <c r="S62" s="18">
        <f t="shared" si="0"/>
        <v>9</v>
      </c>
      <c r="T62" s="17">
        <f t="shared" si="1"/>
        <v>0</v>
      </c>
      <c r="U62" s="17">
        <f t="shared" si="2"/>
        <v>0</v>
      </c>
      <c r="V62" s="17">
        <f t="shared" si="3"/>
        <v>10079</v>
      </c>
      <c r="W62" s="17">
        <f t="shared" si="4"/>
        <v>0</v>
      </c>
      <c r="X62" s="17">
        <f t="shared" si="5"/>
        <v>579</v>
      </c>
      <c r="Y62" s="19">
        <f t="shared" si="6"/>
        <v>17.407599309153714</v>
      </c>
      <c r="Z62">
        <v>9500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f t="shared" si="7"/>
        <v>0</v>
      </c>
      <c r="BF62">
        <v>9500</v>
      </c>
      <c r="BG62">
        <v>9500</v>
      </c>
      <c r="BH62" t="s">
        <v>109</v>
      </c>
      <c r="BI62" t="s">
        <v>2104</v>
      </c>
      <c r="BJ62">
        <v>0</v>
      </c>
      <c r="BK62">
        <v>0</v>
      </c>
      <c r="BL62">
        <v>9500</v>
      </c>
      <c r="BM62">
        <v>0</v>
      </c>
      <c r="BN62">
        <v>0</v>
      </c>
      <c r="BO62">
        <v>90711</v>
      </c>
      <c r="BP62">
        <v>0</v>
      </c>
      <c r="BQ62">
        <v>90711</v>
      </c>
      <c r="BR62">
        <f t="shared" si="8"/>
        <v>9500</v>
      </c>
      <c r="BS62">
        <f t="shared" si="9"/>
        <v>10658</v>
      </c>
    </row>
    <row r="63" spans="1:71" x14ac:dyDescent="0.25">
      <c r="A63" s="5" t="s">
        <v>1946</v>
      </c>
      <c r="B63" s="5" t="s">
        <v>61</v>
      </c>
      <c r="C63" s="5" t="s">
        <v>61</v>
      </c>
      <c r="D63" s="1" t="s">
        <v>92</v>
      </c>
      <c r="E63">
        <v>0</v>
      </c>
      <c r="F63">
        <v>2775</v>
      </c>
      <c r="G63">
        <v>0</v>
      </c>
      <c r="H63">
        <v>0</v>
      </c>
      <c r="I63">
        <v>3200</v>
      </c>
      <c r="J63">
        <v>0</v>
      </c>
      <c r="K63">
        <v>0</v>
      </c>
      <c r="L63">
        <v>65</v>
      </c>
      <c r="M63">
        <v>17190</v>
      </c>
      <c r="N63">
        <v>0</v>
      </c>
      <c r="O63">
        <v>0</v>
      </c>
      <c r="P63">
        <v>0</v>
      </c>
      <c r="Q63">
        <v>1330</v>
      </c>
      <c r="R63">
        <v>1910</v>
      </c>
      <c r="S63" s="18">
        <f t="shared" si="0"/>
        <v>9</v>
      </c>
      <c r="T63" s="17">
        <f t="shared" si="1"/>
        <v>1910</v>
      </c>
      <c r="U63" s="17">
        <f t="shared" si="2"/>
        <v>0</v>
      </c>
      <c r="V63" s="17">
        <f t="shared" si="3"/>
        <v>0</v>
      </c>
      <c r="W63" s="17">
        <f t="shared" si="4"/>
        <v>0</v>
      </c>
      <c r="X63" s="17">
        <f t="shared" si="5"/>
        <v>-580</v>
      </c>
      <c r="Y63" s="19">
        <f t="shared" si="6"/>
        <v>0</v>
      </c>
      <c r="Z63">
        <v>2775</v>
      </c>
      <c r="AA63">
        <v>0</v>
      </c>
      <c r="AB63">
        <v>0</v>
      </c>
      <c r="AC63">
        <v>0</v>
      </c>
      <c r="AD63">
        <v>3200</v>
      </c>
      <c r="AE63">
        <v>0</v>
      </c>
      <c r="AF63">
        <v>0</v>
      </c>
      <c r="AG63">
        <v>0</v>
      </c>
      <c r="AH63">
        <v>3200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65</v>
      </c>
      <c r="BA63">
        <v>65</v>
      </c>
      <c r="BB63">
        <v>0</v>
      </c>
      <c r="BC63">
        <v>0</v>
      </c>
      <c r="BD63">
        <v>0</v>
      </c>
      <c r="BE63">
        <f t="shared" si="7"/>
        <v>6530</v>
      </c>
      <c r="BF63">
        <v>6040</v>
      </c>
      <c r="BG63">
        <v>6040</v>
      </c>
      <c r="BH63" t="s">
        <v>109</v>
      </c>
      <c r="BI63" t="s">
        <v>1961</v>
      </c>
      <c r="BJ63">
        <v>0</v>
      </c>
      <c r="BK63">
        <v>3265</v>
      </c>
      <c r="BL63">
        <v>6040</v>
      </c>
      <c r="BM63">
        <v>20390</v>
      </c>
      <c r="BN63">
        <v>0</v>
      </c>
      <c r="BO63">
        <v>0</v>
      </c>
      <c r="BP63">
        <v>65</v>
      </c>
      <c r="BQ63">
        <v>20455</v>
      </c>
      <c r="BR63">
        <f t="shared" si="8"/>
        <v>580</v>
      </c>
      <c r="BS63">
        <f t="shared" si="9"/>
        <v>3240</v>
      </c>
    </row>
    <row r="64" spans="1:71" x14ac:dyDescent="0.25">
      <c r="A64" s="5" t="s">
        <v>1946</v>
      </c>
      <c r="B64" s="5" t="s">
        <v>207</v>
      </c>
      <c r="C64" s="5" t="s">
        <v>61</v>
      </c>
      <c r="D64" s="1" t="s">
        <v>86</v>
      </c>
      <c r="E64">
        <v>0</v>
      </c>
      <c r="F64">
        <v>142</v>
      </c>
      <c r="G64">
        <v>0</v>
      </c>
      <c r="H64">
        <v>0</v>
      </c>
      <c r="I64">
        <v>570</v>
      </c>
      <c r="J64">
        <v>0</v>
      </c>
      <c r="K64">
        <v>110</v>
      </c>
      <c r="L64">
        <v>0</v>
      </c>
      <c r="M64">
        <v>0</v>
      </c>
      <c r="N64">
        <v>0</v>
      </c>
      <c r="O64">
        <v>0</v>
      </c>
      <c r="P64">
        <v>6390</v>
      </c>
      <c r="Q64">
        <v>142</v>
      </c>
      <c r="R64">
        <v>710</v>
      </c>
      <c r="S64" s="18">
        <f t="shared" si="0"/>
        <v>9</v>
      </c>
      <c r="T64" s="17">
        <f t="shared" si="1"/>
        <v>0</v>
      </c>
      <c r="U64" s="17">
        <f t="shared" si="2"/>
        <v>0</v>
      </c>
      <c r="V64" s="17">
        <f t="shared" si="3"/>
        <v>0</v>
      </c>
      <c r="W64" s="17">
        <f t="shared" si="4"/>
        <v>710</v>
      </c>
      <c r="X64" s="17">
        <f t="shared" si="5"/>
        <v>-568</v>
      </c>
      <c r="Y64" s="19">
        <f t="shared" si="6"/>
        <v>0</v>
      </c>
      <c r="Z64">
        <v>142</v>
      </c>
      <c r="AA64">
        <v>0</v>
      </c>
      <c r="AB64">
        <v>0</v>
      </c>
      <c r="AC64">
        <v>0</v>
      </c>
      <c r="AD64">
        <v>570</v>
      </c>
      <c r="AE64">
        <v>0</v>
      </c>
      <c r="AF64">
        <v>0</v>
      </c>
      <c r="AG64">
        <v>0</v>
      </c>
      <c r="AH64">
        <v>570</v>
      </c>
      <c r="AI64">
        <v>0</v>
      </c>
      <c r="AJ64">
        <v>0</v>
      </c>
      <c r="AK64">
        <v>0</v>
      </c>
      <c r="AL64">
        <v>0</v>
      </c>
      <c r="AM64">
        <v>25</v>
      </c>
      <c r="AN64">
        <v>0</v>
      </c>
      <c r="AO64">
        <v>85</v>
      </c>
      <c r="AP64">
        <v>110</v>
      </c>
      <c r="AQ64">
        <v>110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f t="shared" si="7"/>
        <v>1470</v>
      </c>
      <c r="BF64">
        <v>822</v>
      </c>
      <c r="BG64">
        <v>822</v>
      </c>
      <c r="BH64" t="s">
        <v>109</v>
      </c>
      <c r="BI64" t="s">
        <v>2020</v>
      </c>
      <c r="BJ64">
        <v>0</v>
      </c>
      <c r="BK64">
        <v>680</v>
      </c>
      <c r="BL64">
        <v>822</v>
      </c>
      <c r="BM64">
        <v>595</v>
      </c>
      <c r="BN64">
        <v>0</v>
      </c>
      <c r="BO64">
        <v>0</v>
      </c>
      <c r="BP64">
        <v>6475</v>
      </c>
      <c r="BQ64">
        <v>7070</v>
      </c>
      <c r="BR64">
        <f t="shared" si="8"/>
        <v>568</v>
      </c>
      <c r="BS64">
        <f t="shared" si="9"/>
        <v>852</v>
      </c>
    </row>
    <row r="65" spans="1:72" x14ac:dyDescent="0.25">
      <c r="A65" s="5" t="s">
        <v>2090</v>
      </c>
      <c r="B65" s="5" t="s">
        <v>359</v>
      </c>
      <c r="C65" s="5" t="s">
        <v>61</v>
      </c>
      <c r="D65" s="1" t="s">
        <v>71</v>
      </c>
      <c r="E65">
        <v>0</v>
      </c>
      <c r="F65">
        <v>30000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16">
        <v>30000</v>
      </c>
      <c r="P65">
        <v>0</v>
      </c>
      <c r="Q65">
        <v>2000</v>
      </c>
      <c r="R65">
        <v>7000</v>
      </c>
      <c r="S65" s="18">
        <f t="shared" si="0"/>
        <v>4.2857142857142856</v>
      </c>
      <c r="T65" s="17">
        <f t="shared" si="1"/>
        <v>0</v>
      </c>
      <c r="U65" s="17">
        <f t="shared" si="2"/>
        <v>0</v>
      </c>
      <c r="V65" s="17">
        <f t="shared" si="3"/>
        <v>7000</v>
      </c>
      <c r="W65" s="17">
        <f t="shared" si="4"/>
        <v>0</v>
      </c>
      <c r="X65" s="17">
        <f t="shared" si="5"/>
        <v>2000</v>
      </c>
      <c r="Y65" s="19">
        <f t="shared" si="6"/>
        <v>3.5</v>
      </c>
      <c r="Z65">
        <v>30000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f t="shared" si="7"/>
        <v>0</v>
      </c>
      <c r="BF65">
        <v>30000</v>
      </c>
      <c r="BG65">
        <v>30000</v>
      </c>
      <c r="BH65" t="s">
        <v>546</v>
      </c>
      <c r="BI65" t="s">
        <v>2284</v>
      </c>
      <c r="BJ65">
        <v>0</v>
      </c>
      <c r="BK65">
        <v>0</v>
      </c>
      <c r="BL65">
        <v>30000</v>
      </c>
      <c r="BM65">
        <v>0</v>
      </c>
      <c r="BN65">
        <v>0</v>
      </c>
      <c r="BO65">
        <v>30000</v>
      </c>
      <c r="BP65">
        <v>0</v>
      </c>
      <c r="BQ65">
        <v>30000</v>
      </c>
      <c r="BR65">
        <f t="shared" si="8"/>
        <v>5000</v>
      </c>
      <c r="BS65">
        <f t="shared" si="9"/>
        <v>9000</v>
      </c>
    </row>
    <row r="66" spans="1:72" x14ac:dyDescent="0.25">
      <c r="A66" s="5" t="s">
        <v>2090</v>
      </c>
      <c r="B66" s="5" t="s">
        <v>61</v>
      </c>
      <c r="C66" s="5" t="s">
        <v>61</v>
      </c>
      <c r="D66" s="1" t="s">
        <v>141</v>
      </c>
      <c r="E66">
        <v>0</v>
      </c>
      <c r="F66">
        <v>587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5283</v>
      </c>
      <c r="N66">
        <v>0</v>
      </c>
      <c r="O66">
        <v>0</v>
      </c>
      <c r="P66">
        <v>0</v>
      </c>
      <c r="Q66">
        <v>139</v>
      </c>
      <c r="R66">
        <v>587</v>
      </c>
      <c r="S66" s="18">
        <f t="shared" ref="S66:S129" si="10">(M66+N66+O66+P66)/R66</f>
        <v>9</v>
      </c>
      <c r="T66" s="17">
        <f t="shared" ref="T66:T129" si="11">M66/$S66</f>
        <v>587</v>
      </c>
      <c r="U66" s="17">
        <f t="shared" ref="U66:U129" si="12">N66/$S66</f>
        <v>0</v>
      </c>
      <c r="V66" s="17">
        <f t="shared" ref="V66:V129" si="13">O66/$S66</f>
        <v>0</v>
      </c>
      <c r="W66" s="17">
        <f t="shared" ref="W66:W129" si="14">P66/$S66</f>
        <v>0</v>
      </c>
      <c r="X66" s="17">
        <f t="shared" ref="X66:X129" si="15">Q66-T66-U66-W66</f>
        <v>-448</v>
      </c>
      <c r="Y66" s="19">
        <f t="shared" ref="Y66:Y129" si="16">V66/X66</f>
        <v>0</v>
      </c>
      <c r="Z66">
        <v>587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f t="shared" ref="BE66:BE129" si="17">SUM(AC66:BD66)</f>
        <v>0</v>
      </c>
      <c r="BF66">
        <v>587</v>
      </c>
      <c r="BG66">
        <v>587</v>
      </c>
      <c r="BH66" t="s">
        <v>109</v>
      </c>
      <c r="BI66" t="s">
        <v>2126</v>
      </c>
      <c r="BJ66">
        <v>0</v>
      </c>
      <c r="BK66">
        <v>0</v>
      </c>
      <c r="BL66">
        <v>587</v>
      </c>
      <c r="BM66">
        <v>5283</v>
      </c>
      <c r="BN66">
        <v>0</v>
      </c>
      <c r="BO66">
        <v>0</v>
      </c>
      <c r="BP66">
        <v>0</v>
      </c>
      <c r="BQ66">
        <v>5283</v>
      </c>
      <c r="BR66">
        <f t="shared" ref="BR66:BR129" si="18">R66-Q66</f>
        <v>448</v>
      </c>
      <c r="BS66">
        <f t="shared" ref="BS66:BS129" si="19">R66+Q66</f>
        <v>726</v>
      </c>
    </row>
    <row r="67" spans="1:72" x14ac:dyDescent="0.25">
      <c r="A67" s="5" t="s">
        <v>2090</v>
      </c>
      <c r="B67" s="5" t="s">
        <v>207</v>
      </c>
      <c r="C67" s="5" t="s">
        <v>61</v>
      </c>
      <c r="D67" s="1" t="s">
        <v>106</v>
      </c>
      <c r="E67">
        <v>0</v>
      </c>
      <c r="F67">
        <v>4224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16">
        <v>4224</v>
      </c>
      <c r="P67">
        <v>0</v>
      </c>
      <c r="Q67">
        <v>357</v>
      </c>
      <c r="R67">
        <v>4581</v>
      </c>
      <c r="S67" s="18">
        <f t="shared" si="10"/>
        <v>0.92206941715782575</v>
      </c>
      <c r="T67" s="17">
        <f t="shared" si="11"/>
        <v>0</v>
      </c>
      <c r="U67" s="17">
        <f t="shared" si="12"/>
        <v>0</v>
      </c>
      <c r="V67" s="17">
        <f t="shared" si="13"/>
        <v>4581</v>
      </c>
      <c r="W67" s="17">
        <f t="shared" si="14"/>
        <v>0</v>
      </c>
      <c r="X67" s="17">
        <f t="shared" si="15"/>
        <v>357</v>
      </c>
      <c r="Y67" s="19">
        <f t="shared" si="16"/>
        <v>12.831932773109244</v>
      </c>
      <c r="Z67">
        <v>4224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f t="shared" si="17"/>
        <v>0</v>
      </c>
      <c r="BF67">
        <v>4224</v>
      </c>
      <c r="BG67">
        <v>4224</v>
      </c>
      <c r="BH67" t="s">
        <v>546</v>
      </c>
      <c r="BI67" t="s">
        <v>2232</v>
      </c>
      <c r="BJ67">
        <v>0</v>
      </c>
      <c r="BK67">
        <v>0</v>
      </c>
      <c r="BL67">
        <v>4224</v>
      </c>
      <c r="BM67">
        <v>0</v>
      </c>
      <c r="BN67">
        <v>0</v>
      </c>
      <c r="BO67">
        <v>4224</v>
      </c>
      <c r="BP67">
        <v>0</v>
      </c>
      <c r="BQ67">
        <v>4224</v>
      </c>
      <c r="BR67">
        <f t="shared" si="18"/>
        <v>4224</v>
      </c>
      <c r="BS67">
        <f t="shared" si="19"/>
        <v>4938</v>
      </c>
    </row>
    <row r="68" spans="1:72" x14ac:dyDescent="0.25">
      <c r="A68" s="5" t="s">
        <v>1451</v>
      </c>
      <c r="B68" s="5" t="s">
        <v>207</v>
      </c>
      <c r="C68" s="5" t="s">
        <v>61</v>
      </c>
      <c r="D68" s="1" t="s">
        <v>94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210</v>
      </c>
      <c r="S68" s="18">
        <f t="shared" si="10"/>
        <v>0</v>
      </c>
      <c r="T68" s="17" t="e">
        <f t="shared" si="11"/>
        <v>#DIV/0!</v>
      </c>
      <c r="U68" s="17" t="e">
        <f t="shared" si="12"/>
        <v>#DIV/0!</v>
      </c>
      <c r="V68" s="17" t="e">
        <f t="shared" si="13"/>
        <v>#DIV/0!</v>
      </c>
      <c r="W68" s="17" t="e">
        <f t="shared" si="14"/>
        <v>#DIV/0!</v>
      </c>
      <c r="X68" s="17" t="e">
        <f t="shared" si="15"/>
        <v>#DIV/0!</v>
      </c>
      <c r="Y68" s="19" t="e">
        <f t="shared" si="16"/>
        <v>#DIV/0!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f t="shared" si="17"/>
        <v>0</v>
      </c>
      <c r="BH68" t="s">
        <v>82</v>
      </c>
      <c r="BI68" t="s">
        <v>1545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f t="shared" si="18"/>
        <v>210</v>
      </c>
      <c r="BS68">
        <f t="shared" si="19"/>
        <v>210</v>
      </c>
    </row>
    <row r="69" spans="1:72" x14ac:dyDescent="0.25">
      <c r="A69" s="5" t="s">
        <v>2090</v>
      </c>
      <c r="B69" s="5" t="s">
        <v>207</v>
      </c>
      <c r="C69" s="5" t="s">
        <v>61</v>
      </c>
      <c r="D69" s="1" t="s">
        <v>119</v>
      </c>
      <c r="E69">
        <v>0</v>
      </c>
      <c r="F69">
        <v>2800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16">
        <v>2800</v>
      </c>
      <c r="P69">
        <v>0</v>
      </c>
      <c r="Q69">
        <v>239</v>
      </c>
      <c r="R69">
        <v>3039</v>
      </c>
      <c r="S69" s="18">
        <f t="shared" si="10"/>
        <v>0.92135570911484044</v>
      </c>
      <c r="T69" s="17">
        <f t="shared" si="11"/>
        <v>0</v>
      </c>
      <c r="U69" s="17">
        <f t="shared" si="12"/>
        <v>0</v>
      </c>
      <c r="V69" s="17">
        <f t="shared" si="13"/>
        <v>3039</v>
      </c>
      <c r="W69" s="17">
        <f t="shared" si="14"/>
        <v>0</v>
      </c>
      <c r="X69" s="17">
        <f t="shared" si="15"/>
        <v>239</v>
      </c>
      <c r="Y69" s="19">
        <f t="shared" si="16"/>
        <v>12.715481171548117</v>
      </c>
      <c r="Z69">
        <v>2800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f t="shared" si="17"/>
        <v>0</v>
      </c>
      <c r="BF69">
        <v>2800</v>
      </c>
      <c r="BG69">
        <v>2800</v>
      </c>
      <c r="BH69" t="s">
        <v>546</v>
      </c>
      <c r="BI69" t="s">
        <v>2238</v>
      </c>
      <c r="BJ69">
        <v>0</v>
      </c>
      <c r="BK69">
        <v>0</v>
      </c>
      <c r="BL69">
        <v>2800</v>
      </c>
      <c r="BM69">
        <v>0</v>
      </c>
      <c r="BN69">
        <v>0</v>
      </c>
      <c r="BO69">
        <v>2800</v>
      </c>
      <c r="BP69">
        <v>0</v>
      </c>
      <c r="BQ69">
        <v>2800</v>
      </c>
      <c r="BR69">
        <f t="shared" si="18"/>
        <v>2800</v>
      </c>
      <c r="BS69">
        <f t="shared" si="19"/>
        <v>3278</v>
      </c>
    </row>
    <row r="70" spans="1:72" x14ac:dyDescent="0.25">
      <c r="A70" s="5" t="s">
        <v>1135</v>
      </c>
      <c r="B70" s="5" t="s">
        <v>207</v>
      </c>
      <c r="C70" s="5" t="s">
        <v>359</v>
      </c>
      <c r="D70" s="1" t="s">
        <v>86</v>
      </c>
      <c r="E70">
        <v>0</v>
      </c>
      <c r="F70">
        <v>40293</v>
      </c>
      <c r="G70">
        <v>0</v>
      </c>
      <c r="H70">
        <v>0</v>
      </c>
      <c r="I70">
        <v>2370</v>
      </c>
      <c r="J70">
        <v>0</v>
      </c>
      <c r="K70">
        <v>0</v>
      </c>
      <c r="L70">
        <v>0</v>
      </c>
      <c r="M70">
        <v>0</v>
      </c>
      <c r="N70">
        <v>41661.671161048689</v>
      </c>
      <c r="O70">
        <v>0</v>
      </c>
      <c r="P70">
        <v>1001.328838951311</v>
      </c>
      <c r="Q70">
        <v>7822</v>
      </c>
      <c r="R70">
        <v>8010</v>
      </c>
      <c r="S70" s="18">
        <f t="shared" si="10"/>
        <v>5.3262172284644196</v>
      </c>
      <c r="T70" s="17">
        <f t="shared" si="11"/>
        <v>0</v>
      </c>
      <c r="U70" s="17">
        <f t="shared" si="12"/>
        <v>7822</v>
      </c>
      <c r="V70" s="17">
        <f t="shared" si="13"/>
        <v>0</v>
      </c>
      <c r="W70" s="17">
        <f t="shared" si="14"/>
        <v>188.00000000000003</v>
      </c>
      <c r="X70" s="17">
        <f t="shared" si="15"/>
        <v>-188.00000000000003</v>
      </c>
      <c r="Y70" s="19">
        <f t="shared" si="16"/>
        <v>0</v>
      </c>
      <c r="Z70">
        <v>40293</v>
      </c>
      <c r="AA70">
        <v>0</v>
      </c>
      <c r="AB70">
        <v>0</v>
      </c>
      <c r="AC70">
        <v>0</v>
      </c>
      <c r="AD70">
        <v>0</v>
      </c>
      <c r="AE70">
        <v>2370</v>
      </c>
      <c r="AF70">
        <v>0</v>
      </c>
      <c r="AG70">
        <v>0</v>
      </c>
      <c r="AH70">
        <v>2370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f t="shared" si="17"/>
        <v>4740</v>
      </c>
      <c r="BF70">
        <v>42663</v>
      </c>
      <c r="BG70">
        <v>42663</v>
      </c>
      <c r="BH70" t="s">
        <v>546</v>
      </c>
      <c r="BI70" t="s">
        <v>1294</v>
      </c>
      <c r="BJ70">
        <v>0</v>
      </c>
      <c r="BK70">
        <v>2370</v>
      </c>
      <c r="BL70">
        <v>42663</v>
      </c>
      <c r="BM70">
        <v>0</v>
      </c>
      <c r="BN70">
        <v>44031.671161048689</v>
      </c>
      <c r="BO70">
        <v>0</v>
      </c>
      <c r="BP70">
        <v>1001.328838951311</v>
      </c>
      <c r="BQ70">
        <v>45033</v>
      </c>
      <c r="BR70">
        <f t="shared" si="18"/>
        <v>188</v>
      </c>
      <c r="BS70">
        <f t="shared" si="19"/>
        <v>15832</v>
      </c>
    </row>
    <row r="71" spans="1:72" x14ac:dyDescent="0.25">
      <c r="A71" s="5" t="s">
        <v>359</v>
      </c>
      <c r="B71" s="6" t="s">
        <v>359</v>
      </c>
      <c r="C71" s="6" t="s">
        <v>61</v>
      </c>
      <c r="D71" s="1" t="s">
        <v>121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176</v>
      </c>
      <c r="S71" s="18">
        <f t="shared" si="10"/>
        <v>0</v>
      </c>
      <c r="T71" s="17" t="e">
        <f t="shared" si="11"/>
        <v>#DIV/0!</v>
      </c>
      <c r="U71" s="17" t="e">
        <f t="shared" si="12"/>
        <v>#DIV/0!</v>
      </c>
      <c r="V71" s="17" t="e">
        <f t="shared" si="13"/>
        <v>#DIV/0!</v>
      </c>
      <c r="W71" s="17" t="e">
        <f t="shared" si="14"/>
        <v>#DIV/0!</v>
      </c>
      <c r="X71" s="17" t="e">
        <f t="shared" si="15"/>
        <v>#DIV/0!</v>
      </c>
      <c r="Y71" s="19" t="e">
        <f t="shared" si="16"/>
        <v>#DIV/0!</v>
      </c>
      <c r="Z71">
        <v>0</v>
      </c>
      <c r="AA71">
        <v>0</v>
      </c>
      <c r="AB71">
        <v>0</v>
      </c>
      <c r="AC71">
        <v>930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f t="shared" si="17"/>
        <v>930</v>
      </c>
      <c r="BH71" t="s">
        <v>82</v>
      </c>
      <c r="BI71" t="s">
        <v>784</v>
      </c>
      <c r="BJ71">
        <v>930</v>
      </c>
      <c r="BK71">
        <v>0</v>
      </c>
      <c r="BL71">
        <v>930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f t="shared" si="18"/>
        <v>176</v>
      </c>
      <c r="BS71">
        <f t="shared" si="19"/>
        <v>176</v>
      </c>
    </row>
    <row r="72" spans="1:72" x14ac:dyDescent="0.25">
      <c r="A72" s="5" t="s">
        <v>1946</v>
      </c>
      <c r="B72" s="7" t="s">
        <v>207</v>
      </c>
      <c r="C72" s="7" t="s">
        <v>207</v>
      </c>
      <c r="D72" s="1" t="s">
        <v>141</v>
      </c>
      <c r="E72">
        <v>0</v>
      </c>
      <c r="F72">
        <v>1695</v>
      </c>
      <c r="G72">
        <v>0</v>
      </c>
      <c r="H72">
        <v>0</v>
      </c>
      <c r="I72">
        <v>55</v>
      </c>
      <c r="J72">
        <v>0</v>
      </c>
      <c r="K72">
        <v>668</v>
      </c>
      <c r="L72">
        <v>0</v>
      </c>
      <c r="M72">
        <v>2043</v>
      </c>
      <c r="N72">
        <v>0</v>
      </c>
      <c r="O72">
        <v>0</v>
      </c>
      <c r="P72">
        <v>0</v>
      </c>
      <c r="Q72">
        <v>52</v>
      </c>
      <c r="R72">
        <v>227</v>
      </c>
      <c r="S72" s="18">
        <f t="shared" si="10"/>
        <v>9</v>
      </c>
      <c r="T72" s="17">
        <f t="shared" si="11"/>
        <v>227</v>
      </c>
      <c r="U72" s="17">
        <f t="shared" si="12"/>
        <v>0</v>
      </c>
      <c r="V72" s="17">
        <f t="shared" si="13"/>
        <v>0</v>
      </c>
      <c r="W72" s="17">
        <f t="shared" si="14"/>
        <v>0</v>
      </c>
      <c r="X72" s="17">
        <f t="shared" si="15"/>
        <v>-175</v>
      </c>
      <c r="Y72" s="19">
        <f t="shared" si="16"/>
        <v>0</v>
      </c>
      <c r="Z72">
        <v>1695</v>
      </c>
      <c r="AA72">
        <v>0</v>
      </c>
      <c r="AB72">
        <v>0</v>
      </c>
      <c r="AC72">
        <v>0</v>
      </c>
      <c r="AD72">
        <v>55</v>
      </c>
      <c r="AE72">
        <v>0</v>
      </c>
      <c r="AF72">
        <v>0</v>
      </c>
      <c r="AG72">
        <v>0</v>
      </c>
      <c r="AH72">
        <v>55</v>
      </c>
      <c r="AI72">
        <v>0</v>
      </c>
      <c r="AJ72">
        <v>0</v>
      </c>
      <c r="AK72">
        <v>0</v>
      </c>
      <c r="AL72">
        <v>0</v>
      </c>
      <c r="AM72">
        <v>668</v>
      </c>
      <c r="AN72">
        <v>0</v>
      </c>
      <c r="AO72">
        <v>0</v>
      </c>
      <c r="AP72">
        <v>668</v>
      </c>
      <c r="AQ72">
        <v>668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f t="shared" si="17"/>
        <v>2114</v>
      </c>
      <c r="BF72">
        <v>2418</v>
      </c>
      <c r="BG72">
        <v>2418</v>
      </c>
      <c r="BH72" t="s">
        <v>190</v>
      </c>
      <c r="BI72" t="s">
        <v>2074</v>
      </c>
      <c r="BJ72">
        <v>0</v>
      </c>
      <c r="BK72">
        <v>723</v>
      </c>
      <c r="BL72">
        <v>2418</v>
      </c>
      <c r="BM72">
        <v>2766</v>
      </c>
      <c r="BN72">
        <v>0</v>
      </c>
      <c r="BO72">
        <v>0</v>
      </c>
      <c r="BP72">
        <v>0</v>
      </c>
      <c r="BQ72">
        <v>2766</v>
      </c>
      <c r="BR72">
        <f t="shared" si="18"/>
        <v>175</v>
      </c>
      <c r="BS72">
        <f t="shared" si="19"/>
        <v>279</v>
      </c>
      <c r="BT72">
        <f>Z72/Q72</f>
        <v>32.596153846153847</v>
      </c>
    </row>
    <row r="73" spans="1:72" x14ac:dyDescent="0.25">
      <c r="A73" s="5" t="s">
        <v>2090</v>
      </c>
      <c r="B73" s="5" t="s">
        <v>207</v>
      </c>
      <c r="C73" s="5" t="s">
        <v>61</v>
      </c>
      <c r="D73" s="1" t="s">
        <v>123</v>
      </c>
      <c r="E73">
        <v>0</v>
      </c>
      <c r="F73">
        <v>2800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16">
        <v>2800</v>
      </c>
      <c r="P73">
        <v>0</v>
      </c>
      <c r="Q73">
        <v>105</v>
      </c>
      <c r="R73">
        <v>2905</v>
      </c>
      <c r="S73" s="18">
        <f t="shared" si="10"/>
        <v>0.96385542168674698</v>
      </c>
      <c r="T73" s="17">
        <f t="shared" si="11"/>
        <v>0</v>
      </c>
      <c r="U73" s="17">
        <f t="shared" si="12"/>
        <v>0</v>
      </c>
      <c r="V73" s="17">
        <f t="shared" si="13"/>
        <v>2905</v>
      </c>
      <c r="W73" s="17">
        <f t="shared" si="14"/>
        <v>0</v>
      </c>
      <c r="X73" s="17">
        <f t="shared" si="15"/>
        <v>105</v>
      </c>
      <c r="Y73" s="19">
        <f t="shared" si="16"/>
        <v>27.666666666666668</v>
      </c>
      <c r="Z73">
        <v>2800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f t="shared" si="17"/>
        <v>0</v>
      </c>
      <c r="BF73">
        <v>2800</v>
      </c>
      <c r="BG73">
        <v>2800</v>
      </c>
      <c r="BH73" t="s">
        <v>546</v>
      </c>
      <c r="BI73" t="s">
        <v>2240</v>
      </c>
      <c r="BJ73">
        <v>0</v>
      </c>
      <c r="BK73">
        <v>0</v>
      </c>
      <c r="BL73">
        <v>2800</v>
      </c>
      <c r="BM73">
        <v>0</v>
      </c>
      <c r="BN73">
        <v>0</v>
      </c>
      <c r="BO73">
        <v>2800</v>
      </c>
      <c r="BP73">
        <v>0</v>
      </c>
      <c r="BQ73">
        <v>2800</v>
      </c>
      <c r="BR73">
        <f t="shared" si="18"/>
        <v>2800</v>
      </c>
      <c r="BS73">
        <f t="shared" si="19"/>
        <v>3010</v>
      </c>
    </row>
    <row r="74" spans="1:72" x14ac:dyDescent="0.25">
      <c r="A74" s="5" t="s">
        <v>2090</v>
      </c>
      <c r="B74" s="5" t="s">
        <v>207</v>
      </c>
      <c r="C74" s="5" t="s">
        <v>61</v>
      </c>
      <c r="D74" s="1" t="s">
        <v>115</v>
      </c>
      <c r="E74">
        <v>0</v>
      </c>
      <c r="F74">
        <v>2128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16">
        <v>2128</v>
      </c>
      <c r="P74">
        <v>0</v>
      </c>
      <c r="Q74">
        <v>188</v>
      </c>
      <c r="R74">
        <v>2316</v>
      </c>
      <c r="S74" s="18">
        <f t="shared" si="10"/>
        <v>0.91882556131260795</v>
      </c>
      <c r="T74" s="17">
        <f t="shared" si="11"/>
        <v>0</v>
      </c>
      <c r="U74" s="17">
        <f t="shared" si="12"/>
        <v>0</v>
      </c>
      <c r="V74" s="17">
        <f t="shared" si="13"/>
        <v>2316</v>
      </c>
      <c r="W74" s="17">
        <f t="shared" si="14"/>
        <v>0</v>
      </c>
      <c r="X74" s="17">
        <f t="shared" si="15"/>
        <v>188</v>
      </c>
      <c r="Y74" s="19">
        <f t="shared" si="16"/>
        <v>12.319148936170214</v>
      </c>
      <c r="Z74">
        <v>2128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f t="shared" si="17"/>
        <v>0</v>
      </c>
      <c r="BF74">
        <v>2128</v>
      </c>
      <c r="BG74">
        <v>2128</v>
      </c>
      <c r="BH74" t="s">
        <v>546</v>
      </c>
      <c r="BI74" t="s">
        <v>2236</v>
      </c>
      <c r="BJ74">
        <v>0</v>
      </c>
      <c r="BK74">
        <v>0</v>
      </c>
      <c r="BL74">
        <v>2128</v>
      </c>
      <c r="BM74">
        <v>0</v>
      </c>
      <c r="BN74">
        <v>0</v>
      </c>
      <c r="BO74">
        <v>2128</v>
      </c>
      <c r="BP74">
        <v>0</v>
      </c>
      <c r="BQ74">
        <v>2128</v>
      </c>
      <c r="BR74">
        <f t="shared" si="18"/>
        <v>2128</v>
      </c>
      <c r="BS74">
        <f t="shared" si="19"/>
        <v>2504</v>
      </c>
    </row>
    <row r="75" spans="1:72" x14ac:dyDescent="0.25">
      <c r="A75" s="5" t="s">
        <v>875</v>
      </c>
      <c r="B75" s="5" t="s">
        <v>61</v>
      </c>
      <c r="C75" s="5" t="s">
        <v>207</v>
      </c>
      <c r="D75" s="1" t="s">
        <v>183</v>
      </c>
      <c r="E75">
        <v>0</v>
      </c>
      <c r="F75">
        <v>299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1350</v>
      </c>
      <c r="N75">
        <v>0</v>
      </c>
      <c r="O75">
        <v>0</v>
      </c>
      <c r="P75">
        <v>0</v>
      </c>
      <c r="Q75">
        <v>0</v>
      </c>
      <c r="R75">
        <v>150</v>
      </c>
      <c r="S75" s="18">
        <f t="shared" si="10"/>
        <v>9</v>
      </c>
      <c r="T75" s="17">
        <f t="shared" si="11"/>
        <v>150</v>
      </c>
      <c r="U75" s="17">
        <f t="shared" si="12"/>
        <v>0</v>
      </c>
      <c r="V75" s="17">
        <f t="shared" si="13"/>
        <v>0</v>
      </c>
      <c r="W75" s="17">
        <f t="shared" si="14"/>
        <v>0</v>
      </c>
      <c r="X75" s="17">
        <f t="shared" si="15"/>
        <v>-150</v>
      </c>
      <c r="Y75" s="19">
        <f t="shared" si="16"/>
        <v>0</v>
      </c>
      <c r="Z75">
        <v>299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f t="shared" si="17"/>
        <v>0</v>
      </c>
      <c r="BF75">
        <v>299</v>
      </c>
      <c r="BG75">
        <v>299</v>
      </c>
      <c r="BH75" t="s">
        <v>190</v>
      </c>
      <c r="BI75" t="s">
        <v>931</v>
      </c>
      <c r="BJ75">
        <v>0</v>
      </c>
      <c r="BK75">
        <v>0</v>
      </c>
      <c r="BL75">
        <v>299</v>
      </c>
      <c r="BM75">
        <v>1350</v>
      </c>
      <c r="BN75">
        <v>0</v>
      </c>
      <c r="BO75">
        <v>0</v>
      </c>
      <c r="BP75">
        <v>0</v>
      </c>
      <c r="BQ75">
        <v>1350</v>
      </c>
      <c r="BR75">
        <f t="shared" si="18"/>
        <v>150</v>
      </c>
      <c r="BS75">
        <f t="shared" si="19"/>
        <v>150</v>
      </c>
    </row>
    <row r="76" spans="1:72" x14ac:dyDescent="0.25">
      <c r="A76" s="5" t="s">
        <v>207</v>
      </c>
      <c r="B76" s="5" t="s">
        <v>359</v>
      </c>
      <c r="C76" s="5" t="s">
        <v>61</v>
      </c>
      <c r="D76" s="1" t="s">
        <v>98</v>
      </c>
      <c r="E76">
        <v>0</v>
      </c>
      <c r="F76">
        <v>395</v>
      </c>
      <c r="G76">
        <v>0</v>
      </c>
      <c r="H76">
        <v>0</v>
      </c>
      <c r="I76">
        <v>400</v>
      </c>
      <c r="J76">
        <v>0</v>
      </c>
      <c r="K76">
        <v>0</v>
      </c>
      <c r="L76">
        <v>0</v>
      </c>
      <c r="M76">
        <v>2358</v>
      </c>
      <c r="N76">
        <v>0</v>
      </c>
      <c r="O76">
        <v>0</v>
      </c>
      <c r="P76">
        <v>0</v>
      </c>
      <c r="Q76">
        <v>115</v>
      </c>
      <c r="R76">
        <v>262</v>
      </c>
      <c r="S76" s="18">
        <f t="shared" si="10"/>
        <v>9</v>
      </c>
      <c r="T76" s="17">
        <f t="shared" si="11"/>
        <v>262</v>
      </c>
      <c r="U76" s="17">
        <f t="shared" si="12"/>
        <v>0</v>
      </c>
      <c r="V76" s="17">
        <f t="shared" si="13"/>
        <v>0</v>
      </c>
      <c r="W76" s="17">
        <f t="shared" si="14"/>
        <v>0</v>
      </c>
      <c r="X76" s="17">
        <f t="shared" si="15"/>
        <v>-147</v>
      </c>
      <c r="Y76" s="19">
        <f t="shared" si="16"/>
        <v>0</v>
      </c>
      <c r="Z76">
        <v>395</v>
      </c>
      <c r="AA76">
        <v>0</v>
      </c>
      <c r="AB76">
        <v>0</v>
      </c>
      <c r="AC76">
        <v>0</v>
      </c>
      <c r="AD76">
        <v>400</v>
      </c>
      <c r="AE76">
        <v>0</v>
      </c>
      <c r="AF76">
        <v>0</v>
      </c>
      <c r="AG76">
        <v>0</v>
      </c>
      <c r="AH76">
        <v>400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f t="shared" si="17"/>
        <v>800</v>
      </c>
      <c r="BF76">
        <v>795</v>
      </c>
      <c r="BG76">
        <v>795</v>
      </c>
      <c r="BH76" t="s">
        <v>109</v>
      </c>
      <c r="BI76" t="s">
        <v>609</v>
      </c>
      <c r="BJ76">
        <v>0</v>
      </c>
      <c r="BK76">
        <v>400</v>
      </c>
      <c r="BL76">
        <v>795</v>
      </c>
      <c r="BM76">
        <v>2758</v>
      </c>
      <c r="BN76">
        <v>0</v>
      </c>
      <c r="BO76">
        <v>0</v>
      </c>
      <c r="BP76">
        <v>0</v>
      </c>
      <c r="BQ76">
        <v>2758</v>
      </c>
      <c r="BR76">
        <f t="shared" si="18"/>
        <v>147</v>
      </c>
      <c r="BS76">
        <f t="shared" si="19"/>
        <v>377</v>
      </c>
    </row>
    <row r="77" spans="1:72" x14ac:dyDescent="0.25">
      <c r="A77" s="5" t="s">
        <v>1661</v>
      </c>
      <c r="B77" s="5" t="s">
        <v>61</v>
      </c>
      <c r="C77" s="5" t="s">
        <v>61</v>
      </c>
      <c r="D77" s="1" t="s">
        <v>104</v>
      </c>
      <c r="E77">
        <v>0</v>
      </c>
      <c r="F77">
        <v>1881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4887</v>
      </c>
      <c r="Q77">
        <v>403</v>
      </c>
      <c r="R77">
        <v>543</v>
      </c>
      <c r="S77" s="18">
        <f t="shared" si="10"/>
        <v>9</v>
      </c>
      <c r="T77" s="17">
        <f t="shared" si="11"/>
        <v>0</v>
      </c>
      <c r="U77" s="17">
        <f t="shared" si="12"/>
        <v>0</v>
      </c>
      <c r="V77" s="17">
        <f t="shared" si="13"/>
        <v>0</v>
      </c>
      <c r="W77" s="17">
        <f t="shared" si="14"/>
        <v>543</v>
      </c>
      <c r="X77" s="17">
        <f t="shared" si="15"/>
        <v>-140</v>
      </c>
      <c r="Y77" s="19">
        <f t="shared" si="16"/>
        <v>0</v>
      </c>
      <c r="Z77">
        <v>1881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f t="shared" si="17"/>
        <v>0</v>
      </c>
      <c r="BF77">
        <v>1881</v>
      </c>
      <c r="BG77">
        <v>1881</v>
      </c>
      <c r="BH77" t="s">
        <v>109</v>
      </c>
      <c r="BI77" t="s">
        <v>1678</v>
      </c>
      <c r="BJ77">
        <v>0</v>
      </c>
      <c r="BK77">
        <v>0</v>
      </c>
      <c r="BL77">
        <v>1881</v>
      </c>
      <c r="BM77">
        <v>0</v>
      </c>
      <c r="BN77">
        <v>0</v>
      </c>
      <c r="BO77">
        <v>0</v>
      </c>
      <c r="BP77">
        <v>4887</v>
      </c>
      <c r="BQ77">
        <v>4887</v>
      </c>
      <c r="BR77">
        <f t="shared" si="18"/>
        <v>140</v>
      </c>
      <c r="BS77">
        <f t="shared" si="19"/>
        <v>946</v>
      </c>
    </row>
    <row r="78" spans="1:72" x14ac:dyDescent="0.25">
      <c r="A78" s="5" t="s">
        <v>2090</v>
      </c>
      <c r="B78" s="5" t="s">
        <v>207</v>
      </c>
      <c r="C78" s="5" t="s">
        <v>61</v>
      </c>
      <c r="D78" s="1" t="s">
        <v>121</v>
      </c>
      <c r="E78">
        <v>0</v>
      </c>
      <c r="F78">
        <v>2128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16">
        <v>2128</v>
      </c>
      <c r="P78">
        <v>0</v>
      </c>
      <c r="Q78">
        <v>175</v>
      </c>
      <c r="R78">
        <v>2303</v>
      </c>
      <c r="S78" s="18">
        <f t="shared" si="10"/>
        <v>0.92401215805471126</v>
      </c>
      <c r="T78" s="17">
        <f t="shared" si="11"/>
        <v>0</v>
      </c>
      <c r="U78" s="17">
        <f t="shared" si="12"/>
        <v>0</v>
      </c>
      <c r="V78" s="17">
        <f t="shared" si="13"/>
        <v>2303</v>
      </c>
      <c r="W78" s="17">
        <f t="shared" si="14"/>
        <v>0</v>
      </c>
      <c r="X78" s="17">
        <f t="shared" si="15"/>
        <v>175</v>
      </c>
      <c r="Y78" s="19">
        <f t="shared" si="16"/>
        <v>13.16</v>
      </c>
      <c r="Z78">
        <v>2128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f t="shared" si="17"/>
        <v>0</v>
      </c>
      <c r="BF78">
        <v>2128</v>
      </c>
      <c r="BG78">
        <v>2128</v>
      </c>
      <c r="BH78" t="s">
        <v>546</v>
      </c>
      <c r="BI78" t="s">
        <v>2239</v>
      </c>
      <c r="BJ78">
        <v>0</v>
      </c>
      <c r="BK78">
        <v>0</v>
      </c>
      <c r="BL78">
        <v>2128</v>
      </c>
      <c r="BM78">
        <v>0</v>
      </c>
      <c r="BN78">
        <v>0</v>
      </c>
      <c r="BO78">
        <v>2128</v>
      </c>
      <c r="BP78">
        <v>0</v>
      </c>
      <c r="BQ78">
        <v>2128</v>
      </c>
      <c r="BR78">
        <f t="shared" si="18"/>
        <v>2128</v>
      </c>
      <c r="BS78">
        <f t="shared" si="19"/>
        <v>2478</v>
      </c>
    </row>
    <row r="79" spans="1:72" x14ac:dyDescent="0.25">
      <c r="A79" s="5" t="s">
        <v>2090</v>
      </c>
      <c r="B79" s="5" t="s">
        <v>207</v>
      </c>
      <c r="C79" s="5" t="s">
        <v>61</v>
      </c>
      <c r="D79" s="1" t="s">
        <v>117</v>
      </c>
      <c r="E79">
        <v>0</v>
      </c>
      <c r="F79">
        <v>1730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16">
        <v>1730</v>
      </c>
      <c r="P79">
        <v>0</v>
      </c>
      <c r="Q79">
        <v>130</v>
      </c>
      <c r="R79">
        <v>1860</v>
      </c>
      <c r="S79" s="18">
        <f t="shared" si="10"/>
        <v>0.93010752688172038</v>
      </c>
      <c r="T79" s="17">
        <f t="shared" si="11"/>
        <v>0</v>
      </c>
      <c r="U79" s="17">
        <f t="shared" si="12"/>
        <v>0</v>
      </c>
      <c r="V79" s="17">
        <f t="shared" si="13"/>
        <v>1860</v>
      </c>
      <c r="W79" s="17">
        <f t="shared" si="14"/>
        <v>0</v>
      </c>
      <c r="X79" s="17">
        <f t="shared" si="15"/>
        <v>130</v>
      </c>
      <c r="Y79" s="19">
        <f t="shared" si="16"/>
        <v>14.307692307692308</v>
      </c>
      <c r="Z79">
        <v>1730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f t="shared" si="17"/>
        <v>0</v>
      </c>
      <c r="BF79">
        <v>1730</v>
      </c>
      <c r="BG79">
        <v>1730</v>
      </c>
      <c r="BH79" t="s">
        <v>546</v>
      </c>
      <c r="BI79" t="s">
        <v>2237</v>
      </c>
      <c r="BJ79">
        <v>0</v>
      </c>
      <c r="BK79">
        <v>0</v>
      </c>
      <c r="BL79">
        <v>1730</v>
      </c>
      <c r="BM79">
        <v>0</v>
      </c>
      <c r="BN79">
        <v>0</v>
      </c>
      <c r="BO79">
        <v>1730</v>
      </c>
      <c r="BP79">
        <v>0</v>
      </c>
      <c r="BQ79">
        <v>1730</v>
      </c>
      <c r="BR79">
        <f t="shared" si="18"/>
        <v>1730</v>
      </c>
      <c r="BS79">
        <f t="shared" si="19"/>
        <v>1990</v>
      </c>
    </row>
    <row r="80" spans="1:72" x14ac:dyDescent="0.25">
      <c r="A80" s="5" t="s">
        <v>2090</v>
      </c>
      <c r="B80" s="5" t="s">
        <v>207</v>
      </c>
      <c r="C80" s="5" t="s">
        <v>61</v>
      </c>
      <c r="D80" s="1" t="s">
        <v>77</v>
      </c>
      <c r="E80">
        <v>0</v>
      </c>
      <c r="F80">
        <v>14485</v>
      </c>
      <c r="G80">
        <v>0</v>
      </c>
      <c r="H80">
        <v>0</v>
      </c>
      <c r="I80">
        <v>175</v>
      </c>
      <c r="J80">
        <v>0</v>
      </c>
      <c r="K80">
        <v>126</v>
      </c>
      <c r="L80">
        <v>0</v>
      </c>
      <c r="M80">
        <v>15417</v>
      </c>
      <c r="N80">
        <v>0</v>
      </c>
      <c r="O80" s="16">
        <v>18000</v>
      </c>
      <c r="P80">
        <v>5526</v>
      </c>
      <c r="Q80">
        <v>2668</v>
      </c>
      <c r="R80">
        <v>4327</v>
      </c>
      <c r="S80" s="18">
        <f t="shared" si="10"/>
        <v>9</v>
      </c>
      <c r="T80" s="17">
        <f t="shared" si="11"/>
        <v>1713</v>
      </c>
      <c r="U80" s="17">
        <f t="shared" si="12"/>
        <v>0</v>
      </c>
      <c r="V80" s="17">
        <f t="shared" si="13"/>
        <v>2000</v>
      </c>
      <c r="W80" s="17">
        <f t="shared" si="14"/>
        <v>614</v>
      </c>
      <c r="X80" s="17">
        <f t="shared" si="15"/>
        <v>341</v>
      </c>
      <c r="Y80" s="19">
        <f t="shared" si="16"/>
        <v>5.8651026392961878</v>
      </c>
      <c r="Z80">
        <v>14485</v>
      </c>
      <c r="AA80">
        <v>0</v>
      </c>
      <c r="AB80">
        <v>0</v>
      </c>
      <c r="AC80">
        <v>0</v>
      </c>
      <c r="AD80">
        <v>175</v>
      </c>
      <c r="AE80">
        <v>0</v>
      </c>
      <c r="AF80">
        <v>0</v>
      </c>
      <c r="AG80">
        <v>0</v>
      </c>
      <c r="AH80">
        <v>175</v>
      </c>
      <c r="AI80">
        <v>0</v>
      </c>
      <c r="AJ80">
        <v>0</v>
      </c>
      <c r="AK80">
        <v>0</v>
      </c>
      <c r="AL80">
        <v>0</v>
      </c>
      <c r="AM80">
        <v>126</v>
      </c>
      <c r="AN80">
        <v>0</v>
      </c>
      <c r="AO80">
        <v>0</v>
      </c>
      <c r="AP80">
        <v>0</v>
      </c>
      <c r="AQ80">
        <v>126</v>
      </c>
      <c r="AR80">
        <v>126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f t="shared" si="17"/>
        <v>728</v>
      </c>
      <c r="BF80">
        <v>14786</v>
      </c>
      <c r="BG80">
        <v>14786</v>
      </c>
      <c r="BH80" t="s">
        <v>109</v>
      </c>
      <c r="BI80" t="s">
        <v>2218</v>
      </c>
      <c r="BJ80">
        <v>0</v>
      </c>
      <c r="BK80">
        <v>301</v>
      </c>
      <c r="BL80">
        <v>14786</v>
      </c>
      <c r="BM80">
        <v>15718</v>
      </c>
      <c r="BN80">
        <v>0</v>
      </c>
      <c r="BO80">
        <v>18000</v>
      </c>
      <c r="BP80">
        <v>5526</v>
      </c>
      <c r="BQ80">
        <v>39244</v>
      </c>
      <c r="BR80">
        <f t="shared" si="18"/>
        <v>1659</v>
      </c>
      <c r="BS80">
        <f t="shared" si="19"/>
        <v>6995</v>
      </c>
    </row>
    <row r="81" spans="1:74" x14ac:dyDescent="0.25">
      <c r="A81" s="5" t="s">
        <v>1946</v>
      </c>
      <c r="B81" s="5" t="s">
        <v>207</v>
      </c>
      <c r="C81" s="5" t="s">
        <v>207</v>
      </c>
      <c r="D81" s="1" t="s">
        <v>153</v>
      </c>
      <c r="E81">
        <v>0</v>
      </c>
      <c r="F81">
        <v>870</v>
      </c>
      <c r="G81">
        <v>0</v>
      </c>
      <c r="H81">
        <v>0</v>
      </c>
      <c r="I81">
        <v>0</v>
      </c>
      <c r="J81">
        <v>0</v>
      </c>
      <c r="K81">
        <v>260</v>
      </c>
      <c r="L81">
        <v>0</v>
      </c>
      <c r="M81">
        <v>1377</v>
      </c>
      <c r="N81">
        <v>0</v>
      </c>
      <c r="O81">
        <v>0</v>
      </c>
      <c r="P81">
        <v>378</v>
      </c>
      <c r="Q81">
        <v>95</v>
      </c>
      <c r="R81">
        <v>195</v>
      </c>
      <c r="S81" s="18">
        <f t="shared" si="10"/>
        <v>9</v>
      </c>
      <c r="T81" s="17">
        <f t="shared" si="11"/>
        <v>153</v>
      </c>
      <c r="U81" s="17">
        <f t="shared" si="12"/>
        <v>0</v>
      </c>
      <c r="V81" s="17">
        <f t="shared" si="13"/>
        <v>0</v>
      </c>
      <c r="W81" s="17">
        <f t="shared" si="14"/>
        <v>42</v>
      </c>
      <c r="X81" s="17">
        <f t="shared" si="15"/>
        <v>-100</v>
      </c>
      <c r="Y81" s="19">
        <f t="shared" si="16"/>
        <v>0</v>
      </c>
      <c r="Z81">
        <v>870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225</v>
      </c>
      <c r="AN81">
        <v>0</v>
      </c>
      <c r="AO81">
        <v>35</v>
      </c>
      <c r="AP81">
        <v>160</v>
      </c>
      <c r="AQ81">
        <v>260</v>
      </c>
      <c r="AR81">
        <v>100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f t="shared" si="17"/>
        <v>780</v>
      </c>
      <c r="BF81">
        <v>1130</v>
      </c>
      <c r="BG81">
        <v>1130</v>
      </c>
      <c r="BH81" t="s">
        <v>190</v>
      </c>
      <c r="BI81" t="s">
        <v>2080</v>
      </c>
      <c r="BJ81">
        <v>0</v>
      </c>
      <c r="BK81">
        <v>260</v>
      </c>
      <c r="BL81">
        <v>1130</v>
      </c>
      <c r="BM81">
        <v>1602</v>
      </c>
      <c r="BN81">
        <v>0</v>
      </c>
      <c r="BO81">
        <v>0</v>
      </c>
      <c r="BP81">
        <v>413</v>
      </c>
      <c r="BQ81">
        <v>2015</v>
      </c>
      <c r="BR81">
        <f t="shared" si="18"/>
        <v>100</v>
      </c>
      <c r="BS81">
        <f t="shared" si="19"/>
        <v>290</v>
      </c>
    </row>
    <row r="82" spans="1:74" x14ac:dyDescent="0.25">
      <c r="A82" s="5" t="s">
        <v>2090</v>
      </c>
      <c r="B82" s="5" t="s">
        <v>207</v>
      </c>
      <c r="C82" s="5" t="s">
        <v>61</v>
      </c>
      <c r="D82" s="1" t="s">
        <v>81</v>
      </c>
      <c r="E82">
        <v>0</v>
      </c>
      <c r="F82">
        <v>2438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11880</v>
      </c>
      <c r="N82">
        <v>0</v>
      </c>
      <c r="O82">
        <v>0</v>
      </c>
      <c r="P82">
        <v>0</v>
      </c>
      <c r="Q82">
        <v>1220</v>
      </c>
      <c r="R82">
        <v>1320</v>
      </c>
      <c r="S82" s="18">
        <f t="shared" si="10"/>
        <v>9</v>
      </c>
      <c r="T82" s="17">
        <f t="shared" si="11"/>
        <v>1320</v>
      </c>
      <c r="U82" s="17">
        <f t="shared" si="12"/>
        <v>0</v>
      </c>
      <c r="V82" s="17">
        <f t="shared" si="13"/>
        <v>0</v>
      </c>
      <c r="W82" s="17">
        <f t="shared" si="14"/>
        <v>0</v>
      </c>
      <c r="X82" s="17">
        <f t="shared" si="15"/>
        <v>-100</v>
      </c>
      <c r="Y82" s="19">
        <f t="shared" si="16"/>
        <v>0</v>
      </c>
      <c r="Z82">
        <v>2438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f t="shared" si="17"/>
        <v>0</v>
      </c>
      <c r="BF82">
        <v>2438</v>
      </c>
      <c r="BG82">
        <v>2438</v>
      </c>
      <c r="BH82" t="s">
        <v>109</v>
      </c>
      <c r="BI82" t="s">
        <v>2220</v>
      </c>
      <c r="BJ82">
        <v>0</v>
      </c>
      <c r="BK82">
        <v>0</v>
      </c>
      <c r="BL82">
        <v>2438</v>
      </c>
      <c r="BM82">
        <v>11880</v>
      </c>
      <c r="BN82">
        <v>0</v>
      </c>
      <c r="BO82">
        <v>0</v>
      </c>
      <c r="BP82">
        <v>0</v>
      </c>
      <c r="BQ82">
        <v>11880</v>
      </c>
      <c r="BR82">
        <f t="shared" si="18"/>
        <v>100</v>
      </c>
      <c r="BS82">
        <f t="shared" si="19"/>
        <v>2540</v>
      </c>
    </row>
    <row r="83" spans="1:74" x14ac:dyDescent="0.25">
      <c r="A83" s="5" t="s">
        <v>207</v>
      </c>
      <c r="B83" s="5" t="s">
        <v>359</v>
      </c>
      <c r="C83" s="5" t="s">
        <v>61</v>
      </c>
      <c r="D83" s="1" t="s">
        <v>102</v>
      </c>
      <c r="E83">
        <v>0</v>
      </c>
      <c r="F83">
        <v>371</v>
      </c>
      <c r="G83">
        <v>0</v>
      </c>
      <c r="H83">
        <v>0</v>
      </c>
      <c r="I83">
        <v>1400</v>
      </c>
      <c r="J83">
        <v>0</v>
      </c>
      <c r="K83">
        <v>0</v>
      </c>
      <c r="L83">
        <v>0</v>
      </c>
      <c r="M83">
        <v>3339</v>
      </c>
      <c r="N83">
        <v>0</v>
      </c>
      <c r="O83">
        <v>0</v>
      </c>
      <c r="P83">
        <v>0</v>
      </c>
      <c r="Q83">
        <v>300</v>
      </c>
      <c r="R83">
        <v>371</v>
      </c>
      <c r="S83" s="18">
        <f t="shared" si="10"/>
        <v>9</v>
      </c>
      <c r="T83" s="17">
        <f t="shared" si="11"/>
        <v>371</v>
      </c>
      <c r="U83" s="17">
        <f t="shared" si="12"/>
        <v>0</v>
      </c>
      <c r="V83" s="17">
        <f t="shared" si="13"/>
        <v>0</v>
      </c>
      <c r="W83" s="17">
        <f t="shared" si="14"/>
        <v>0</v>
      </c>
      <c r="X83" s="17">
        <f t="shared" si="15"/>
        <v>-71</v>
      </c>
      <c r="Y83" s="19">
        <f t="shared" si="16"/>
        <v>0</v>
      </c>
      <c r="Z83">
        <v>371</v>
      </c>
      <c r="AA83">
        <v>0</v>
      </c>
      <c r="AB83">
        <v>0</v>
      </c>
      <c r="AC83">
        <v>0</v>
      </c>
      <c r="AD83">
        <v>1400</v>
      </c>
      <c r="AE83">
        <v>0</v>
      </c>
      <c r="AF83">
        <v>0</v>
      </c>
      <c r="AG83">
        <v>0</v>
      </c>
      <c r="AH83">
        <v>1400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f t="shared" si="17"/>
        <v>2800</v>
      </c>
      <c r="BF83">
        <v>1771</v>
      </c>
      <c r="BG83">
        <v>1771</v>
      </c>
      <c r="BH83" t="s">
        <v>109</v>
      </c>
      <c r="BI83" t="s">
        <v>611</v>
      </c>
      <c r="BJ83">
        <v>0</v>
      </c>
      <c r="BK83">
        <v>1400</v>
      </c>
      <c r="BL83">
        <v>1771</v>
      </c>
      <c r="BM83">
        <v>4739</v>
      </c>
      <c r="BN83">
        <v>0</v>
      </c>
      <c r="BO83">
        <v>0</v>
      </c>
      <c r="BP83">
        <v>0</v>
      </c>
      <c r="BQ83">
        <v>4739</v>
      </c>
      <c r="BR83">
        <f t="shared" si="18"/>
        <v>71</v>
      </c>
      <c r="BS83">
        <f t="shared" si="19"/>
        <v>671</v>
      </c>
    </row>
    <row r="84" spans="1:74" x14ac:dyDescent="0.25">
      <c r="A84" s="5" t="s">
        <v>875</v>
      </c>
      <c r="B84" s="5" t="s">
        <v>207</v>
      </c>
      <c r="C84" s="5" t="s">
        <v>61</v>
      </c>
      <c r="D84" s="1" t="s">
        <v>73</v>
      </c>
      <c r="E84">
        <v>0</v>
      </c>
      <c r="F84">
        <v>19500</v>
      </c>
      <c r="G84">
        <v>0</v>
      </c>
      <c r="H84">
        <v>0</v>
      </c>
      <c r="I84">
        <v>6225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116100</v>
      </c>
      <c r="Q84">
        <v>12900</v>
      </c>
      <c r="R84">
        <v>12900</v>
      </c>
      <c r="S84" s="18">
        <f t="shared" si="10"/>
        <v>9</v>
      </c>
      <c r="T84" s="17">
        <f t="shared" si="11"/>
        <v>0</v>
      </c>
      <c r="U84" s="17">
        <f t="shared" si="12"/>
        <v>0</v>
      </c>
      <c r="V84" s="17">
        <f t="shared" si="13"/>
        <v>0</v>
      </c>
      <c r="W84" s="17">
        <f t="shared" si="14"/>
        <v>12900</v>
      </c>
      <c r="X84" s="17">
        <f t="shared" si="15"/>
        <v>0</v>
      </c>
      <c r="Y84" s="19" t="e">
        <f t="shared" si="16"/>
        <v>#DIV/0!</v>
      </c>
      <c r="Z84">
        <v>19500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6225</v>
      </c>
      <c r="AH84">
        <v>6225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f t="shared" si="17"/>
        <v>12450</v>
      </c>
      <c r="BF84">
        <v>25725</v>
      </c>
      <c r="BG84">
        <v>25725</v>
      </c>
      <c r="BH84" t="s">
        <v>543</v>
      </c>
      <c r="BI84" t="s">
        <v>971</v>
      </c>
      <c r="BJ84">
        <v>0</v>
      </c>
      <c r="BK84">
        <v>6225</v>
      </c>
      <c r="BL84">
        <v>25725</v>
      </c>
      <c r="BM84">
        <v>0</v>
      </c>
      <c r="BN84">
        <v>0</v>
      </c>
      <c r="BO84">
        <v>0</v>
      </c>
      <c r="BP84">
        <v>122325</v>
      </c>
      <c r="BQ84">
        <v>122325</v>
      </c>
      <c r="BR84">
        <f t="shared" si="18"/>
        <v>0</v>
      </c>
      <c r="BS84">
        <f t="shared" si="19"/>
        <v>25800</v>
      </c>
      <c r="BU84">
        <f>R84*9</f>
        <v>116100</v>
      </c>
      <c r="BV84">
        <f>IF(BU84&gt;BG84, 1, 0)</f>
        <v>1</v>
      </c>
    </row>
    <row r="85" spans="1:74" x14ac:dyDescent="0.25">
      <c r="A85" s="5" t="s">
        <v>1337</v>
      </c>
      <c r="B85" s="5" t="s">
        <v>207</v>
      </c>
      <c r="C85" s="5" t="s">
        <v>61</v>
      </c>
      <c r="D85" s="1" t="s">
        <v>94</v>
      </c>
      <c r="E85">
        <v>0</v>
      </c>
      <c r="F85">
        <v>44</v>
      </c>
      <c r="G85">
        <v>0</v>
      </c>
      <c r="H85">
        <v>0</v>
      </c>
      <c r="I85">
        <v>200</v>
      </c>
      <c r="J85">
        <v>0</v>
      </c>
      <c r="K85">
        <v>5</v>
      </c>
      <c r="L85">
        <v>0</v>
      </c>
      <c r="M85">
        <v>396</v>
      </c>
      <c r="N85">
        <v>0</v>
      </c>
      <c r="O85">
        <v>0</v>
      </c>
      <c r="P85">
        <v>504</v>
      </c>
      <c r="Q85">
        <v>44</v>
      </c>
      <c r="R85">
        <v>100</v>
      </c>
      <c r="S85" s="18">
        <f t="shared" si="10"/>
        <v>9</v>
      </c>
      <c r="T85" s="17">
        <f t="shared" si="11"/>
        <v>44</v>
      </c>
      <c r="U85" s="17">
        <f t="shared" si="12"/>
        <v>0</v>
      </c>
      <c r="V85" s="17">
        <f t="shared" si="13"/>
        <v>0</v>
      </c>
      <c r="W85" s="17">
        <f t="shared" si="14"/>
        <v>56</v>
      </c>
      <c r="X85" s="17">
        <f t="shared" si="15"/>
        <v>-56</v>
      </c>
      <c r="Y85" s="19">
        <f t="shared" si="16"/>
        <v>0</v>
      </c>
      <c r="Z85">
        <v>44</v>
      </c>
      <c r="AA85">
        <v>0</v>
      </c>
      <c r="AB85">
        <v>0</v>
      </c>
      <c r="AC85">
        <v>0</v>
      </c>
      <c r="AD85">
        <v>200</v>
      </c>
      <c r="AE85">
        <v>0</v>
      </c>
      <c r="AF85">
        <v>0</v>
      </c>
      <c r="AG85">
        <v>0</v>
      </c>
      <c r="AH85">
        <v>200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</v>
      </c>
      <c r="AP85">
        <v>5</v>
      </c>
      <c r="AQ85">
        <v>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f t="shared" si="17"/>
        <v>415</v>
      </c>
      <c r="BF85">
        <v>249</v>
      </c>
      <c r="BG85">
        <v>249</v>
      </c>
      <c r="BH85" t="s">
        <v>109</v>
      </c>
      <c r="BI85" t="s">
        <v>1385</v>
      </c>
      <c r="BJ85">
        <v>0</v>
      </c>
      <c r="BK85">
        <v>205</v>
      </c>
      <c r="BL85">
        <v>249</v>
      </c>
      <c r="BM85">
        <v>596</v>
      </c>
      <c r="BN85">
        <v>0</v>
      </c>
      <c r="BO85">
        <v>0</v>
      </c>
      <c r="BP85">
        <v>509</v>
      </c>
      <c r="BQ85">
        <v>1105</v>
      </c>
      <c r="BR85">
        <f t="shared" si="18"/>
        <v>56</v>
      </c>
      <c r="BS85">
        <f t="shared" si="19"/>
        <v>144</v>
      </c>
    </row>
    <row r="86" spans="1:74" x14ac:dyDescent="0.25">
      <c r="A86" s="5" t="s">
        <v>1451</v>
      </c>
      <c r="B86" s="5" t="s">
        <v>207</v>
      </c>
      <c r="C86" s="5" t="s">
        <v>207</v>
      </c>
      <c r="D86" s="1" t="s">
        <v>139</v>
      </c>
      <c r="E86">
        <v>0</v>
      </c>
      <c r="F86">
        <v>3150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3375</v>
      </c>
      <c r="N86">
        <v>0</v>
      </c>
      <c r="O86">
        <v>0</v>
      </c>
      <c r="P86">
        <v>0</v>
      </c>
      <c r="Q86">
        <v>328</v>
      </c>
      <c r="R86">
        <v>375</v>
      </c>
      <c r="S86" s="18">
        <f t="shared" si="10"/>
        <v>9</v>
      </c>
      <c r="T86" s="17">
        <f t="shared" si="11"/>
        <v>375</v>
      </c>
      <c r="U86" s="17">
        <f t="shared" si="12"/>
        <v>0</v>
      </c>
      <c r="V86" s="17">
        <f t="shared" si="13"/>
        <v>0</v>
      </c>
      <c r="W86" s="17">
        <f t="shared" si="14"/>
        <v>0</v>
      </c>
      <c r="X86" s="17">
        <f t="shared" si="15"/>
        <v>-47</v>
      </c>
      <c r="Y86" s="19">
        <f t="shared" si="16"/>
        <v>0</v>
      </c>
      <c r="Z86">
        <v>3150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f t="shared" si="17"/>
        <v>0</v>
      </c>
      <c r="BF86">
        <v>3150</v>
      </c>
      <c r="BG86">
        <v>3150</v>
      </c>
      <c r="BH86" t="s">
        <v>109</v>
      </c>
      <c r="BI86" t="s">
        <v>1588</v>
      </c>
      <c r="BJ86">
        <v>0</v>
      </c>
      <c r="BK86">
        <v>0</v>
      </c>
      <c r="BL86">
        <v>3150</v>
      </c>
      <c r="BM86">
        <v>3375</v>
      </c>
      <c r="BN86">
        <v>0</v>
      </c>
      <c r="BO86">
        <v>0</v>
      </c>
      <c r="BP86">
        <v>0</v>
      </c>
      <c r="BQ86">
        <v>3375</v>
      </c>
      <c r="BR86">
        <f t="shared" si="18"/>
        <v>47</v>
      </c>
      <c r="BS86">
        <f t="shared" si="19"/>
        <v>703</v>
      </c>
    </row>
    <row r="87" spans="1:74" x14ac:dyDescent="0.25">
      <c r="A87" s="5" t="s">
        <v>1661</v>
      </c>
      <c r="B87" s="5" t="s">
        <v>359</v>
      </c>
      <c r="C87" s="5" t="s">
        <v>207</v>
      </c>
      <c r="D87" s="1" t="s">
        <v>108</v>
      </c>
      <c r="E87">
        <v>0</v>
      </c>
      <c r="F87">
        <v>750</v>
      </c>
      <c r="G87">
        <v>0</v>
      </c>
      <c r="H87">
        <v>0</v>
      </c>
      <c r="I87">
        <v>0</v>
      </c>
      <c r="J87">
        <v>0</v>
      </c>
      <c r="K87">
        <v>648</v>
      </c>
      <c r="L87">
        <v>0</v>
      </c>
      <c r="M87">
        <v>540</v>
      </c>
      <c r="N87">
        <v>0</v>
      </c>
      <c r="O87">
        <v>0</v>
      </c>
      <c r="P87">
        <v>1314</v>
      </c>
      <c r="Q87">
        <v>160</v>
      </c>
      <c r="R87">
        <v>206</v>
      </c>
      <c r="S87" s="18">
        <f t="shared" si="10"/>
        <v>9</v>
      </c>
      <c r="T87" s="17">
        <f t="shared" si="11"/>
        <v>60</v>
      </c>
      <c r="U87" s="17">
        <f t="shared" si="12"/>
        <v>0</v>
      </c>
      <c r="V87" s="17">
        <f t="shared" si="13"/>
        <v>0</v>
      </c>
      <c r="W87" s="17">
        <f t="shared" si="14"/>
        <v>146</v>
      </c>
      <c r="X87" s="17">
        <f t="shared" si="15"/>
        <v>-46</v>
      </c>
      <c r="Y87" s="19">
        <f t="shared" si="16"/>
        <v>0</v>
      </c>
      <c r="Z87">
        <v>750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648</v>
      </c>
      <c r="AP87">
        <v>419</v>
      </c>
      <c r="AQ87">
        <v>648</v>
      </c>
      <c r="AR87">
        <v>229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f t="shared" si="17"/>
        <v>1944</v>
      </c>
      <c r="BF87">
        <v>1398</v>
      </c>
      <c r="BG87">
        <v>1398</v>
      </c>
      <c r="BH87" t="s">
        <v>190</v>
      </c>
      <c r="BI87" t="s">
        <v>1904</v>
      </c>
      <c r="BJ87">
        <v>0</v>
      </c>
      <c r="BK87">
        <v>648</v>
      </c>
      <c r="BL87">
        <v>1398</v>
      </c>
      <c r="BM87">
        <v>540</v>
      </c>
      <c r="BN87">
        <v>0</v>
      </c>
      <c r="BO87">
        <v>0</v>
      </c>
      <c r="BP87">
        <v>1962</v>
      </c>
      <c r="BQ87">
        <v>2502</v>
      </c>
      <c r="BR87">
        <f t="shared" si="18"/>
        <v>46</v>
      </c>
      <c r="BS87">
        <f t="shared" si="19"/>
        <v>366</v>
      </c>
    </row>
    <row r="88" spans="1:74" x14ac:dyDescent="0.25">
      <c r="A88" s="5" t="s">
        <v>1661</v>
      </c>
      <c r="B88" s="5" t="s">
        <v>61</v>
      </c>
      <c r="C88" s="5" t="s">
        <v>359</v>
      </c>
      <c r="D88" s="1" t="s">
        <v>106</v>
      </c>
      <c r="E88">
        <v>0</v>
      </c>
      <c r="F88">
        <v>7514</v>
      </c>
      <c r="G88">
        <v>0</v>
      </c>
      <c r="H88">
        <v>0</v>
      </c>
      <c r="I88">
        <v>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6840</v>
      </c>
      <c r="Q88">
        <v>725</v>
      </c>
      <c r="R88">
        <v>760</v>
      </c>
      <c r="S88" s="18">
        <f t="shared" si="10"/>
        <v>9</v>
      </c>
      <c r="T88" s="17">
        <f t="shared" si="11"/>
        <v>0</v>
      </c>
      <c r="U88" s="17">
        <f t="shared" si="12"/>
        <v>0</v>
      </c>
      <c r="V88" s="17">
        <f t="shared" si="13"/>
        <v>0</v>
      </c>
      <c r="W88" s="17">
        <f t="shared" si="14"/>
        <v>760</v>
      </c>
      <c r="X88" s="17">
        <f t="shared" si="15"/>
        <v>-35</v>
      </c>
      <c r="Y88" s="19">
        <f t="shared" si="16"/>
        <v>0</v>
      </c>
      <c r="Z88">
        <v>7514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375</v>
      </c>
      <c r="AH88">
        <v>375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f t="shared" si="17"/>
        <v>750</v>
      </c>
      <c r="BF88">
        <v>7889</v>
      </c>
      <c r="BG88">
        <v>7889</v>
      </c>
      <c r="BH88" t="s">
        <v>190</v>
      </c>
      <c r="BI88" t="s">
        <v>1733</v>
      </c>
      <c r="BJ88">
        <v>0</v>
      </c>
      <c r="BK88">
        <v>375</v>
      </c>
      <c r="BL88">
        <v>7889</v>
      </c>
      <c r="BM88">
        <v>0</v>
      </c>
      <c r="BN88">
        <v>0</v>
      </c>
      <c r="BO88">
        <v>0</v>
      </c>
      <c r="BP88">
        <v>7215</v>
      </c>
      <c r="BQ88">
        <v>7215</v>
      </c>
      <c r="BR88">
        <f t="shared" si="18"/>
        <v>35</v>
      </c>
      <c r="BS88">
        <f t="shared" si="19"/>
        <v>1485</v>
      </c>
    </row>
    <row r="89" spans="1:74" x14ac:dyDescent="0.25">
      <c r="A89" s="5" t="s">
        <v>2090</v>
      </c>
      <c r="B89" s="5" t="s">
        <v>359</v>
      </c>
      <c r="C89" s="5" t="s">
        <v>61</v>
      </c>
      <c r="D89" s="1" t="s">
        <v>75</v>
      </c>
      <c r="E89">
        <v>0</v>
      </c>
      <c r="F89">
        <v>16000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14850</v>
      </c>
      <c r="N89">
        <v>0</v>
      </c>
      <c r="O89">
        <v>0</v>
      </c>
      <c r="P89">
        <v>0</v>
      </c>
      <c r="Q89">
        <v>1617</v>
      </c>
      <c r="R89">
        <v>1650</v>
      </c>
      <c r="S89" s="18">
        <f t="shared" si="10"/>
        <v>9</v>
      </c>
      <c r="T89" s="17">
        <f t="shared" si="11"/>
        <v>1650</v>
      </c>
      <c r="U89" s="17">
        <f t="shared" si="12"/>
        <v>0</v>
      </c>
      <c r="V89" s="17">
        <f t="shared" si="13"/>
        <v>0</v>
      </c>
      <c r="W89" s="17">
        <f t="shared" si="14"/>
        <v>0</v>
      </c>
      <c r="X89" s="17">
        <f t="shared" si="15"/>
        <v>-33</v>
      </c>
      <c r="Y89" s="19">
        <f t="shared" si="16"/>
        <v>0</v>
      </c>
      <c r="Z89">
        <v>16000</v>
      </c>
      <c r="AA89">
        <v>0</v>
      </c>
      <c r="AB89">
        <v>0</v>
      </c>
      <c r="AC89">
        <v>100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f t="shared" si="17"/>
        <v>100</v>
      </c>
      <c r="BF89">
        <v>16100</v>
      </c>
      <c r="BG89">
        <v>16100</v>
      </c>
      <c r="BH89" t="s">
        <v>109</v>
      </c>
      <c r="BI89" t="s">
        <v>2286</v>
      </c>
      <c r="BJ89">
        <v>100</v>
      </c>
      <c r="BK89">
        <v>0</v>
      </c>
      <c r="BL89">
        <v>16100</v>
      </c>
      <c r="BM89">
        <v>14850</v>
      </c>
      <c r="BN89">
        <v>0</v>
      </c>
      <c r="BO89">
        <v>0</v>
      </c>
      <c r="BP89">
        <v>0</v>
      </c>
      <c r="BQ89">
        <v>14850</v>
      </c>
      <c r="BR89">
        <f t="shared" si="18"/>
        <v>33</v>
      </c>
      <c r="BS89">
        <f t="shared" si="19"/>
        <v>3267</v>
      </c>
    </row>
    <row r="90" spans="1:74" x14ac:dyDescent="0.25">
      <c r="A90" s="5" t="s">
        <v>2090</v>
      </c>
      <c r="B90" s="5" t="s">
        <v>61</v>
      </c>
      <c r="C90" s="5" t="s">
        <v>61</v>
      </c>
      <c r="D90" s="1" t="s">
        <v>88</v>
      </c>
      <c r="E90">
        <v>0</v>
      </c>
      <c r="F90">
        <v>408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864</v>
      </c>
      <c r="N90">
        <v>0</v>
      </c>
      <c r="O90">
        <v>0</v>
      </c>
      <c r="P90">
        <v>0</v>
      </c>
      <c r="Q90">
        <v>68</v>
      </c>
      <c r="R90">
        <v>96</v>
      </c>
      <c r="S90" s="18">
        <f t="shared" si="10"/>
        <v>9</v>
      </c>
      <c r="T90" s="17">
        <f t="shared" si="11"/>
        <v>96</v>
      </c>
      <c r="U90" s="17">
        <f t="shared" si="12"/>
        <v>0</v>
      </c>
      <c r="V90" s="17">
        <f t="shared" si="13"/>
        <v>0</v>
      </c>
      <c r="W90" s="17">
        <f t="shared" si="14"/>
        <v>0</v>
      </c>
      <c r="X90" s="17">
        <f t="shared" si="15"/>
        <v>-28</v>
      </c>
      <c r="Y90" s="19">
        <f t="shared" si="16"/>
        <v>0</v>
      </c>
      <c r="Z90">
        <v>408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f t="shared" si="17"/>
        <v>0</v>
      </c>
      <c r="BF90">
        <v>408</v>
      </c>
      <c r="BG90">
        <v>408</v>
      </c>
      <c r="BH90" t="s">
        <v>109</v>
      </c>
      <c r="BI90" t="s">
        <v>2103</v>
      </c>
      <c r="BJ90">
        <v>0</v>
      </c>
      <c r="BK90">
        <v>0</v>
      </c>
      <c r="BL90">
        <v>408</v>
      </c>
      <c r="BM90">
        <v>864</v>
      </c>
      <c r="BN90">
        <v>0</v>
      </c>
      <c r="BO90">
        <v>0</v>
      </c>
      <c r="BP90">
        <v>0</v>
      </c>
      <c r="BQ90">
        <v>864</v>
      </c>
      <c r="BR90">
        <f t="shared" si="18"/>
        <v>28</v>
      </c>
      <c r="BS90">
        <f t="shared" si="19"/>
        <v>164</v>
      </c>
    </row>
    <row r="91" spans="1:74" x14ac:dyDescent="0.25">
      <c r="A91" s="5" t="s">
        <v>1451</v>
      </c>
      <c r="B91" s="5" t="s">
        <v>207</v>
      </c>
      <c r="C91" s="5" t="s">
        <v>207</v>
      </c>
      <c r="D91" s="1" t="s">
        <v>86</v>
      </c>
      <c r="E91">
        <v>0</v>
      </c>
      <c r="F91">
        <v>3120</v>
      </c>
      <c r="G91">
        <v>0</v>
      </c>
      <c r="H91">
        <v>0</v>
      </c>
      <c r="I91">
        <v>2424</v>
      </c>
      <c r="J91">
        <v>812</v>
      </c>
      <c r="K91">
        <v>175</v>
      </c>
      <c r="L91">
        <v>28</v>
      </c>
      <c r="M91">
        <v>0</v>
      </c>
      <c r="N91">
        <v>0</v>
      </c>
      <c r="O91">
        <v>0</v>
      </c>
      <c r="P91">
        <v>10836</v>
      </c>
      <c r="Q91">
        <v>1177</v>
      </c>
      <c r="R91">
        <v>1204</v>
      </c>
      <c r="S91" s="18">
        <f t="shared" si="10"/>
        <v>9</v>
      </c>
      <c r="T91" s="17">
        <f t="shared" si="11"/>
        <v>0</v>
      </c>
      <c r="U91" s="17">
        <f t="shared" si="12"/>
        <v>0</v>
      </c>
      <c r="V91" s="17">
        <f t="shared" si="13"/>
        <v>0</v>
      </c>
      <c r="W91" s="17">
        <f t="shared" si="14"/>
        <v>1204</v>
      </c>
      <c r="X91" s="17">
        <f t="shared" si="15"/>
        <v>-27</v>
      </c>
      <c r="Y91" s="19">
        <f t="shared" si="16"/>
        <v>0</v>
      </c>
      <c r="Z91">
        <v>3120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2424</v>
      </c>
      <c r="AH91">
        <v>2424</v>
      </c>
      <c r="AI91">
        <v>0</v>
      </c>
      <c r="AJ91">
        <v>0</v>
      </c>
      <c r="AK91">
        <v>812</v>
      </c>
      <c r="AL91">
        <v>812</v>
      </c>
      <c r="AM91">
        <v>0</v>
      </c>
      <c r="AN91">
        <v>0</v>
      </c>
      <c r="AO91">
        <v>175</v>
      </c>
      <c r="AP91">
        <v>0</v>
      </c>
      <c r="AQ91">
        <v>175</v>
      </c>
      <c r="AR91">
        <v>175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28</v>
      </c>
      <c r="BA91">
        <v>28</v>
      </c>
      <c r="BB91">
        <v>0</v>
      </c>
      <c r="BC91">
        <v>0</v>
      </c>
      <c r="BD91">
        <v>0</v>
      </c>
      <c r="BE91">
        <f t="shared" si="17"/>
        <v>7053</v>
      </c>
      <c r="BF91">
        <v>6559</v>
      </c>
      <c r="BG91">
        <v>6559</v>
      </c>
      <c r="BH91" t="s">
        <v>109</v>
      </c>
      <c r="BI91" t="s">
        <v>1567</v>
      </c>
      <c r="BJ91">
        <v>0</v>
      </c>
      <c r="BK91">
        <v>3439</v>
      </c>
      <c r="BL91">
        <v>6559</v>
      </c>
      <c r="BM91">
        <v>0</v>
      </c>
      <c r="BN91">
        <v>0</v>
      </c>
      <c r="BO91">
        <v>0</v>
      </c>
      <c r="BP91">
        <v>14275</v>
      </c>
      <c r="BQ91">
        <v>14275</v>
      </c>
      <c r="BR91">
        <f t="shared" si="18"/>
        <v>27</v>
      </c>
      <c r="BS91">
        <f t="shared" si="19"/>
        <v>2381</v>
      </c>
    </row>
    <row r="92" spans="1:74" x14ac:dyDescent="0.25">
      <c r="A92" s="5" t="s">
        <v>2090</v>
      </c>
      <c r="B92" s="5" t="s">
        <v>207</v>
      </c>
      <c r="C92" s="5" t="s">
        <v>61</v>
      </c>
      <c r="D92" s="1" t="s">
        <v>201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25</v>
      </c>
      <c r="S92" s="18">
        <f t="shared" si="10"/>
        <v>0</v>
      </c>
      <c r="T92" s="17" t="e">
        <f t="shared" si="11"/>
        <v>#DIV/0!</v>
      </c>
      <c r="U92" s="17" t="e">
        <f t="shared" si="12"/>
        <v>#DIV/0!</v>
      </c>
      <c r="V92" s="17" t="e">
        <f t="shared" si="13"/>
        <v>#DIV/0!</v>
      </c>
      <c r="W92" s="17" t="e">
        <f t="shared" si="14"/>
        <v>#DIV/0!</v>
      </c>
      <c r="X92" s="17" t="e">
        <f t="shared" si="15"/>
        <v>#DIV/0!</v>
      </c>
      <c r="Y92" s="19" t="e">
        <f t="shared" si="16"/>
        <v>#DIV/0!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f t="shared" si="17"/>
        <v>0</v>
      </c>
      <c r="BH92" t="s">
        <v>82</v>
      </c>
      <c r="BI92" t="s">
        <v>2196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f t="shared" si="18"/>
        <v>25</v>
      </c>
      <c r="BS92">
        <f t="shared" si="19"/>
        <v>25</v>
      </c>
    </row>
    <row r="93" spans="1:74" x14ac:dyDescent="0.25">
      <c r="A93" s="5" t="s">
        <v>1337</v>
      </c>
      <c r="B93" s="5" t="s">
        <v>359</v>
      </c>
      <c r="C93" s="5" t="s">
        <v>61</v>
      </c>
      <c r="D93" s="1" t="s">
        <v>79</v>
      </c>
      <c r="E93">
        <v>0</v>
      </c>
      <c r="F93">
        <v>340</v>
      </c>
      <c r="G93">
        <v>0</v>
      </c>
      <c r="H93">
        <v>0</v>
      </c>
      <c r="I93">
        <v>440</v>
      </c>
      <c r="J93">
        <v>2842</v>
      </c>
      <c r="K93">
        <v>476</v>
      </c>
      <c r="L93">
        <v>0</v>
      </c>
      <c r="M93">
        <v>0</v>
      </c>
      <c r="N93">
        <v>0</v>
      </c>
      <c r="O93">
        <v>0</v>
      </c>
      <c r="P93">
        <v>1764</v>
      </c>
      <c r="Q93">
        <v>173</v>
      </c>
      <c r="R93">
        <v>196</v>
      </c>
      <c r="S93" s="18">
        <f t="shared" si="10"/>
        <v>9</v>
      </c>
      <c r="T93" s="17">
        <f t="shared" si="11"/>
        <v>0</v>
      </c>
      <c r="U93" s="17">
        <f t="shared" si="12"/>
        <v>0</v>
      </c>
      <c r="V93" s="17">
        <f t="shared" si="13"/>
        <v>0</v>
      </c>
      <c r="W93" s="17">
        <f t="shared" si="14"/>
        <v>196</v>
      </c>
      <c r="X93" s="17">
        <f t="shared" si="15"/>
        <v>-23</v>
      </c>
      <c r="Y93" s="19">
        <f t="shared" si="16"/>
        <v>0</v>
      </c>
      <c r="Z93">
        <v>340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440</v>
      </c>
      <c r="AH93">
        <v>440</v>
      </c>
      <c r="AI93">
        <v>0</v>
      </c>
      <c r="AJ93">
        <v>0</v>
      </c>
      <c r="AK93">
        <v>2842</v>
      </c>
      <c r="AL93">
        <v>2842</v>
      </c>
      <c r="AM93">
        <v>0</v>
      </c>
      <c r="AN93">
        <v>0</v>
      </c>
      <c r="AO93">
        <v>476</v>
      </c>
      <c r="AP93">
        <v>123</v>
      </c>
      <c r="AQ93">
        <v>476</v>
      </c>
      <c r="AR93">
        <v>353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f t="shared" si="17"/>
        <v>7992</v>
      </c>
      <c r="BF93">
        <v>4098</v>
      </c>
      <c r="BG93">
        <v>4098</v>
      </c>
      <c r="BH93" t="s">
        <v>109</v>
      </c>
      <c r="BI93" t="s">
        <v>1421</v>
      </c>
      <c r="BJ93">
        <v>0</v>
      </c>
      <c r="BK93">
        <v>3758</v>
      </c>
      <c r="BL93">
        <v>4098</v>
      </c>
      <c r="BM93">
        <v>0</v>
      </c>
      <c r="BN93">
        <v>0</v>
      </c>
      <c r="BO93">
        <v>0</v>
      </c>
      <c r="BP93">
        <v>5522</v>
      </c>
      <c r="BQ93">
        <v>5522</v>
      </c>
      <c r="BR93">
        <f t="shared" si="18"/>
        <v>23</v>
      </c>
      <c r="BS93">
        <f t="shared" si="19"/>
        <v>369</v>
      </c>
    </row>
    <row r="94" spans="1:74" x14ac:dyDescent="0.25">
      <c r="A94" s="5" t="s">
        <v>1661</v>
      </c>
      <c r="B94" s="5" t="s">
        <v>61</v>
      </c>
      <c r="C94" s="5" t="s">
        <v>61</v>
      </c>
      <c r="D94" s="1" t="s">
        <v>121</v>
      </c>
      <c r="E94">
        <v>0</v>
      </c>
      <c r="F94">
        <v>554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3285</v>
      </c>
      <c r="Q94">
        <v>342</v>
      </c>
      <c r="R94">
        <v>365</v>
      </c>
      <c r="S94" s="18">
        <f t="shared" si="10"/>
        <v>9</v>
      </c>
      <c r="T94" s="17">
        <f t="shared" si="11"/>
        <v>0</v>
      </c>
      <c r="U94" s="17">
        <f t="shared" si="12"/>
        <v>0</v>
      </c>
      <c r="V94" s="17">
        <f t="shared" si="13"/>
        <v>0</v>
      </c>
      <c r="W94" s="17">
        <f t="shared" si="14"/>
        <v>365</v>
      </c>
      <c r="X94" s="17">
        <f t="shared" si="15"/>
        <v>-23</v>
      </c>
      <c r="Y94" s="19">
        <f t="shared" si="16"/>
        <v>0</v>
      </c>
      <c r="Z94">
        <v>554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f t="shared" si="17"/>
        <v>0</v>
      </c>
      <c r="BF94">
        <v>554</v>
      </c>
      <c r="BG94">
        <v>554</v>
      </c>
      <c r="BH94" t="s">
        <v>109</v>
      </c>
      <c r="BI94" t="s">
        <v>1686</v>
      </c>
      <c r="BJ94">
        <v>0</v>
      </c>
      <c r="BK94">
        <v>0</v>
      </c>
      <c r="BL94">
        <v>554</v>
      </c>
      <c r="BM94">
        <v>0</v>
      </c>
      <c r="BN94">
        <v>0</v>
      </c>
      <c r="BO94">
        <v>0</v>
      </c>
      <c r="BP94">
        <v>3285</v>
      </c>
      <c r="BQ94">
        <v>3285</v>
      </c>
      <c r="BR94">
        <f t="shared" si="18"/>
        <v>23</v>
      </c>
      <c r="BS94">
        <f t="shared" si="19"/>
        <v>707</v>
      </c>
    </row>
    <row r="95" spans="1:74" x14ac:dyDescent="0.25">
      <c r="A95" s="5" t="s">
        <v>207</v>
      </c>
      <c r="B95" s="5" t="s">
        <v>207</v>
      </c>
      <c r="C95" s="5" t="s">
        <v>61</v>
      </c>
      <c r="D95" s="1" t="s">
        <v>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153</v>
      </c>
      <c r="N95">
        <v>0</v>
      </c>
      <c r="O95">
        <v>0</v>
      </c>
      <c r="P95">
        <v>0</v>
      </c>
      <c r="Q95">
        <v>0</v>
      </c>
      <c r="R95">
        <v>17</v>
      </c>
      <c r="S95" s="18">
        <f t="shared" si="10"/>
        <v>9</v>
      </c>
      <c r="T95" s="17">
        <f t="shared" si="11"/>
        <v>17</v>
      </c>
      <c r="U95" s="17">
        <f t="shared" si="12"/>
        <v>0</v>
      </c>
      <c r="V95" s="17">
        <f t="shared" si="13"/>
        <v>0</v>
      </c>
      <c r="W95" s="17">
        <f t="shared" si="14"/>
        <v>0</v>
      </c>
      <c r="X95" s="17">
        <f t="shared" si="15"/>
        <v>-17</v>
      </c>
      <c r="Y95" s="19">
        <f t="shared" si="16"/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f t="shared" si="17"/>
        <v>0</v>
      </c>
      <c r="BH95" t="s">
        <v>190</v>
      </c>
      <c r="BI95" t="s">
        <v>572</v>
      </c>
      <c r="BJ95">
        <v>0</v>
      </c>
      <c r="BK95">
        <v>0</v>
      </c>
      <c r="BL95">
        <v>0</v>
      </c>
      <c r="BM95">
        <v>153</v>
      </c>
      <c r="BN95">
        <v>0</v>
      </c>
      <c r="BO95">
        <v>0</v>
      </c>
      <c r="BP95">
        <v>0</v>
      </c>
      <c r="BQ95">
        <v>153</v>
      </c>
      <c r="BR95">
        <f t="shared" si="18"/>
        <v>17</v>
      </c>
      <c r="BS95">
        <f t="shared" si="19"/>
        <v>17</v>
      </c>
    </row>
    <row r="96" spans="1:74" x14ac:dyDescent="0.25">
      <c r="A96" s="5" t="s">
        <v>2090</v>
      </c>
      <c r="B96" s="5" t="s">
        <v>207</v>
      </c>
      <c r="C96" s="5" t="s">
        <v>61</v>
      </c>
      <c r="D96" s="1" t="s">
        <v>108</v>
      </c>
      <c r="E96">
        <v>0</v>
      </c>
      <c r="F96">
        <v>23765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16">
        <v>23765</v>
      </c>
      <c r="P96">
        <v>0</v>
      </c>
      <c r="Q96">
        <v>1773</v>
      </c>
      <c r="R96">
        <v>3326</v>
      </c>
      <c r="S96" s="18">
        <f t="shared" si="10"/>
        <v>7.1452194828622968</v>
      </c>
      <c r="T96" s="17">
        <f t="shared" si="11"/>
        <v>0</v>
      </c>
      <c r="U96" s="17">
        <f t="shared" si="12"/>
        <v>0</v>
      </c>
      <c r="V96" s="17">
        <f t="shared" si="13"/>
        <v>3326</v>
      </c>
      <c r="W96" s="17">
        <f t="shared" si="14"/>
        <v>0</v>
      </c>
      <c r="X96" s="17">
        <f t="shared" si="15"/>
        <v>1773</v>
      </c>
      <c r="Y96" s="19">
        <f t="shared" si="16"/>
        <v>1.8759165256627186</v>
      </c>
      <c r="Z96">
        <v>23765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f t="shared" si="17"/>
        <v>0</v>
      </c>
      <c r="BF96">
        <v>23765</v>
      </c>
      <c r="BG96">
        <v>23765</v>
      </c>
      <c r="BH96" t="s">
        <v>546</v>
      </c>
      <c r="BI96" t="s">
        <v>2233</v>
      </c>
      <c r="BJ96">
        <v>0</v>
      </c>
      <c r="BK96">
        <v>0</v>
      </c>
      <c r="BL96">
        <v>23765</v>
      </c>
      <c r="BM96">
        <v>0</v>
      </c>
      <c r="BN96">
        <v>0</v>
      </c>
      <c r="BO96">
        <v>23765</v>
      </c>
      <c r="BP96">
        <v>0</v>
      </c>
      <c r="BQ96">
        <v>23765</v>
      </c>
      <c r="BR96">
        <f t="shared" si="18"/>
        <v>1553</v>
      </c>
      <c r="BS96">
        <f t="shared" si="19"/>
        <v>5099</v>
      </c>
    </row>
    <row r="97" spans="1:74" x14ac:dyDescent="0.25">
      <c r="A97" s="5" t="s">
        <v>1135</v>
      </c>
      <c r="B97" s="5" t="s">
        <v>61</v>
      </c>
      <c r="C97" s="5" t="s">
        <v>61</v>
      </c>
      <c r="D97" s="1" t="s">
        <v>129</v>
      </c>
      <c r="E97">
        <v>0</v>
      </c>
      <c r="F97">
        <v>2652</v>
      </c>
      <c r="G97">
        <v>0</v>
      </c>
      <c r="H97">
        <v>0</v>
      </c>
      <c r="I97">
        <v>356</v>
      </c>
      <c r="J97">
        <v>0</v>
      </c>
      <c r="K97">
        <v>1128</v>
      </c>
      <c r="L97">
        <v>0</v>
      </c>
      <c r="M97">
        <v>0</v>
      </c>
      <c r="N97">
        <v>0</v>
      </c>
      <c r="O97">
        <v>0</v>
      </c>
      <c r="P97">
        <v>4770</v>
      </c>
      <c r="Q97">
        <v>513</v>
      </c>
      <c r="R97">
        <v>530</v>
      </c>
      <c r="S97" s="18">
        <f t="shared" si="10"/>
        <v>9</v>
      </c>
      <c r="T97" s="17">
        <f t="shared" si="11"/>
        <v>0</v>
      </c>
      <c r="U97" s="17">
        <f t="shared" si="12"/>
        <v>0</v>
      </c>
      <c r="V97" s="17">
        <f t="shared" si="13"/>
        <v>0</v>
      </c>
      <c r="W97" s="17">
        <f t="shared" si="14"/>
        <v>530</v>
      </c>
      <c r="X97" s="17">
        <f t="shared" si="15"/>
        <v>-17</v>
      </c>
      <c r="Y97" s="19">
        <f t="shared" si="16"/>
        <v>0</v>
      </c>
      <c r="Z97">
        <v>2652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356</v>
      </c>
      <c r="AH97">
        <v>214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1128</v>
      </c>
      <c r="AP97">
        <v>430</v>
      </c>
      <c r="AQ97">
        <v>750</v>
      </c>
      <c r="AR97">
        <v>320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f t="shared" si="17"/>
        <v>3198</v>
      </c>
      <c r="BF97">
        <v>3616</v>
      </c>
      <c r="BG97">
        <v>3616</v>
      </c>
      <c r="BH97" t="s">
        <v>109</v>
      </c>
      <c r="BI97" t="s">
        <v>1163</v>
      </c>
      <c r="BJ97">
        <v>0</v>
      </c>
      <c r="BK97">
        <v>964</v>
      </c>
      <c r="BL97">
        <v>3616</v>
      </c>
      <c r="BM97">
        <v>0</v>
      </c>
      <c r="BN97">
        <v>0</v>
      </c>
      <c r="BO97">
        <v>0</v>
      </c>
      <c r="BP97">
        <v>6254</v>
      </c>
      <c r="BQ97">
        <v>6254</v>
      </c>
      <c r="BR97">
        <f t="shared" si="18"/>
        <v>17</v>
      </c>
      <c r="BS97">
        <f t="shared" si="19"/>
        <v>1043</v>
      </c>
    </row>
    <row r="98" spans="1:74" x14ac:dyDescent="0.25">
      <c r="A98" s="5" t="s">
        <v>875</v>
      </c>
      <c r="B98" s="5" t="s">
        <v>207</v>
      </c>
      <c r="C98" s="5" t="s">
        <v>61</v>
      </c>
      <c r="D98" s="1" t="s">
        <v>62</v>
      </c>
      <c r="E98">
        <v>0</v>
      </c>
      <c r="F98">
        <v>18410</v>
      </c>
      <c r="G98">
        <v>0</v>
      </c>
      <c r="H98">
        <v>0</v>
      </c>
      <c r="I98">
        <v>14184</v>
      </c>
      <c r="J98">
        <v>3695</v>
      </c>
      <c r="K98">
        <v>2658</v>
      </c>
      <c r="L98">
        <v>0</v>
      </c>
      <c r="M98">
        <v>0</v>
      </c>
      <c r="N98">
        <v>65250</v>
      </c>
      <c r="O98">
        <v>0</v>
      </c>
      <c r="P98">
        <v>36000</v>
      </c>
      <c r="Q98">
        <v>11250</v>
      </c>
      <c r="R98">
        <v>11250</v>
      </c>
      <c r="S98" s="18">
        <f t="shared" si="10"/>
        <v>9</v>
      </c>
      <c r="T98" s="17">
        <f t="shared" si="11"/>
        <v>0</v>
      </c>
      <c r="U98" s="17">
        <f t="shared" si="12"/>
        <v>7250</v>
      </c>
      <c r="V98" s="17">
        <f t="shared" si="13"/>
        <v>0</v>
      </c>
      <c r="W98" s="17">
        <f t="shared" si="14"/>
        <v>4000</v>
      </c>
      <c r="X98" s="17">
        <f t="shared" si="15"/>
        <v>0</v>
      </c>
      <c r="Y98" s="19" t="e">
        <f t="shared" si="16"/>
        <v>#DIV/0!</v>
      </c>
      <c r="Z98">
        <v>18410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14184</v>
      </c>
      <c r="AH98">
        <v>14184</v>
      </c>
      <c r="AI98">
        <v>0</v>
      </c>
      <c r="AJ98">
        <v>0</v>
      </c>
      <c r="AK98">
        <v>3695</v>
      </c>
      <c r="AL98">
        <v>3695</v>
      </c>
      <c r="AM98">
        <v>0</v>
      </c>
      <c r="AN98">
        <v>0</v>
      </c>
      <c r="AO98">
        <v>2658</v>
      </c>
      <c r="AP98">
        <v>2658</v>
      </c>
      <c r="AQ98">
        <v>2658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f t="shared" si="17"/>
        <v>43732</v>
      </c>
      <c r="BF98">
        <v>38947</v>
      </c>
      <c r="BG98">
        <v>38947</v>
      </c>
      <c r="BH98" t="s">
        <v>543</v>
      </c>
      <c r="BI98" t="s">
        <v>832</v>
      </c>
      <c r="BJ98">
        <v>0</v>
      </c>
      <c r="BK98">
        <v>20537</v>
      </c>
      <c r="BL98">
        <v>38947</v>
      </c>
      <c r="BM98">
        <v>0</v>
      </c>
      <c r="BN98">
        <v>65250</v>
      </c>
      <c r="BO98">
        <v>0</v>
      </c>
      <c r="BP98">
        <v>56537</v>
      </c>
      <c r="BQ98">
        <v>121787</v>
      </c>
      <c r="BR98">
        <f t="shared" si="18"/>
        <v>0</v>
      </c>
      <c r="BS98">
        <f t="shared" si="19"/>
        <v>22500</v>
      </c>
      <c r="BU98">
        <f>R98*9</f>
        <v>101250</v>
      </c>
      <c r="BV98">
        <f>IF(BU98&gt;BG98, 1, 0)</f>
        <v>1</v>
      </c>
    </row>
    <row r="99" spans="1:74" x14ac:dyDescent="0.25">
      <c r="A99" s="5" t="s">
        <v>207</v>
      </c>
      <c r="B99" s="5" t="s">
        <v>61</v>
      </c>
      <c r="C99" s="5" t="s">
        <v>359</v>
      </c>
      <c r="D99" s="1" t="s">
        <v>84</v>
      </c>
      <c r="E99">
        <v>0</v>
      </c>
      <c r="F99">
        <v>1700</v>
      </c>
      <c r="G99">
        <v>0</v>
      </c>
      <c r="H99">
        <v>0</v>
      </c>
      <c r="I99">
        <v>200</v>
      </c>
      <c r="J99">
        <v>0</v>
      </c>
      <c r="K99">
        <v>0</v>
      </c>
      <c r="L99">
        <v>0</v>
      </c>
      <c r="M99">
        <v>3447</v>
      </c>
      <c r="N99">
        <v>0</v>
      </c>
      <c r="O99">
        <v>0</v>
      </c>
      <c r="P99">
        <v>0</v>
      </c>
      <c r="Q99">
        <v>368</v>
      </c>
      <c r="R99">
        <v>383</v>
      </c>
      <c r="S99" s="18">
        <f t="shared" si="10"/>
        <v>9</v>
      </c>
      <c r="T99" s="17">
        <f t="shared" si="11"/>
        <v>383</v>
      </c>
      <c r="U99" s="17">
        <f t="shared" si="12"/>
        <v>0</v>
      </c>
      <c r="V99" s="17">
        <f t="shared" si="13"/>
        <v>0</v>
      </c>
      <c r="W99" s="17">
        <f t="shared" si="14"/>
        <v>0</v>
      </c>
      <c r="X99" s="17">
        <f t="shared" si="15"/>
        <v>-15</v>
      </c>
      <c r="Y99" s="19">
        <f t="shared" si="16"/>
        <v>0</v>
      </c>
      <c r="Z99">
        <v>1700</v>
      </c>
      <c r="AA99">
        <v>0</v>
      </c>
      <c r="AB99">
        <v>0</v>
      </c>
      <c r="AC99">
        <v>0</v>
      </c>
      <c r="AD99">
        <v>200</v>
      </c>
      <c r="AE99">
        <v>0</v>
      </c>
      <c r="AF99">
        <v>0</v>
      </c>
      <c r="AG99">
        <v>0</v>
      </c>
      <c r="AH99">
        <v>200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f t="shared" si="17"/>
        <v>400</v>
      </c>
      <c r="BF99">
        <v>1900</v>
      </c>
      <c r="BG99">
        <v>1900</v>
      </c>
      <c r="BH99" t="s">
        <v>109</v>
      </c>
      <c r="BI99" t="s">
        <v>510</v>
      </c>
      <c r="BJ99">
        <v>0</v>
      </c>
      <c r="BK99">
        <v>200</v>
      </c>
      <c r="BL99">
        <v>1900</v>
      </c>
      <c r="BM99">
        <v>3647</v>
      </c>
      <c r="BN99">
        <v>0</v>
      </c>
      <c r="BO99">
        <v>0</v>
      </c>
      <c r="BP99">
        <v>0</v>
      </c>
      <c r="BQ99">
        <v>3647</v>
      </c>
      <c r="BR99">
        <f t="shared" si="18"/>
        <v>15</v>
      </c>
      <c r="BS99">
        <f t="shared" si="19"/>
        <v>751</v>
      </c>
    </row>
    <row r="100" spans="1:74" x14ac:dyDescent="0.25">
      <c r="A100" s="5" t="s">
        <v>207</v>
      </c>
      <c r="B100" s="5" t="s">
        <v>627</v>
      </c>
      <c r="C100" s="5" t="s">
        <v>61</v>
      </c>
      <c r="D100" s="1" t="s">
        <v>125</v>
      </c>
      <c r="E100">
        <v>0</v>
      </c>
      <c r="F100">
        <v>200</v>
      </c>
      <c r="G100">
        <v>0</v>
      </c>
      <c r="H100">
        <v>0</v>
      </c>
      <c r="I100">
        <v>4</v>
      </c>
      <c r="J100">
        <v>0</v>
      </c>
      <c r="K100">
        <v>287</v>
      </c>
      <c r="L100">
        <v>45</v>
      </c>
      <c r="M100">
        <v>0</v>
      </c>
      <c r="N100">
        <v>0</v>
      </c>
      <c r="O100">
        <v>0</v>
      </c>
      <c r="P100">
        <v>846</v>
      </c>
      <c r="Q100">
        <v>80</v>
      </c>
      <c r="R100">
        <v>94</v>
      </c>
      <c r="S100" s="18">
        <f t="shared" si="10"/>
        <v>9</v>
      </c>
      <c r="T100" s="17">
        <f t="shared" si="11"/>
        <v>0</v>
      </c>
      <c r="U100" s="17">
        <f t="shared" si="12"/>
        <v>0</v>
      </c>
      <c r="V100" s="17">
        <f t="shared" si="13"/>
        <v>0</v>
      </c>
      <c r="W100" s="17">
        <f t="shared" si="14"/>
        <v>94</v>
      </c>
      <c r="X100" s="17">
        <f t="shared" si="15"/>
        <v>-14</v>
      </c>
      <c r="Y100" s="19">
        <f t="shared" si="16"/>
        <v>0</v>
      </c>
      <c r="Z100">
        <v>200</v>
      </c>
      <c r="AA100">
        <v>0</v>
      </c>
      <c r="AB100">
        <v>0</v>
      </c>
      <c r="AC100">
        <v>915</v>
      </c>
      <c r="AD100">
        <v>0</v>
      </c>
      <c r="AE100">
        <v>0</v>
      </c>
      <c r="AF100">
        <v>0</v>
      </c>
      <c r="AG100">
        <v>4</v>
      </c>
      <c r="AH100">
        <v>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287</v>
      </c>
      <c r="AP100">
        <v>287</v>
      </c>
      <c r="AQ100">
        <v>287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45</v>
      </c>
      <c r="BA100">
        <v>45</v>
      </c>
      <c r="BB100">
        <v>0</v>
      </c>
      <c r="BC100">
        <v>0</v>
      </c>
      <c r="BD100">
        <v>0</v>
      </c>
      <c r="BE100">
        <f t="shared" si="17"/>
        <v>1874</v>
      </c>
      <c r="BF100">
        <v>1451</v>
      </c>
      <c r="BG100">
        <v>1451</v>
      </c>
      <c r="BH100" t="s">
        <v>82</v>
      </c>
      <c r="BI100" t="s">
        <v>536</v>
      </c>
      <c r="BJ100">
        <v>915</v>
      </c>
      <c r="BK100">
        <v>336</v>
      </c>
      <c r="BL100">
        <v>1451</v>
      </c>
      <c r="BM100">
        <v>0</v>
      </c>
      <c r="BN100">
        <v>0</v>
      </c>
      <c r="BO100">
        <v>0</v>
      </c>
      <c r="BP100">
        <v>1182</v>
      </c>
      <c r="BQ100">
        <v>1182</v>
      </c>
      <c r="BR100">
        <f t="shared" si="18"/>
        <v>14</v>
      </c>
      <c r="BS100">
        <f t="shared" si="19"/>
        <v>174</v>
      </c>
    </row>
    <row r="101" spans="1:74" x14ac:dyDescent="0.25">
      <c r="A101" s="5" t="s">
        <v>61</v>
      </c>
      <c r="B101" s="5" t="s">
        <v>207</v>
      </c>
      <c r="C101" s="5" t="s">
        <v>61</v>
      </c>
      <c r="D101" s="1" t="s">
        <v>169</v>
      </c>
      <c r="E101">
        <v>0</v>
      </c>
      <c r="F101">
        <v>32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288</v>
      </c>
      <c r="Q101">
        <v>22</v>
      </c>
      <c r="R101">
        <v>32</v>
      </c>
      <c r="S101" s="18">
        <f t="shared" si="10"/>
        <v>9</v>
      </c>
      <c r="T101" s="17">
        <f t="shared" si="11"/>
        <v>0</v>
      </c>
      <c r="U101" s="17">
        <f t="shared" si="12"/>
        <v>0</v>
      </c>
      <c r="V101" s="17">
        <f t="shared" si="13"/>
        <v>0</v>
      </c>
      <c r="W101" s="17">
        <f t="shared" si="14"/>
        <v>32</v>
      </c>
      <c r="X101" s="17">
        <f t="shared" si="15"/>
        <v>-10</v>
      </c>
      <c r="Y101" s="19">
        <f t="shared" si="16"/>
        <v>0</v>
      </c>
      <c r="Z101">
        <v>32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</v>
      </c>
      <c r="AH101">
        <v>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f t="shared" si="17"/>
        <v>8</v>
      </c>
      <c r="BF101">
        <v>36</v>
      </c>
      <c r="BG101">
        <v>36</v>
      </c>
      <c r="BH101" t="s">
        <v>109</v>
      </c>
      <c r="BI101" t="s">
        <v>261</v>
      </c>
      <c r="BJ101">
        <v>0</v>
      </c>
      <c r="BK101">
        <v>4</v>
      </c>
      <c r="BL101">
        <v>36</v>
      </c>
      <c r="BM101">
        <v>0</v>
      </c>
      <c r="BN101">
        <v>0</v>
      </c>
      <c r="BO101">
        <v>0</v>
      </c>
      <c r="BP101">
        <v>292</v>
      </c>
      <c r="BQ101">
        <v>292</v>
      </c>
      <c r="BR101">
        <f t="shared" si="18"/>
        <v>10</v>
      </c>
      <c r="BS101">
        <f t="shared" si="19"/>
        <v>54</v>
      </c>
    </row>
    <row r="102" spans="1:74" x14ac:dyDescent="0.25">
      <c r="A102" s="5" t="s">
        <v>207</v>
      </c>
      <c r="B102" s="5" t="s">
        <v>627</v>
      </c>
      <c r="C102" s="5" t="s">
        <v>61</v>
      </c>
      <c r="D102" s="1" t="s">
        <v>73</v>
      </c>
      <c r="E102">
        <v>0</v>
      </c>
      <c r="F102">
        <v>3300</v>
      </c>
      <c r="G102">
        <v>0</v>
      </c>
      <c r="H102">
        <v>0</v>
      </c>
      <c r="I102">
        <v>50</v>
      </c>
      <c r="J102">
        <v>0</v>
      </c>
      <c r="K102">
        <v>0</v>
      </c>
      <c r="L102">
        <v>0</v>
      </c>
      <c r="M102">
        <v>4455</v>
      </c>
      <c r="N102">
        <v>0</v>
      </c>
      <c r="O102">
        <v>0</v>
      </c>
      <c r="P102">
        <v>0</v>
      </c>
      <c r="Q102">
        <v>485</v>
      </c>
      <c r="R102">
        <v>495</v>
      </c>
      <c r="S102" s="18">
        <f t="shared" si="10"/>
        <v>9</v>
      </c>
      <c r="T102" s="17">
        <f t="shared" si="11"/>
        <v>495</v>
      </c>
      <c r="U102" s="17">
        <f t="shared" si="12"/>
        <v>0</v>
      </c>
      <c r="V102" s="17">
        <f t="shared" si="13"/>
        <v>0</v>
      </c>
      <c r="W102" s="17">
        <f t="shared" si="14"/>
        <v>0</v>
      </c>
      <c r="X102" s="17">
        <f t="shared" si="15"/>
        <v>-10</v>
      </c>
      <c r="Y102" s="19">
        <f t="shared" si="16"/>
        <v>0</v>
      </c>
      <c r="Z102">
        <v>3300</v>
      </c>
      <c r="AA102">
        <v>0</v>
      </c>
      <c r="AB102">
        <v>0</v>
      </c>
      <c r="AC102">
        <v>0</v>
      </c>
      <c r="AD102">
        <v>50</v>
      </c>
      <c r="AE102">
        <v>0</v>
      </c>
      <c r="AF102">
        <v>0</v>
      </c>
      <c r="AG102">
        <v>0</v>
      </c>
      <c r="AH102">
        <v>50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f t="shared" si="17"/>
        <v>100</v>
      </c>
      <c r="BF102">
        <v>3350</v>
      </c>
      <c r="BG102">
        <v>3350</v>
      </c>
      <c r="BH102" t="s">
        <v>109</v>
      </c>
      <c r="BI102" t="s">
        <v>632</v>
      </c>
      <c r="BJ102">
        <v>0</v>
      </c>
      <c r="BK102">
        <v>50</v>
      </c>
      <c r="BL102">
        <v>3350</v>
      </c>
      <c r="BM102">
        <v>4505</v>
      </c>
      <c r="BN102">
        <v>0</v>
      </c>
      <c r="BO102">
        <v>0</v>
      </c>
      <c r="BP102">
        <v>0</v>
      </c>
      <c r="BQ102">
        <v>4505</v>
      </c>
      <c r="BR102">
        <f t="shared" si="18"/>
        <v>10</v>
      </c>
      <c r="BS102">
        <f t="shared" si="19"/>
        <v>980</v>
      </c>
    </row>
    <row r="103" spans="1:74" x14ac:dyDescent="0.25">
      <c r="A103" s="5" t="s">
        <v>61</v>
      </c>
      <c r="B103" s="5" t="s">
        <v>207</v>
      </c>
      <c r="C103" s="5" t="s">
        <v>207</v>
      </c>
      <c r="D103" s="1" t="s">
        <v>177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63</v>
      </c>
      <c r="Q103">
        <v>0</v>
      </c>
      <c r="R103">
        <v>7</v>
      </c>
      <c r="S103" s="18">
        <f t="shared" si="10"/>
        <v>9</v>
      </c>
      <c r="T103" s="17">
        <f t="shared" si="11"/>
        <v>0</v>
      </c>
      <c r="U103" s="17">
        <f t="shared" si="12"/>
        <v>0</v>
      </c>
      <c r="V103" s="17">
        <f t="shared" si="13"/>
        <v>0</v>
      </c>
      <c r="W103" s="17">
        <f t="shared" si="14"/>
        <v>7</v>
      </c>
      <c r="X103" s="17">
        <f t="shared" si="15"/>
        <v>-7</v>
      </c>
      <c r="Y103" s="19">
        <f t="shared" si="16"/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65</v>
      </c>
      <c r="AH103">
        <v>65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15</v>
      </c>
      <c r="AP103">
        <v>0</v>
      </c>
      <c r="AQ103">
        <v>15</v>
      </c>
      <c r="AR103">
        <v>15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15</v>
      </c>
      <c r="BA103">
        <v>15</v>
      </c>
      <c r="BB103">
        <v>0</v>
      </c>
      <c r="BC103">
        <v>0</v>
      </c>
      <c r="BD103">
        <v>0</v>
      </c>
      <c r="BE103">
        <f t="shared" si="17"/>
        <v>205</v>
      </c>
      <c r="BF103">
        <v>0</v>
      </c>
      <c r="BG103">
        <v>95</v>
      </c>
      <c r="BH103" t="s">
        <v>190</v>
      </c>
      <c r="BI103" t="s">
        <v>335</v>
      </c>
      <c r="BJ103">
        <v>0</v>
      </c>
      <c r="BK103">
        <v>95</v>
      </c>
      <c r="BL103">
        <v>95</v>
      </c>
      <c r="BM103">
        <v>0</v>
      </c>
      <c r="BN103">
        <v>0</v>
      </c>
      <c r="BO103">
        <v>0</v>
      </c>
      <c r="BP103">
        <v>158</v>
      </c>
      <c r="BQ103">
        <v>158</v>
      </c>
      <c r="BR103">
        <f t="shared" si="18"/>
        <v>7</v>
      </c>
      <c r="BS103">
        <f t="shared" si="19"/>
        <v>7</v>
      </c>
    </row>
    <row r="104" spans="1:74" x14ac:dyDescent="0.25">
      <c r="A104" s="5" t="s">
        <v>1661</v>
      </c>
      <c r="B104" s="5" t="s">
        <v>359</v>
      </c>
      <c r="C104" s="5" t="s">
        <v>207</v>
      </c>
      <c r="D104" s="1" t="s">
        <v>149</v>
      </c>
      <c r="E104">
        <v>0</v>
      </c>
      <c r="F104">
        <v>127</v>
      </c>
      <c r="G104">
        <v>0</v>
      </c>
      <c r="H104">
        <v>0</v>
      </c>
      <c r="I104">
        <v>23</v>
      </c>
      <c r="J104">
        <v>1810</v>
      </c>
      <c r="K104">
        <v>350</v>
      </c>
      <c r="L104">
        <v>75</v>
      </c>
      <c r="M104">
        <v>0</v>
      </c>
      <c r="N104">
        <v>0</v>
      </c>
      <c r="O104">
        <v>0</v>
      </c>
      <c r="P104">
        <v>882</v>
      </c>
      <c r="Q104">
        <v>91</v>
      </c>
      <c r="R104">
        <v>98</v>
      </c>
      <c r="S104" s="18">
        <f t="shared" si="10"/>
        <v>9</v>
      </c>
      <c r="T104" s="17">
        <f t="shared" si="11"/>
        <v>0</v>
      </c>
      <c r="U104" s="17">
        <f t="shared" si="12"/>
        <v>0</v>
      </c>
      <c r="V104" s="17">
        <f t="shared" si="13"/>
        <v>0</v>
      </c>
      <c r="W104" s="17">
        <f t="shared" si="14"/>
        <v>98</v>
      </c>
      <c r="X104" s="17">
        <f t="shared" si="15"/>
        <v>-7</v>
      </c>
      <c r="Y104" s="19">
        <f t="shared" si="16"/>
        <v>0</v>
      </c>
      <c r="Z104">
        <v>127</v>
      </c>
      <c r="AA104">
        <v>0</v>
      </c>
      <c r="AB104">
        <v>0</v>
      </c>
      <c r="AC104">
        <v>1616</v>
      </c>
      <c r="AD104">
        <v>0</v>
      </c>
      <c r="AE104">
        <v>0</v>
      </c>
      <c r="AF104">
        <v>0</v>
      </c>
      <c r="AG104">
        <v>23</v>
      </c>
      <c r="AH104">
        <v>23</v>
      </c>
      <c r="AI104">
        <v>0</v>
      </c>
      <c r="AJ104">
        <v>0</v>
      </c>
      <c r="AK104">
        <v>1810</v>
      </c>
      <c r="AL104">
        <v>1810</v>
      </c>
      <c r="AM104">
        <v>0</v>
      </c>
      <c r="AN104">
        <v>0</v>
      </c>
      <c r="AO104">
        <v>350</v>
      </c>
      <c r="AP104">
        <v>182</v>
      </c>
      <c r="AQ104">
        <v>350</v>
      </c>
      <c r="AR104">
        <v>168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75</v>
      </c>
      <c r="BA104">
        <v>75</v>
      </c>
      <c r="BB104">
        <v>0</v>
      </c>
      <c r="BC104">
        <v>0</v>
      </c>
      <c r="BD104">
        <v>0</v>
      </c>
      <c r="BE104">
        <f t="shared" si="17"/>
        <v>6482</v>
      </c>
      <c r="BF104">
        <v>4001</v>
      </c>
      <c r="BG104">
        <v>4001</v>
      </c>
      <c r="BH104" t="s">
        <v>82</v>
      </c>
      <c r="BI104" t="s">
        <v>1921</v>
      </c>
      <c r="BJ104">
        <v>1616</v>
      </c>
      <c r="BK104">
        <v>2258</v>
      </c>
      <c r="BL104">
        <v>4001</v>
      </c>
      <c r="BM104">
        <v>0</v>
      </c>
      <c r="BN104">
        <v>0</v>
      </c>
      <c r="BO104">
        <v>0</v>
      </c>
      <c r="BP104">
        <v>3140</v>
      </c>
      <c r="BQ104">
        <v>3140</v>
      </c>
      <c r="BR104">
        <f t="shared" si="18"/>
        <v>7</v>
      </c>
      <c r="BS104">
        <f t="shared" si="19"/>
        <v>189</v>
      </c>
    </row>
    <row r="105" spans="1:74" x14ac:dyDescent="0.25">
      <c r="A105" s="5" t="s">
        <v>61</v>
      </c>
      <c r="B105" s="5" t="s">
        <v>359</v>
      </c>
      <c r="C105" s="5" t="s">
        <v>61</v>
      </c>
      <c r="D105" s="1" t="s">
        <v>177</v>
      </c>
      <c r="E105">
        <v>0</v>
      </c>
      <c r="F105">
        <v>12</v>
      </c>
      <c r="G105">
        <v>0</v>
      </c>
      <c r="H105">
        <v>0</v>
      </c>
      <c r="I105">
        <v>50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0</v>
      </c>
      <c r="P105">
        <v>108</v>
      </c>
      <c r="Q105">
        <v>10</v>
      </c>
      <c r="R105">
        <v>12</v>
      </c>
      <c r="S105" s="18">
        <f t="shared" si="10"/>
        <v>9</v>
      </c>
      <c r="T105" s="17">
        <f t="shared" si="11"/>
        <v>0</v>
      </c>
      <c r="U105" s="17">
        <f t="shared" si="12"/>
        <v>0</v>
      </c>
      <c r="V105" s="17">
        <f t="shared" si="13"/>
        <v>0</v>
      </c>
      <c r="W105" s="17">
        <f t="shared" si="14"/>
        <v>12</v>
      </c>
      <c r="X105" s="17">
        <f t="shared" si="15"/>
        <v>-2</v>
      </c>
      <c r="Y105" s="19">
        <f t="shared" si="16"/>
        <v>0</v>
      </c>
      <c r="Z105">
        <v>12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50</v>
      </c>
      <c r="AH105">
        <v>50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100</v>
      </c>
      <c r="AP105">
        <v>50</v>
      </c>
      <c r="AQ105">
        <v>100</v>
      </c>
      <c r="AR105">
        <v>50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f t="shared" si="17"/>
        <v>400</v>
      </c>
      <c r="BF105">
        <v>162</v>
      </c>
      <c r="BG105">
        <v>162</v>
      </c>
      <c r="BH105" t="s">
        <v>190</v>
      </c>
      <c r="BI105" t="s">
        <v>416</v>
      </c>
      <c r="BJ105">
        <v>0</v>
      </c>
      <c r="BK105">
        <v>150</v>
      </c>
      <c r="BL105">
        <v>162</v>
      </c>
      <c r="BM105">
        <v>0</v>
      </c>
      <c r="BN105">
        <v>0</v>
      </c>
      <c r="BO105">
        <v>0</v>
      </c>
      <c r="BP105">
        <v>258</v>
      </c>
      <c r="BQ105">
        <v>258</v>
      </c>
      <c r="BR105">
        <f t="shared" si="18"/>
        <v>2</v>
      </c>
      <c r="BS105">
        <f t="shared" si="19"/>
        <v>22</v>
      </c>
    </row>
    <row r="106" spans="1:74" x14ac:dyDescent="0.25">
      <c r="A106" s="5" t="s">
        <v>2090</v>
      </c>
      <c r="B106" s="5" t="s">
        <v>359</v>
      </c>
      <c r="C106" s="5" t="s">
        <v>61</v>
      </c>
      <c r="D106" s="1" t="s">
        <v>65</v>
      </c>
      <c r="E106">
        <v>0</v>
      </c>
      <c r="F106">
        <v>20200</v>
      </c>
      <c r="G106">
        <v>0</v>
      </c>
      <c r="H106">
        <v>0</v>
      </c>
      <c r="I106">
        <v>12000</v>
      </c>
      <c r="J106">
        <v>0</v>
      </c>
      <c r="K106">
        <v>2800</v>
      </c>
      <c r="L106">
        <v>0</v>
      </c>
      <c r="M106">
        <v>0</v>
      </c>
      <c r="N106">
        <v>0</v>
      </c>
      <c r="O106">
        <v>0</v>
      </c>
      <c r="P106">
        <v>98100</v>
      </c>
      <c r="Q106">
        <v>10900</v>
      </c>
      <c r="R106">
        <v>10900</v>
      </c>
      <c r="S106" s="18">
        <f t="shared" si="10"/>
        <v>9</v>
      </c>
      <c r="T106" s="17">
        <f t="shared" si="11"/>
        <v>0</v>
      </c>
      <c r="U106" s="17">
        <f t="shared" si="12"/>
        <v>0</v>
      </c>
      <c r="V106" s="17">
        <f t="shared" si="13"/>
        <v>0</v>
      </c>
      <c r="W106" s="17">
        <f t="shared" si="14"/>
        <v>10900</v>
      </c>
      <c r="X106" s="17">
        <f t="shared" si="15"/>
        <v>0</v>
      </c>
      <c r="Y106" s="19" t="e">
        <f t="shared" si="16"/>
        <v>#DIV/0!</v>
      </c>
      <c r="Z106">
        <v>20200</v>
      </c>
      <c r="AA106">
        <v>0</v>
      </c>
      <c r="AB106">
        <v>0</v>
      </c>
      <c r="AC106">
        <v>5850</v>
      </c>
      <c r="AD106">
        <v>0</v>
      </c>
      <c r="AE106">
        <v>0</v>
      </c>
      <c r="AF106">
        <v>0</v>
      </c>
      <c r="AG106">
        <v>12000</v>
      </c>
      <c r="AH106">
        <v>12000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2800</v>
      </c>
      <c r="AP106">
        <v>1400</v>
      </c>
      <c r="AQ106">
        <v>2800</v>
      </c>
      <c r="AR106">
        <v>1400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f t="shared" si="17"/>
        <v>38250</v>
      </c>
      <c r="BF106">
        <v>40850</v>
      </c>
      <c r="BG106">
        <v>40850</v>
      </c>
      <c r="BH106" t="s">
        <v>63</v>
      </c>
      <c r="BI106" t="s">
        <v>2281</v>
      </c>
      <c r="BJ106">
        <v>5850</v>
      </c>
      <c r="BK106">
        <v>14800</v>
      </c>
      <c r="BL106">
        <v>40850</v>
      </c>
      <c r="BM106">
        <v>0</v>
      </c>
      <c r="BN106">
        <v>0</v>
      </c>
      <c r="BO106">
        <v>0</v>
      </c>
      <c r="BP106">
        <v>112900</v>
      </c>
      <c r="BQ106">
        <v>112900</v>
      </c>
      <c r="BR106">
        <f t="shared" si="18"/>
        <v>0</v>
      </c>
      <c r="BS106">
        <f t="shared" si="19"/>
        <v>21800</v>
      </c>
      <c r="BU106">
        <f>R106*9</f>
        <v>98100</v>
      </c>
      <c r="BV106">
        <f>IF(BU106&gt;BG106, 1, 0)</f>
        <v>1</v>
      </c>
    </row>
    <row r="107" spans="1:74" x14ac:dyDescent="0.25">
      <c r="A107" s="5" t="s">
        <v>1451</v>
      </c>
      <c r="B107" s="5" t="s">
        <v>359</v>
      </c>
      <c r="C107" s="5" t="s">
        <v>359</v>
      </c>
      <c r="D107" s="1" t="s">
        <v>62</v>
      </c>
      <c r="E107">
        <v>0</v>
      </c>
      <c r="F107">
        <v>57697</v>
      </c>
      <c r="G107">
        <v>0</v>
      </c>
      <c r="H107">
        <v>0</v>
      </c>
      <c r="I107">
        <v>26876</v>
      </c>
      <c r="J107">
        <v>16354</v>
      </c>
      <c r="K107">
        <v>33511</v>
      </c>
      <c r="L107">
        <v>0</v>
      </c>
      <c r="M107">
        <v>0</v>
      </c>
      <c r="N107">
        <v>29475</v>
      </c>
      <c r="O107">
        <v>0</v>
      </c>
      <c r="P107">
        <v>63900</v>
      </c>
      <c r="Q107">
        <v>13142</v>
      </c>
      <c r="R107">
        <v>10375</v>
      </c>
      <c r="S107" s="18">
        <f t="shared" si="10"/>
        <v>9</v>
      </c>
      <c r="T107" s="17">
        <f t="shared" si="11"/>
        <v>0</v>
      </c>
      <c r="U107" s="17">
        <f t="shared" si="12"/>
        <v>3275</v>
      </c>
      <c r="V107" s="17">
        <f t="shared" si="13"/>
        <v>0</v>
      </c>
      <c r="W107" s="17">
        <f t="shared" si="14"/>
        <v>7100</v>
      </c>
      <c r="X107" s="17">
        <f t="shared" si="15"/>
        <v>2767</v>
      </c>
      <c r="Y107" s="19">
        <f t="shared" si="16"/>
        <v>0</v>
      </c>
      <c r="Z107">
        <v>57697</v>
      </c>
      <c r="AA107">
        <v>180</v>
      </c>
      <c r="AB107">
        <v>0</v>
      </c>
      <c r="AC107">
        <v>24480</v>
      </c>
      <c r="AD107">
        <v>0</v>
      </c>
      <c r="AE107">
        <v>11384</v>
      </c>
      <c r="AF107">
        <v>0</v>
      </c>
      <c r="AG107">
        <v>15492</v>
      </c>
      <c r="AH107">
        <v>26876</v>
      </c>
      <c r="AI107">
        <v>0</v>
      </c>
      <c r="AJ107">
        <v>16354</v>
      </c>
      <c r="AK107">
        <v>0</v>
      </c>
      <c r="AL107">
        <v>16354</v>
      </c>
      <c r="AM107">
        <v>0</v>
      </c>
      <c r="AN107">
        <v>16867</v>
      </c>
      <c r="AO107">
        <v>16835</v>
      </c>
      <c r="AP107">
        <v>23188</v>
      </c>
      <c r="AQ107">
        <v>33511</v>
      </c>
      <c r="AR107">
        <v>10163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f t="shared" si="17"/>
        <v>211504</v>
      </c>
      <c r="BF107">
        <v>159098</v>
      </c>
      <c r="BG107">
        <v>159098</v>
      </c>
      <c r="BH107" t="s">
        <v>543</v>
      </c>
      <c r="BI107" t="s">
        <v>1658</v>
      </c>
      <c r="BJ107">
        <v>24660</v>
      </c>
      <c r="BK107">
        <v>76741</v>
      </c>
      <c r="BL107">
        <v>159098</v>
      </c>
      <c r="BM107">
        <v>0</v>
      </c>
      <c r="BN107">
        <v>74080</v>
      </c>
      <c r="BO107">
        <v>0</v>
      </c>
      <c r="BP107">
        <v>96227</v>
      </c>
      <c r="BQ107">
        <v>170307</v>
      </c>
      <c r="BR107">
        <f t="shared" si="18"/>
        <v>-2767</v>
      </c>
      <c r="BS107">
        <f t="shared" si="19"/>
        <v>23517</v>
      </c>
      <c r="BU107">
        <f>R107*9</f>
        <v>93375</v>
      </c>
      <c r="BV107">
        <f>IF(BU107&gt;BG107, 1, 0)</f>
        <v>0</v>
      </c>
    </row>
    <row r="108" spans="1:74" x14ac:dyDescent="0.25">
      <c r="A108" s="5" t="s">
        <v>61</v>
      </c>
      <c r="B108" s="5" t="s">
        <v>61</v>
      </c>
      <c r="C108" s="5" t="s">
        <v>61</v>
      </c>
      <c r="D108" s="1" t="s">
        <v>145</v>
      </c>
      <c r="E108">
        <v>0</v>
      </c>
      <c r="F108">
        <v>211</v>
      </c>
      <c r="G108">
        <v>0</v>
      </c>
      <c r="H108">
        <v>0</v>
      </c>
      <c r="I108">
        <v>50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1899</v>
      </c>
      <c r="Q108">
        <v>211</v>
      </c>
      <c r="R108">
        <v>211</v>
      </c>
      <c r="S108" s="18">
        <f t="shared" si="10"/>
        <v>9</v>
      </c>
      <c r="T108" s="17">
        <f t="shared" si="11"/>
        <v>0</v>
      </c>
      <c r="U108" s="17">
        <f t="shared" si="12"/>
        <v>0</v>
      </c>
      <c r="V108" s="17">
        <f t="shared" si="13"/>
        <v>0</v>
      </c>
      <c r="W108" s="17">
        <f t="shared" si="14"/>
        <v>211</v>
      </c>
      <c r="X108" s="17">
        <f t="shared" si="15"/>
        <v>0</v>
      </c>
      <c r="Y108" s="19" t="e">
        <f t="shared" si="16"/>
        <v>#DIV/0!</v>
      </c>
      <c r="Z108">
        <v>211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50</v>
      </c>
      <c r="AH108">
        <v>50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f t="shared" si="17"/>
        <v>100</v>
      </c>
      <c r="BF108">
        <v>261</v>
      </c>
      <c r="BG108">
        <v>261</v>
      </c>
      <c r="BH108" t="s">
        <v>109</v>
      </c>
      <c r="BI108" t="s">
        <v>146</v>
      </c>
      <c r="BJ108">
        <v>0</v>
      </c>
      <c r="BK108">
        <v>50</v>
      </c>
      <c r="BL108">
        <v>261</v>
      </c>
      <c r="BM108">
        <v>0</v>
      </c>
      <c r="BN108">
        <v>0</v>
      </c>
      <c r="BO108">
        <v>0</v>
      </c>
      <c r="BP108">
        <v>1949</v>
      </c>
      <c r="BQ108">
        <v>1949</v>
      </c>
      <c r="BR108">
        <f t="shared" si="18"/>
        <v>0</v>
      </c>
      <c r="BS108">
        <f t="shared" si="19"/>
        <v>422</v>
      </c>
    </row>
    <row r="109" spans="1:74" x14ac:dyDescent="0.25">
      <c r="A109" s="5" t="s">
        <v>61</v>
      </c>
      <c r="B109" s="5" t="s">
        <v>61</v>
      </c>
      <c r="C109" s="5" t="s">
        <v>61</v>
      </c>
      <c r="D109" s="1" t="s">
        <v>189</v>
      </c>
      <c r="E109">
        <v>0</v>
      </c>
      <c r="F109">
        <v>80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333</v>
      </c>
      <c r="Q109">
        <v>37</v>
      </c>
      <c r="R109">
        <v>37</v>
      </c>
      <c r="S109" s="18">
        <f t="shared" si="10"/>
        <v>9</v>
      </c>
      <c r="T109" s="17">
        <f t="shared" si="11"/>
        <v>0</v>
      </c>
      <c r="U109" s="17">
        <f t="shared" si="12"/>
        <v>0</v>
      </c>
      <c r="V109" s="17">
        <f t="shared" si="13"/>
        <v>0</v>
      </c>
      <c r="W109" s="17">
        <f t="shared" si="14"/>
        <v>37</v>
      </c>
      <c r="X109" s="17">
        <f t="shared" si="15"/>
        <v>0</v>
      </c>
      <c r="Y109" s="19" t="e">
        <f t="shared" si="16"/>
        <v>#DIV/0!</v>
      </c>
      <c r="Z109">
        <v>80</v>
      </c>
      <c r="AA109">
        <v>0</v>
      </c>
      <c r="AB109">
        <v>0</v>
      </c>
      <c r="AC109">
        <v>200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f t="shared" si="17"/>
        <v>200</v>
      </c>
      <c r="BF109">
        <v>280</v>
      </c>
      <c r="BG109">
        <v>280</v>
      </c>
      <c r="BH109" t="s">
        <v>190</v>
      </c>
      <c r="BI109" t="s">
        <v>191</v>
      </c>
      <c r="BJ109">
        <v>200</v>
      </c>
      <c r="BK109">
        <v>0</v>
      </c>
      <c r="BL109">
        <v>280</v>
      </c>
      <c r="BM109">
        <v>0</v>
      </c>
      <c r="BN109">
        <v>0</v>
      </c>
      <c r="BO109">
        <v>0</v>
      </c>
      <c r="BP109">
        <v>333</v>
      </c>
      <c r="BQ109">
        <v>333</v>
      </c>
      <c r="BR109">
        <f t="shared" si="18"/>
        <v>0</v>
      </c>
      <c r="BS109">
        <f t="shared" si="19"/>
        <v>74</v>
      </c>
    </row>
    <row r="110" spans="1:74" x14ac:dyDescent="0.25">
      <c r="A110" s="5" t="s">
        <v>61</v>
      </c>
      <c r="B110" s="5" t="s">
        <v>61</v>
      </c>
      <c r="C110" s="5" t="s">
        <v>61</v>
      </c>
      <c r="D110" s="1" t="s">
        <v>194</v>
      </c>
      <c r="E110">
        <v>0</v>
      </c>
      <c r="F110">
        <v>200</v>
      </c>
      <c r="G110">
        <v>0</v>
      </c>
      <c r="H110">
        <v>0</v>
      </c>
      <c r="I110">
        <v>0</v>
      </c>
      <c r="J110">
        <v>80</v>
      </c>
      <c r="K110">
        <v>355</v>
      </c>
      <c r="L110">
        <v>0</v>
      </c>
      <c r="M110">
        <v>0</v>
      </c>
      <c r="N110">
        <v>0</v>
      </c>
      <c r="O110">
        <v>0</v>
      </c>
      <c r="P110">
        <v>1197</v>
      </c>
      <c r="Q110">
        <v>133</v>
      </c>
      <c r="R110">
        <v>133</v>
      </c>
      <c r="S110" s="18">
        <f t="shared" si="10"/>
        <v>9</v>
      </c>
      <c r="T110" s="17">
        <f t="shared" si="11"/>
        <v>0</v>
      </c>
      <c r="U110" s="17">
        <f t="shared" si="12"/>
        <v>0</v>
      </c>
      <c r="V110" s="17">
        <f t="shared" si="13"/>
        <v>0</v>
      </c>
      <c r="W110" s="17">
        <f t="shared" si="14"/>
        <v>133</v>
      </c>
      <c r="X110" s="17">
        <f t="shared" si="15"/>
        <v>0</v>
      </c>
      <c r="Y110" s="19" t="e">
        <f t="shared" si="16"/>
        <v>#DIV/0!</v>
      </c>
      <c r="Z110">
        <v>200</v>
      </c>
      <c r="AA110">
        <v>0</v>
      </c>
      <c r="AB110">
        <v>0</v>
      </c>
      <c r="AC110">
        <v>623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80</v>
      </c>
      <c r="AL110">
        <v>80</v>
      </c>
      <c r="AM110">
        <v>0</v>
      </c>
      <c r="AN110">
        <v>0</v>
      </c>
      <c r="AO110">
        <v>355</v>
      </c>
      <c r="AP110">
        <v>211</v>
      </c>
      <c r="AQ110">
        <v>355</v>
      </c>
      <c r="AR110">
        <v>144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f t="shared" si="17"/>
        <v>1848</v>
      </c>
      <c r="BF110">
        <v>1258</v>
      </c>
      <c r="BG110">
        <v>1258</v>
      </c>
      <c r="BH110" t="s">
        <v>190</v>
      </c>
      <c r="BI110" t="s">
        <v>195</v>
      </c>
      <c r="BJ110">
        <v>623</v>
      </c>
      <c r="BK110">
        <v>435</v>
      </c>
      <c r="BL110">
        <v>1258</v>
      </c>
      <c r="BM110">
        <v>0</v>
      </c>
      <c r="BN110">
        <v>0</v>
      </c>
      <c r="BO110">
        <v>0</v>
      </c>
      <c r="BP110">
        <v>1632</v>
      </c>
      <c r="BQ110">
        <v>1632</v>
      </c>
      <c r="BR110">
        <f t="shared" si="18"/>
        <v>0</v>
      </c>
      <c r="BS110">
        <f t="shared" si="19"/>
        <v>266</v>
      </c>
    </row>
    <row r="111" spans="1:74" x14ac:dyDescent="0.25">
      <c r="A111" s="5" t="s">
        <v>61</v>
      </c>
      <c r="B111" s="5" t="s">
        <v>61</v>
      </c>
      <c r="C111" s="5" t="s">
        <v>61</v>
      </c>
      <c r="D111" s="1" t="s">
        <v>196</v>
      </c>
      <c r="E111">
        <v>0</v>
      </c>
      <c r="F111">
        <v>60</v>
      </c>
      <c r="G111">
        <v>0</v>
      </c>
      <c r="H111">
        <v>0</v>
      </c>
      <c r="I111">
        <v>0</v>
      </c>
      <c r="J111">
        <v>0</v>
      </c>
      <c r="K111">
        <v>40</v>
      </c>
      <c r="L111">
        <v>0</v>
      </c>
      <c r="M111">
        <v>0</v>
      </c>
      <c r="N111">
        <v>0</v>
      </c>
      <c r="O111">
        <v>0</v>
      </c>
      <c r="P111">
        <v>351</v>
      </c>
      <c r="Q111">
        <v>39</v>
      </c>
      <c r="R111">
        <v>39</v>
      </c>
      <c r="S111" s="18">
        <f t="shared" si="10"/>
        <v>9</v>
      </c>
      <c r="T111" s="17">
        <f t="shared" si="11"/>
        <v>0</v>
      </c>
      <c r="U111" s="17">
        <f t="shared" si="12"/>
        <v>0</v>
      </c>
      <c r="V111" s="17">
        <f t="shared" si="13"/>
        <v>0</v>
      </c>
      <c r="W111" s="17">
        <f t="shared" si="14"/>
        <v>39</v>
      </c>
      <c r="X111" s="17">
        <f t="shared" si="15"/>
        <v>0</v>
      </c>
      <c r="Y111" s="19" t="e">
        <f t="shared" si="16"/>
        <v>#DIV/0!</v>
      </c>
      <c r="Z111">
        <v>60</v>
      </c>
      <c r="AA111">
        <v>0</v>
      </c>
      <c r="AB111">
        <v>0</v>
      </c>
      <c r="AC111">
        <v>100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40</v>
      </c>
      <c r="AP111">
        <v>20</v>
      </c>
      <c r="AQ111">
        <v>40</v>
      </c>
      <c r="AR111">
        <v>20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f t="shared" si="17"/>
        <v>220</v>
      </c>
      <c r="BF111">
        <v>200</v>
      </c>
      <c r="BG111">
        <v>200</v>
      </c>
      <c r="BH111" t="s">
        <v>190</v>
      </c>
      <c r="BI111" t="s">
        <v>197</v>
      </c>
      <c r="BJ111">
        <v>100</v>
      </c>
      <c r="BK111">
        <v>40</v>
      </c>
      <c r="BL111">
        <v>200</v>
      </c>
      <c r="BM111">
        <v>0</v>
      </c>
      <c r="BN111">
        <v>0</v>
      </c>
      <c r="BO111">
        <v>0</v>
      </c>
      <c r="BP111">
        <v>391</v>
      </c>
      <c r="BQ111">
        <v>391</v>
      </c>
      <c r="BR111">
        <f t="shared" si="18"/>
        <v>0</v>
      </c>
      <c r="BS111">
        <f t="shared" si="19"/>
        <v>78</v>
      </c>
    </row>
    <row r="112" spans="1:74" x14ac:dyDescent="0.25">
      <c r="A112" s="5" t="s">
        <v>61</v>
      </c>
      <c r="B112" s="5" t="s">
        <v>61</v>
      </c>
      <c r="C112" s="5" t="s">
        <v>61</v>
      </c>
      <c r="D112" s="1" t="s">
        <v>198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584</v>
      </c>
      <c r="K112">
        <v>0</v>
      </c>
      <c r="L112">
        <v>915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8" t="e">
        <f t="shared" si="10"/>
        <v>#DIV/0!</v>
      </c>
      <c r="T112" s="17" t="e">
        <f t="shared" si="11"/>
        <v>#DIV/0!</v>
      </c>
      <c r="U112" s="17" t="e">
        <f t="shared" si="12"/>
        <v>#DIV/0!</v>
      </c>
      <c r="V112" s="17" t="e">
        <f t="shared" si="13"/>
        <v>#DIV/0!</v>
      </c>
      <c r="W112" s="17" t="e">
        <f t="shared" si="14"/>
        <v>#DIV/0!</v>
      </c>
      <c r="X112" s="17" t="e">
        <f t="shared" si="15"/>
        <v>#DIV/0!</v>
      </c>
      <c r="Y112" s="19" t="e">
        <f t="shared" si="16"/>
        <v>#DIV/0!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584</v>
      </c>
      <c r="AL112">
        <v>584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915</v>
      </c>
      <c r="BA112">
        <v>915</v>
      </c>
      <c r="BB112">
        <v>0</v>
      </c>
      <c r="BC112">
        <v>0</v>
      </c>
      <c r="BD112">
        <v>0</v>
      </c>
      <c r="BE112">
        <f t="shared" si="17"/>
        <v>2998</v>
      </c>
      <c r="BF112">
        <v>1499</v>
      </c>
      <c r="BG112">
        <v>1499</v>
      </c>
      <c r="BH112" t="s">
        <v>199</v>
      </c>
      <c r="BI112" t="s">
        <v>200</v>
      </c>
      <c r="BJ112">
        <v>0</v>
      </c>
      <c r="BK112">
        <v>1499</v>
      </c>
      <c r="BL112">
        <v>1499</v>
      </c>
      <c r="BM112">
        <v>0</v>
      </c>
      <c r="BN112">
        <v>0</v>
      </c>
      <c r="BO112">
        <v>0</v>
      </c>
      <c r="BP112">
        <v>1499</v>
      </c>
      <c r="BQ112">
        <v>1499</v>
      </c>
      <c r="BR112">
        <f t="shared" si="18"/>
        <v>0</v>
      </c>
      <c r="BS112">
        <f t="shared" si="19"/>
        <v>0</v>
      </c>
    </row>
    <row r="113" spans="1:74" x14ac:dyDescent="0.25">
      <c r="A113" s="5" t="s">
        <v>61</v>
      </c>
      <c r="B113" s="5" t="s">
        <v>61</v>
      </c>
      <c r="C113" s="5" t="s">
        <v>61</v>
      </c>
      <c r="D113" s="1" t="s">
        <v>201</v>
      </c>
      <c r="E113">
        <v>310</v>
      </c>
      <c r="F113">
        <v>35</v>
      </c>
      <c r="G113">
        <v>0</v>
      </c>
      <c r="H113">
        <v>0</v>
      </c>
      <c r="I113">
        <v>0</v>
      </c>
      <c r="J113">
        <v>760</v>
      </c>
      <c r="K113">
        <v>0</v>
      </c>
      <c r="L113">
        <v>50</v>
      </c>
      <c r="M113">
        <v>0</v>
      </c>
      <c r="N113">
        <v>0</v>
      </c>
      <c r="O113">
        <v>0</v>
      </c>
      <c r="P113">
        <v>252</v>
      </c>
      <c r="Q113">
        <v>28</v>
      </c>
      <c r="R113">
        <v>28</v>
      </c>
      <c r="S113" s="18">
        <f t="shared" si="10"/>
        <v>9</v>
      </c>
      <c r="T113" s="17">
        <f t="shared" si="11"/>
        <v>0</v>
      </c>
      <c r="U113" s="17">
        <f t="shared" si="12"/>
        <v>0</v>
      </c>
      <c r="V113" s="17">
        <f t="shared" si="13"/>
        <v>0</v>
      </c>
      <c r="W113" s="17">
        <f t="shared" si="14"/>
        <v>28</v>
      </c>
      <c r="X113" s="17">
        <f t="shared" si="15"/>
        <v>0</v>
      </c>
      <c r="Y113" s="19" t="e">
        <f t="shared" si="16"/>
        <v>#DIV/0!</v>
      </c>
      <c r="Z113">
        <v>35</v>
      </c>
      <c r="AA113">
        <v>0</v>
      </c>
      <c r="AB113">
        <v>0</v>
      </c>
      <c r="AC113">
        <v>510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760</v>
      </c>
      <c r="AL113">
        <v>760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50</v>
      </c>
      <c r="BA113">
        <v>50</v>
      </c>
      <c r="BB113">
        <v>0</v>
      </c>
      <c r="BC113">
        <v>0</v>
      </c>
      <c r="BD113">
        <v>0</v>
      </c>
      <c r="BE113">
        <f t="shared" si="17"/>
        <v>2130</v>
      </c>
      <c r="BF113">
        <v>1665</v>
      </c>
      <c r="BG113">
        <v>1665</v>
      </c>
      <c r="BH113" t="s">
        <v>199</v>
      </c>
      <c r="BI113" t="s">
        <v>202</v>
      </c>
      <c r="BJ113">
        <v>820</v>
      </c>
      <c r="BK113">
        <v>810</v>
      </c>
      <c r="BL113">
        <v>1665</v>
      </c>
      <c r="BM113">
        <v>0</v>
      </c>
      <c r="BN113">
        <v>0</v>
      </c>
      <c r="BO113">
        <v>0</v>
      </c>
      <c r="BP113">
        <v>1062</v>
      </c>
      <c r="BQ113">
        <v>1062</v>
      </c>
      <c r="BR113">
        <f t="shared" si="18"/>
        <v>0</v>
      </c>
      <c r="BS113">
        <f t="shared" si="19"/>
        <v>56</v>
      </c>
    </row>
    <row r="114" spans="1:74" x14ac:dyDescent="0.25">
      <c r="A114" s="5" t="s">
        <v>61</v>
      </c>
      <c r="B114" s="5" t="s">
        <v>207</v>
      </c>
      <c r="C114" s="5" t="s">
        <v>61</v>
      </c>
      <c r="D114" s="1" t="s">
        <v>185</v>
      </c>
      <c r="E114">
        <v>0</v>
      </c>
      <c r="F114">
        <v>123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108</v>
      </c>
      <c r="N114">
        <v>0</v>
      </c>
      <c r="O114">
        <v>0</v>
      </c>
      <c r="P114">
        <v>0</v>
      </c>
      <c r="Q114">
        <v>12</v>
      </c>
      <c r="R114">
        <v>12</v>
      </c>
      <c r="S114" s="18">
        <f t="shared" si="10"/>
        <v>9</v>
      </c>
      <c r="T114" s="17">
        <f t="shared" si="11"/>
        <v>12</v>
      </c>
      <c r="U114" s="17">
        <f t="shared" si="12"/>
        <v>0</v>
      </c>
      <c r="V114" s="17">
        <f t="shared" si="13"/>
        <v>0</v>
      </c>
      <c r="W114" s="17">
        <f t="shared" si="14"/>
        <v>0</v>
      </c>
      <c r="X114" s="17">
        <f t="shared" si="15"/>
        <v>0</v>
      </c>
      <c r="Y114" s="19" t="e">
        <f t="shared" si="16"/>
        <v>#DIV/0!</v>
      </c>
      <c r="Z114">
        <v>123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f t="shared" si="17"/>
        <v>0</v>
      </c>
      <c r="BF114">
        <v>123</v>
      </c>
      <c r="BG114">
        <v>123</v>
      </c>
      <c r="BH114" t="s">
        <v>190</v>
      </c>
      <c r="BI114" t="s">
        <v>269</v>
      </c>
      <c r="BJ114">
        <v>0</v>
      </c>
      <c r="BK114">
        <v>0</v>
      </c>
      <c r="BL114">
        <v>123</v>
      </c>
      <c r="BM114">
        <v>108</v>
      </c>
      <c r="BN114">
        <v>0</v>
      </c>
      <c r="BO114">
        <v>0</v>
      </c>
      <c r="BP114">
        <v>0</v>
      </c>
      <c r="BQ114">
        <v>108</v>
      </c>
      <c r="BR114">
        <f t="shared" si="18"/>
        <v>0</v>
      </c>
      <c r="BS114">
        <f t="shared" si="19"/>
        <v>24</v>
      </c>
    </row>
    <row r="115" spans="1:74" x14ac:dyDescent="0.25">
      <c r="A115" s="5" t="s">
        <v>61</v>
      </c>
      <c r="B115" s="5" t="s">
        <v>207</v>
      </c>
      <c r="C115" s="5" t="s">
        <v>61</v>
      </c>
      <c r="D115" s="1" t="s">
        <v>189</v>
      </c>
      <c r="E115">
        <v>0</v>
      </c>
      <c r="F115">
        <v>89</v>
      </c>
      <c r="G115">
        <v>0</v>
      </c>
      <c r="H115">
        <v>0</v>
      </c>
      <c r="I115">
        <v>0</v>
      </c>
      <c r="J115">
        <v>0</v>
      </c>
      <c r="K115">
        <v>14</v>
      </c>
      <c r="L115">
        <v>0</v>
      </c>
      <c r="M115">
        <v>351</v>
      </c>
      <c r="N115">
        <v>0</v>
      </c>
      <c r="O115">
        <v>0</v>
      </c>
      <c r="P115">
        <v>0</v>
      </c>
      <c r="Q115">
        <v>39</v>
      </c>
      <c r="R115">
        <v>39</v>
      </c>
      <c r="S115" s="18">
        <f t="shared" si="10"/>
        <v>9</v>
      </c>
      <c r="T115" s="17">
        <f t="shared" si="11"/>
        <v>39</v>
      </c>
      <c r="U115" s="17">
        <f t="shared" si="12"/>
        <v>0</v>
      </c>
      <c r="V115" s="17">
        <f t="shared" si="13"/>
        <v>0</v>
      </c>
      <c r="W115" s="17">
        <f t="shared" si="14"/>
        <v>0</v>
      </c>
      <c r="X115" s="17">
        <f t="shared" si="15"/>
        <v>0</v>
      </c>
      <c r="Y115" s="19" t="e">
        <f t="shared" si="16"/>
        <v>#DIV/0!</v>
      </c>
      <c r="Z115">
        <v>89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14</v>
      </c>
      <c r="AN115">
        <v>0</v>
      </c>
      <c r="AO115">
        <v>0</v>
      </c>
      <c r="AP115">
        <v>14</v>
      </c>
      <c r="AQ115">
        <v>14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f t="shared" si="17"/>
        <v>42</v>
      </c>
      <c r="BF115">
        <v>103</v>
      </c>
      <c r="BG115">
        <v>103</v>
      </c>
      <c r="BH115" t="s">
        <v>190</v>
      </c>
      <c r="BI115" t="s">
        <v>271</v>
      </c>
      <c r="BJ115">
        <v>0</v>
      </c>
      <c r="BK115">
        <v>14</v>
      </c>
      <c r="BL115">
        <v>103</v>
      </c>
      <c r="BM115">
        <v>365</v>
      </c>
      <c r="BN115">
        <v>0</v>
      </c>
      <c r="BO115">
        <v>0</v>
      </c>
      <c r="BP115">
        <v>0</v>
      </c>
      <c r="BQ115">
        <v>365</v>
      </c>
      <c r="BR115">
        <f t="shared" si="18"/>
        <v>0</v>
      </c>
      <c r="BS115">
        <f t="shared" si="19"/>
        <v>78</v>
      </c>
    </row>
    <row r="116" spans="1:74" x14ac:dyDescent="0.25">
      <c r="A116" s="5" t="s">
        <v>61</v>
      </c>
      <c r="B116" s="5" t="s">
        <v>207</v>
      </c>
      <c r="C116" s="5" t="s">
        <v>61</v>
      </c>
      <c r="D116" s="1" t="s">
        <v>201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s="18" t="e">
        <f t="shared" si="10"/>
        <v>#DIV/0!</v>
      </c>
      <c r="T116" s="17" t="e">
        <f t="shared" si="11"/>
        <v>#DIV/0!</v>
      </c>
      <c r="U116" s="17" t="e">
        <f t="shared" si="12"/>
        <v>#DIV/0!</v>
      </c>
      <c r="V116" s="17" t="e">
        <f t="shared" si="13"/>
        <v>#DIV/0!</v>
      </c>
      <c r="W116" s="17" t="e">
        <f t="shared" si="14"/>
        <v>#DIV/0!</v>
      </c>
      <c r="X116" s="17" t="e">
        <f t="shared" si="15"/>
        <v>#DIV/0!</v>
      </c>
      <c r="Y116" s="19" t="e">
        <f t="shared" si="16"/>
        <v>#DIV/0!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78</v>
      </c>
      <c r="BA116">
        <v>78</v>
      </c>
      <c r="BB116">
        <v>0</v>
      </c>
      <c r="BC116">
        <v>0</v>
      </c>
      <c r="BD116">
        <v>0</v>
      </c>
      <c r="BE116">
        <f t="shared" si="17"/>
        <v>156</v>
      </c>
      <c r="BF116">
        <v>78</v>
      </c>
      <c r="BG116">
        <v>78</v>
      </c>
      <c r="BH116" t="s">
        <v>190</v>
      </c>
      <c r="BI116" t="s">
        <v>276</v>
      </c>
      <c r="BJ116">
        <v>0</v>
      </c>
      <c r="BK116">
        <v>78</v>
      </c>
      <c r="BL116">
        <v>78</v>
      </c>
      <c r="BM116">
        <v>0</v>
      </c>
      <c r="BN116">
        <v>0</v>
      </c>
      <c r="BO116">
        <v>0</v>
      </c>
      <c r="BP116">
        <v>78</v>
      </c>
      <c r="BQ116">
        <v>78</v>
      </c>
      <c r="BR116">
        <f t="shared" si="18"/>
        <v>0</v>
      </c>
      <c r="BS116">
        <f t="shared" si="19"/>
        <v>0</v>
      </c>
    </row>
    <row r="117" spans="1:74" x14ac:dyDescent="0.25">
      <c r="A117" s="5" t="s">
        <v>61</v>
      </c>
      <c r="B117" s="5" t="s">
        <v>207</v>
      </c>
      <c r="C117" s="5" t="s">
        <v>61</v>
      </c>
      <c r="D117" s="1" t="s">
        <v>203</v>
      </c>
      <c r="E117">
        <v>189</v>
      </c>
      <c r="F117">
        <v>0</v>
      </c>
      <c r="G117">
        <v>0</v>
      </c>
      <c r="H117">
        <v>0</v>
      </c>
      <c r="I117">
        <v>0</v>
      </c>
      <c r="J117">
        <v>10</v>
      </c>
      <c r="K117">
        <v>0</v>
      </c>
      <c r="L117">
        <v>212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18" t="e">
        <f t="shared" si="10"/>
        <v>#DIV/0!</v>
      </c>
      <c r="T117" s="17" t="e">
        <f t="shared" si="11"/>
        <v>#DIV/0!</v>
      </c>
      <c r="U117" s="17" t="e">
        <f t="shared" si="12"/>
        <v>#DIV/0!</v>
      </c>
      <c r="V117" s="17" t="e">
        <f t="shared" si="13"/>
        <v>#DIV/0!</v>
      </c>
      <c r="W117" s="17" t="e">
        <f t="shared" si="14"/>
        <v>#DIV/0!</v>
      </c>
      <c r="X117" s="17" t="e">
        <f t="shared" si="15"/>
        <v>#DIV/0!</v>
      </c>
      <c r="Y117" s="19" t="e">
        <f t="shared" si="16"/>
        <v>#DIV/0!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10</v>
      </c>
      <c r="AL117">
        <v>10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212</v>
      </c>
      <c r="BA117">
        <v>212</v>
      </c>
      <c r="BB117">
        <v>0</v>
      </c>
      <c r="BC117">
        <v>0</v>
      </c>
      <c r="BD117">
        <v>0</v>
      </c>
      <c r="BE117">
        <f t="shared" si="17"/>
        <v>444</v>
      </c>
      <c r="BF117">
        <v>411</v>
      </c>
      <c r="BG117">
        <v>411</v>
      </c>
      <c r="BH117" t="s">
        <v>199</v>
      </c>
      <c r="BI117" t="s">
        <v>277</v>
      </c>
      <c r="BJ117">
        <v>189</v>
      </c>
      <c r="BK117">
        <v>222</v>
      </c>
      <c r="BL117">
        <v>411</v>
      </c>
      <c r="BM117">
        <v>0</v>
      </c>
      <c r="BN117">
        <v>0</v>
      </c>
      <c r="BO117">
        <v>0</v>
      </c>
      <c r="BP117">
        <v>222</v>
      </c>
      <c r="BQ117">
        <v>222</v>
      </c>
      <c r="BR117">
        <f t="shared" si="18"/>
        <v>0</v>
      </c>
      <c r="BS117">
        <f t="shared" si="19"/>
        <v>0</v>
      </c>
    </row>
    <row r="118" spans="1:74" x14ac:dyDescent="0.25">
      <c r="A118" s="5" t="s">
        <v>61</v>
      </c>
      <c r="B118" s="5" t="s">
        <v>207</v>
      </c>
      <c r="C118" s="5" t="s">
        <v>207</v>
      </c>
      <c r="D118" s="1" t="s">
        <v>181</v>
      </c>
      <c r="E118">
        <v>0</v>
      </c>
      <c r="F118">
        <v>119</v>
      </c>
      <c r="G118">
        <v>0</v>
      </c>
      <c r="H118">
        <v>0</v>
      </c>
      <c r="I118">
        <v>40</v>
      </c>
      <c r="J118">
        <v>0</v>
      </c>
      <c r="K118">
        <v>132</v>
      </c>
      <c r="L118">
        <v>0</v>
      </c>
      <c r="M118">
        <v>0</v>
      </c>
      <c r="N118">
        <v>0</v>
      </c>
      <c r="O118">
        <v>0</v>
      </c>
      <c r="P118">
        <v>1071</v>
      </c>
      <c r="Q118">
        <v>119</v>
      </c>
      <c r="R118">
        <v>119</v>
      </c>
      <c r="S118" s="18">
        <f t="shared" si="10"/>
        <v>9</v>
      </c>
      <c r="T118" s="17">
        <f t="shared" si="11"/>
        <v>0</v>
      </c>
      <c r="U118" s="17">
        <f t="shared" si="12"/>
        <v>0</v>
      </c>
      <c r="V118" s="17">
        <f t="shared" si="13"/>
        <v>0</v>
      </c>
      <c r="W118" s="17">
        <f t="shared" si="14"/>
        <v>119</v>
      </c>
      <c r="X118" s="17">
        <f t="shared" si="15"/>
        <v>0</v>
      </c>
      <c r="Y118" s="19" t="e">
        <f t="shared" si="16"/>
        <v>#DIV/0!</v>
      </c>
      <c r="Z118">
        <v>119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40</v>
      </c>
      <c r="AH118">
        <v>40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132</v>
      </c>
      <c r="AP118">
        <v>90</v>
      </c>
      <c r="AQ118">
        <v>132</v>
      </c>
      <c r="AR118">
        <v>42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f t="shared" si="17"/>
        <v>476</v>
      </c>
      <c r="BF118">
        <v>291</v>
      </c>
      <c r="BG118">
        <v>291</v>
      </c>
      <c r="BH118" t="s">
        <v>190</v>
      </c>
      <c r="BI118" t="s">
        <v>337</v>
      </c>
      <c r="BJ118">
        <v>0</v>
      </c>
      <c r="BK118">
        <v>172</v>
      </c>
      <c r="BL118">
        <v>291</v>
      </c>
      <c r="BM118">
        <v>0</v>
      </c>
      <c r="BN118">
        <v>0</v>
      </c>
      <c r="BO118">
        <v>0</v>
      </c>
      <c r="BP118">
        <v>1243</v>
      </c>
      <c r="BQ118">
        <v>1243</v>
      </c>
      <c r="BR118">
        <f t="shared" si="18"/>
        <v>0</v>
      </c>
      <c r="BS118">
        <f t="shared" si="19"/>
        <v>238</v>
      </c>
    </row>
    <row r="119" spans="1:74" x14ac:dyDescent="0.25">
      <c r="A119" s="5" t="s">
        <v>61</v>
      </c>
      <c r="B119" s="5" t="s">
        <v>207</v>
      </c>
      <c r="C119" s="5" t="s">
        <v>207</v>
      </c>
      <c r="D119" s="1" t="s">
        <v>183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8" t="e">
        <f t="shared" si="10"/>
        <v>#DIV/0!</v>
      </c>
      <c r="T119" s="17" t="e">
        <f t="shared" si="11"/>
        <v>#DIV/0!</v>
      </c>
      <c r="U119" s="17" t="e">
        <f t="shared" si="12"/>
        <v>#DIV/0!</v>
      </c>
      <c r="V119" s="17" t="e">
        <f t="shared" si="13"/>
        <v>#DIV/0!</v>
      </c>
      <c r="W119" s="17" t="e">
        <f t="shared" si="14"/>
        <v>#DIV/0!</v>
      </c>
      <c r="X119" s="17" t="e">
        <f t="shared" si="15"/>
        <v>#DIV/0!</v>
      </c>
      <c r="Y119" s="19" t="e">
        <f t="shared" si="16"/>
        <v>#DIV/0!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60</v>
      </c>
      <c r="BA119">
        <v>60</v>
      </c>
      <c r="BB119">
        <v>0</v>
      </c>
      <c r="BC119">
        <v>0</v>
      </c>
      <c r="BD119">
        <v>0</v>
      </c>
      <c r="BE119">
        <f t="shared" si="17"/>
        <v>120</v>
      </c>
      <c r="BF119">
        <v>60</v>
      </c>
      <c r="BG119">
        <v>60</v>
      </c>
      <c r="BH119" t="s">
        <v>190</v>
      </c>
      <c r="BI119" t="s">
        <v>338</v>
      </c>
      <c r="BJ119">
        <v>0</v>
      </c>
      <c r="BK119">
        <v>60</v>
      </c>
      <c r="BL119">
        <v>60</v>
      </c>
      <c r="BM119">
        <v>0</v>
      </c>
      <c r="BN119">
        <v>0</v>
      </c>
      <c r="BO119">
        <v>0</v>
      </c>
      <c r="BP119">
        <v>60</v>
      </c>
      <c r="BQ119">
        <v>60</v>
      </c>
      <c r="BR119">
        <f t="shared" si="18"/>
        <v>0</v>
      </c>
      <c r="BS119">
        <f t="shared" si="19"/>
        <v>0</v>
      </c>
    </row>
    <row r="120" spans="1:74" x14ac:dyDescent="0.25">
      <c r="A120" s="5" t="s">
        <v>61</v>
      </c>
      <c r="B120" s="5" t="s">
        <v>207</v>
      </c>
      <c r="C120" s="5" t="s">
        <v>207</v>
      </c>
      <c r="D120" s="1" t="s">
        <v>189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8" t="e">
        <f t="shared" si="10"/>
        <v>#DIV/0!</v>
      </c>
      <c r="T120" s="17" t="e">
        <f t="shared" si="11"/>
        <v>#DIV/0!</v>
      </c>
      <c r="U120" s="17" t="e">
        <f t="shared" si="12"/>
        <v>#DIV/0!</v>
      </c>
      <c r="V120" s="17" t="e">
        <f t="shared" si="13"/>
        <v>#DIV/0!</v>
      </c>
      <c r="W120" s="17" t="e">
        <f t="shared" si="14"/>
        <v>#DIV/0!</v>
      </c>
      <c r="X120" s="17" t="e">
        <f t="shared" si="15"/>
        <v>#DIV/0!</v>
      </c>
      <c r="Y120" s="19" t="e">
        <f t="shared" si="16"/>
        <v>#DIV/0!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42</v>
      </c>
      <c r="AN120">
        <v>0</v>
      </c>
      <c r="AO120">
        <v>0</v>
      </c>
      <c r="AP120">
        <v>42</v>
      </c>
      <c r="AQ120">
        <v>42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f t="shared" si="17"/>
        <v>126</v>
      </c>
      <c r="BF120">
        <v>42</v>
      </c>
      <c r="BG120">
        <v>42</v>
      </c>
      <c r="BH120" t="s">
        <v>190</v>
      </c>
      <c r="BI120" t="s">
        <v>341</v>
      </c>
      <c r="BJ120">
        <v>0</v>
      </c>
      <c r="BK120">
        <v>42</v>
      </c>
      <c r="BL120">
        <v>42</v>
      </c>
      <c r="BM120">
        <v>42</v>
      </c>
      <c r="BN120">
        <v>0</v>
      </c>
      <c r="BO120">
        <v>0</v>
      </c>
      <c r="BP120">
        <v>0</v>
      </c>
      <c r="BQ120">
        <v>42</v>
      </c>
      <c r="BR120">
        <f t="shared" si="18"/>
        <v>0</v>
      </c>
      <c r="BS120">
        <f t="shared" si="19"/>
        <v>0</v>
      </c>
    </row>
    <row r="121" spans="1:74" x14ac:dyDescent="0.25">
      <c r="A121" s="5" t="s">
        <v>61</v>
      </c>
      <c r="B121" s="5" t="s">
        <v>207</v>
      </c>
      <c r="C121" s="5" t="s">
        <v>207</v>
      </c>
      <c r="D121" s="1" t="s">
        <v>192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8" t="e">
        <f t="shared" si="10"/>
        <v>#DIV/0!</v>
      </c>
      <c r="T121" s="17" t="e">
        <f t="shared" si="11"/>
        <v>#DIV/0!</v>
      </c>
      <c r="U121" s="17" t="e">
        <f t="shared" si="12"/>
        <v>#DIV/0!</v>
      </c>
      <c r="V121" s="17" t="e">
        <f t="shared" si="13"/>
        <v>#DIV/0!</v>
      </c>
      <c r="W121" s="17" t="e">
        <f t="shared" si="14"/>
        <v>#DIV/0!</v>
      </c>
      <c r="X121" s="17" t="e">
        <f t="shared" si="15"/>
        <v>#DIV/0!</v>
      </c>
      <c r="Y121" s="19" t="e">
        <f t="shared" si="16"/>
        <v>#DIV/0!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39</v>
      </c>
      <c r="AP121">
        <v>0</v>
      </c>
      <c r="AQ121">
        <v>39</v>
      </c>
      <c r="AR121">
        <v>39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f t="shared" si="17"/>
        <v>117</v>
      </c>
      <c r="BF121">
        <v>39</v>
      </c>
      <c r="BG121">
        <v>39</v>
      </c>
      <c r="BH121" t="s">
        <v>190</v>
      </c>
      <c r="BI121" t="s">
        <v>342</v>
      </c>
      <c r="BJ121">
        <v>0</v>
      </c>
      <c r="BK121">
        <v>39</v>
      </c>
      <c r="BL121">
        <v>39</v>
      </c>
      <c r="BM121">
        <v>0</v>
      </c>
      <c r="BN121">
        <v>0</v>
      </c>
      <c r="BO121">
        <v>0</v>
      </c>
      <c r="BP121">
        <v>39</v>
      </c>
      <c r="BQ121">
        <v>39</v>
      </c>
      <c r="BR121">
        <f t="shared" si="18"/>
        <v>0</v>
      </c>
      <c r="BS121">
        <f t="shared" si="19"/>
        <v>0</v>
      </c>
    </row>
    <row r="122" spans="1:74" x14ac:dyDescent="0.25">
      <c r="A122" s="5" t="s">
        <v>61</v>
      </c>
      <c r="B122" s="5" t="s">
        <v>207</v>
      </c>
      <c r="C122" s="5" t="s">
        <v>207</v>
      </c>
      <c r="D122" s="1" t="s">
        <v>205</v>
      </c>
      <c r="E122">
        <v>107</v>
      </c>
      <c r="F122">
        <v>0</v>
      </c>
      <c r="G122">
        <v>0</v>
      </c>
      <c r="H122">
        <v>0</v>
      </c>
      <c r="I122">
        <v>0</v>
      </c>
      <c r="J122">
        <v>50</v>
      </c>
      <c r="K122">
        <v>8</v>
      </c>
      <c r="L122">
        <v>50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8" t="e">
        <f t="shared" si="10"/>
        <v>#DIV/0!</v>
      </c>
      <c r="T122" s="17" t="e">
        <f t="shared" si="11"/>
        <v>#DIV/0!</v>
      </c>
      <c r="U122" s="17" t="e">
        <f t="shared" si="12"/>
        <v>#DIV/0!</v>
      </c>
      <c r="V122" s="17" t="e">
        <f t="shared" si="13"/>
        <v>#DIV/0!</v>
      </c>
      <c r="W122" s="17" t="e">
        <f t="shared" si="14"/>
        <v>#DIV/0!</v>
      </c>
      <c r="X122" s="17" t="e">
        <f t="shared" si="15"/>
        <v>#DIV/0!</v>
      </c>
      <c r="Y122" s="19" t="e">
        <f t="shared" si="16"/>
        <v>#DIV/0!</v>
      </c>
      <c r="Z122">
        <v>0</v>
      </c>
      <c r="AA122">
        <v>0</v>
      </c>
      <c r="AB122">
        <v>0</v>
      </c>
      <c r="AC122">
        <v>22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50</v>
      </c>
      <c r="AL122">
        <v>50</v>
      </c>
      <c r="AM122">
        <v>0</v>
      </c>
      <c r="AN122">
        <v>0</v>
      </c>
      <c r="AO122">
        <v>8</v>
      </c>
      <c r="AP122">
        <v>8</v>
      </c>
      <c r="AQ122">
        <v>8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50</v>
      </c>
      <c r="BA122">
        <v>50</v>
      </c>
      <c r="BB122">
        <v>0</v>
      </c>
      <c r="BC122">
        <v>0</v>
      </c>
      <c r="BD122">
        <v>0</v>
      </c>
      <c r="BE122">
        <f t="shared" si="17"/>
        <v>246</v>
      </c>
      <c r="BF122">
        <v>237</v>
      </c>
      <c r="BG122">
        <v>237</v>
      </c>
      <c r="BH122" t="s">
        <v>190</v>
      </c>
      <c r="BI122" t="s">
        <v>348</v>
      </c>
      <c r="BJ122">
        <v>129</v>
      </c>
      <c r="BK122">
        <v>108</v>
      </c>
      <c r="BL122">
        <v>237</v>
      </c>
      <c r="BM122">
        <v>0</v>
      </c>
      <c r="BN122">
        <v>0</v>
      </c>
      <c r="BO122">
        <v>0</v>
      </c>
      <c r="BP122">
        <v>108</v>
      </c>
      <c r="BQ122">
        <v>108</v>
      </c>
      <c r="BR122">
        <f t="shared" si="18"/>
        <v>0</v>
      </c>
      <c r="BS122">
        <f t="shared" si="19"/>
        <v>0</v>
      </c>
    </row>
    <row r="123" spans="1:74" x14ac:dyDescent="0.25">
      <c r="A123" s="5" t="s">
        <v>61</v>
      </c>
      <c r="B123" s="5" t="s">
        <v>207</v>
      </c>
      <c r="C123" s="5" t="s">
        <v>207</v>
      </c>
      <c r="D123" s="1" t="s">
        <v>351</v>
      </c>
      <c r="E123">
        <v>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8" t="e">
        <f t="shared" si="10"/>
        <v>#DIV/0!</v>
      </c>
      <c r="T123" s="17" t="e">
        <f t="shared" si="11"/>
        <v>#DIV/0!</v>
      </c>
      <c r="U123" s="17" t="e">
        <f t="shared" si="12"/>
        <v>#DIV/0!</v>
      </c>
      <c r="V123" s="17" t="e">
        <f t="shared" si="13"/>
        <v>#DIV/0!</v>
      </c>
      <c r="W123" s="17" t="e">
        <f t="shared" si="14"/>
        <v>#DIV/0!</v>
      </c>
      <c r="X123" s="17" t="e">
        <f t="shared" si="15"/>
        <v>#DIV/0!</v>
      </c>
      <c r="Y123" s="19" t="e">
        <f t="shared" si="16"/>
        <v>#DIV/0!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65</v>
      </c>
      <c r="BA123">
        <v>65</v>
      </c>
      <c r="BB123">
        <v>0</v>
      </c>
      <c r="BC123">
        <v>0</v>
      </c>
      <c r="BD123">
        <v>0</v>
      </c>
      <c r="BE123">
        <f t="shared" si="17"/>
        <v>130</v>
      </c>
      <c r="BF123">
        <v>71</v>
      </c>
      <c r="BG123">
        <v>71</v>
      </c>
      <c r="BH123" t="s">
        <v>190</v>
      </c>
      <c r="BI123" t="s">
        <v>352</v>
      </c>
      <c r="BJ123">
        <v>6</v>
      </c>
      <c r="BK123">
        <v>65</v>
      </c>
      <c r="BL123">
        <v>71</v>
      </c>
      <c r="BM123">
        <v>0</v>
      </c>
      <c r="BN123">
        <v>0</v>
      </c>
      <c r="BO123">
        <v>0</v>
      </c>
      <c r="BP123">
        <v>65</v>
      </c>
      <c r="BQ123">
        <v>65</v>
      </c>
      <c r="BR123">
        <f t="shared" si="18"/>
        <v>0</v>
      </c>
      <c r="BS123">
        <f t="shared" si="19"/>
        <v>0</v>
      </c>
    </row>
    <row r="124" spans="1:74" x14ac:dyDescent="0.25">
      <c r="A124" s="5" t="s">
        <v>61</v>
      </c>
      <c r="B124" s="5" t="s">
        <v>207</v>
      </c>
      <c r="C124" s="5" t="s">
        <v>207</v>
      </c>
      <c r="D124" s="1" t="s">
        <v>353</v>
      </c>
      <c r="E124">
        <v>70</v>
      </c>
      <c r="F124">
        <v>79</v>
      </c>
      <c r="G124">
        <v>0</v>
      </c>
      <c r="H124">
        <v>0</v>
      </c>
      <c r="I124">
        <v>1600</v>
      </c>
      <c r="J124">
        <v>0</v>
      </c>
      <c r="K124">
        <v>0</v>
      </c>
      <c r="L124">
        <v>350</v>
      </c>
      <c r="M124">
        <v>0</v>
      </c>
      <c r="N124">
        <v>0</v>
      </c>
      <c r="O124">
        <v>0</v>
      </c>
      <c r="P124">
        <v>711</v>
      </c>
      <c r="Q124">
        <v>79</v>
      </c>
      <c r="R124">
        <v>79</v>
      </c>
      <c r="S124" s="18">
        <f t="shared" si="10"/>
        <v>9</v>
      </c>
      <c r="T124" s="17">
        <f t="shared" si="11"/>
        <v>0</v>
      </c>
      <c r="U124" s="17">
        <f t="shared" si="12"/>
        <v>0</v>
      </c>
      <c r="V124" s="17">
        <f t="shared" si="13"/>
        <v>0</v>
      </c>
      <c r="W124" s="17">
        <f t="shared" si="14"/>
        <v>79</v>
      </c>
      <c r="X124" s="17">
        <f t="shared" si="15"/>
        <v>0</v>
      </c>
      <c r="Y124" s="19" t="e">
        <f t="shared" si="16"/>
        <v>#DIV/0!</v>
      </c>
      <c r="Z124">
        <v>79</v>
      </c>
      <c r="AA124">
        <v>2</v>
      </c>
      <c r="AB124">
        <v>300</v>
      </c>
      <c r="AC124">
        <v>2500</v>
      </c>
      <c r="AD124">
        <v>0</v>
      </c>
      <c r="AE124">
        <v>0</v>
      </c>
      <c r="AF124">
        <v>0</v>
      </c>
      <c r="AG124">
        <v>1600</v>
      </c>
      <c r="AH124">
        <v>1600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350</v>
      </c>
      <c r="BA124">
        <v>350</v>
      </c>
      <c r="BB124">
        <v>0</v>
      </c>
      <c r="BC124">
        <v>0</v>
      </c>
      <c r="BD124">
        <v>0</v>
      </c>
      <c r="BE124">
        <f t="shared" si="17"/>
        <v>6400</v>
      </c>
      <c r="BF124">
        <v>4901</v>
      </c>
      <c r="BG124">
        <v>4901</v>
      </c>
      <c r="BH124" t="s">
        <v>190</v>
      </c>
      <c r="BI124" t="s">
        <v>354</v>
      </c>
      <c r="BJ124">
        <v>2872</v>
      </c>
      <c r="BK124">
        <v>1950</v>
      </c>
      <c r="BL124">
        <v>4901</v>
      </c>
      <c r="BM124">
        <v>0</v>
      </c>
      <c r="BN124">
        <v>0</v>
      </c>
      <c r="BO124">
        <v>0</v>
      </c>
      <c r="BP124">
        <v>2661</v>
      </c>
      <c r="BQ124">
        <v>2661</v>
      </c>
      <c r="BR124">
        <f t="shared" si="18"/>
        <v>0</v>
      </c>
      <c r="BS124">
        <f t="shared" si="19"/>
        <v>158</v>
      </c>
    </row>
    <row r="125" spans="1:74" x14ac:dyDescent="0.25">
      <c r="A125" s="5" t="s">
        <v>1017</v>
      </c>
      <c r="B125" s="5" t="s">
        <v>207</v>
      </c>
      <c r="C125" s="5" t="s">
        <v>61</v>
      </c>
      <c r="D125" s="1" t="s">
        <v>65</v>
      </c>
      <c r="E125">
        <v>0</v>
      </c>
      <c r="F125">
        <v>48809</v>
      </c>
      <c r="G125">
        <v>0</v>
      </c>
      <c r="H125">
        <v>0</v>
      </c>
      <c r="I125">
        <v>18616</v>
      </c>
      <c r="J125">
        <v>0</v>
      </c>
      <c r="K125">
        <v>2500</v>
      </c>
      <c r="L125">
        <v>0</v>
      </c>
      <c r="M125">
        <v>0</v>
      </c>
      <c r="N125">
        <v>34938</v>
      </c>
      <c r="O125">
        <v>0</v>
      </c>
      <c r="P125">
        <v>32805</v>
      </c>
      <c r="Q125">
        <v>8207</v>
      </c>
      <c r="R125">
        <v>7527</v>
      </c>
      <c r="S125" s="18">
        <f t="shared" si="10"/>
        <v>9</v>
      </c>
      <c r="T125" s="17">
        <f t="shared" si="11"/>
        <v>0</v>
      </c>
      <c r="U125" s="17">
        <f t="shared" si="12"/>
        <v>3882</v>
      </c>
      <c r="V125" s="17">
        <f t="shared" si="13"/>
        <v>0</v>
      </c>
      <c r="W125" s="17">
        <f t="shared" si="14"/>
        <v>3645</v>
      </c>
      <c r="X125" s="17">
        <f t="shared" si="15"/>
        <v>680</v>
      </c>
      <c r="Y125" s="19">
        <f t="shared" si="16"/>
        <v>0</v>
      </c>
      <c r="Z125">
        <v>48809</v>
      </c>
      <c r="AA125">
        <v>0</v>
      </c>
      <c r="AB125">
        <v>0</v>
      </c>
      <c r="AC125">
        <v>0</v>
      </c>
      <c r="AD125">
        <v>0</v>
      </c>
      <c r="AE125">
        <v>9131</v>
      </c>
      <c r="AF125">
        <v>0</v>
      </c>
      <c r="AG125">
        <v>9485</v>
      </c>
      <c r="AH125">
        <v>18616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2500</v>
      </c>
      <c r="AP125">
        <v>1000</v>
      </c>
      <c r="AQ125">
        <v>2500</v>
      </c>
      <c r="AR125">
        <v>1500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f t="shared" si="17"/>
        <v>44732</v>
      </c>
      <c r="BF125">
        <v>69925</v>
      </c>
      <c r="BG125">
        <v>69925</v>
      </c>
      <c r="BH125" t="s">
        <v>543</v>
      </c>
      <c r="BI125" t="s">
        <v>1085</v>
      </c>
      <c r="BJ125">
        <v>0</v>
      </c>
      <c r="BK125">
        <v>21116</v>
      </c>
      <c r="BL125">
        <v>69925</v>
      </c>
      <c r="BM125">
        <v>0</v>
      </c>
      <c r="BN125">
        <v>44069</v>
      </c>
      <c r="BO125">
        <v>0</v>
      </c>
      <c r="BP125">
        <v>44790</v>
      </c>
      <c r="BQ125">
        <v>88859</v>
      </c>
      <c r="BR125">
        <f t="shared" si="18"/>
        <v>-680</v>
      </c>
      <c r="BS125">
        <f t="shared" si="19"/>
        <v>15734</v>
      </c>
      <c r="BU125">
        <f>R125*9</f>
        <v>67743</v>
      </c>
      <c r="BV125">
        <f>IF(BU125&gt;BG125, 1, 0)</f>
        <v>0</v>
      </c>
    </row>
    <row r="126" spans="1:74" x14ac:dyDescent="0.25">
      <c r="A126" s="5" t="s">
        <v>2090</v>
      </c>
      <c r="B126" s="5" t="s">
        <v>207</v>
      </c>
      <c r="C126" s="5" t="s">
        <v>61</v>
      </c>
      <c r="D126" s="1" t="s">
        <v>73</v>
      </c>
      <c r="E126">
        <v>0</v>
      </c>
      <c r="F126">
        <v>8293</v>
      </c>
      <c r="G126">
        <v>654</v>
      </c>
      <c r="H126">
        <v>0</v>
      </c>
      <c r="I126">
        <v>6612</v>
      </c>
      <c r="J126">
        <v>13859</v>
      </c>
      <c r="K126">
        <v>15289</v>
      </c>
      <c r="L126">
        <v>517</v>
      </c>
      <c r="M126">
        <v>0</v>
      </c>
      <c r="N126">
        <v>4824</v>
      </c>
      <c r="O126">
        <v>0</v>
      </c>
      <c r="P126">
        <v>50049</v>
      </c>
      <c r="Q126">
        <v>6097</v>
      </c>
      <c r="R126">
        <v>6097</v>
      </c>
      <c r="S126" s="18">
        <f t="shared" si="10"/>
        <v>9</v>
      </c>
      <c r="T126" s="17">
        <f t="shared" si="11"/>
        <v>0</v>
      </c>
      <c r="U126" s="17">
        <f t="shared" si="12"/>
        <v>536</v>
      </c>
      <c r="V126" s="17">
        <f t="shared" si="13"/>
        <v>0</v>
      </c>
      <c r="W126" s="17">
        <f t="shared" si="14"/>
        <v>5561</v>
      </c>
      <c r="X126" s="17">
        <f t="shared" si="15"/>
        <v>0</v>
      </c>
      <c r="Y126" s="19" t="e">
        <f t="shared" si="16"/>
        <v>#DIV/0!</v>
      </c>
      <c r="Z126">
        <v>8293</v>
      </c>
      <c r="AA126">
        <v>0</v>
      </c>
      <c r="AB126">
        <v>0</v>
      </c>
      <c r="AC126">
        <v>0</v>
      </c>
      <c r="AD126">
        <v>0</v>
      </c>
      <c r="AE126">
        <v>316</v>
      </c>
      <c r="AF126">
        <v>0</v>
      </c>
      <c r="AG126">
        <v>6296</v>
      </c>
      <c r="AH126">
        <v>6612</v>
      </c>
      <c r="AI126">
        <v>0</v>
      </c>
      <c r="AJ126">
        <v>8381</v>
      </c>
      <c r="AK126">
        <v>5478</v>
      </c>
      <c r="AL126">
        <v>13859</v>
      </c>
      <c r="AM126">
        <v>0</v>
      </c>
      <c r="AN126">
        <v>696</v>
      </c>
      <c r="AO126">
        <v>14593</v>
      </c>
      <c r="AP126">
        <v>6960</v>
      </c>
      <c r="AQ126">
        <v>15289</v>
      </c>
      <c r="AR126">
        <v>8329</v>
      </c>
      <c r="AS126">
        <v>654</v>
      </c>
      <c r="AT126">
        <v>0</v>
      </c>
      <c r="AU126">
        <v>654</v>
      </c>
      <c r="AV126">
        <v>654</v>
      </c>
      <c r="AW126">
        <v>0</v>
      </c>
      <c r="AX126">
        <v>0</v>
      </c>
      <c r="AY126">
        <v>0</v>
      </c>
      <c r="AZ126">
        <v>517</v>
      </c>
      <c r="BA126">
        <v>517</v>
      </c>
      <c r="BB126">
        <v>0</v>
      </c>
      <c r="BC126">
        <v>0</v>
      </c>
      <c r="BD126">
        <v>0</v>
      </c>
      <c r="BE126">
        <f t="shared" si="17"/>
        <v>89805</v>
      </c>
      <c r="BF126">
        <v>45224</v>
      </c>
      <c r="BG126">
        <v>45224</v>
      </c>
      <c r="BH126" t="s">
        <v>543</v>
      </c>
      <c r="BI126" t="s">
        <v>2216</v>
      </c>
      <c r="BJ126">
        <v>0</v>
      </c>
      <c r="BK126">
        <v>36931</v>
      </c>
      <c r="BL126">
        <v>45224</v>
      </c>
      <c r="BM126">
        <v>0</v>
      </c>
      <c r="BN126">
        <v>14871</v>
      </c>
      <c r="BO126">
        <v>0</v>
      </c>
      <c r="BP126">
        <v>76933</v>
      </c>
      <c r="BQ126">
        <v>91804</v>
      </c>
      <c r="BR126">
        <f t="shared" si="18"/>
        <v>0</v>
      </c>
      <c r="BS126">
        <f t="shared" si="19"/>
        <v>12194</v>
      </c>
      <c r="BU126">
        <f>R126*9</f>
        <v>54873</v>
      </c>
      <c r="BV126">
        <f>IF(BU126&gt;BG126, 1, 0)</f>
        <v>1</v>
      </c>
    </row>
    <row r="127" spans="1:74" x14ac:dyDescent="0.25">
      <c r="A127" s="5" t="s">
        <v>61</v>
      </c>
      <c r="B127" s="5" t="s">
        <v>359</v>
      </c>
      <c r="C127" s="5" t="s">
        <v>61</v>
      </c>
      <c r="D127" s="1" t="s">
        <v>133</v>
      </c>
      <c r="E127">
        <v>0</v>
      </c>
      <c r="F127">
        <v>286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558</v>
      </c>
      <c r="N127">
        <v>0</v>
      </c>
      <c r="O127">
        <v>0</v>
      </c>
      <c r="P127">
        <v>0</v>
      </c>
      <c r="Q127">
        <v>62</v>
      </c>
      <c r="R127">
        <v>62</v>
      </c>
      <c r="S127" s="18">
        <f t="shared" si="10"/>
        <v>9</v>
      </c>
      <c r="T127" s="17">
        <f t="shared" si="11"/>
        <v>62</v>
      </c>
      <c r="U127" s="17">
        <f t="shared" si="12"/>
        <v>0</v>
      </c>
      <c r="V127" s="17">
        <f t="shared" si="13"/>
        <v>0</v>
      </c>
      <c r="W127" s="17">
        <f t="shared" si="14"/>
        <v>0</v>
      </c>
      <c r="X127" s="17">
        <f t="shared" si="15"/>
        <v>0</v>
      </c>
      <c r="Y127" s="19" t="e">
        <f t="shared" si="16"/>
        <v>#DIV/0!</v>
      </c>
      <c r="Z127">
        <v>286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f t="shared" si="17"/>
        <v>0</v>
      </c>
      <c r="BF127">
        <v>286</v>
      </c>
      <c r="BG127">
        <v>286</v>
      </c>
      <c r="BH127" t="s">
        <v>109</v>
      </c>
      <c r="BI127" t="s">
        <v>394</v>
      </c>
      <c r="BJ127">
        <v>0</v>
      </c>
      <c r="BK127">
        <v>0</v>
      </c>
      <c r="BL127">
        <v>286</v>
      </c>
      <c r="BM127">
        <v>558</v>
      </c>
      <c r="BN127">
        <v>0</v>
      </c>
      <c r="BO127">
        <v>0</v>
      </c>
      <c r="BP127">
        <v>0</v>
      </c>
      <c r="BQ127">
        <v>558</v>
      </c>
      <c r="BR127">
        <f t="shared" si="18"/>
        <v>0</v>
      </c>
      <c r="BS127">
        <f t="shared" si="19"/>
        <v>124</v>
      </c>
    </row>
    <row r="128" spans="1:74" x14ac:dyDescent="0.25">
      <c r="A128" s="5" t="s">
        <v>61</v>
      </c>
      <c r="B128" s="5" t="s">
        <v>359</v>
      </c>
      <c r="C128" s="5" t="s">
        <v>61</v>
      </c>
      <c r="D128" s="1" t="s">
        <v>151</v>
      </c>
      <c r="E128">
        <v>0</v>
      </c>
      <c r="F128">
        <v>355</v>
      </c>
      <c r="G128">
        <v>0</v>
      </c>
      <c r="H128">
        <v>0</v>
      </c>
      <c r="I128">
        <v>50</v>
      </c>
      <c r="J128">
        <v>0</v>
      </c>
      <c r="K128">
        <v>0</v>
      </c>
      <c r="L128">
        <v>0</v>
      </c>
      <c r="M128">
        <v>1278</v>
      </c>
      <c r="N128">
        <v>0</v>
      </c>
      <c r="O128">
        <v>0</v>
      </c>
      <c r="P128">
        <v>0</v>
      </c>
      <c r="Q128">
        <v>142</v>
      </c>
      <c r="R128">
        <v>142</v>
      </c>
      <c r="S128" s="18">
        <f t="shared" si="10"/>
        <v>9</v>
      </c>
      <c r="T128" s="17">
        <f t="shared" si="11"/>
        <v>142</v>
      </c>
      <c r="U128" s="17">
        <f t="shared" si="12"/>
        <v>0</v>
      </c>
      <c r="V128" s="17">
        <f t="shared" si="13"/>
        <v>0</v>
      </c>
      <c r="W128" s="17">
        <f t="shared" si="14"/>
        <v>0</v>
      </c>
      <c r="X128" s="17">
        <f t="shared" si="15"/>
        <v>0</v>
      </c>
      <c r="Y128" s="19" t="e">
        <f t="shared" si="16"/>
        <v>#DIV/0!</v>
      </c>
      <c r="Z128">
        <v>355</v>
      </c>
      <c r="AA128">
        <v>0</v>
      </c>
      <c r="AB128">
        <v>0</v>
      </c>
      <c r="AC128">
        <v>0</v>
      </c>
      <c r="AD128">
        <v>50</v>
      </c>
      <c r="AE128">
        <v>0</v>
      </c>
      <c r="AF128">
        <v>0</v>
      </c>
      <c r="AG128">
        <v>0</v>
      </c>
      <c r="AH128">
        <v>50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f t="shared" si="17"/>
        <v>100</v>
      </c>
      <c r="BF128">
        <v>405</v>
      </c>
      <c r="BG128">
        <v>405</v>
      </c>
      <c r="BH128" t="s">
        <v>109</v>
      </c>
      <c r="BI128" t="s">
        <v>403</v>
      </c>
      <c r="BJ128">
        <v>0</v>
      </c>
      <c r="BK128">
        <v>50</v>
      </c>
      <c r="BL128">
        <v>405</v>
      </c>
      <c r="BM128">
        <v>1328</v>
      </c>
      <c r="BN128">
        <v>0</v>
      </c>
      <c r="BO128">
        <v>0</v>
      </c>
      <c r="BP128">
        <v>0</v>
      </c>
      <c r="BQ128">
        <v>1328</v>
      </c>
      <c r="BR128">
        <f t="shared" si="18"/>
        <v>0</v>
      </c>
      <c r="BS128">
        <f t="shared" si="19"/>
        <v>284</v>
      </c>
    </row>
    <row r="129" spans="1:74" x14ac:dyDescent="0.25">
      <c r="A129" s="5" t="s">
        <v>61</v>
      </c>
      <c r="B129" s="5" t="s">
        <v>359</v>
      </c>
      <c r="C129" s="5" t="s">
        <v>61</v>
      </c>
      <c r="D129" s="1" t="s">
        <v>159</v>
      </c>
      <c r="E129">
        <v>0</v>
      </c>
      <c r="F129">
        <v>12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108</v>
      </c>
      <c r="N129">
        <v>0</v>
      </c>
      <c r="O129">
        <v>0</v>
      </c>
      <c r="P129">
        <v>0</v>
      </c>
      <c r="Q129">
        <v>12</v>
      </c>
      <c r="R129">
        <v>12</v>
      </c>
      <c r="S129" s="18">
        <f t="shared" si="10"/>
        <v>9</v>
      </c>
      <c r="T129" s="17">
        <f t="shared" si="11"/>
        <v>12</v>
      </c>
      <c r="U129" s="17">
        <f t="shared" si="12"/>
        <v>0</v>
      </c>
      <c r="V129" s="17">
        <f t="shared" si="13"/>
        <v>0</v>
      </c>
      <c r="W129" s="17">
        <f t="shared" si="14"/>
        <v>0</v>
      </c>
      <c r="X129" s="17">
        <f t="shared" si="15"/>
        <v>0</v>
      </c>
      <c r="Y129" s="19" t="e">
        <f t="shared" si="16"/>
        <v>#DIV/0!</v>
      </c>
      <c r="Z129">
        <v>12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f t="shared" si="17"/>
        <v>0</v>
      </c>
      <c r="BF129">
        <v>12</v>
      </c>
      <c r="BG129">
        <v>12</v>
      </c>
      <c r="BH129" t="s">
        <v>190</v>
      </c>
      <c r="BI129" t="s">
        <v>407</v>
      </c>
      <c r="BJ129">
        <v>0</v>
      </c>
      <c r="BK129">
        <v>0</v>
      </c>
      <c r="BL129">
        <v>12</v>
      </c>
      <c r="BM129">
        <v>108</v>
      </c>
      <c r="BN129">
        <v>0</v>
      </c>
      <c r="BO129">
        <v>0</v>
      </c>
      <c r="BP129">
        <v>0</v>
      </c>
      <c r="BQ129">
        <v>108</v>
      </c>
      <c r="BR129">
        <f t="shared" si="18"/>
        <v>0</v>
      </c>
      <c r="BS129">
        <f t="shared" si="19"/>
        <v>24</v>
      </c>
    </row>
    <row r="130" spans="1:74" x14ac:dyDescent="0.25">
      <c r="A130" s="5" t="s">
        <v>61</v>
      </c>
      <c r="B130" s="5" t="s">
        <v>359</v>
      </c>
      <c r="C130" s="5" t="s">
        <v>61</v>
      </c>
      <c r="D130" s="1" t="s">
        <v>169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8" t="e">
        <f t="shared" ref="S130:S193" si="20">(M130+N130+O130+P130)/R130</f>
        <v>#DIV/0!</v>
      </c>
      <c r="T130" s="17" t="e">
        <f t="shared" ref="T130:T193" si="21">M130/$S130</f>
        <v>#DIV/0!</v>
      </c>
      <c r="U130" s="17" t="e">
        <f t="shared" ref="U130:U193" si="22">N130/$S130</f>
        <v>#DIV/0!</v>
      </c>
      <c r="V130" s="17" t="e">
        <f t="shared" ref="V130:V193" si="23">O130/$S130</f>
        <v>#DIV/0!</v>
      </c>
      <c r="W130" s="17" t="e">
        <f t="shared" ref="W130:W193" si="24">P130/$S130</f>
        <v>#DIV/0!</v>
      </c>
      <c r="X130" s="17" t="e">
        <f t="shared" ref="X130:X193" si="25">Q130-T130-U130-W130</f>
        <v>#DIV/0!</v>
      </c>
      <c r="Y130" s="19" t="e">
        <f t="shared" ref="Y130:Y193" si="26">V130/X130</f>
        <v>#DIV/0!</v>
      </c>
      <c r="Z130">
        <v>0</v>
      </c>
      <c r="AA130">
        <v>0</v>
      </c>
      <c r="AB130">
        <v>0</v>
      </c>
      <c r="AC130">
        <v>290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f t="shared" ref="BE130:BE193" si="27">SUM(AC130:BD130)</f>
        <v>290</v>
      </c>
      <c r="BH130" t="s">
        <v>190</v>
      </c>
      <c r="BI130" t="s">
        <v>412</v>
      </c>
      <c r="BJ130">
        <v>290</v>
      </c>
      <c r="BK130">
        <v>0</v>
      </c>
      <c r="BL130">
        <v>290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f t="shared" ref="BR130:BR193" si="28">R130-Q130</f>
        <v>0</v>
      </c>
      <c r="BS130">
        <f t="shared" ref="BS130:BS193" si="29">R130+Q130</f>
        <v>0</v>
      </c>
    </row>
    <row r="131" spans="1:74" x14ac:dyDescent="0.25">
      <c r="A131" s="5" t="s">
        <v>61</v>
      </c>
      <c r="B131" s="5" t="s">
        <v>359</v>
      </c>
      <c r="C131" s="5" t="s">
        <v>61</v>
      </c>
      <c r="D131" s="1" t="s">
        <v>171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8" t="e">
        <f t="shared" si="20"/>
        <v>#DIV/0!</v>
      </c>
      <c r="T131" s="17" t="e">
        <f t="shared" si="21"/>
        <v>#DIV/0!</v>
      </c>
      <c r="U131" s="17" t="e">
        <f t="shared" si="22"/>
        <v>#DIV/0!</v>
      </c>
      <c r="V131" s="17" t="e">
        <f t="shared" si="23"/>
        <v>#DIV/0!</v>
      </c>
      <c r="W131" s="17" t="e">
        <f t="shared" si="24"/>
        <v>#DIV/0!</v>
      </c>
      <c r="X131" s="17" t="e">
        <f t="shared" si="25"/>
        <v>#DIV/0!</v>
      </c>
      <c r="Y131" s="19" t="e">
        <f t="shared" si="26"/>
        <v>#DIV/0!</v>
      </c>
      <c r="Z131">
        <v>0</v>
      </c>
      <c r="AA131">
        <v>0</v>
      </c>
      <c r="AB131">
        <v>0</v>
      </c>
      <c r="AC131">
        <v>44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f t="shared" si="27"/>
        <v>44</v>
      </c>
      <c r="BH131" t="s">
        <v>190</v>
      </c>
      <c r="BI131" t="s">
        <v>413</v>
      </c>
      <c r="BJ131">
        <v>44</v>
      </c>
      <c r="BK131">
        <v>0</v>
      </c>
      <c r="BL131">
        <v>44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f t="shared" si="28"/>
        <v>0</v>
      </c>
      <c r="BS131">
        <f t="shared" si="29"/>
        <v>0</v>
      </c>
    </row>
    <row r="132" spans="1:74" x14ac:dyDescent="0.25">
      <c r="A132" s="5" t="s">
        <v>61</v>
      </c>
      <c r="B132" s="5" t="s">
        <v>359</v>
      </c>
      <c r="C132" s="5" t="s">
        <v>61</v>
      </c>
      <c r="D132" s="1" t="s">
        <v>173</v>
      </c>
      <c r="E132">
        <v>0</v>
      </c>
      <c r="F132">
        <v>50</v>
      </c>
      <c r="G132">
        <v>0</v>
      </c>
      <c r="H132">
        <v>0</v>
      </c>
      <c r="I132">
        <v>50</v>
      </c>
      <c r="J132">
        <v>0</v>
      </c>
      <c r="K132">
        <v>300</v>
      </c>
      <c r="L132">
        <v>0</v>
      </c>
      <c r="M132">
        <v>0</v>
      </c>
      <c r="N132">
        <v>0</v>
      </c>
      <c r="O132">
        <v>0</v>
      </c>
      <c r="P132">
        <v>315</v>
      </c>
      <c r="Q132">
        <v>35</v>
      </c>
      <c r="R132">
        <v>35</v>
      </c>
      <c r="S132" s="18">
        <f t="shared" si="20"/>
        <v>9</v>
      </c>
      <c r="T132" s="17">
        <f t="shared" si="21"/>
        <v>0</v>
      </c>
      <c r="U132" s="17">
        <f t="shared" si="22"/>
        <v>0</v>
      </c>
      <c r="V132" s="17">
        <f t="shared" si="23"/>
        <v>0</v>
      </c>
      <c r="W132" s="17">
        <f t="shared" si="24"/>
        <v>35</v>
      </c>
      <c r="X132" s="17">
        <f t="shared" si="25"/>
        <v>0</v>
      </c>
      <c r="Y132" s="19" t="e">
        <f t="shared" si="26"/>
        <v>#DIV/0!</v>
      </c>
      <c r="Z132">
        <v>50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50</v>
      </c>
      <c r="AH132">
        <v>50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300</v>
      </c>
      <c r="AP132">
        <v>300</v>
      </c>
      <c r="AQ132">
        <v>300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f t="shared" si="27"/>
        <v>1000</v>
      </c>
      <c r="BF132">
        <v>400</v>
      </c>
      <c r="BG132">
        <v>400</v>
      </c>
      <c r="BH132" t="s">
        <v>190</v>
      </c>
      <c r="BI132" t="s">
        <v>414</v>
      </c>
      <c r="BJ132">
        <v>0</v>
      </c>
      <c r="BK132">
        <v>350</v>
      </c>
      <c r="BL132">
        <v>400</v>
      </c>
      <c r="BM132">
        <v>0</v>
      </c>
      <c r="BN132">
        <v>0</v>
      </c>
      <c r="BO132">
        <v>0</v>
      </c>
      <c r="BP132">
        <v>665</v>
      </c>
      <c r="BQ132">
        <v>665</v>
      </c>
      <c r="BR132">
        <f t="shared" si="28"/>
        <v>0</v>
      </c>
      <c r="BS132">
        <f t="shared" si="29"/>
        <v>70</v>
      </c>
    </row>
    <row r="133" spans="1:74" x14ac:dyDescent="0.25">
      <c r="A133" s="5" t="s">
        <v>61</v>
      </c>
      <c r="B133" s="5" t="s">
        <v>359</v>
      </c>
      <c r="C133" s="5" t="s">
        <v>61</v>
      </c>
      <c r="D133" s="1" t="s">
        <v>179</v>
      </c>
      <c r="E133">
        <v>13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</v>
      </c>
      <c r="L133">
        <v>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8" t="e">
        <f t="shared" si="20"/>
        <v>#DIV/0!</v>
      </c>
      <c r="T133" s="17" t="e">
        <f t="shared" si="21"/>
        <v>#DIV/0!</v>
      </c>
      <c r="U133" s="17" t="e">
        <f t="shared" si="22"/>
        <v>#DIV/0!</v>
      </c>
      <c r="V133" s="17" t="e">
        <f t="shared" si="23"/>
        <v>#DIV/0!</v>
      </c>
      <c r="W133" s="17" t="e">
        <f t="shared" si="24"/>
        <v>#DIV/0!</v>
      </c>
      <c r="X133" s="17" t="e">
        <f t="shared" si="25"/>
        <v>#DIV/0!</v>
      </c>
      <c r="Y133" s="19" t="e">
        <f t="shared" si="26"/>
        <v>#DIV/0!</v>
      </c>
      <c r="Z133">
        <v>0</v>
      </c>
      <c r="AA133">
        <v>0</v>
      </c>
      <c r="AB133">
        <v>0</v>
      </c>
      <c r="AC133">
        <v>25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5</v>
      </c>
      <c r="AP133">
        <v>5</v>
      </c>
      <c r="AQ133">
        <v>5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25</v>
      </c>
      <c r="BA133">
        <v>25</v>
      </c>
      <c r="BB133">
        <v>0</v>
      </c>
      <c r="BC133">
        <v>0</v>
      </c>
      <c r="BD133">
        <v>0</v>
      </c>
      <c r="BE133">
        <f t="shared" si="27"/>
        <v>90</v>
      </c>
      <c r="BF133">
        <v>68</v>
      </c>
      <c r="BG133">
        <v>68</v>
      </c>
      <c r="BH133" t="s">
        <v>190</v>
      </c>
      <c r="BI133" t="s">
        <v>417</v>
      </c>
      <c r="BJ133">
        <v>38</v>
      </c>
      <c r="BK133">
        <v>30</v>
      </c>
      <c r="BL133">
        <v>68</v>
      </c>
      <c r="BM133">
        <v>0</v>
      </c>
      <c r="BN133">
        <v>0</v>
      </c>
      <c r="BO133">
        <v>0</v>
      </c>
      <c r="BP133">
        <v>30</v>
      </c>
      <c r="BQ133">
        <v>30</v>
      </c>
      <c r="BR133">
        <f t="shared" si="28"/>
        <v>0</v>
      </c>
      <c r="BS133">
        <f t="shared" si="29"/>
        <v>0</v>
      </c>
    </row>
    <row r="134" spans="1:74" x14ac:dyDescent="0.25">
      <c r="A134" s="5" t="s">
        <v>61</v>
      </c>
      <c r="B134" s="5" t="s">
        <v>359</v>
      </c>
      <c r="C134" s="5" t="s">
        <v>61</v>
      </c>
      <c r="D134" s="1" t="s">
        <v>189</v>
      </c>
      <c r="E134">
        <v>95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8" t="e">
        <f t="shared" si="20"/>
        <v>#DIV/0!</v>
      </c>
      <c r="T134" s="17" t="e">
        <f t="shared" si="21"/>
        <v>#DIV/0!</v>
      </c>
      <c r="U134" s="17" t="e">
        <f t="shared" si="22"/>
        <v>#DIV/0!</v>
      </c>
      <c r="V134" s="17" t="e">
        <f t="shared" si="23"/>
        <v>#DIV/0!</v>
      </c>
      <c r="W134" s="17" t="e">
        <f t="shared" si="24"/>
        <v>#DIV/0!</v>
      </c>
      <c r="X134" s="17" t="e">
        <f t="shared" si="25"/>
        <v>#DIV/0!</v>
      </c>
      <c r="Y134" s="19" t="e">
        <f t="shared" si="26"/>
        <v>#DIV/0!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f t="shared" si="27"/>
        <v>0</v>
      </c>
      <c r="BF134">
        <v>95</v>
      </c>
      <c r="BG134">
        <v>0</v>
      </c>
      <c r="BH134" t="s">
        <v>199</v>
      </c>
      <c r="BI134" t="s">
        <v>422</v>
      </c>
      <c r="BJ134">
        <v>95</v>
      </c>
      <c r="BK134">
        <v>0</v>
      </c>
      <c r="BL134">
        <v>95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f t="shared" si="28"/>
        <v>0</v>
      </c>
      <c r="BS134">
        <f t="shared" si="29"/>
        <v>0</v>
      </c>
    </row>
    <row r="135" spans="1:74" x14ac:dyDescent="0.25">
      <c r="A135" s="5" t="s">
        <v>207</v>
      </c>
      <c r="B135" s="5" t="s">
        <v>207</v>
      </c>
      <c r="C135" s="5" t="s">
        <v>61</v>
      </c>
      <c r="D135" s="1" t="s">
        <v>73</v>
      </c>
      <c r="E135">
        <v>0</v>
      </c>
      <c r="F135">
        <v>33000</v>
      </c>
      <c r="G135">
        <v>0</v>
      </c>
      <c r="H135">
        <v>0</v>
      </c>
      <c r="I135">
        <v>7045</v>
      </c>
      <c r="J135">
        <v>0</v>
      </c>
      <c r="K135">
        <v>0</v>
      </c>
      <c r="L135">
        <v>0</v>
      </c>
      <c r="M135">
        <v>0</v>
      </c>
      <c r="N135">
        <v>16290</v>
      </c>
      <c r="O135">
        <v>0</v>
      </c>
      <c r="P135">
        <v>33660</v>
      </c>
      <c r="Q135">
        <v>5550</v>
      </c>
      <c r="R135">
        <v>5550</v>
      </c>
      <c r="S135" s="18">
        <f t="shared" si="20"/>
        <v>9</v>
      </c>
      <c r="T135" s="17">
        <f t="shared" si="21"/>
        <v>0</v>
      </c>
      <c r="U135" s="17">
        <f t="shared" si="22"/>
        <v>1810</v>
      </c>
      <c r="V135" s="17">
        <f t="shared" si="23"/>
        <v>0</v>
      </c>
      <c r="W135" s="17">
        <f t="shared" si="24"/>
        <v>3740</v>
      </c>
      <c r="X135" s="17">
        <f t="shared" si="25"/>
        <v>0</v>
      </c>
      <c r="Y135" s="19" t="e">
        <f t="shared" si="26"/>
        <v>#DIV/0!</v>
      </c>
      <c r="Z135">
        <v>33000</v>
      </c>
      <c r="AA135">
        <v>0</v>
      </c>
      <c r="AB135">
        <v>0</v>
      </c>
      <c r="AC135">
        <v>3600</v>
      </c>
      <c r="AD135">
        <v>0</v>
      </c>
      <c r="AE135">
        <v>4065</v>
      </c>
      <c r="AF135">
        <v>0</v>
      </c>
      <c r="AG135">
        <v>2980</v>
      </c>
      <c r="AH135">
        <v>7045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f t="shared" si="27"/>
        <v>17690</v>
      </c>
      <c r="BF135">
        <v>43645</v>
      </c>
      <c r="BG135">
        <v>43645</v>
      </c>
      <c r="BH135" t="s">
        <v>543</v>
      </c>
      <c r="BI135" t="s">
        <v>545</v>
      </c>
      <c r="BJ135">
        <v>3600</v>
      </c>
      <c r="BK135">
        <v>7045</v>
      </c>
      <c r="BL135">
        <v>43645</v>
      </c>
      <c r="BM135">
        <v>0</v>
      </c>
      <c r="BN135">
        <v>20355</v>
      </c>
      <c r="BO135">
        <v>0</v>
      </c>
      <c r="BP135">
        <v>36640</v>
      </c>
      <c r="BQ135">
        <v>56995</v>
      </c>
      <c r="BR135">
        <f t="shared" si="28"/>
        <v>0</v>
      </c>
      <c r="BS135">
        <f t="shared" si="29"/>
        <v>11100</v>
      </c>
      <c r="BU135">
        <f>R135*9</f>
        <v>49950</v>
      </c>
      <c r="BV135">
        <f>IF(BU135&gt;BG135, 1, 0)</f>
        <v>1</v>
      </c>
    </row>
    <row r="136" spans="1:74" x14ac:dyDescent="0.25">
      <c r="A136" s="5" t="s">
        <v>207</v>
      </c>
      <c r="B136" s="5" t="s">
        <v>61</v>
      </c>
      <c r="C136" s="5" t="s">
        <v>61</v>
      </c>
      <c r="D136" s="1" t="s">
        <v>98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30</v>
      </c>
      <c r="L136">
        <v>60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8" t="e">
        <f t="shared" si="20"/>
        <v>#DIV/0!</v>
      </c>
      <c r="T136" s="17" t="e">
        <f t="shared" si="21"/>
        <v>#DIV/0!</v>
      </c>
      <c r="U136" s="17" t="e">
        <f t="shared" si="22"/>
        <v>#DIV/0!</v>
      </c>
      <c r="V136" s="17" t="e">
        <f t="shared" si="23"/>
        <v>#DIV/0!</v>
      </c>
      <c r="W136" s="17" t="e">
        <f t="shared" si="24"/>
        <v>#DIV/0!</v>
      </c>
      <c r="X136" s="17" t="e">
        <f t="shared" si="25"/>
        <v>#DIV/0!</v>
      </c>
      <c r="Y136" s="19" t="e">
        <f t="shared" si="26"/>
        <v>#DIV/0!</v>
      </c>
      <c r="Z136">
        <v>0</v>
      </c>
      <c r="AA136">
        <v>0</v>
      </c>
      <c r="AB136">
        <v>0</v>
      </c>
      <c r="AC136">
        <v>100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30</v>
      </c>
      <c r="AP136">
        <v>30</v>
      </c>
      <c r="AQ136">
        <v>30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60</v>
      </c>
      <c r="BA136">
        <v>60</v>
      </c>
      <c r="BB136">
        <v>0</v>
      </c>
      <c r="BC136">
        <v>0</v>
      </c>
      <c r="BD136">
        <v>0</v>
      </c>
      <c r="BE136">
        <f t="shared" si="27"/>
        <v>310</v>
      </c>
      <c r="BF136">
        <v>190</v>
      </c>
      <c r="BG136">
        <v>190</v>
      </c>
      <c r="BH136" t="s">
        <v>190</v>
      </c>
      <c r="BI136" t="s">
        <v>443</v>
      </c>
      <c r="BJ136">
        <v>100</v>
      </c>
      <c r="BK136">
        <v>90</v>
      </c>
      <c r="BL136">
        <v>190</v>
      </c>
      <c r="BM136">
        <v>0</v>
      </c>
      <c r="BN136">
        <v>0</v>
      </c>
      <c r="BO136">
        <v>0</v>
      </c>
      <c r="BP136">
        <v>90</v>
      </c>
      <c r="BQ136">
        <v>90</v>
      </c>
      <c r="BR136">
        <f t="shared" si="28"/>
        <v>0</v>
      </c>
      <c r="BS136">
        <f t="shared" si="29"/>
        <v>0</v>
      </c>
    </row>
    <row r="137" spans="1:74" x14ac:dyDescent="0.25">
      <c r="A137" s="5" t="s">
        <v>207</v>
      </c>
      <c r="B137" s="5" t="s">
        <v>61</v>
      </c>
      <c r="C137" s="5" t="s">
        <v>61</v>
      </c>
      <c r="D137" s="1" t="s">
        <v>115</v>
      </c>
      <c r="E137">
        <v>15</v>
      </c>
      <c r="F137">
        <v>0</v>
      </c>
      <c r="G137">
        <v>0</v>
      </c>
      <c r="H137">
        <v>0</v>
      </c>
      <c r="I137">
        <v>5</v>
      </c>
      <c r="J137">
        <v>0</v>
      </c>
      <c r="K137">
        <v>56</v>
      </c>
      <c r="L137">
        <v>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8" t="e">
        <f t="shared" si="20"/>
        <v>#DIV/0!</v>
      </c>
      <c r="T137" s="17" t="e">
        <f t="shared" si="21"/>
        <v>#DIV/0!</v>
      </c>
      <c r="U137" s="17" t="e">
        <f t="shared" si="22"/>
        <v>#DIV/0!</v>
      </c>
      <c r="V137" s="17" t="e">
        <f t="shared" si="23"/>
        <v>#DIV/0!</v>
      </c>
      <c r="W137" s="17" t="e">
        <f t="shared" si="24"/>
        <v>#DIV/0!</v>
      </c>
      <c r="X137" s="17" t="e">
        <f t="shared" si="25"/>
        <v>#DIV/0!</v>
      </c>
      <c r="Y137" s="19" t="e">
        <f t="shared" si="26"/>
        <v>#DIV/0!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</v>
      </c>
      <c r="AH137">
        <v>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56</v>
      </c>
      <c r="AP137">
        <v>12</v>
      </c>
      <c r="AQ137">
        <v>56</v>
      </c>
      <c r="AR137">
        <v>44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9</v>
      </c>
      <c r="BA137">
        <v>9</v>
      </c>
      <c r="BB137">
        <v>0</v>
      </c>
      <c r="BC137">
        <v>0</v>
      </c>
      <c r="BD137">
        <v>0</v>
      </c>
      <c r="BE137">
        <f t="shared" si="27"/>
        <v>196</v>
      </c>
      <c r="BF137">
        <v>85</v>
      </c>
      <c r="BG137">
        <v>85</v>
      </c>
      <c r="BH137" t="s">
        <v>109</v>
      </c>
      <c r="BI137" t="s">
        <v>451</v>
      </c>
      <c r="BJ137">
        <v>15</v>
      </c>
      <c r="BK137">
        <v>70</v>
      </c>
      <c r="BL137">
        <v>85</v>
      </c>
      <c r="BM137">
        <v>0</v>
      </c>
      <c r="BN137">
        <v>0</v>
      </c>
      <c r="BO137">
        <v>0</v>
      </c>
      <c r="BP137">
        <v>70</v>
      </c>
      <c r="BQ137">
        <v>70</v>
      </c>
      <c r="BR137">
        <f t="shared" si="28"/>
        <v>0</v>
      </c>
      <c r="BS137">
        <f t="shared" si="29"/>
        <v>0</v>
      </c>
    </row>
    <row r="138" spans="1:74" x14ac:dyDescent="0.25">
      <c r="A138" s="5" t="s">
        <v>207</v>
      </c>
      <c r="B138" s="5" t="s">
        <v>61</v>
      </c>
      <c r="C138" s="5" t="s">
        <v>61</v>
      </c>
      <c r="D138" s="1" t="s">
        <v>117</v>
      </c>
      <c r="E138">
        <v>25</v>
      </c>
      <c r="F138">
        <v>0</v>
      </c>
      <c r="G138">
        <v>0</v>
      </c>
      <c r="H138">
        <v>0</v>
      </c>
      <c r="I138">
        <v>21</v>
      </c>
      <c r="J138">
        <v>0</v>
      </c>
      <c r="K138">
        <v>58</v>
      </c>
      <c r="L138">
        <v>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8" t="e">
        <f t="shared" si="20"/>
        <v>#DIV/0!</v>
      </c>
      <c r="T138" s="17" t="e">
        <f t="shared" si="21"/>
        <v>#DIV/0!</v>
      </c>
      <c r="U138" s="17" t="e">
        <f t="shared" si="22"/>
        <v>#DIV/0!</v>
      </c>
      <c r="V138" s="17" t="e">
        <f t="shared" si="23"/>
        <v>#DIV/0!</v>
      </c>
      <c r="W138" s="17" t="e">
        <f t="shared" si="24"/>
        <v>#DIV/0!</v>
      </c>
      <c r="X138" s="17" t="e">
        <f t="shared" si="25"/>
        <v>#DIV/0!</v>
      </c>
      <c r="Y138" s="19" t="e">
        <f t="shared" si="26"/>
        <v>#DIV/0!</v>
      </c>
      <c r="Z138">
        <v>0</v>
      </c>
      <c r="AA138">
        <v>0</v>
      </c>
      <c r="AB138">
        <v>0</v>
      </c>
      <c r="AC138">
        <v>290</v>
      </c>
      <c r="AD138">
        <v>21</v>
      </c>
      <c r="AE138">
        <v>0</v>
      </c>
      <c r="AF138">
        <v>0</v>
      </c>
      <c r="AG138">
        <v>0</v>
      </c>
      <c r="AH138">
        <v>21</v>
      </c>
      <c r="AI138">
        <v>0</v>
      </c>
      <c r="AJ138">
        <v>0</v>
      </c>
      <c r="AK138">
        <v>0</v>
      </c>
      <c r="AL138">
        <v>0</v>
      </c>
      <c r="AM138">
        <v>58</v>
      </c>
      <c r="AN138">
        <v>0</v>
      </c>
      <c r="AO138">
        <v>0</v>
      </c>
      <c r="AP138">
        <v>26</v>
      </c>
      <c r="AQ138">
        <v>58</v>
      </c>
      <c r="AR138">
        <v>32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43</v>
      </c>
      <c r="AY138">
        <v>0</v>
      </c>
      <c r="AZ138">
        <v>0</v>
      </c>
      <c r="BA138">
        <v>43</v>
      </c>
      <c r="BB138">
        <v>0</v>
      </c>
      <c r="BC138">
        <v>0</v>
      </c>
      <c r="BD138">
        <v>0</v>
      </c>
      <c r="BE138">
        <f t="shared" si="27"/>
        <v>592</v>
      </c>
      <c r="BF138">
        <v>437</v>
      </c>
      <c r="BG138">
        <v>437</v>
      </c>
      <c r="BH138" t="s">
        <v>109</v>
      </c>
      <c r="BI138" t="s">
        <v>452</v>
      </c>
      <c r="BJ138">
        <v>315</v>
      </c>
      <c r="BK138">
        <v>122</v>
      </c>
      <c r="BL138">
        <v>437</v>
      </c>
      <c r="BM138">
        <v>122</v>
      </c>
      <c r="BN138">
        <v>0</v>
      </c>
      <c r="BO138">
        <v>0</v>
      </c>
      <c r="BP138">
        <v>0</v>
      </c>
      <c r="BQ138">
        <v>122</v>
      </c>
      <c r="BR138">
        <f t="shared" si="28"/>
        <v>0</v>
      </c>
      <c r="BS138">
        <f t="shared" si="29"/>
        <v>0</v>
      </c>
    </row>
    <row r="139" spans="1:74" x14ac:dyDescent="0.25">
      <c r="A139" s="5" t="s">
        <v>207</v>
      </c>
      <c r="B139" s="5" t="s">
        <v>207</v>
      </c>
      <c r="C139" s="5" t="s">
        <v>61</v>
      </c>
      <c r="D139" s="1" t="s">
        <v>71</v>
      </c>
      <c r="E139">
        <v>0</v>
      </c>
      <c r="F139">
        <v>20515</v>
      </c>
      <c r="G139">
        <v>0</v>
      </c>
      <c r="H139">
        <v>0</v>
      </c>
      <c r="I139">
        <v>4622</v>
      </c>
      <c r="J139">
        <v>0</v>
      </c>
      <c r="K139">
        <v>0</v>
      </c>
      <c r="L139">
        <v>0</v>
      </c>
      <c r="M139">
        <v>0</v>
      </c>
      <c r="N139">
        <v>9090</v>
      </c>
      <c r="O139">
        <v>0</v>
      </c>
      <c r="P139">
        <v>28260</v>
      </c>
      <c r="Q139">
        <v>4150</v>
      </c>
      <c r="R139">
        <v>4150</v>
      </c>
      <c r="S139" s="18">
        <f t="shared" si="20"/>
        <v>9</v>
      </c>
      <c r="T139" s="17">
        <f t="shared" si="21"/>
        <v>0</v>
      </c>
      <c r="U139" s="17">
        <f t="shared" si="22"/>
        <v>1010</v>
      </c>
      <c r="V139" s="17">
        <f t="shared" si="23"/>
        <v>0</v>
      </c>
      <c r="W139" s="17">
        <f t="shared" si="24"/>
        <v>3140</v>
      </c>
      <c r="X139" s="17">
        <f t="shared" si="25"/>
        <v>0</v>
      </c>
      <c r="Y139" s="19" t="e">
        <f t="shared" si="26"/>
        <v>#DIV/0!</v>
      </c>
      <c r="Z139">
        <v>20515</v>
      </c>
      <c r="AA139">
        <v>0</v>
      </c>
      <c r="AB139">
        <v>0</v>
      </c>
      <c r="AC139">
        <v>2900</v>
      </c>
      <c r="AD139">
        <v>0</v>
      </c>
      <c r="AE139">
        <v>2762</v>
      </c>
      <c r="AF139">
        <v>0</v>
      </c>
      <c r="AG139">
        <v>1860</v>
      </c>
      <c r="AH139">
        <v>4622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f t="shared" si="27"/>
        <v>12144</v>
      </c>
      <c r="BF139">
        <v>28037</v>
      </c>
      <c r="BG139">
        <v>28037</v>
      </c>
      <c r="BH139" t="s">
        <v>543</v>
      </c>
      <c r="BI139" t="s">
        <v>544</v>
      </c>
      <c r="BJ139">
        <v>2900</v>
      </c>
      <c r="BK139">
        <v>4622</v>
      </c>
      <c r="BL139">
        <v>28037</v>
      </c>
      <c r="BM139">
        <v>0</v>
      </c>
      <c r="BN139">
        <v>11852</v>
      </c>
      <c r="BO139">
        <v>0</v>
      </c>
      <c r="BP139">
        <v>30120</v>
      </c>
      <c r="BQ139">
        <v>41972</v>
      </c>
      <c r="BR139">
        <f t="shared" si="28"/>
        <v>0</v>
      </c>
      <c r="BS139">
        <f t="shared" si="29"/>
        <v>8300</v>
      </c>
      <c r="BU139">
        <f>R139*9</f>
        <v>37350</v>
      </c>
      <c r="BV139">
        <f>IF(BU139&gt;BG139, 1, 0)</f>
        <v>1</v>
      </c>
    </row>
    <row r="140" spans="1:74" x14ac:dyDescent="0.25">
      <c r="A140" s="5" t="s">
        <v>207</v>
      </c>
      <c r="B140" s="5" t="s">
        <v>61</v>
      </c>
      <c r="C140" s="5" t="s">
        <v>207</v>
      </c>
      <c r="D140" s="1" t="s">
        <v>79</v>
      </c>
      <c r="E140">
        <v>0</v>
      </c>
      <c r="F140">
        <v>60</v>
      </c>
      <c r="G140">
        <v>0</v>
      </c>
      <c r="H140">
        <v>0</v>
      </c>
      <c r="I140">
        <v>245</v>
      </c>
      <c r="J140">
        <v>0</v>
      </c>
      <c r="K140">
        <v>96</v>
      </c>
      <c r="L140">
        <v>0</v>
      </c>
      <c r="M140">
        <v>0</v>
      </c>
      <c r="N140">
        <v>0</v>
      </c>
      <c r="O140">
        <v>0</v>
      </c>
      <c r="P140">
        <v>1044</v>
      </c>
      <c r="Q140">
        <v>116</v>
      </c>
      <c r="R140">
        <v>116</v>
      </c>
      <c r="S140" s="18">
        <f t="shared" si="20"/>
        <v>9</v>
      </c>
      <c r="T140" s="17">
        <f t="shared" si="21"/>
        <v>0</v>
      </c>
      <c r="U140" s="17">
        <f t="shared" si="22"/>
        <v>0</v>
      </c>
      <c r="V140" s="17">
        <f t="shared" si="23"/>
        <v>0</v>
      </c>
      <c r="W140" s="17">
        <f t="shared" si="24"/>
        <v>116</v>
      </c>
      <c r="X140" s="17">
        <f t="shared" si="25"/>
        <v>0</v>
      </c>
      <c r="Y140" s="19" t="e">
        <f t="shared" si="26"/>
        <v>#DIV/0!</v>
      </c>
      <c r="Z140">
        <v>60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245</v>
      </c>
      <c r="AH140">
        <v>245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96</v>
      </c>
      <c r="AP140">
        <v>43</v>
      </c>
      <c r="AQ140">
        <v>96</v>
      </c>
      <c r="AR140">
        <v>53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f t="shared" si="27"/>
        <v>778</v>
      </c>
      <c r="BF140">
        <v>401</v>
      </c>
      <c r="BG140">
        <v>401</v>
      </c>
      <c r="BH140" t="s">
        <v>109</v>
      </c>
      <c r="BI140" t="s">
        <v>470</v>
      </c>
      <c r="BJ140">
        <v>0</v>
      </c>
      <c r="BK140">
        <v>341</v>
      </c>
      <c r="BL140">
        <v>401</v>
      </c>
      <c r="BM140">
        <v>0</v>
      </c>
      <c r="BN140">
        <v>0</v>
      </c>
      <c r="BO140">
        <v>0</v>
      </c>
      <c r="BP140">
        <v>1385</v>
      </c>
      <c r="BQ140">
        <v>1385</v>
      </c>
      <c r="BR140">
        <f t="shared" si="28"/>
        <v>0</v>
      </c>
      <c r="BS140">
        <f t="shared" si="29"/>
        <v>232</v>
      </c>
    </row>
    <row r="141" spans="1:74" x14ac:dyDescent="0.25">
      <c r="A141" s="5" t="s">
        <v>207</v>
      </c>
      <c r="B141" s="5" t="s">
        <v>61</v>
      </c>
      <c r="C141" s="6" t="s">
        <v>207</v>
      </c>
      <c r="D141" s="1" t="s">
        <v>81</v>
      </c>
      <c r="E141">
        <v>0</v>
      </c>
      <c r="F141">
        <v>1600</v>
      </c>
      <c r="G141">
        <v>0</v>
      </c>
      <c r="H141">
        <v>0</v>
      </c>
      <c r="I141">
        <v>0</v>
      </c>
      <c r="J141">
        <v>0</v>
      </c>
      <c r="K141">
        <v>20</v>
      </c>
      <c r="L141">
        <v>0</v>
      </c>
      <c r="M141">
        <v>5985</v>
      </c>
      <c r="N141">
        <v>0</v>
      </c>
      <c r="O141">
        <v>0</v>
      </c>
      <c r="P141">
        <v>0</v>
      </c>
      <c r="Q141">
        <v>665</v>
      </c>
      <c r="R141">
        <v>665</v>
      </c>
      <c r="S141" s="18">
        <f t="shared" si="20"/>
        <v>9</v>
      </c>
      <c r="T141" s="17">
        <f t="shared" si="21"/>
        <v>665</v>
      </c>
      <c r="U141" s="17">
        <f t="shared" si="22"/>
        <v>0</v>
      </c>
      <c r="V141" s="17">
        <f t="shared" si="23"/>
        <v>0</v>
      </c>
      <c r="W141" s="17">
        <f t="shared" si="24"/>
        <v>0</v>
      </c>
      <c r="X141" s="17">
        <f t="shared" si="25"/>
        <v>0</v>
      </c>
      <c r="Y141" s="19" t="e">
        <f t="shared" si="26"/>
        <v>#DIV/0!</v>
      </c>
      <c r="Z141">
        <v>1600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20</v>
      </c>
      <c r="AP141">
        <v>15</v>
      </c>
      <c r="AQ141">
        <v>20</v>
      </c>
      <c r="AR141">
        <v>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f t="shared" si="27"/>
        <v>60</v>
      </c>
      <c r="BF141">
        <v>1620</v>
      </c>
      <c r="BG141">
        <v>1620</v>
      </c>
      <c r="BH141" t="s">
        <v>109</v>
      </c>
      <c r="BI141" t="s">
        <v>471</v>
      </c>
      <c r="BJ141">
        <v>0</v>
      </c>
      <c r="BK141">
        <v>20</v>
      </c>
      <c r="BL141">
        <v>1620</v>
      </c>
      <c r="BM141">
        <v>5985</v>
      </c>
      <c r="BN141">
        <v>0</v>
      </c>
      <c r="BO141">
        <v>0</v>
      </c>
      <c r="BP141">
        <v>20</v>
      </c>
      <c r="BQ141">
        <v>6005</v>
      </c>
      <c r="BR141">
        <f t="shared" si="28"/>
        <v>0</v>
      </c>
      <c r="BS141">
        <f t="shared" si="29"/>
        <v>1330</v>
      </c>
    </row>
    <row r="142" spans="1:74" x14ac:dyDescent="0.25">
      <c r="A142" s="5" t="s">
        <v>207</v>
      </c>
      <c r="B142" s="5" t="s">
        <v>61</v>
      </c>
      <c r="C142" s="7" t="s">
        <v>207</v>
      </c>
      <c r="D142" s="1" t="s">
        <v>84</v>
      </c>
      <c r="E142">
        <v>0</v>
      </c>
      <c r="F142">
        <v>846</v>
      </c>
      <c r="G142">
        <v>0</v>
      </c>
      <c r="H142">
        <v>0</v>
      </c>
      <c r="I142">
        <v>85</v>
      </c>
      <c r="J142">
        <v>0</v>
      </c>
      <c r="K142">
        <v>75</v>
      </c>
      <c r="L142">
        <v>0</v>
      </c>
      <c r="M142">
        <v>0</v>
      </c>
      <c r="N142">
        <v>0</v>
      </c>
      <c r="O142">
        <v>0</v>
      </c>
      <c r="P142">
        <v>6750</v>
      </c>
      <c r="Q142">
        <v>750</v>
      </c>
      <c r="R142">
        <v>750</v>
      </c>
      <c r="S142" s="18">
        <f t="shared" si="20"/>
        <v>9</v>
      </c>
      <c r="T142" s="17">
        <f t="shared" si="21"/>
        <v>0</v>
      </c>
      <c r="U142" s="17">
        <f t="shared" si="22"/>
        <v>0</v>
      </c>
      <c r="V142" s="17">
        <f t="shared" si="23"/>
        <v>0</v>
      </c>
      <c r="W142" s="17">
        <f t="shared" si="24"/>
        <v>750</v>
      </c>
      <c r="X142" s="17">
        <f t="shared" si="25"/>
        <v>0</v>
      </c>
      <c r="Y142" s="19" t="e">
        <f t="shared" si="26"/>
        <v>#DIV/0!</v>
      </c>
      <c r="Z142">
        <v>846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85</v>
      </c>
      <c r="AH142">
        <v>85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75</v>
      </c>
      <c r="AP142">
        <v>0</v>
      </c>
      <c r="AQ142">
        <v>75</v>
      </c>
      <c r="AR142">
        <v>75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f t="shared" si="27"/>
        <v>395</v>
      </c>
      <c r="BF142">
        <v>1006</v>
      </c>
      <c r="BG142">
        <v>1006</v>
      </c>
      <c r="BH142" t="s">
        <v>109</v>
      </c>
      <c r="BI142" t="s">
        <v>472</v>
      </c>
      <c r="BJ142">
        <v>0</v>
      </c>
      <c r="BK142">
        <v>160</v>
      </c>
      <c r="BL142">
        <v>1006</v>
      </c>
      <c r="BM142">
        <v>0</v>
      </c>
      <c r="BN142">
        <v>0</v>
      </c>
      <c r="BO142">
        <v>0</v>
      </c>
      <c r="BP142">
        <v>6910</v>
      </c>
      <c r="BQ142">
        <v>6910</v>
      </c>
      <c r="BR142">
        <f t="shared" si="28"/>
        <v>0</v>
      </c>
      <c r="BS142">
        <f t="shared" si="29"/>
        <v>1500</v>
      </c>
    </row>
    <row r="143" spans="1:74" x14ac:dyDescent="0.25">
      <c r="A143" s="5" t="s">
        <v>207</v>
      </c>
      <c r="B143" s="5" t="s">
        <v>61</v>
      </c>
      <c r="C143" s="5" t="s">
        <v>207</v>
      </c>
      <c r="D143" s="1" t="s">
        <v>88</v>
      </c>
      <c r="E143">
        <v>0</v>
      </c>
      <c r="F143">
        <v>158</v>
      </c>
      <c r="G143">
        <v>0</v>
      </c>
      <c r="H143">
        <v>0</v>
      </c>
      <c r="I143">
        <v>40</v>
      </c>
      <c r="J143">
        <v>0</v>
      </c>
      <c r="K143">
        <v>45</v>
      </c>
      <c r="L143">
        <v>0</v>
      </c>
      <c r="M143">
        <v>0</v>
      </c>
      <c r="N143">
        <v>0</v>
      </c>
      <c r="O143">
        <v>0</v>
      </c>
      <c r="P143">
        <v>1755</v>
      </c>
      <c r="Q143">
        <v>195</v>
      </c>
      <c r="R143">
        <v>195</v>
      </c>
      <c r="S143" s="18">
        <f t="shared" si="20"/>
        <v>9</v>
      </c>
      <c r="T143" s="17">
        <f t="shared" si="21"/>
        <v>0</v>
      </c>
      <c r="U143" s="17">
        <f t="shared" si="22"/>
        <v>0</v>
      </c>
      <c r="V143" s="17">
        <f t="shared" si="23"/>
        <v>0</v>
      </c>
      <c r="W143" s="17">
        <f t="shared" si="24"/>
        <v>195</v>
      </c>
      <c r="X143" s="17">
        <f t="shared" si="25"/>
        <v>0</v>
      </c>
      <c r="Y143" s="19" t="e">
        <f t="shared" si="26"/>
        <v>#DIV/0!</v>
      </c>
      <c r="Z143">
        <v>158</v>
      </c>
      <c r="AA143">
        <v>0</v>
      </c>
      <c r="AB143">
        <v>0</v>
      </c>
      <c r="AC143">
        <v>0</v>
      </c>
      <c r="AD143">
        <v>40</v>
      </c>
      <c r="AE143">
        <v>0</v>
      </c>
      <c r="AF143">
        <v>0</v>
      </c>
      <c r="AG143">
        <v>0</v>
      </c>
      <c r="AH143">
        <v>40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45</v>
      </c>
      <c r="AP143">
        <v>45</v>
      </c>
      <c r="AQ143">
        <v>45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f t="shared" si="27"/>
        <v>215</v>
      </c>
      <c r="BF143">
        <v>243</v>
      </c>
      <c r="BG143">
        <v>243</v>
      </c>
      <c r="BH143" t="s">
        <v>109</v>
      </c>
      <c r="BI143" t="s">
        <v>474</v>
      </c>
      <c r="BJ143">
        <v>0</v>
      </c>
      <c r="BK143">
        <v>85</v>
      </c>
      <c r="BL143">
        <v>243</v>
      </c>
      <c r="BM143">
        <v>40</v>
      </c>
      <c r="BN143">
        <v>0</v>
      </c>
      <c r="BO143">
        <v>0</v>
      </c>
      <c r="BP143">
        <v>1800</v>
      </c>
      <c r="BQ143">
        <v>1840</v>
      </c>
      <c r="BR143">
        <f t="shared" si="28"/>
        <v>0</v>
      </c>
      <c r="BS143">
        <f t="shared" si="29"/>
        <v>390</v>
      </c>
    </row>
    <row r="144" spans="1:74" x14ac:dyDescent="0.25">
      <c r="A144" s="5" t="s">
        <v>207</v>
      </c>
      <c r="B144" s="5" t="s">
        <v>61</v>
      </c>
      <c r="C144" s="5" t="s">
        <v>207</v>
      </c>
      <c r="D144" s="1" t="s">
        <v>92</v>
      </c>
      <c r="E144">
        <v>0</v>
      </c>
      <c r="F144">
        <v>392</v>
      </c>
      <c r="G144">
        <v>0</v>
      </c>
      <c r="H144">
        <v>0</v>
      </c>
      <c r="I144">
        <v>0</v>
      </c>
      <c r="J144">
        <v>0</v>
      </c>
      <c r="K144">
        <v>32</v>
      </c>
      <c r="L144">
        <v>0</v>
      </c>
      <c r="M144">
        <v>3015</v>
      </c>
      <c r="N144">
        <v>0</v>
      </c>
      <c r="O144">
        <v>0</v>
      </c>
      <c r="P144">
        <v>0</v>
      </c>
      <c r="Q144">
        <v>335</v>
      </c>
      <c r="R144">
        <v>335</v>
      </c>
      <c r="S144" s="18">
        <f t="shared" si="20"/>
        <v>9</v>
      </c>
      <c r="T144" s="17">
        <f t="shared" si="21"/>
        <v>335</v>
      </c>
      <c r="U144" s="17">
        <f t="shared" si="22"/>
        <v>0</v>
      </c>
      <c r="V144" s="17">
        <f t="shared" si="23"/>
        <v>0</v>
      </c>
      <c r="W144" s="17">
        <f t="shared" si="24"/>
        <v>0</v>
      </c>
      <c r="X144" s="17">
        <f t="shared" si="25"/>
        <v>0</v>
      </c>
      <c r="Y144" s="19" t="e">
        <f t="shared" si="26"/>
        <v>#DIV/0!</v>
      </c>
      <c r="Z144">
        <v>392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32</v>
      </c>
      <c r="AP144">
        <v>32</v>
      </c>
      <c r="AQ144">
        <v>32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f t="shared" si="27"/>
        <v>96</v>
      </c>
      <c r="BF144">
        <v>424</v>
      </c>
      <c r="BG144">
        <v>424</v>
      </c>
      <c r="BH144" t="s">
        <v>109</v>
      </c>
      <c r="BI144" t="s">
        <v>476</v>
      </c>
      <c r="BJ144">
        <v>0</v>
      </c>
      <c r="BK144">
        <v>32</v>
      </c>
      <c r="BL144">
        <v>424</v>
      </c>
      <c r="BM144">
        <v>3015</v>
      </c>
      <c r="BN144">
        <v>0</v>
      </c>
      <c r="BO144">
        <v>0</v>
      </c>
      <c r="BP144">
        <v>32</v>
      </c>
      <c r="BQ144">
        <v>3047</v>
      </c>
      <c r="BR144">
        <f t="shared" si="28"/>
        <v>0</v>
      </c>
      <c r="BS144">
        <f t="shared" si="29"/>
        <v>670</v>
      </c>
    </row>
    <row r="145" spans="1:74" x14ac:dyDescent="0.25">
      <c r="A145" s="5" t="s">
        <v>207</v>
      </c>
      <c r="B145" s="5" t="s">
        <v>61</v>
      </c>
      <c r="C145" s="5" t="s">
        <v>207</v>
      </c>
      <c r="D145" s="1" t="s">
        <v>96</v>
      </c>
      <c r="E145">
        <v>0</v>
      </c>
      <c r="F145">
        <v>1116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6300</v>
      </c>
      <c r="N145">
        <v>0</v>
      </c>
      <c r="O145">
        <v>0</v>
      </c>
      <c r="P145">
        <v>0</v>
      </c>
      <c r="Q145">
        <v>700</v>
      </c>
      <c r="R145">
        <v>700</v>
      </c>
      <c r="S145" s="18">
        <f t="shared" si="20"/>
        <v>9</v>
      </c>
      <c r="T145" s="17">
        <f t="shared" si="21"/>
        <v>700</v>
      </c>
      <c r="U145" s="17">
        <f t="shared" si="22"/>
        <v>0</v>
      </c>
      <c r="V145" s="17">
        <f t="shared" si="23"/>
        <v>0</v>
      </c>
      <c r="W145" s="17">
        <f t="shared" si="24"/>
        <v>0</v>
      </c>
      <c r="X145" s="17">
        <f t="shared" si="25"/>
        <v>0</v>
      </c>
      <c r="Y145" s="19" t="e">
        <f t="shared" si="26"/>
        <v>#DIV/0!</v>
      </c>
      <c r="Z145">
        <v>1116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f t="shared" si="27"/>
        <v>0</v>
      </c>
      <c r="BF145">
        <v>1116</v>
      </c>
      <c r="BG145">
        <v>1116</v>
      </c>
      <c r="BH145" t="s">
        <v>109</v>
      </c>
      <c r="BI145" t="s">
        <v>478</v>
      </c>
      <c r="BJ145">
        <v>0</v>
      </c>
      <c r="BK145">
        <v>0</v>
      </c>
      <c r="BL145">
        <v>1116</v>
      </c>
      <c r="BM145">
        <v>6300</v>
      </c>
      <c r="BN145">
        <v>0</v>
      </c>
      <c r="BO145">
        <v>0</v>
      </c>
      <c r="BP145">
        <v>0</v>
      </c>
      <c r="BQ145">
        <v>6300</v>
      </c>
      <c r="BR145">
        <f t="shared" si="28"/>
        <v>0</v>
      </c>
      <c r="BS145">
        <f t="shared" si="29"/>
        <v>1400</v>
      </c>
    </row>
    <row r="146" spans="1:74" x14ac:dyDescent="0.25">
      <c r="A146" s="5" t="s">
        <v>207</v>
      </c>
      <c r="B146" s="5" t="s">
        <v>61</v>
      </c>
      <c r="C146" s="5" t="s">
        <v>207</v>
      </c>
      <c r="D146" s="1" t="s">
        <v>98</v>
      </c>
      <c r="E146">
        <v>0</v>
      </c>
      <c r="F146">
        <v>648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2475</v>
      </c>
      <c r="N146">
        <v>0</v>
      </c>
      <c r="O146">
        <v>0</v>
      </c>
      <c r="P146">
        <v>0</v>
      </c>
      <c r="Q146">
        <v>275</v>
      </c>
      <c r="R146">
        <v>275</v>
      </c>
      <c r="S146" s="18">
        <f t="shared" si="20"/>
        <v>9</v>
      </c>
      <c r="T146" s="17">
        <f t="shared" si="21"/>
        <v>275</v>
      </c>
      <c r="U146" s="17">
        <f t="shared" si="22"/>
        <v>0</v>
      </c>
      <c r="V146" s="17">
        <f t="shared" si="23"/>
        <v>0</v>
      </c>
      <c r="W146" s="17">
        <f t="shared" si="24"/>
        <v>0</v>
      </c>
      <c r="X146" s="17">
        <f t="shared" si="25"/>
        <v>0</v>
      </c>
      <c r="Y146" s="19" t="e">
        <f t="shared" si="26"/>
        <v>#DIV/0!</v>
      </c>
      <c r="Z146">
        <v>648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f t="shared" si="27"/>
        <v>0</v>
      </c>
      <c r="BF146">
        <v>648</v>
      </c>
      <c r="BG146">
        <v>648</v>
      </c>
      <c r="BH146" t="s">
        <v>109</v>
      </c>
      <c r="BI146" t="s">
        <v>479</v>
      </c>
      <c r="BJ146">
        <v>0</v>
      </c>
      <c r="BK146">
        <v>0</v>
      </c>
      <c r="BL146">
        <v>648</v>
      </c>
      <c r="BM146">
        <v>2475</v>
      </c>
      <c r="BN146">
        <v>0</v>
      </c>
      <c r="BO146">
        <v>0</v>
      </c>
      <c r="BP146">
        <v>0</v>
      </c>
      <c r="BQ146">
        <v>2475</v>
      </c>
      <c r="BR146">
        <f t="shared" si="28"/>
        <v>0</v>
      </c>
      <c r="BS146">
        <f t="shared" si="29"/>
        <v>550</v>
      </c>
    </row>
    <row r="147" spans="1:74" x14ac:dyDescent="0.25">
      <c r="A147" s="5" t="s">
        <v>207</v>
      </c>
      <c r="B147" s="5" t="s">
        <v>61</v>
      </c>
      <c r="C147" s="5" t="s">
        <v>207</v>
      </c>
      <c r="D147" s="1" t="s">
        <v>100</v>
      </c>
      <c r="E147">
        <v>0</v>
      </c>
      <c r="F147">
        <v>4739</v>
      </c>
      <c r="G147">
        <v>0</v>
      </c>
      <c r="H147">
        <v>0</v>
      </c>
      <c r="I147">
        <v>150</v>
      </c>
      <c r="J147">
        <v>406</v>
      </c>
      <c r="K147">
        <v>0</v>
      </c>
      <c r="L147">
        <v>0</v>
      </c>
      <c r="M147">
        <v>8523</v>
      </c>
      <c r="N147">
        <v>0</v>
      </c>
      <c r="O147">
        <v>0</v>
      </c>
      <c r="P147">
        <v>0</v>
      </c>
      <c r="Q147">
        <v>947</v>
      </c>
      <c r="R147">
        <v>947</v>
      </c>
      <c r="S147" s="18">
        <f t="shared" si="20"/>
        <v>9</v>
      </c>
      <c r="T147" s="17">
        <f t="shared" si="21"/>
        <v>947</v>
      </c>
      <c r="U147" s="17">
        <f t="shared" si="22"/>
        <v>0</v>
      </c>
      <c r="V147" s="17">
        <f t="shared" si="23"/>
        <v>0</v>
      </c>
      <c r="W147" s="17">
        <f t="shared" si="24"/>
        <v>0</v>
      </c>
      <c r="X147" s="17">
        <f t="shared" si="25"/>
        <v>0</v>
      </c>
      <c r="Y147" s="19" t="e">
        <f t="shared" si="26"/>
        <v>#DIV/0!</v>
      </c>
      <c r="Z147">
        <v>4739</v>
      </c>
      <c r="AA147">
        <v>0</v>
      </c>
      <c r="AB147">
        <v>0</v>
      </c>
      <c r="AC147">
        <v>0</v>
      </c>
      <c r="AD147">
        <v>150</v>
      </c>
      <c r="AE147">
        <v>0</v>
      </c>
      <c r="AF147">
        <v>0</v>
      </c>
      <c r="AG147">
        <v>0</v>
      </c>
      <c r="AH147">
        <v>150</v>
      </c>
      <c r="AI147">
        <v>0</v>
      </c>
      <c r="AJ147">
        <v>0</v>
      </c>
      <c r="AK147">
        <v>406</v>
      </c>
      <c r="AL147">
        <v>406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f t="shared" si="27"/>
        <v>1112</v>
      </c>
      <c r="BF147">
        <v>5295</v>
      </c>
      <c r="BG147">
        <v>5295</v>
      </c>
      <c r="BH147" t="s">
        <v>109</v>
      </c>
      <c r="BI147" t="s">
        <v>480</v>
      </c>
      <c r="BJ147">
        <v>0</v>
      </c>
      <c r="BK147">
        <v>556</v>
      </c>
      <c r="BL147">
        <v>5295</v>
      </c>
      <c r="BM147">
        <v>8673</v>
      </c>
      <c r="BN147">
        <v>0</v>
      </c>
      <c r="BO147">
        <v>0</v>
      </c>
      <c r="BP147">
        <v>406</v>
      </c>
      <c r="BQ147">
        <v>9079</v>
      </c>
      <c r="BR147">
        <f t="shared" si="28"/>
        <v>0</v>
      </c>
      <c r="BS147">
        <f t="shared" si="29"/>
        <v>1894</v>
      </c>
    </row>
    <row r="148" spans="1:74" x14ac:dyDescent="0.25">
      <c r="A148" s="5" t="s">
        <v>207</v>
      </c>
      <c r="B148" s="5" t="s">
        <v>61</v>
      </c>
      <c r="C148" s="5" t="s">
        <v>207</v>
      </c>
      <c r="D148" s="1" t="s">
        <v>102</v>
      </c>
      <c r="E148">
        <v>0</v>
      </c>
      <c r="F148">
        <v>2150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846</v>
      </c>
      <c r="N148">
        <v>0</v>
      </c>
      <c r="O148">
        <v>0</v>
      </c>
      <c r="P148">
        <v>0</v>
      </c>
      <c r="Q148">
        <v>94</v>
      </c>
      <c r="R148">
        <v>94</v>
      </c>
      <c r="S148" s="18">
        <f t="shared" si="20"/>
        <v>9</v>
      </c>
      <c r="T148" s="17">
        <f t="shared" si="21"/>
        <v>94</v>
      </c>
      <c r="U148" s="17">
        <f t="shared" si="22"/>
        <v>0</v>
      </c>
      <c r="V148" s="17">
        <f t="shared" si="23"/>
        <v>0</v>
      </c>
      <c r="W148" s="17">
        <f t="shared" si="24"/>
        <v>0</v>
      </c>
      <c r="X148" s="17">
        <f t="shared" si="25"/>
        <v>0</v>
      </c>
      <c r="Y148" s="19" t="e">
        <f t="shared" si="26"/>
        <v>#DIV/0!</v>
      </c>
      <c r="Z148">
        <v>2150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f t="shared" si="27"/>
        <v>0</v>
      </c>
      <c r="BF148">
        <v>2150</v>
      </c>
      <c r="BG148">
        <v>2150</v>
      </c>
      <c r="BH148" t="s">
        <v>190</v>
      </c>
      <c r="BI148" t="s">
        <v>481</v>
      </c>
      <c r="BJ148">
        <v>0</v>
      </c>
      <c r="BK148">
        <v>0</v>
      </c>
      <c r="BL148">
        <v>2150</v>
      </c>
      <c r="BM148">
        <v>846</v>
      </c>
      <c r="BN148">
        <v>0</v>
      </c>
      <c r="BO148">
        <v>0</v>
      </c>
      <c r="BP148">
        <v>0</v>
      </c>
      <c r="BQ148">
        <v>846</v>
      </c>
      <c r="BR148">
        <f t="shared" si="28"/>
        <v>0</v>
      </c>
      <c r="BS148">
        <f t="shared" si="29"/>
        <v>188</v>
      </c>
    </row>
    <row r="149" spans="1:74" x14ac:dyDescent="0.25">
      <c r="A149" s="5" t="s">
        <v>207</v>
      </c>
      <c r="B149" s="5" t="s">
        <v>61</v>
      </c>
      <c r="C149" s="5" t="s">
        <v>207</v>
      </c>
      <c r="D149" s="1" t="s">
        <v>104</v>
      </c>
      <c r="E149">
        <v>0</v>
      </c>
      <c r="F149">
        <v>2980</v>
      </c>
      <c r="G149">
        <v>0</v>
      </c>
      <c r="H149">
        <v>0</v>
      </c>
      <c r="I149">
        <v>109</v>
      </c>
      <c r="J149">
        <v>0</v>
      </c>
      <c r="K149">
        <v>0</v>
      </c>
      <c r="L149">
        <v>0</v>
      </c>
      <c r="M149">
        <v>2682</v>
      </c>
      <c r="N149">
        <v>0</v>
      </c>
      <c r="O149">
        <v>0</v>
      </c>
      <c r="P149">
        <v>0</v>
      </c>
      <c r="Q149">
        <v>298</v>
      </c>
      <c r="R149">
        <v>298</v>
      </c>
      <c r="S149" s="18">
        <f t="shared" si="20"/>
        <v>9</v>
      </c>
      <c r="T149" s="17">
        <f t="shared" si="21"/>
        <v>298</v>
      </c>
      <c r="U149" s="17">
        <f t="shared" si="22"/>
        <v>0</v>
      </c>
      <c r="V149" s="17">
        <f t="shared" si="23"/>
        <v>0</v>
      </c>
      <c r="W149" s="17">
        <f t="shared" si="24"/>
        <v>0</v>
      </c>
      <c r="X149" s="17">
        <f t="shared" si="25"/>
        <v>0</v>
      </c>
      <c r="Y149" s="19" t="e">
        <f t="shared" si="26"/>
        <v>#DIV/0!</v>
      </c>
      <c r="Z149">
        <v>2980</v>
      </c>
      <c r="AA149">
        <v>0</v>
      </c>
      <c r="AB149">
        <v>0</v>
      </c>
      <c r="AC149">
        <v>0</v>
      </c>
      <c r="AD149">
        <v>109</v>
      </c>
      <c r="AE149">
        <v>0</v>
      </c>
      <c r="AF149">
        <v>0</v>
      </c>
      <c r="AG149">
        <v>0</v>
      </c>
      <c r="AH149">
        <v>109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f t="shared" si="27"/>
        <v>218</v>
      </c>
      <c r="BF149">
        <v>3089</v>
      </c>
      <c r="BG149">
        <v>3089</v>
      </c>
      <c r="BH149" t="s">
        <v>190</v>
      </c>
      <c r="BI149" t="s">
        <v>482</v>
      </c>
      <c r="BJ149">
        <v>0</v>
      </c>
      <c r="BK149">
        <v>109</v>
      </c>
      <c r="BL149">
        <v>3089</v>
      </c>
      <c r="BM149">
        <v>2791</v>
      </c>
      <c r="BN149">
        <v>0</v>
      </c>
      <c r="BO149">
        <v>0</v>
      </c>
      <c r="BP149">
        <v>0</v>
      </c>
      <c r="BQ149">
        <v>2791</v>
      </c>
      <c r="BR149">
        <f t="shared" si="28"/>
        <v>0</v>
      </c>
      <c r="BS149">
        <f t="shared" si="29"/>
        <v>596</v>
      </c>
    </row>
    <row r="150" spans="1:74" x14ac:dyDescent="0.25">
      <c r="A150" s="5" t="s">
        <v>207</v>
      </c>
      <c r="B150" s="5" t="s">
        <v>61</v>
      </c>
      <c r="C150" s="5" t="s">
        <v>207</v>
      </c>
      <c r="D150" s="1" t="s">
        <v>111</v>
      </c>
      <c r="E150">
        <v>0</v>
      </c>
      <c r="F150">
        <v>484</v>
      </c>
      <c r="G150">
        <v>0</v>
      </c>
      <c r="H150">
        <v>0</v>
      </c>
      <c r="I150">
        <v>0</v>
      </c>
      <c r="J150">
        <v>200</v>
      </c>
      <c r="K150">
        <v>0</v>
      </c>
      <c r="L150">
        <v>0</v>
      </c>
      <c r="M150">
        <v>225</v>
      </c>
      <c r="N150">
        <v>0</v>
      </c>
      <c r="O150">
        <v>0</v>
      </c>
      <c r="P150">
        <v>279</v>
      </c>
      <c r="Q150">
        <v>56</v>
      </c>
      <c r="R150">
        <v>56</v>
      </c>
      <c r="S150" s="18">
        <f t="shared" si="20"/>
        <v>9</v>
      </c>
      <c r="T150" s="17">
        <f t="shared" si="21"/>
        <v>25</v>
      </c>
      <c r="U150" s="17">
        <f t="shared" si="22"/>
        <v>0</v>
      </c>
      <c r="V150" s="17">
        <f t="shared" si="23"/>
        <v>0</v>
      </c>
      <c r="W150" s="17">
        <f t="shared" si="24"/>
        <v>31</v>
      </c>
      <c r="X150" s="17">
        <f t="shared" si="25"/>
        <v>0</v>
      </c>
      <c r="Y150" s="19" t="e">
        <f t="shared" si="26"/>
        <v>#DIV/0!</v>
      </c>
      <c r="Z150">
        <v>484</v>
      </c>
      <c r="AA150">
        <v>0</v>
      </c>
      <c r="AB150">
        <v>0</v>
      </c>
      <c r="AC150">
        <v>306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200</v>
      </c>
      <c r="AL150">
        <v>200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f t="shared" si="27"/>
        <v>706</v>
      </c>
      <c r="BF150">
        <v>990</v>
      </c>
      <c r="BG150">
        <v>990</v>
      </c>
      <c r="BH150" t="s">
        <v>190</v>
      </c>
      <c r="BI150" t="s">
        <v>485</v>
      </c>
      <c r="BJ150">
        <v>306</v>
      </c>
      <c r="BK150">
        <v>200</v>
      </c>
      <c r="BL150">
        <v>990</v>
      </c>
      <c r="BM150">
        <v>225</v>
      </c>
      <c r="BN150">
        <v>0</v>
      </c>
      <c r="BO150">
        <v>0</v>
      </c>
      <c r="BP150">
        <v>479</v>
      </c>
      <c r="BQ150">
        <v>704</v>
      </c>
      <c r="BR150">
        <f t="shared" si="28"/>
        <v>0</v>
      </c>
      <c r="BS150">
        <f t="shared" si="29"/>
        <v>112</v>
      </c>
    </row>
    <row r="151" spans="1:74" x14ac:dyDescent="0.25">
      <c r="A151" s="5" t="s">
        <v>207</v>
      </c>
      <c r="B151" s="5" t="s">
        <v>61</v>
      </c>
      <c r="C151" s="5" t="s">
        <v>359</v>
      </c>
      <c r="D151" s="1" t="s">
        <v>62</v>
      </c>
      <c r="E151">
        <v>0</v>
      </c>
      <c r="F151">
        <v>5842</v>
      </c>
      <c r="G151">
        <v>0</v>
      </c>
      <c r="H151">
        <v>0</v>
      </c>
      <c r="I151">
        <v>42</v>
      </c>
      <c r="J151">
        <v>0</v>
      </c>
      <c r="K151">
        <v>0</v>
      </c>
      <c r="L151">
        <v>0</v>
      </c>
      <c r="M151">
        <v>3843</v>
      </c>
      <c r="N151">
        <v>0</v>
      </c>
      <c r="O151">
        <v>0</v>
      </c>
      <c r="P151">
        <v>0</v>
      </c>
      <c r="Q151">
        <v>427</v>
      </c>
      <c r="R151">
        <v>427</v>
      </c>
      <c r="S151" s="18">
        <f t="shared" si="20"/>
        <v>9</v>
      </c>
      <c r="T151" s="17">
        <f t="shared" si="21"/>
        <v>427</v>
      </c>
      <c r="U151" s="17">
        <f t="shared" si="22"/>
        <v>0</v>
      </c>
      <c r="V151" s="17">
        <f t="shared" si="23"/>
        <v>0</v>
      </c>
      <c r="W151" s="17">
        <f t="shared" si="24"/>
        <v>0</v>
      </c>
      <c r="X151" s="17">
        <f t="shared" si="25"/>
        <v>0</v>
      </c>
      <c r="Y151" s="19" t="e">
        <f t="shared" si="26"/>
        <v>#DIV/0!</v>
      </c>
      <c r="Z151">
        <v>5842</v>
      </c>
      <c r="AA151">
        <v>0</v>
      </c>
      <c r="AB151">
        <v>0</v>
      </c>
      <c r="AC151">
        <v>0</v>
      </c>
      <c r="AD151">
        <v>42</v>
      </c>
      <c r="AE151">
        <v>0</v>
      </c>
      <c r="AF151">
        <v>0</v>
      </c>
      <c r="AG151">
        <v>0</v>
      </c>
      <c r="AH151">
        <v>42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f t="shared" si="27"/>
        <v>84</v>
      </c>
      <c r="BF151">
        <v>5884</v>
      </c>
      <c r="BG151">
        <v>5884</v>
      </c>
      <c r="BH151" t="s">
        <v>190</v>
      </c>
      <c r="BI151" t="s">
        <v>502</v>
      </c>
      <c r="BJ151">
        <v>0</v>
      </c>
      <c r="BK151">
        <v>42</v>
      </c>
      <c r="BL151">
        <v>5884</v>
      </c>
      <c r="BM151">
        <v>3885</v>
      </c>
      <c r="BN151">
        <v>0</v>
      </c>
      <c r="BO151">
        <v>0</v>
      </c>
      <c r="BP151">
        <v>0</v>
      </c>
      <c r="BQ151">
        <v>3885</v>
      </c>
      <c r="BR151">
        <f t="shared" si="28"/>
        <v>0</v>
      </c>
      <c r="BS151">
        <f t="shared" si="29"/>
        <v>854</v>
      </c>
    </row>
    <row r="152" spans="1:74" x14ac:dyDescent="0.25">
      <c r="A152" s="5" t="s">
        <v>2090</v>
      </c>
      <c r="B152" s="5" t="s">
        <v>61</v>
      </c>
      <c r="C152" s="5" t="s">
        <v>61</v>
      </c>
      <c r="D152" s="1" t="s">
        <v>62</v>
      </c>
      <c r="E152">
        <v>0</v>
      </c>
      <c r="F152">
        <v>7970</v>
      </c>
      <c r="G152">
        <v>0</v>
      </c>
      <c r="H152">
        <v>0</v>
      </c>
      <c r="I152">
        <v>2000</v>
      </c>
      <c r="J152">
        <v>4344</v>
      </c>
      <c r="K152">
        <v>650</v>
      </c>
      <c r="L152">
        <v>150</v>
      </c>
      <c r="M152">
        <v>0</v>
      </c>
      <c r="N152">
        <v>32499</v>
      </c>
      <c r="O152">
        <v>0</v>
      </c>
      <c r="P152">
        <v>0</v>
      </c>
      <c r="Q152">
        <v>3611</v>
      </c>
      <c r="R152">
        <v>3611</v>
      </c>
      <c r="S152" s="18">
        <f t="shared" si="20"/>
        <v>9</v>
      </c>
      <c r="T152" s="17">
        <f t="shared" si="21"/>
        <v>0</v>
      </c>
      <c r="U152" s="17">
        <f t="shared" si="22"/>
        <v>3611</v>
      </c>
      <c r="V152" s="17">
        <f t="shared" si="23"/>
        <v>0</v>
      </c>
      <c r="W152" s="17">
        <f t="shared" si="24"/>
        <v>0</v>
      </c>
      <c r="X152" s="17">
        <f t="shared" si="25"/>
        <v>0</v>
      </c>
      <c r="Y152" s="19" t="e">
        <f t="shared" si="26"/>
        <v>#DIV/0!</v>
      </c>
      <c r="Z152">
        <v>7970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2000</v>
      </c>
      <c r="AH152">
        <v>2000</v>
      </c>
      <c r="AI152">
        <v>0</v>
      </c>
      <c r="AJ152">
        <v>4344</v>
      </c>
      <c r="AK152">
        <v>0</v>
      </c>
      <c r="AL152">
        <v>4344</v>
      </c>
      <c r="AM152">
        <v>0</v>
      </c>
      <c r="AN152">
        <v>650</v>
      </c>
      <c r="AO152">
        <v>0</v>
      </c>
      <c r="AP152">
        <v>400</v>
      </c>
      <c r="AQ152">
        <v>650</v>
      </c>
      <c r="AR152">
        <v>250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150</v>
      </c>
      <c r="AZ152">
        <v>0</v>
      </c>
      <c r="BA152">
        <v>150</v>
      </c>
      <c r="BB152">
        <v>0</v>
      </c>
      <c r="BC152">
        <v>0</v>
      </c>
      <c r="BD152">
        <v>0</v>
      </c>
      <c r="BE152">
        <f t="shared" si="27"/>
        <v>14938</v>
      </c>
      <c r="BF152">
        <v>15114</v>
      </c>
      <c r="BG152">
        <v>15114</v>
      </c>
      <c r="BH152" t="s">
        <v>543</v>
      </c>
      <c r="BI152" t="s">
        <v>2091</v>
      </c>
      <c r="BJ152">
        <v>0</v>
      </c>
      <c r="BK152">
        <v>7144</v>
      </c>
      <c r="BL152">
        <v>15114</v>
      </c>
      <c r="BM152">
        <v>0</v>
      </c>
      <c r="BN152">
        <v>37643</v>
      </c>
      <c r="BO152">
        <v>0</v>
      </c>
      <c r="BP152">
        <v>2000</v>
      </c>
      <c r="BQ152">
        <v>39643</v>
      </c>
      <c r="BR152">
        <f t="shared" si="28"/>
        <v>0</v>
      </c>
      <c r="BS152">
        <f t="shared" si="29"/>
        <v>7222</v>
      </c>
      <c r="BU152">
        <f>R152*9</f>
        <v>32499</v>
      </c>
      <c r="BV152">
        <f>IF(BU152&gt;BG152, 1, 0)</f>
        <v>1</v>
      </c>
    </row>
    <row r="153" spans="1:74" x14ac:dyDescent="0.25">
      <c r="A153" s="5" t="s">
        <v>207</v>
      </c>
      <c r="B153" s="5" t="s">
        <v>61</v>
      </c>
      <c r="C153" s="5" t="s">
        <v>359</v>
      </c>
      <c r="D153" s="1" t="s">
        <v>88</v>
      </c>
      <c r="E153">
        <v>0</v>
      </c>
      <c r="F153">
        <v>984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4428</v>
      </c>
      <c r="N153">
        <v>0</v>
      </c>
      <c r="O153">
        <v>0</v>
      </c>
      <c r="P153">
        <v>0</v>
      </c>
      <c r="Q153">
        <v>492</v>
      </c>
      <c r="R153">
        <v>492</v>
      </c>
      <c r="S153" s="18">
        <f t="shared" si="20"/>
        <v>9</v>
      </c>
      <c r="T153" s="17">
        <f t="shared" si="21"/>
        <v>492</v>
      </c>
      <c r="U153" s="17">
        <f t="shared" si="22"/>
        <v>0</v>
      </c>
      <c r="V153" s="17">
        <f t="shared" si="23"/>
        <v>0</v>
      </c>
      <c r="W153" s="17">
        <f t="shared" si="24"/>
        <v>0</v>
      </c>
      <c r="X153" s="17">
        <f t="shared" si="25"/>
        <v>0</v>
      </c>
      <c r="Y153" s="19" t="e">
        <f t="shared" si="26"/>
        <v>#DIV/0!</v>
      </c>
      <c r="Z153">
        <v>984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f t="shared" si="27"/>
        <v>0</v>
      </c>
      <c r="BF153">
        <v>984</v>
      </c>
      <c r="BG153">
        <v>984</v>
      </c>
      <c r="BH153" t="s">
        <v>109</v>
      </c>
      <c r="BI153" t="s">
        <v>471</v>
      </c>
      <c r="BJ153">
        <v>0</v>
      </c>
      <c r="BK153">
        <v>0</v>
      </c>
      <c r="BL153">
        <v>984</v>
      </c>
      <c r="BM153">
        <v>4428</v>
      </c>
      <c r="BN153">
        <v>0</v>
      </c>
      <c r="BO153">
        <v>0</v>
      </c>
      <c r="BP153">
        <v>0</v>
      </c>
      <c r="BQ153">
        <v>4428</v>
      </c>
      <c r="BR153">
        <f t="shared" si="28"/>
        <v>0</v>
      </c>
      <c r="BS153">
        <f t="shared" si="29"/>
        <v>984</v>
      </c>
    </row>
    <row r="154" spans="1:74" x14ac:dyDescent="0.25">
      <c r="A154" s="5" t="s">
        <v>207</v>
      </c>
      <c r="B154" s="5" t="s">
        <v>61</v>
      </c>
      <c r="C154" s="5" t="s">
        <v>359</v>
      </c>
      <c r="D154" s="1" t="s">
        <v>90</v>
      </c>
      <c r="E154">
        <v>0</v>
      </c>
      <c r="F154">
        <v>2350</v>
      </c>
      <c r="G154">
        <v>0</v>
      </c>
      <c r="H154">
        <v>0</v>
      </c>
      <c r="I154">
        <v>2060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4509</v>
      </c>
      <c r="Q154">
        <v>501</v>
      </c>
      <c r="R154">
        <v>501</v>
      </c>
      <c r="S154" s="18">
        <f t="shared" si="20"/>
        <v>9</v>
      </c>
      <c r="T154" s="17">
        <f t="shared" si="21"/>
        <v>0</v>
      </c>
      <c r="U154" s="17">
        <f t="shared" si="22"/>
        <v>0</v>
      </c>
      <c r="V154" s="17">
        <f t="shared" si="23"/>
        <v>0</v>
      </c>
      <c r="W154" s="17">
        <f t="shared" si="24"/>
        <v>501</v>
      </c>
      <c r="X154" s="17">
        <f t="shared" si="25"/>
        <v>0</v>
      </c>
      <c r="Y154" s="19" t="e">
        <f t="shared" si="26"/>
        <v>#DIV/0!</v>
      </c>
      <c r="Z154">
        <v>2350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2060</v>
      </c>
      <c r="AH154">
        <v>2060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f t="shared" si="27"/>
        <v>4120</v>
      </c>
      <c r="BF154">
        <v>4410</v>
      </c>
      <c r="BG154">
        <v>4410</v>
      </c>
      <c r="BH154" t="s">
        <v>109</v>
      </c>
      <c r="BI154" t="s">
        <v>473</v>
      </c>
      <c r="BJ154">
        <v>0</v>
      </c>
      <c r="BK154">
        <v>2060</v>
      </c>
      <c r="BL154">
        <v>4410</v>
      </c>
      <c r="BM154">
        <v>0</v>
      </c>
      <c r="BN154">
        <v>0</v>
      </c>
      <c r="BO154">
        <v>0</v>
      </c>
      <c r="BP154">
        <v>6569</v>
      </c>
      <c r="BQ154">
        <v>6569</v>
      </c>
      <c r="BR154">
        <f t="shared" si="28"/>
        <v>0</v>
      </c>
      <c r="BS154">
        <f t="shared" si="29"/>
        <v>1002</v>
      </c>
    </row>
    <row r="155" spans="1:74" x14ac:dyDescent="0.25">
      <c r="A155" s="5" t="s">
        <v>207</v>
      </c>
      <c r="B155" s="5" t="s">
        <v>61</v>
      </c>
      <c r="C155" s="5" t="s">
        <v>359</v>
      </c>
      <c r="D155" s="1" t="s">
        <v>111</v>
      </c>
      <c r="E155">
        <v>0</v>
      </c>
      <c r="F155">
        <v>402</v>
      </c>
      <c r="G155">
        <v>0</v>
      </c>
      <c r="H155">
        <v>0</v>
      </c>
      <c r="I155">
        <v>220</v>
      </c>
      <c r="J155">
        <v>0</v>
      </c>
      <c r="K155">
        <v>1109</v>
      </c>
      <c r="L155">
        <v>563</v>
      </c>
      <c r="M155">
        <v>0</v>
      </c>
      <c r="N155">
        <v>0</v>
      </c>
      <c r="O155">
        <v>0</v>
      </c>
      <c r="P155">
        <v>3618</v>
      </c>
      <c r="Q155">
        <v>402</v>
      </c>
      <c r="R155">
        <v>402</v>
      </c>
      <c r="S155" s="18">
        <f t="shared" si="20"/>
        <v>9</v>
      </c>
      <c r="T155" s="17">
        <f t="shared" si="21"/>
        <v>0</v>
      </c>
      <c r="U155" s="17">
        <f t="shared" si="22"/>
        <v>0</v>
      </c>
      <c r="V155" s="17">
        <f t="shared" si="23"/>
        <v>0</v>
      </c>
      <c r="W155" s="17">
        <f t="shared" si="24"/>
        <v>402</v>
      </c>
      <c r="X155" s="17">
        <f t="shared" si="25"/>
        <v>0</v>
      </c>
      <c r="Y155" s="19" t="e">
        <f t="shared" si="26"/>
        <v>#DIV/0!</v>
      </c>
      <c r="Z155">
        <v>402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220</v>
      </c>
      <c r="AH155">
        <v>220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1109</v>
      </c>
      <c r="AP155">
        <v>0</v>
      </c>
      <c r="AQ155">
        <v>1109</v>
      </c>
      <c r="AR155">
        <v>1109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563</v>
      </c>
      <c r="BA155">
        <v>563</v>
      </c>
      <c r="BB155">
        <v>0</v>
      </c>
      <c r="BC155">
        <v>0</v>
      </c>
      <c r="BD155">
        <v>0</v>
      </c>
      <c r="BE155">
        <f t="shared" si="27"/>
        <v>4893</v>
      </c>
      <c r="BF155">
        <v>2294</v>
      </c>
      <c r="BG155">
        <v>2294</v>
      </c>
      <c r="BH155" t="s">
        <v>190</v>
      </c>
      <c r="BI155" t="s">
        <v>521</v>
      </c>
      <c r="BJ155">
        <v>0</v>
      </c>
      <c r="BK155">
        <v>1892</v>
      </c>
      <c r="BL155">
        <v>2294</v>
      </c>
      <c r="BM155">
        <v>0</v>
      </c>
      <c r="BN155">
        <v>0</v>
      </c>
      <c r="BO155">
        <v>0</v>
      </c>
      <c r="BP155">
        <v>5510</v>
      </c>
      <c r="BQ155">
        <v>5510</v>
      </c>
      <c r="BR155">
        <f t="shared" si="28"/>
        <v>0</v>
      </c>
      <c r="BS155">
        <f t="shared" si="29"/>
        <v>804</v>
      </c>
    </row>
    <row r="156" spans="1:74" x14ac:dyDescent="0.25">
      <c r="A156" s="5" t="s">
        <v>207</v>
      </c>
      <c r="B156" s="5" t="s">
        <v>61</v>
      </c>
      <c r="C156" s="5" t="s">
        <v>359</v>
      </c>
      <c r="D156" s="1" t="s">
        <v>115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8" t="e">
        <f t="shared" si="20"/>
        <v>#DIV/0!</v>
      </c>
      <c r="T156" s="17" t="e">
        <f t="shared" si="21"/>
        <v>#DIV/0!</v>
      </c>
      <c r="U156" s="17" t="e">
        <f t="shared" si="22"/>
        <v>#DIV/0!</v>
      </c>
      <c r="V156" s="17" t="e">
        <f t="shared" si="23"/>
        <v>#DIV/0!</v>
      </c>
      <c r="W156" s="17" t="e">
        <f t="shared" si="24"/>
        <v>#DIV/0!</v>
      </c>
      <c r="X156" s="17" t="e">
        <f t="shared" si="25"/>
        <v>#DIV/0!</v>
      </c>
      <c r="Y156" s="19" t="e">
        <f t="shared" si="26"/>
        <v>#DIV/0!</v>
      </c>
      <c r="Z156">
        <v>0</v>
      </c>
      <c r="AA156">
        <v>0</v>
      </c>
      <c r="AB156">
        <v>0</v>
      </c>
      <c r="AC156">
        <v>35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55</v>
      </c>
      <c r="AN156">
        <v>0</v>
      </c>
      <c r="AO156">
        <v>0</v>
      </c>
      <c r="AP156">
        <v>0</v>
      </c>
      <c r="AQ156">
        <v>55</v>
      </c>
      <c r="AR156">
        <v>55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f t="shared" si="27"/>
        <v>200</v>
      </c>
      <c r="BF156">
        <v>90</v>
      </c>
      <c r="BG156">
        <v>90</v>
      </c>
      <c r="BH156" t="s">
        <v>190</v>
      </c>
      <c r="BI156" t="s">
        <v>523</v>
      </c>
      <c r="BJ156">
        <v>35</v>
      </c>
      <c r="BK156">
        <v>55</v>
      </c>
      <c r="BL156">
        <v>90</v>
      </c>
      <c r="BM156">
        <v>55</v>
      </c>
      <c r="BN156">
        <v>0</v>
      </c>
      <c r="BO156">
        <v>0</v>
      </c>
      <c r="BP156">
        <v>0</v>
      </c>
      <c r="BQ156">
        <v>55</v>
      </c>
      <c r="BR156">
        <f t="shared" si="28"/>
        <v>0</v>
      </c>
      <c r="BS156">
        <f t="shared" si="29"/>
        <v>0</v>
      </c>
    </row>
    <row r="157" spans="1:74" x14ac:dyDescent="0.25">
      <c r="A157" s="5" t="s">
        <v>207</v>
      </c>
      <c r="B157" s="5" t="s">
        <v>61</v>
      </c>
      <c r="C157" s="5" t="s">
        <v>359</v>
      </c>
      <c r="D157" s="1" t="s">
        <v>117</v>
      </c>
      <c r="E157">
        <v>0</v>
      </c>
      <c r="F157">
        <v>1575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972</v>
      </c>
      <c r="N157">
        <v>0</v>
      </c>
      <c r="O157">
        <v>0</v>
      </c>
      <c r="P157">
        <v>0</v>
      </c>
      <c r="Q157">
        <v>108</v>
      </c>
      <c r="R157">
        <v>108</v>
      </c>
      <c r="S157" s="18">
        <f t="shared" si="20"/>
        <v>9</v>
      </c>
      <c r="T157" s="17">
        <f t="shared" si="21"/>
        <v>108</v>
      </c>
      <c r="U157" s="17">
        <f t="shared" si="22"/>
        <v>0</v>
      </c>
      <c r="V157" s="17">
        <f t="shared" si="23"/>
        <v>0</v>
      </c>
      <c r="W157" s="17">
        <f t="shared" si="24"/>
        <v>0</v>
      </c>
      <c r="X157" s="17">
        <f t="shared" si="25"/>
        <v>0</v>
      </c>
      <c r="Y157" s="19" t="e">
        <f t="shared" si="26"/>
        <v>#DIV/0!</v>
      </c>
      <c r="Z157">
        <v>1575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f t="shared" si="27"/>
        <v>0</v>
      </c>
      <c r="BF157">
        <v>1575</v>
      </c>
      <c r="BG157">
        <v>1575</v>
      </c>
      <c r="BH157" t="s">
        <v>190</v>
      </c>
      <c r="BI157" t="s">
        <v>524</v>
      </c>
      <c r="BJ157">
        <v>0</v>
      </c>
      <c r="BK157">
        <v>0</v>
      </c>
      <c r="BL157">
        <v>1575</v>
      </c>
      <c r="BM157">
        <v>972</v>
      </c>
      <c r="BN157">
        <v>0</v>
      </c>
      <c r="BO157">
        <v>0</v>
      </c>
      <c r="BP157">
        <v>0</v>
      </c>
      <c r="BQ157">
        <v>972</v>
      </c>
      <c r="BR157">
        <f t="shared" si="28"/>
        <v>0</v>
      </c>
      <c r="BS157">
        <f t="shared" si="29"/>
        <v>216</v>
      </c>
    </row>
    <row r="158" spans="1:74" x14ac:dyDescent="0.25">
      <c r="A158" s="5" t="s">
        <v>207</v>
      </c>
      <c r="B158" s="5" t="s">
        <v>61</v>
      </c>
      <c r="C158" s="5" t="s">
        <v>359</v>
      </c>
      <c r="D158" s="1" t="s">
        <v>119</v>
      </c>
      <c r="E158">
        <v>0</v>
      </c>
      <c r="F158">
        <v>100</v>
      </c>
      <c r="G158">
        <v>0</v>
      </c>
      <c r="H158">
        <v>0</v>
      </c>
      <c r="I158">
        <v>0</v>
      </c>
      <c r="J158">
        <v>216</v>
      </c>
      <c r="K158">
        <v>34</v>
      </c>
      <c r="L158">
        <v>0</v>
      </c>
      <c r="M158">
        <v>0</v>
      </c>
      <c r="N158">
        <v>0</v>
      </c>
      <c r="O158">
        <v>0</v>
      </c>
      <c r="P158">
        <v>189</v>
      </c>
      <c r="Q158">
        <v>21</v>
      </c>
      <c r="R158">
        <v>21</v>
      </c>
      <c r="S158" s="18">
        <f t="shared" si="20"/>
        <v>9</v>
      </c>
      <c r="T158" s="17">
        <f t="shared" si="21"/>
        <v>0</v>
      </c>
      <c r="U158" s="17">
        <f t="shared" si="22"/>
        <v>0</v>
      </c>
      <c r="V158" s="17">
        <f t="shared" si="23"/>
        <v>0</v>
      </c>
      <c r="W158" s="17">
        <f t="shared" si="24"/>
        <v>21</v>
      </c>
      <c r="X158" s="17">
        <f t="shared" si="25"/>
        <v>0</v>
      </c>
      <c r="Y158" s="19" t="e">
        <f t="shared" si="26"/>
        <v>#DIV/0!</v>
      </c>
      <c r="Z158">
        <v>100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216</v>
      </c>
      <c r="AL158">
        <v>216</v>
      </c>
      <c r="AM158">
        <v>0</v>
      </c>
      <c r="AN158">
        <v>0</v>
      </c>
      <c r="AO158">
        <v>34</v>
      </c>
      <c r="AP158">
        <v>0</v>
      </c>
      <c r="AQ158">
        <v>34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f t="shared" si="27"/>
        <v>500</v>
      </c>
      <c r="BF158">
        <v>350</v>
      </c>
      <c r="BG158">
        <v>350</v>
      </c>
      <c r="BH158" t="s">
        <v>190</v>
      </c>
      <c r="BI158" t="s">
        <v>525</v>
      </c>
      <c r="BJ158">
        <v>0</v>
      </c>
      <c r="BK158">
        <v>250</v>
      </c>
      <c r="BL158">
        <v>350</v>
      </c>
      <c r="BM158">
        <v>0</v>
      </c>
      <c r="BN158">
        <v>0</v>
      </c>
      <c r="BO158">
        <v>0</v>
      </c>
      <c r="BP158">
        <v>439</v>
      </c>
      <c r="BQ158">
        <v>439</v>
      </c>
      <c r="BR158">
        <f t="shared" si="28"/>
        <v>0</v>
      </c>
      <c r="BS158">
        <f t="shared" si="29"/>
        <v>42</v>
      </c>
    </row>
    <row r="159" spans="1:74" x14ac:dyDescent="0.25">
      <c r="A159" s="5" t="s">
        <v>1451</v>
      </c>
      <c r="B159" s="5" t="s">
        <v>61</v>
      </c>
      <c r="C159" s="5" t="s">
        <v>627</v>
      </c>
      <c r="D159" s="1" t="s">
        <v>71</v>
      </c>
      <c r="E159">
        <v>0</v>
      </c>
      <c r="F159">
        <v>28048</v>
      </c>
      <c r="G159">
        <v>0</v>
      </c>
      <c r="H159">
        <v>0</v>
      </c>
      <c r="I159">
        <v>3224</v>
      </c>
      <c r="J159">
        <v>0</v>
      </c>
      <c r="K159">
        <v>105</v>
      </c>
      <c r="L159">
        <v>0</v>
      </c>
      <c r="M159">
        <v>0</v>
      </c>
      <c r="N159">
        <v>32364</v>
      </c>
      <c r="O159">
        <v>0</v>
      </c>
      <c r="P159">
        <v>0</v>
      </c>
      <c r="Q159">
        <v>3596</v>
      </c>
      <c r="R159">
        <v>3596</v>
      </c>
      <c r="S159" s="18">
        <f t="shared" si="20"/>
        <v>9</v>
      </c>
      <c r="T159" s="17">
        <f t="shared" si="21"/>
        <v>0</v>
      </c>
      <c r="U159" s="17">
        <f t="shared" si="22"/>
        <v>3596</v>
      </c>
      <c r="V159" s="17">
        <f t="shared" si="23"/>
        <v>0</v>
      </c>
      <c r="W159" s="17">
        <f t="shared" si="24"/>
        <v>0</v>
      </c>
      <c r="X159" s="17">
        <f t="shared" si="25"/>
        <v>0</v>
      </c>
      <c r="Y159" s="19" t="e">
        <f t="shared" si="26"/>
        <v>#DIV/0!</v>
      </c>
      <c r="Z159">
        <v>28048</v>
      </c>
      <c r="AA159">
        <v>0</v>
      </c>
      <c r="AB159">
        <v>0</v>
      </c>
      <c r="AC159">
        <v>0</v>
      </c>
      <c r="AD159">
        <v>0</v>
      </c>
      <c r="AE159">
        <v>3224</v>
      </c>
      <c r="AF159">
        <v>0</v>
      </c>
      <c r="AG159">
        <v>0</v>
      </c>
      <c r="AH159">
        <v>3224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105</v>
      </c>
      <c r="AP159">
        <v>105</v>
      </c>
      <c r="AQ159">
        <v>105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f t="shared" si="27"/>
        <v>6763</v>
      </c>
      <c r="BF159">
        <v>31377</v>
      </c>
      <c r="BG159">
        <v>31377</v>
      </c>
      <c r="BH159" t="s">
        <v>63</v>
      </c>
      <c r="BI159" t="s">
        <v>1513</v>
      </c>
      <c r="BJ159">
        <v>0</v>
      </c>
      <c r="BK159">
        <v>3329</v>
      </c>
      <c r="BL159">
        <v>31377</v>
      </c>
      <c r="BM159">
        <v>0</v>
      </c>
      <c r="BN159">
        <v>35588</v>
      </c>
      <c r="BO159">
        <v>0</v>
      </c>
      <c r="BP159">
        <v>105</v>
      </c>
      <c r="BQ159">
        <v>35693</v>
      </c>
      <c r="BR159">
        <f t="shared" si="28"/>
        <v>0</v>
      </c>
      <c r="BS159">
        <f t="shared" si="29"/>
        <v>7192</v>
      </c>
      <c r="BU159">
        <f>R159*9</f>
        <v>32364</v>
      </c>
      <c r="BV159">
        <f>IF(BU159&gt;BG159, 1, 0)</f>
        <v>1</v>
      </c>
    </row>
    <row r="160" spans="1:74" x14ac:dyDescent="0.25">
      <c r="A160" s="5" t="s">
        <v>2090</v>
      </c>
      <c r="B160" s="5" t="s">
        <v>359</v>
      </c>
      <c r="C160" s="5" t="s">
        <v>61</v>
      </c>
      <c r="D160" s="1" t="s">
        <v>67</v>
      </c>
      <c r="E160">
        <v>0</v>
      </c>
      <c r="F160">
        <v>9000</v>
      </c>
      <c r="G160">
        <v>0</v>
      </c>
      <c r="H160">
        <v>0</v>
      </c>
      <c r="I160">
        <v>3000</v>
      </c>
      <c r="J160">
        <v>2600</v>
      </c>
      <c r="K160">
        <v>2200</v>
      </c>
      <c r="L160">
        <v>350</v>
      </c>
      <c r="M160">
        <v>0</v>
      </c>
      <c r="N160">
        <v>0</v>
      </c>
      <c r="O160">
        <v>0</v>
      </c>
      <c r="P160">
        <v>25650</v>
      </c>
      <c r="Q160">
        <v>2850</v>
      </c>
      <c r="R160">
        <v>2850</v>
      </c>
      <c r="S160" s="18">
        <f t="shared" si="20"/>
        <v>9</v>
      </c>
      <c r="T160" s="17">
        <f t="shared" si="21"/>
        <v>0</v>
      </c>
      <c r="U160" s="17">
        <f t="shared" si="22"/>
        <v>0</v>
      </c>
      <c r="V160" s="17">
        <f t="shared" si="23"/>
        <v>0</v>
      </c>
      <c r="W160" s="17">
        <f t="shared" si="24"/>
        <v>2850</v>
      </c>
      <c r="X160" s="17">
        <f t="shared" si="25"/>
        <v>0</v>
      </c>
      <c r="Y160" s="19" t="e">
        <f t="shared" si="26"/>
        <v>#DIV/0!</v>
      </c>
      <c r="Z160">
        <v>9000</v>
      </c>
      <c r="AA160">
        <v>0</v>
      </c>
      <c r="AB160">
        <v>0</v>
      </c>
      <c r="AC160">
        <v>40</v>
      </c>
      <c r="AD160">
        <v>0</v>
      </c>
      <c r="AE160">
        <v>0</v>
      </c>
      <c r="AF160">
        <v>0</v>
      </c>
      <c r="AG160">
        <v>3000</v>
      </c>
      <c r="AH160">
        <v>3000</v>
      </c>
      <c r="AI160">
        <v>0</v>
      </c>
      <c r="AJ160">
        <v>0</v>
      </c>
      <c r="AK160">
        <v>2600</v>
      </c>
      <c r="AL160">
        <v>2600</v>
      </c>
      <c r="AM160">
        <v>0</v>
      </c>
      <c r="AN160">
        <v>0</v>
      </c>
      <c r="AO160">
        <v>2200</v>
      </c>
      <c r="AP160">
        <v>1000</v>
      </c>
      <c r="AQ160">
        <v>2200</v>
      </c>
      <c r="AR160">
        <v>1200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350</v>
      </c>
      <c r="BA160">
        <v>350</v>
      </c>
      <c r="BB160">
        <v>0</v>
      </c>
      <c r="BC160">
        <v>0</v>
      </c>
      <c r="BD160">
        <v>0</v>
      </c>
      <c r="BE160">
        <f t="shared" si="27"/>
        <v>18540</v>
      </c>
      <c r="BF160">
        <v>17190</v>
      </c>
      <c r="BG160">
        <v>17190</v>
      </c>
      <c r="BH160" t="s">
        <v>63</v>
      </c>
      <c r="BI160" t="s">
        <v>2282</v>
      </c>
      <c r="BJ160">
        <v>40</v>
      </c>
      <c r="BK160">
        <v>8150</v>
      </c>
      <c r="BL160">
        <v>17190</v>
      </c>
      <c r="BM160">
        <v>0</v>
      </c>
      <c r="BN160">
        <v>0</v>
      </c>
      <c r="BO160">
        <v>0</v>
      </c>
      <c r="BP160">
        <v>33800</v>
      </c>
      <c r="BQ160">
        <v>33800</v>
      </c>
      <c r="BR160">
        <f t="shared" si="28"/>
        <v>0</v>
      </c>
      <c r="BS160">
        <f t="shared" si="29"/>
        <v>5700</v>
      </c>
      <c r="BU160">
        <f>R160*9</f>
        <v>25650</v>
      </c>
      <c r="BV160">
        <f>IF(BU160&gt;BG160, 1, 0)</f>
        <v>1</v>
      </c>
    </row>
    <row r="161" spans="1:74" x14ac:dyDescent="0.25">
      <c r="A161" s="5" t="s">
        <v>1135</v>
      </c>
      <c r="B161" s="5" t="s">
        <v>61</v>
      </c>
      <c r="C161" s="5" t="s">
        <v>61</v>
      </c>
      <c r="D161" s="1" t="s">
        <v>84</v>
      </c>
      <c r="E161">
        <v>0</v>
      </c>
      <c r="F161">
        <v>15308</v>
      </c>
      <c r="G161">
        <v>0</v>
      </c>
      <c r="H161">
        <v>0</v>
      </c>
      <c r="I161">
        <v>4000</v>
      </c>
      <c r="J161">
        <v>7300</v>
      </c>
      <c r="K161">
        <v>2200</v>
      </c>
      <c r="L161">
        <v>850</v>
      </c>
      <c r="M161">
        <v>0</v>
      </c>
      <c r="N161">
        <v>0</v>
      </c>
      <c r="O161">
        <v>0</v>
      </c>
      <c r="P161">
        <v>24282</v>
      </c>
      <c r="Q161">
        <v>2860</v>
      </c>
      <c r="R161">
        <v>2698</v>
      </c>
      <c r="S161" s="18">
        <f t="shared" si="20"/>
        <v>9</v>
      </c>
      <c r="T161" s="17">
        <f t="shared" si="21"/>
        <v>0</v>
      </c>
      <c r="U161" s="17">
        <f t="shared" si="22"/>
        <v>0</v>
      </c>
      <c r="V161" s="17">
        <f t="shared" si="23"/>
        <v>0</v>
      </c>
      <c r="W161" s="17">
        <f t="shared" si="24"/>
        <v>2698</v>
      </c>
      <c r="X161" s="17">
        <f t="shared" si="25"/>
        <v>162</v>
      </c>
      <c r="Y161" s="19">
        <f t="shared" si="26"/>
        <v>0</v>
      </c>
      <c r="Z161">
        <v>15308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4000</v>
      </c>
      <c r="AH161">
        <v>4000</v>
      </c>
      <c r="AI161">
        <v>0</v>
      </c>
      <c r="AJ161">
        <v>7300</v>
      </c>
      <c r="AK161">
        <v>0</v>
      </c>
      <c r="AL161">
        <v>7300</v>
      </c>
      <c r="AM161">
        <v>0</v>
      </c>
      <c r="AN161">
        <v>0</v>
      </c>
      <c r="AO161">
        <v>2200</v>
      </c>
      <c r="AP161">
        <v>2200</v>
      </c>
      <c r="AQ161">
        <v>2200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850</v>
      </c>
      <c r="BA161">
        <v>850</v>
      </c>
      <c r="BB161">
        <v>0</v>
      </c>
      <c r="BC161">
        <v>0</v>
      </c>
      <c r="BD161">
        <v>0</v>
      </c>
      <c r="BE161">
        <f t="shared" si="27"/>
        <v>30900</v>
      </c>
      <c r="BF161">
        <v>29658</v>
      </c>
      <c r="BG161">
        <v>29658</v>
      </c>
      <c r="BH161" t="s">
        <v>543</v>
      </c>
      <c r="BI161" t="s">
        <v>1144</v>
      </c>
      <c r="BJ161">
        <v>0</v>
      </c>
      <c r="BK161">
        <v>14350</v>
      </c>
      <c r="BL161">
        <v>29658</v>
      </c>
      <c r="BM161">
        <v>0</v>
      </c>
      <c r="BN161">
        <v>7300</v>
      </c>
      <c r="BO161">
        <v>0</v>
      </c>
      <c r="BP161">
        <v>31332</v>
      </c>
      <c r="BQ161">
        <v>38632</v>
      </c>
      <c r="BR161">
        <f t="shared" si="28"/>
        <v>-162</v>
      </c>
      <c r="BS161">
        <f t="shared" si="29"/>
        <v>5558</v>
      </c>
      <c r="BU161">
        <f>R161*9</f>
        <v>24282</v>
      </c>
      <c r="BV161">
        <f>IF(BU161&gt;BG161, 1, 0)</f>
        <v>0</v>
      </c>
    </row>
    <row r="162" spans="1:74" x14ac:dyDescent="0.25">
      <c r="A162" s="5" t="s">
        <v>207</v>
      </c>
      <c r="B162" s="5" t="s">
        <v>207</v>
      </c>
      <c r="C162" s="5" t="s">
        <v>61</v>
      </c>
      <c r="D162" s="1" t="s">
        <v>75</v>
      </c>
      <c r="E162">
        <v>0</v>
      </c>
      <c r="F162">
        <v>367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367</v>
      </c>
      <c r="N162">
        <v>0</v>
      </c>
      <c r="O162">
        <v>0</v>
      </c>
      <c r="P162">
        <v>0</v>
      </c>
      <c r="Q162">
        <v>367</v>
      </c>
      <c r="R162">
        <v>367</v>
      </c>
      <c r="S162" s="18">
        <f t="shared" si="20"/>
        <v>1</v>
      </c>
      <c r="T162" s="17">
        <f t="shared" si="21"/>
        <v>367</v>
      </c>
      <c r="U162" s="17">
        <f t="shared" si="22"/>
        <v>0</v>
      </c>
      <c r="V162" s="17">
        <f t="shared" si="23"/>
        <v>0</v>
      </c>
      <c r="W162" s="17">
        <f t="shared" si="24"/>
        <v>0</v>
      </c>
      <c r="X162" s="17">
        <f t="shared" si="25"/>
        <v>0</v>
      </c>
      <c r="Y162" s="19" t="e">
        <f t="shared" si="26"/>
        <v>#DIV/0!</v>
      </c>
      <c r="Z162">
        <v>367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f t="shared" si="27"/>
        <v>0</v>
      </c>
      <c r="BF162">
        <v>367</v>
      </c>
      <c r="BG162">
        <v>367</v>
      </c>
      <c r="BH162" t="s">
        <v>546</v>
      </c>
      <c r="BI162" t="s">
        <v>547</v>
      </c>
      <c r="BJ162">
        <v>0</v>
      </c>
      <c r="BK162">
        <v>0</v>
      </c>
      <c r="BL162">
        <v>367</v>
      </c>
      <c r="BM162">
        <v>367</v>
      </c>
      <c r="BN162">
        <v>0</v>
      </c>
      <c r="BO162">
        <v>0</v>
      </c>
      <c r="BP162">
        <v>0</v>
      </c>
      <c r="BQ162">
        <v>367</v>
      </c>
      <c r="BR162">
        <f t="shared" si="28"/>
        <v>0</v>
      </c>
      <c r="BS162">
        <f t="shared" si="29"/>
        <v>734</v>
      </c>
    </row>
    <row r="163" spans="1:74" x14ac:dyDescent="0.25">
      <c r="A163" s="5" t="s">
        <v>207</v>
      </c>
      <c r="B163" s="5" t="s">
        <v>207</v>
      </c>
      <c r="C163" s="5" t="s">
        <v>61</v>
      </c>
      <c r="D163" s="1" t="s">
        <v>77</v>
      </c>
      <c r="E163">
        <v>0</v>
      </c>
      <c r="F163">
        <v>1500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702</v>
      </c>
      <c r="N163">
        <v>0</v>
      </c>
      <c r="O163">
        <v>0</v>
      </c>
      <c r="P163">
        <v>0</v>
      </c>
      <c r="Q163">
        <v>78</v>
      </c>
      <c r="R163">
        <v>78</v>
      </c>
      <c r="S163" s="18">
        <f t="shared" si="20"/>
        <v>9</v>
      </c>
      <c r="T163" s="17">
        <f t="shared" si="21"/>
        <v>78</v>
      </c>
      <c r="U163" s="17">
        <f t="shared" si="22"/>
        <v>0</v>
      </c>
      <c r="V163" s="17">
        <f t="shared" si="23"/>
        <v>0</v>
      </c>
      <c r="W163" s="17">
        <f t="shared" si="24"/>
        <v>0</v>
      </c>
      <c r="X163" s="17">
        <f t="shared" si="25"/>
        <v>0</v>
      </c>
      <c r="Y163" s="19" t="e">
        <f t="shared" si="26"/>
        <v>#DIV/0!</v>
      </c>
      <c r="Z163">
        <v>1500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f t="shared" si="27"/>
        <v>0</v>
      </c>
      <c r="BF163">
        <v>1500</v>
      </c>
      <c r="BG163">
        <v>1500</v>
      </c>
      <c r="BH163" t="s">
        <v>546</v>
      </c>
      <c r="BI163" t="s">
        <v>548</v>
      </c>
      <c r="BJ163">
        <v>0</v>
      </c>
      <c r="BK163">
        <v>0</v>
      </c>
      <c r="BL163">
        <v>1500</v>
      </c>
      <c r="BM163">
        <v>702</v>
      </c>
      <c r="BN163">
        <v>0</v>
      </c>
      <c r="BO163">
        <v>0</v>
      </c>
      <c r="BP163">
        <v>0</v>
      </c>
      <c r="BQ163">
        <v>702</v>
      </c>
      <c r="BR163">
        <f t="shared" si="28"/>
        <v>0</v>
      </c>
      <c r="BS163">
        <f t="shared" si="29"/>
        <v>156</v>
      </c>
    </row>
    <row r="164" spans="1:74" x14ac:dyDescent="0.25">
      <c r="A164" s="5" t="s">
        <v>207</v>
      </c>
      <c r="B164" s="5" t="s">
        <v>207</v>
      </c>
      <c r="C164" s="5" t="s">
        <v>61</v>
      </c>
      <c r="D164" s="1" t="s">
        <v>79</v>
      </c>
      <c r="E164">
        <v>0</v>
      </c>
      <c r="F164">
        <v>3389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1170</v>
      </c>
      <c r="Q164">
        <v>130</v>
      </c>
      <c r="R164">
        <v>130</v>
      </c>
      <c r="S164" s="18">
        <f t="shared" si="20"/>
        <v>9</v>
      </c>
      <c r="T164" s="17">
        <f t="shared" si="21"/>
        <v>0</v>
      </c>
      <c r="U164" s="17">
        <f t="shared" si="22"/>
        <v>0</v>
      </c>
      <c r="V164" s="17">
        <f t="shared" si="23"/>
        <v>0</v>
      </c>
      <c r="W164" s="17">
        <f t="shared" si="24"/>
        <v>130</v>
      </c>
      <c r="X164" s="17">
        <f t="shared" si="25"/>
        <v>0</v>
      </c>
      <c r="Y164" s="19" t="e">
        <f t="shared" si="26"/>
        <v>#DIV/0!</v>
      </c>
      <c r="Z164">
        <v>3389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f t="shared" si="27"/>
        <v>0</v>
      </c>
      <c r="BF164">
        <v>3389</v>
      </c>
      <c r="BG164">
        <v>3389</v>
      </c>
      <c r="BH164" t="s">
        <v>546</v>
      </c>
      <c r="BI164" t="s">
        <v>549</v>
      </c>
      <c r="BJ164">
        <v>0</v>
      </c>
      <c r="BK164">
        <v>0</v>
      </c>
      <c r="BL164">
        <v>3389</v>
      </c>
      <c r="BM164">
        <v>0</v>
      </c>
      <c r="BN164">
        <v>0</v>
      </c>
      <c r="BO164">
        <v>0</v>
      </c>
      <c r="BP164">
        <v>1170</v>
      </c>
      <c r="BQ164">
        <v>1170</v>
      </c>
      <c r="BR164">
        <f t="shared" si="28"/>
        <v>0</v>
      </c>
      <c r="BS164">
        <f t="shared" si="29"/>
        <v>260</v>
      </c>
    </row>
    <row r="165" spans="1:74" x14ac:dyDescent="0.25">
      <c r="A165" s="5" t="s">
        <v>207</v>
      </c>
      <c r="B165" s="5" t="s">
        <v>207</v>
      </c>
      <c r="C165" s="5" t="s">
        <v>61</v>
      </c>
      <c r="D165" s="1" t="s">
        <v>81</v>
      </c>
      <c r="E165">
        <v>0</v>
      </c>
      <c r="F165">
        <v>600</v>
      </c>
      <c r="G165">
        <v>0</v>
      </c>
      <c r="H165">
        <v>0</v>
      </c>
      <c r="I165">
        <v>86</v>
      </c>
      <c r="J165">
        <v>0</v>
      </c>
      <c r="K165">
        <v>0</v>
      </c>
      <c r="L165">
        <v>0</v>
      </c>
      <c r="M165">
        <v>686</v>
      </c>
      <c r="N165">
        <v>0</v>
      </c>
      <c r="O165">
        <v>0</v>
      </c>
      <c r="P165">
        <v>0</v>
      </c>
      <c r="Q165">
        <v>80</v>
      </c>
      <c r="R165">
        <v>80</v>
      </c>
      <c r="S165" s="18">
        <f t="shared" si="20"/>
        <v>8.5749999999999993</v>
      </c>
      <c r="T165" s="17">
        <f t="shared" si="21"/>
        <v>80</v>
      </c>
      <c r="U165" s="17">
        <f t="shared" si="22"/>
        <v>0</v>
      </c>
      <c r="V165" s="17">
        <f t="shared" si="23"/>
        <v>0</v>
      </c>
      <c r="W165" s="17">
        <f t="shared" si="24"/>
        <v>0</v>
      </c>
      <c r="X165" s="17">
        <f t="shared" si="25"/>
        <v>0</v>
      </c>
      <c r="Y165" s="19" t="e">
        <f t="shared" si="26"/>
        <v>#DIV/0!</v>
      </c>
      <c r="Z165">
        <v>600</v>
      </c>
      <c r="AA165">
        <v>0</v>
      </c>
      <c r="AB165">
        <v>0</v>
      </c>
      <c r="AC165">
        <v>0</v>
      </c>
      <c r="AD165">
        <v>86</v>
      </c>
      <c r="AE165">
        <v>0</v>
      </c>
      <c r="AF165">
        <v>0</v>
      </c>
      <c r="AG165">
        <v>0</v>
      </c>
      <c r="AH165">
        <v>86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f t="shared" si="27"/>
        <v>172</v>
      </c>
      <c r="BF165">
        <v>686</v>
      </c>
      <c r="BG165">
        <v>686</v>
      </c>
      <c r="BH165" t="s">
        <v>546</v>
      </c>
      <c r="BI165" t="s">
        <v>550</v>
      </c>
      <c r="BJ165">
        <v>0</v>
      </c>
      <c r="BK165">
        <v>86</v>
      </c>
      <c r="BL165">
        <v>686</v>
      </c>
      <c r="BM165">
        <v>772</v>
      </c>
      <c r="BN165">
        <v>0</v>
      </c>
      <c r="BO165">
        <v>0</v>
      </c>
      <c r="BP165">
        <v>0</v>
      </c>
      <c r="BQ165">
        <v>772</v>
      </c>
      <c r="BR165">
        <f t="shared" si="28"/>
        <v>0</v>
      </c>
      <c r="BS165">
        <f t="shared" si="29"/>
        <v>160</v>
      </c>
    </row>
    <row r="166" spans="1:74" x14ac:dyDescent="0.25">
      <c r="A166" s="5" t="s">
        <v>207</v>
      </c>
      <c r="B166" s="5" t="s">
        <v>207</v>
      </c>
      <c r="C166" s="5" t="s">
        <v>61</v>
      </c>
      <c r="D166" s="1" t="s">
        <v>84</v>
      </c>
      <c r="E166">
        <v>0</v>
      </c>
      <c r="F166">
        <v>1500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1500</v>
      </c>
      <c r="N166">
        <v>0</v>
      </c>
      <c r="O166">
        <v>0</v>
      </c>
      <c r="P166">
        <v>0</v>
      </c>
      <c r="Q166">
        <v>715</v>
      </c>
      <c r="R166">
        <v>715</v>
      </c>
      <c r="S166" s="18">
        <f t="shared" si="20"/>
        <v>2.0979020979020979</v>
      </c>
      <c r="T166" s="17">
        <f t="shared" si="21"/>
        <v>715</v>
      </c>
      <c r="U166" s="17">
        <f t="shared" si="22"/>
        <v>0</v>
      </c>
      <c r="V166" s="17">
        <f t="shared" si="23"/>
        <v>0</v>
      </c>
      <c r="W166" s="17">
        <f t="shared" si="24"/>
        <v>0</v>
      </c>
      <c r="X166" s="17">
        <f t="shared" si="25"/>
        <v>0</v>
      </c>
      <c r="Y166" s="19" t="e">
        <f t="shared" si="26"/>
        <v>#DIV/0!</v>
      </c>
      <c r="Z166">
        <v>1500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f t="shared" si="27"/>
        <v>0</v>
      </c>
      <c r="BF166">
        <v>1500</v>
      </c>
      <c r="BG166">
        <v>1500</v>
      </c>
      <c r="BH166" t="s">
        <v>546</v>
      </c>
      <c r="BI166" t="s">
        <v>551</v>
      </c>
      <c r="BJ166">
        <v>0</v>
      </c>
      <c r="BK166">
        <v>0</v>
      </c>
      <c r="BL166">
        <v>1500</v>
      </c>
      <c r="BM166">
        <v>1500</v>
      </c>
      <c r="BN166">
        <v>0</v>
      </c>
      <c r="BO166">
        <v>0</v>
      </c>
      <c r="BP166">
        <v>0</v>
      </c>
      <c r="BQ166">
        <v>1500</v>
      </c>
      <c r="BR166">
        <f t="shared" si="28"/>
        <v>0</v>
      </c>
      <c r="BS166">
        <f t="shared" si="29"/>
        <v>1430</v>
      </c>
    </row>
    <row r="167" spans="1:74" x14ac:dyDescent="0.25">
      <c r="A167" s="5" t="s">
        <v>207</v>
      </c>
      <c r="B167" s="5" t="s">
        <v>207</v>
      </c>
      <c r="C167" s="5" t="s">
        <v>61</v>
      </c>
      <c r="D167" s="1" t="s">
        <v>90</v>
      </c>
      <c r="E167">
        <v>0</v>
      </c>
      <c r="F167">
        <v>1300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612</v>
      </c>
      <c r="N167">
        <v>0</v>
      </c>
      <c r="O167">
        <v>0</v>
      </c>
      <c r="P167">
        <v>0</v>
      </c>
      <c r="Q167">
        <v>68</v>
      </c>
      <c r="R167">
        <v>68</v>
      </c>
      <c r="S167" s="18">
        <f t="shared" si="20"/>
        <v>9</v>
      </c>
      <c r="T167" s="17">
        <f t="shared" si="21"/>
        <v>68</v>
      </c>
      <c r="U167" s="17">
        <f t="shared" si="22"/>
        <v>0</v>
      </c>
      <c r="V167" s="17">
        <f t="shared" si="23"/>
        <v>0</v>
      </c>
      <c r="W167" s="17">
        <f t="shared" si="24"/>
        <v>0</v>
      </c>
      <c r="X167" s="17">
        <f t="shared" si="25"/>
        <v>0</v>
      </c>
      <c r="Y167" s="19" t="e">
        <f t="shared" si="26"/>
        <v>#DIV/0!</v>
      </c>
      <c r="Z167">
        <v>1300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f t="shared" si="27"/>
        <v>0</v>
      </c>
      <c r="BF167">
        <v>1300</v>
      </c>
      <c r="BG167">
        <v>1300</v>
      </c>
      <c r="BH167" t="s">
        <v>546</v>
      </c>
      <c r="BI167" t="s">
        <v>554</v>
      </c>
      <c r="BJ167">
        <v>0</v>
      </c>
      <c r="BK167">
        <v>0</v>
      </c>
      <c r="BL167">
        <v>1300</v>
      </c>
      <c r="BM167">
        <v>612</v>
      </c>
      <c r="BN167">
        <v>0</v>
      </c>
      <c r="BO167">
        <v>0</v>
      </c>
      <c r="BP167">
        <v>0</v>
      </c>
      <c r="BQ167">
        <v>612</v>
      </c>
      <c r="BR167">
        <f t="shared" si="28"/>
        <v>0</v>
      </c>
      <c r="BS167">
        <f t="shared" si="29"/>
        <v>136</v>
      </c>
    </row>
    <row r="168" spans="1:74" x14ac:dyDescent="0.25">
      <c r="A168" s="5" t="s">
        <v>207</v>
      </c>
      <c r="B168" s="5" t="s">
        <v>207</v>
      </c>
      <c r="C168" s="5" t="s">
        <v>61</v>
      </c>
      <c r="D168" s="1" t="s">
        <v>92</v>
      </c>
      <c r="E168">
        <v>0</v>
      </c>
      <c r="F168">
        <v>3200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711</v>
      </c>
      <c r="N168">
        <v>0</v>
      </c>
      <c r="O168">
        <v>0</v>
      </c>
      <c r="P168">
        <v>0</v>
      </c>
      <c r="Q168">
        <v>79</v>
      </c>
      <c r="R168">
        <v>79</v>
      </c>
      <c r="S168" s="18">
        <f t="shared" si="20"/>
        <v>9</v>
      </c>
      <c r="T168" s="17">
        <f t="shared" si="21"/>
        <v>79</v>
      </c>
      <c r="U168" s="17">
        <f t="shared" si="22"/>
        <v>0</v>
      </c>
      <c r="V168" s="17">
        <f t="shared" si="23"/>
        <v>0</v>
      </c>
      <c r="W168" s="17">
        <f t="shared" si="24"/>
        <v>0</v>
      </c>
      <c r="X168" s="17">
        <f t="shared" si="25"/>
        <v>0</v>
      </c>
      <c r="Y168" s="19" t="e">
        <f t="shared" si="26"/>
        <v>#DIV/0!</v>
      </c>
      <c r="Z168">
        <v>3200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f t="shared" si="27"/>
        <v>0</v>
      </c>
      <c r="BF168">
        <v>3200</v>
      </c>
      <c r="BG168">
        <v>3200</v>
      </c>
      <c r="BH168" t="s">
        <v>546</v>
      </c>
      <c r="BI168" t="s">
        <v>555</v>
      </c>
      <c r="BJ168">
        <v>0</v>
      </c>
      <c r="BK168">
        <v>0</v>
      </c>
      <c r="BL168">
        <v>3200</v>
      </c>
      <c r="BM168">
        <v>711</v>
      </c>
      <c r="BN168">
        <v>0</v>
      </c>
      <c r="BO168">
        <v>0</v>
      </c>
      <c r="BP168">
        <v>0</v>
      </c>
      <c r="BQ168">
        <v>711</v>
      </c>
      <c r="BR168">
        <f t="shared" si="28"/>
        <v>0</v>
      </c>
      <c r="BS168">
        <f t="shared" si="29"/>
        <v>158</v>
      </c>
    </row>
    <row r="169" spans="1:74" x14ac:dyDescent="0.25">
      <c r="A169" s="5" t="s">
        <v>207</v>
      </c>
      <c r="B169" s="5" t="s">
        <v>207</v>
      </c>
      <c r="C169" s="5" t="s">
        <v>61</v>
      </c>
      <c r="D169" s="1" t="s">
        <v>94</v>
      </c>
      <c r="E169">
        <v>0</v>
      </c>
      <c r="F169">
        <v>57500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7470</v>
      </c>
      <c r="N169">
        <v>0</v>
      </c>
      <c r="O169">
        <v>0</v>
      </c>
      <c r="P169">
        <v>0</v>
      </c>
      <c r="Q169">
        <v>830</v>
      </c>
      <c r="R169">
        <v>830</v>
      </c>
      <c r="S169" s="18">
        <f t="shared" si="20"/>
        <v>9</v>
      </c>
      <c r="T169" s="17">
        <f t="shared" si="21"/>
        <v>830</v>
      </c>
      <c r="U169" s="17">
        <f t="shared" si="22"/>
        <v>0</v>
      </c>
      <c r="V169" s="17">
        <f t="shared" si="23"/>
        <v>0</v>
      </c>
      <c r="W169" s="17">
        <f t="shared" si="24"/>
        <v>0</v>
      </c>
      <c r="X169" s="17">
        <f t="shared" si="25"/>
        <v>0</v>
      </c>
      <c r="Y169" s="19" t="e">
        <f t="shared" si="26"/>
        <v>#DIV/0!</v>
      </c>
      <c r="Z169">
        <v>57500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f t="shared" si="27"/>
        <v>0</v>
      </c>
      <c r="BF169">
        <v>57500</v>
      </c>
      <c r="BG169">
        <v>57500</v>
      </c>
      <c r="BH169" t="s">
        <v>546</v>
      </c>
      <c r="BI169" t="s">
        <v>556</v>
      </c>
      <c r="BJ169">
        <v>0</v>
      </c>
      <c r="BK169">
        <v>0</v>
      </c>
      <c r="BL169">
        <v>57500</v>
      </c>
      <c r="BM169">
        <v>7470</v>
      </c>
      <c r="BN169">
        <v>0</v>
      </c>
      <c r="BO169">
        <v>0</v>
      </c>
      <c r="BP169">
        <v>0</v>
      </c>
      <c r="BQ169">
        <v>7470</v>
      </c>
      <c r="BR169">
        <f t="shared" si="28"/>
        <v>0</v>
      </c>
      <c r="BS169">
        <f t="shared" si="29"/>
        <v>1660</v>
      </c>
    </row>
    <row r="170" spans="1:74" x14ac:dyDescent="0.25">
      <c r="A170" s="5" t="s">
        <v>207</v>
      </c>
      <c r="B170" s="5" t="s">
        <v>207</v>
      </c>
      <c r="C170" s="5" t="s">
        <v>61</v>
      </c>
      <c r="D170" s="1" t="s">
        <v>96</v>
      </c>
      <c r="E170">
        <v>0</v>
      </c>
      <c r="F170">
        <v>93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837</v>
      </c>
      <c r="N170">
        <v>0</v>
      </c>
      <c r="O170">
        <v>0</v>
      </c>
      <c r="P170">
        <v>0</v>
      </c>
      <c r="Q170">
        <v>93</v>
      </c>
      <c r="R170">
        <v>93</v>
      </c>
      <c r="S170" s="18">
        <f t="shared" si="20"/>
        <v>9</v>
      </c>
      <c r="T170" s="17">
        <f t="shared" si="21"/>
        <v>93</v>
      </c>
      <c r="U170" s="17">
        <f t="shared" si="22"/>
        <v>0</v>
      </c>
      <c r="V170" s="17">
        <f t="shared" si="23"/>
        <v>0</v>
      </c>
      <c r="W170" s="17">
        <f t="shared" si="24"/>
        <v>0</v>
      </c>
      <c r="X170" s="17">
        <f t="shared" si="25"/>
        <v>0</v>
      </c>
      <c r="Y170" s="19" t="e">
        <f t="shared" si="26"/>
        <v>#DIV/0!</v>
      </c>
      <c r="Z170">
        <v>93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f t="shared" si="27"/>
        <v>0</v>
      </c>
      <c r="BF170">
        <v>93</v>
      </c>
      <c r="BG170">
        <v>93</v>
      </c>
      <c r="BH170" t="s">
        <v>109</v>
      </c>
      <c r="BI170" t="s">
        <v>557</v>
      </c>
      <c r="BJ170">
        <v>0</v>
      </c>
      <c r="BK170">
        <v>0</v>
      </c>
      <c r="BL170">
        <v>93</v>
      </c>
      <c r="BM170">
        <v>837</v>
      </c>
      <c r="BN170">
        <v>0</v>
      </c>
      <c r="BO170">
        <v>0</v>
      </c>
      <c r="BP170">
        <v>0</v>
      </c>
      <c r="BQ170">
        <v>837</v>
      </c>
      <c r="BR170">
        <f t="shared" si="28"/>
        <v>0</v>
      </c>
      <c r="BS170">
        <f t="shared" si="29"/>
        <v>186</v>
      </c>
    </row>
    <row r="171" spans="1:74" x14ac:dyDescent="0.25">
      <c r="A171" s="5" t="s">
        <v>207</v>
      </c>
      <c r="B171" s="5" t="s">
        <v>207</v>
      </c>
      <c r="C171" s="5" t="s">
        <v>61</v>
      </c>
      <c r="D171" s="1" t="s">
        <v>98</v>
      </c>
      <c r="E171">
        <v>0</v>
      </c>
      <c r="F171">
        <v>90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810</v>
      </c>
      <c r="N171">
        <v>0</v>
      </c>
      <c r="O171">
        <v>0</v>
      </c>
      <c r="P171">
        <v>0</v>
      </c>
      <c r="Q171">
        <v>90</v>
      </c>
      <c r="R171">
        <v>90</v>
      </c>
      <c r="S171" s="18">
        <f t="shared" si="20"/>
        <v>9</v>
      </c>
      <c r="T171" s="17">
        <f t="shared" si="21"/>
        <v>90</v>
      </c>
      <c r="U171" s="17">
        <f t="shared" si="22"/>
        <v>0</v>
      </c>
      <c r="V171" s="17">
        <f t="shared" si="23"/>
        <v>0</v>
      </c>
      <c r="W171" s="17">
        <f t="shared" si="24"/>
        <v>0</v>
      </c>
      <c r="X171" s="17">
        <f t="shared" si="25"/>
        <v>0</v>
      </c>
      <c r="Y171" s="19" t="e">
        <f t="shared" si="26"/>
        <v>#DIV/0!</v>
      </c>
      <c r="Z171">
        <v>90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f t="shared" si="27"/>
        <v>0</v>
      </c>
      <c r="BF171">
        <v>90</v>
      </c>
      <c r="BG171">
        <v>90</v>
      </c>
      <c r="BH171" t="s">
        <v>109</v>
      </c>
      <c r="BI171" t="s">
        <v>558</v>
      </c>
      <c r="BJ171">
        <v>0</v>
      </c>
      <c r="BK171">
        <v>0</v>
      </c>
      <c r="BL171">
        <v>90</v>
      </c>
      <c r="BM171">
        <v>810</v>
      </c>
      <c r="BN171">
        <v>0</v>
      </c>
      <c r="BO171">
        <v>0</v>
      </c>
      <c r="BP171">
        <v>0</v>
      </c>
      <c r="BQ171">
        <v>810</v>
      </c>
      <c r="BR171">
        <f t="shared" si="28"/>
        <v>0</v>
      </c>
      <c r="BS171">
        <f t="shared" si="29"/>
        <v>180</v>
      </c>
    </row>
    <row r="172" spans="1:74" x14ac:dyDescent="0.25">
      <c r="A172" s="5" t="s">
        <v>207</v>
      </c>
      <c r="B172" s="5" t="s">
        <v>207</v>
      </c>
      <c r="C172" s="5" t="s">
        <v>61</v>
      </c>
      <c r="D172" s="1" t="s">
        <v>100</v>
      </c>
      <c r="E172">
        <v>0</v>
      </c>
      <c r="F172">
        <v>86</v>
      </c>
      <c r="G172">
        <v>0</v>
      </c>
      <c r="H172">
        <v>0</v>
      </c>
      <c r="I172">
        <v>25</v>
      </c>
      <c r="J172">
        <v>0</v>
      </c>
      <c r="K172">
        <v>0</v>
      </c>
      <c r="L172">
        <v>0</v>
      </c>
      <c r="M172">
        <v>774</v>
      </c>
      <c r="N172">
        <v>0</v>
      </c>
      <c r="O172">
        <v>0</v>
      </c>
      <c r="P172">
        <v>0</v>
      </c>
      <c r="Q172">
        <v>86</v>
      </c>
      <c r="R172">
        <v>86</v>
      </c>
      <c r="S172" s="18">
        <f t="shared" si="20"/>
        <v>9</v>
      </c>
      <c r="T172" s="17">
        <f t="shared" si="21"/>
        <v>86</v>
      </c>
      <c r="U172" s="17">
        <f t="shared" si="22"/>
        <v>0</v>
      </c>
      <c r="V172" s="17">
        <f t="shared" si="23"/>
        <v>0</v>
      </c>
      <c r="W172" s="17">
        <f t="shared" si="24"/>
        <v>0</v>
      </c>
      <c r="X172" s="17">
        <f t="shared" si="25"/>
        <v>0</v>
      </c>
      <c r="Y172" s="19" t="e">
        <f t="shared" si="26"/>
        <v>#DIV/0!</v>
      </c>
      <c r="Z172">
        <v>86</v>
      </c>
      <c r="AA172">
        <v>0</v>
      </c>
      <c r="AB172">
        <v>0</v>
      </c>
      <c r="AC172">
        <v>0</v>
      </c>
      <c r="AD172">
        <v>25</v>
      </c>
      <c r="AE172">
        <v>0</v>
      </c>
      <c r="AF172">
        <v>0</v>
      </c>
      <c r="AG172">
        <v>0</v>
      </c>
      <c r="AH172">
        <v>25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f t="shared" si="27"/>
        <v>50</v>
      </c>
      <c r="BF172">
        <v>111</v>
      </c>
      <c r="BG172">
        <v>111</v>
      </c>
      <c r="BH172" t="s">
        <v>109</v>
      </c>
      <c r="BI172" t="s">
        <v>559</v>
      </c>
      <c r="BJ172">
        <v>0</v>
      </c>
      <c r="BK172">
        <v>25</v>
      </c>
      <c r="BL172">
        <v>111</v>
      </c>
      <c r="BM172">
        <v>799</v>
      </c>
      <c r="BN172">
        <v>0</v>
      </c>
      <c r="BO172">
        <v>0</v>
      </c>
      <c r="BP172">
        <v>0</v>
      </c>
      <c r="BQ172">
        <v>799</v>
      </c>
      <c r="BR172">
        <f t="shared" si="28"/>
        <v>0</v>
      </c>
      <c r="BS172">
        <f t="shared" si="29"/>
        <v>172</v>
      </c>
    </row>
    <row r="173" spans="1:74" x14ac:dyDescent="0.25">
      <c r="A173" s="5" t="s">
        <v>207</v>
      </c>
      <c r="B173" s="5" t="s">
        <v>207</v>
      </c>
      <c r="C173" s="5" t="s">
        <v>61</v>
      </c>
      <c r="D173" s="1" t="s">
        <v>102</v>
      </c>
      <c r="E173">
        <v>0</v>
      </c>
      <c r="F173">
        <v>32537</v>
      </c>
      <c r="G173">
        <v>0</v>
      </c>
      <c r="H173">
        <v>0</v>
      </c>
      <c r="I173">
        <v>2730</v>
      </c>
      <c r="J173">
        <v>0</v>
      </c>
      <c r="K173">
        <v>630</v>
      </c>
      <c r="L173">
        <v>0</v>
      </c>
      <c r="M173">
        <v>0</v>
      </c>
      <c r="N173">
        <v>7524</v>
      </c>
      <c r="O173">
        <v>0</v>
      </c>
      <c r="P173">
        <v>15867</v>
      </c>
      <c r="Q173">
        <v>2599</v>
      </c>
      <c r="R173">
        <v>2599</v>
      </c>
      <c r="S173" s="18">
        <f t="shared" si="20"/>
        <v>9</v>
      </c>
      <c r="T173" s="17">
        <f t="shared" si="21"/>
        <v>0</v>
      </c>
      <c r="U173" s="17">
        <f t="shared" si="22"/>
        <v>836</v>
      </c>
      <c r="V173" s="17">
        <f t="shared" si="23"/>
        <v>0</v>
      </c>
      <c r="W173" s="17">
        <f t="shared" si="24"/>
        <v>1763</v>
      </c>
      <c r="X173" s="17">
        <f t="shared" si="25"/>
        <v>0</v>
      </c>
      <c r="Y173" s="19" t="e">
        <f t="shared" si="26"/>
        <v>#DIV/0!</v>
      </c>
      <c r="Z173">
        <v>32537</v>
      </c>
      <c r="AA173">
        <v>0</v>
      </c>
      <c r="AB173">
        <v>0</v>
      </c>
      <c r="AC173">
        <v>0</v>
      </c>
      <c r="AD173">
        <v>0</v>
      </c>
      <c r="AE173">
        <v>2078</v>
      </c>
      <c r="AF173">
        <v>0</v>
      </c>
      <c r="AG173">
        <v>652</v>
      </c>
      <c r="AH173">
        <v>2730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630</v>
      </c>
      <c r="AO173">
        <v>0</v>
      </c>
      <c r="AP173">
        <v>630</v>
      </c>
      <c r="AQ173">
        <v>630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f t="shared" si="27"/>
        <v>7350</v>
      </c>
      <c r="BF173">
        <v>35897</v>
      </c>
      <c r="BG173">
        <v>35897</v>
      </c>
      <c r="BH173" t="s">
        <v>560</v>
      </c>
      <c r="BI173" t="s">
        <v>561</v>
      </c>
      <c r="BJ173">
        <v>0</v>
      </c>
      <c r="BK173">
        <v>3360</v>
      </c>
      <c r="BL173">
        <v>35897</v>
      </c>
      <c r="BM173">
        <v>0</v>
      </c>
      <c r="BN173">
        <v>10232</v>
      </c>
      <c r="BO173">
        <v>0</v>
      </c>
      <c r="BP173">
        <v>16519</v>
      </c>
      <c r="BQ173">
        <v>26751</v>
      </c>
      <c r="BR173">
        <f t="shared" si="28"/>
        <v>0</v>
      </c>
      <c r="BS173">
        <f t="shared" si="29"/>
        <v>5198</v>
      </c>
    </row>
    <row r="174" spans="1:74" x14ac:dyDescent="0.25">
      <c r="A174" s="5" t="s">
        <v>207</v>
      </c>
      <c r="B174" s="5" t="s">
        <v>207</v>
      </c>
      <c r="C174" s="5" t="s">
        <v>61</v>
      </c>
      <c r="D174" s="1" t="s">
        <v>104</v>
      </c>
      <c r="E174">
        <v>0</v>
      </c>
      <c r="F174">
        <v>47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423</v>
      </c>
      <c r="N174">
        <v>0</v>
      </c>
      <c r="O174">
        <v>0</v>
      </c>
      <c r="P174">
        <v>0</v>
      </c>
      <c r="Q174">
        <v>47</v>
      </c>
      <c r="R174">
        <v>47</v>
      </c>
      <c r="S174" s="18">
        <f t="shared" si="20"/>
        <v>9</v>
      </c>
      <c r="T174" s="17">
        <f t="shared" si="21"/>
        <v>47</v>
      </c>
      <c r="U174" s="17">
        <f t="shared" si="22"/>
        <v>0</v>
      </c>
      <c r="V174" s="17">
        <f t="shared" si="23"/>
        <v>0</v>
      </c>
      <c r="W174" s="17">
        <f t="shared" si="24"/>
        <v>0</v>
      </c>
      <c r="X174" s="17">
        <f t="shared" si="25"/>
        <v>0</v>
      </c>
      <c r="Y174" s="19" t="e">
        <f t="shared" si="26"/>
        <v>#DIV/0!</v>
      </c>
      <c r="Z174">
        <v>47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f t="shared" si="27"/>
        <v>0</v>
      </c>
      <c r="BF174">
        <v>47</v>
      </c>
      <c r="BG174">
        <v>47</v>
      </c>
      <c r="BH174" t="s">
        <v>109</v>
      </c>
      <c r="BI174" t="s">
        <v>562</v>
      </c>
      <c r="BJ174">
        <v>0</v>
      </c>
      <c r="BK174">
        <v>0</v>
      </c>
      <c r="BL174">
        <v>47</v>
      </c>
      <c r="BM174">
        <v>423</v>
      </c>
      <c r="BN174">
        <v>0</v>
      </c>
      <c r="BO174">
        <v>0</v>
      </c>
      <c r="BP174">
        <v>0</v>
      </c>
      <c r="BQ174">
        <v>423</v>
      </c>
      <c r="BR174">
        <f t="shared" si="28"/>
        <v>0</v>
      </c>
      <c r="BS174">
        <f t="shared" si="29"/>
        <v>94</v>
      </c>
    </row>
    <row r="175" spans="1:74" x14ac:dyDescent="0.25">
      <c r="A175" s="5" t="s">
        <v>207</v>
      </c>
      <c r="B175" s="5" t="s">
        <v>207</v>
      </c>
      <c r="C175" s="5" t="s">
        <v>61</v>
      </c>
      <c r="D175" s="1" t="s">
        <v>106</v>
      </c>
      <c r="E175">
        <v>0</v>
      </c>
      <c r="F175">
        <v>258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2322</v>
      </c>
      <c r="N175">
        <v>0</v>
      </c>
      <c r="O175">
        <v>0</v>
      </c>
      <c r="P175">
        <v>0</v>
      </c>
      <c r="Q175">
        <v>258</v>
      </c>
      <c r="R175">
        <v>258</v>
      </c>
      <c r="S175" s="18">
        <f t="shared" si="20"/>
        <v>9</v>
      </c>
      <c r="T175" s="17">
        <f t="shared" si="21"/>
        <v>258</v>
      </c>
      <c r="U175" s="17">
        <f t="shared" si="22"/>
        <v>0</v>
      </c>
      <c r="V175" s="17">
        <f t="shared" si="23"/>
        <v>0</v>
      </c>
      <c r="W175" s="17">
        <f t="shared" si="24"/>
        <v>0</v>
      </c>
      <c r="X175" s="17">
        <f t="shared" si="25"/>
        <v>0</v>
      </c>
      <c r="Y175" s="19" t="e">
        <f t="shared" si="26"/>
        <v>#DIV/0!</v>
      </c>
      <c r="Z175">
        <v>258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f t="shared" si="27"/>
        <v>0</v>
      </c>
      <c r="BF175">
        <v>258</v>
      </c>
      <c r="BG175">
        <v>258</v>
      </c>
      <c r="BH175" t="s">
        <v>109</v>
      </c>
      <c r="BI175" t="s">
        <v>563</v>
      </c>
      <c r="BJ175">
        <v>0</v>
      </c>
      <c r="BK175">
        <v>0</v>
      </c>
      <c r="BL175">
        <v>258</v>
      </c>
      <c r="BM175">
        <v>2322</v>
      </c>
      <c r="BN175">
        <v>0</v>
      </c>
      <c r="BO175">
        <v>0</v>
      </c>
      <c r="BP175">
        <v>0</v>
      </c>
      <c r="BQ175">
        <v>2322</v>
      </c>
      <c r="BR175">
        <f t="shared" si="28"/>
        <v>0</v>
      </c>
      <c r="BS175">
        <f t="shared" si="29"/>
        <v>516</v>
      </c>
    </row>
    <row r="176" spans="1:74" x14ac:dyDescent="0.25">
      <c r="A176" s="5" t="s">
        <v>207</v>
      </c>
      <c r="B176" s="5" t="s">
        <v>207</v>
      </c>
      <c r="C176" s="5" t="s">
        <v>61</v>
      </c>
      <c r="D176" s="1" t="s">
        <v>108</v>
      </c>
      <c r="E176">
        <v>0</v>
      </c>
      <c r="F176">
        <v>42</v>
      </c>
      <c r="G176">
        <v>0</v>
      </c>
      <c r="H176">
        <v>0</v>
      </c>
      <c r="I176">
        <v>60</v>
      </c>
      <c r="J176">
        <v>0</v>
      </c>
      <c r="K176">
        <v>0</v>
      </c>
      <c r="L176">
        <v>0</v>
      </c>
      <c r="M176">
        <v>378</v>
      </c>
      <c r="N176">
        <v>0</v>
      </c>
      <c r="O176">
        <v>0</v>
      </c>
      <c r="P176">
        <v>0</v>
      </c>
      <c r="Q176">
        <v>42</v>
      </c>
      <c r="R176">
        <v>42</v>
      </c>
      <c r="S176" s="18">
        <f t="shared" si="20"/>
        <v>9</v>
      </c>
      <c r="T176" s="17">
        <f t="shared" si="21"/>
        <v>42</v>
      </c>
      <c r="U176" s="17">
        <f t="shared" si="22"/>
        <v>0</v>
      </c>
      <c r="V176" s="17">
        <f t="shared" si="23"/>
        <v>0</v>
      </c>
      <c r="W176" s="17">
        <f t="shared" si="24"/>
        <v>0</v>
      </c>
      <c r="X176" s="17">
        <f t="shared" si="25"/>
        <v>0</v>
      </c>
      <c r="Y176" s="19" t="e">
        <f t="shared" si="26"/>
        <v>#DIV/0!</v>
      </c>
      <c r="Z176">
        <v>42</v>
      </c>
      <c r="AA176">
        <v>0</v>
      </c>
      <c r="AB176">
        <v>0</v>
      </c>
      <c r="AC176">
        <v>0</v>
      </c>
      <c r="AD176">
        <v>60</v>
      </c>
      <c r="AE176">
        <v>0</v>
      </c>
      <c r="AF176">
        <v>0</v>
      </c>
      <c r="AG176">
        <v>0</v>
      </c>
      <c r="AH176">
        <v>60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f t="shared" si="27"/>
        <v>120</v>
      </c>
      <c r="BF176">
        <v>102</v>
      </c>
      <c r="BG176">
        <v>102</v>
      </c>
      <c r="BH176" t="s">
        <v>109</v>
      </c>
      <c r="BI176" t="s">
        <v>564</v>
      </c>
      <c r="BJ176">
        <v>0</v>
      </c>
      <c r="BK176">
        <v>60</v>
      </c>
      <c r="BL176">
        <v>102</v>
      </c>
      <c r="BM176">
        <v>438</v>
      </c>
      <c r="BN176">
        <v>0</v>
      </c>
      <c r="BO176">
        <v>0</v>
      </c>
      <c r="BP176">
        <v>0</v>
      </c>
      <c r="BQ176">
        <v>438</v>
      </c>
      <c r="BR176">
        <f t="shared" si="28"/>
        <v>0</v>
      </c>
      <c r="BS176">
        <f t="shared" si="29"/>
        <v>84</v>
      </c>
    </row>
    <row r="177" spans="1:74" x14ac:dyDescent="0.25">
      <c r="A177" s="5" t="s">
        <v>207</v>
      </c>
      <c r="B177" s="5" t="s">
        <v>207</v>
      </c>
      <c r="C177" s="5" t="s">
        <v>61</v>
      </c>
      <c r="D177" s="1" t="s">
        <v>111</v>
      </c>
      <c r="E177">
        <v>0</v>
      </c>
      <c r="F177">
        <v>39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351</v>
      </c>
      <c r="N177">
        <v>0</v>
      </c>
      <c r="O177">
        <v>0</v>
      </c>
      <c r="P177">
        <v>0</v>
      </c>
      <c r="Q177">
        <v>39</v>
      </c>
      <c r="R177">
        <v>39</v>
      </c>
      <c r="S177" s="18">
        <f t="shared" si="20"/>
        <v>9</v>
      </c>
      <c r="T177" s="17">
        <f t="shared" si="21"/>
        <v>39</v>
      </c>
      <c r="U177" s="17">
        <f t="shared" si="22"/>
        <v>0</v>
      </c>
      <c r="V177" s="17">
        <f t="shared" si="23"/>
        <v>0</v>
      </c>
      <c r="W177" s="17">
        <f t="shared" si="24"/>
        <v>0</v>
      </c>
      <c r="X177" s="17">
        <f t="shared" si="25"/>
        <v>0</v>
      </c>
      <c r="Y177" s="19" t="e">
        <f t="shared" si="26"/>
        <v>#DIV/0!</v>
      </c>
      <c r="Z177">
        <v>39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f t="shared" si="27"/>
        <v>0</v>
      </c>
      <c r="BF177">
        <v>39</v>
      </c>
      <c r="BG177">
        <v>39</v>
      </c>
      <c r="BH177" t="s">
        <v>109</v>
      </c>
      <c r="BI177" t="s">
        <v>565</v>
      </c>
      <c r="BJ177">
        <v>0</v>
      </c>
      <c r="BK177">
        <v>0</v>
      </c>
      <c r="BL177">
        <v>39</v>
      </c>
      <c r="BM177">
        <v>351</v>
      </c>
      <c r="BN177">
        <v>0</v>
      </c>
      <c r="BO177">
        <v>0</v>
      </c>
      <c r="BP177">
        <v>0</v>
      </c>
      <c r="BQ177">
        <v>351</v>
      </c>
      <c r="BR177">
        <f t="shared" si="28"/>
        <v>0</v>
      </c>
      <c r="BS177">
        <f t="shared" si="29"/>
        <v>78</v>
      </c>
    </row>
    <row r="178" spans="1:74" x14ac:dyDescent="0.25">
      <c r="A178" s="5" t="s">
        <v>207</v>
      </c>
      <c r="B178" s="5" t="s">
        <v>207</v>
      </c>
      <c r="C178" s="5" t="s">
        <v>61</v>
      </c>
      <c r="D178" s="1" t="s">
        <v>113</v>
      </c>
      <c r="E178">
        <v>0</v>
      </c>
      <c r="F178">
        <v>236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2124</v>
      </c>
      <c r="N178">
        <v>0</v>
      </c>
      <c r="O178">
        <v>0</v>
      </c>
      <c r="P178">
        <v>0</v>
      </c>
      <c r="Q178">
        <v>236</v>
      </c>
      <c r="R178">
        <v>236</v>
      </c>
      <c r="S178" s="18">
        <f t="shared" si="20"/>
        <v>9</v>
      </c>
      <c r="T178" s="17">
        <f t="shared" si="21"/>
        <v>236</v>
      </c>
      <c r="U178" s="17">
        <f t="shared" si="22"/>
        <v>0</v>
      </c>
      <c r="V178" s="17">
        <f t="shared" si="23"/>
        <v>0</v>
      </c>
      <c r="W178" s="17">
        <f t="shared" si="24"/>
        <v>0</v>
      </c>
      <c r="X178" s="17">
        <f t="shared" si="25"/>
        <v>0</v>
      </c>
      <c r="Y178" s="19" t="e">
        <f t="shared" si="26"/>
        <v>#DIV/0!</v>
      </c>
      <c r="Z178">
        <v>236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f t="shared" si="27"/>
        <v>0</v>
      </c>
      <c r="BF178">
        <v>236</v>
      </c>
      <c r="BG178">
        <v>236</v>
      </c>
      <c r="BH178" t="s">
        <v>109</v>
      </c>
      <c r="BI178" t="s">
        <v>566</v>
      </c>
      <c r="BJ178">
        <v>0</v>
      </c>
      <c r="BK178">
        <v>0</v>
      </c>
      <c r="BL178">
        <v>236</v>
      </c>
      <c r="BM178">
        <v>2124</v>
      </c>
      <c r="BN178">
        <v>0</v>
      </c>
      <c r="BO178">
        <v>0</v>
      </c>
      <c r="BP178">
        <v>0</v>
      </c>
      <c r="BQ178">
        <v>2124</v>
      </c>
      <c r="BR178">
        <f t="shared" si="28"/>
        <v>0</v>
      </c>
      <c r="BS178">
        <f t="shared" si="29"/>
        <v>472</v>
      </c>
    </row>
    <row r="179" spans="1:74" x14ac:dyDescent="0.25">
      <c r="A179" s="5" t="s">
        <v>207</v>
      </c>
      <c r="B179" s="5" t="s">
        <v>207</v>
      </c>
      <c r="C179" s="5" t="s">
        <v>61</v>
      </c>
      <c r="D179" s="1" t="s">
        <v>115</v>
      </c>
      <c r="E179">
        <v>0</v>
      </c>
      <c r="F179">
        <v>55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495</v>
      </c>
      <c r="N179">
        <v>0</v>
      </c>
      <c r="O179">
        <v>0</v>
      </c>
      <c r="P179">
        <v>0</v>
      </c>
      <c r="Q179">
        <v>55</v>
      </c>
      <c r="R179">
        <v>55</v>
      </c>
      <c r="S179" s="18">
        <f t="shared" si="20"/>
        <v>9</v>
      </c>
      <c r="T179" s="17">
        <f t="shared" si="21"/>
        <v>55</v>
      </c>
      <c r="U179" s="17">
        <f t="shared" si="22"/>
        <v>0</v>
      </c>
      <c r="V179" s="17">
        <f t="shared" si="23"/>
        <v>0</v>
      </c>
      <c r="W179" s="17">
        <f t="shared" si="24"/>
        <v>0</v>
      </c>
      <c r="X179" s="17">
        <f t="shared" si="25"/>
        <v>0</v>
      </c>
      <c r="Y179" s="19" t="e">
        <f t="shared" si="26"/>
        <v>#DIV/0!</v>
      </c>
      <c r="Z179">
        <v>55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f t="shared" si="27"/>
        <v>0</v>
      </c>
      <c r="BF179">
        <v>55</v>
      </c>
      <c r="BG179">
        <v>55</v>
      </c>
      <c r="BH179" t="s">
        <v>109</v>
      </c>
      <c r="BI179" t="s">
        <v>567</v>
      </c>
      <c r="BJ179">
        <v>0</v>
      </c>
      <c r="BK179">
        <v>0</v>
      </c>
      <c r="BL179">
        <v>55</v>
      </c>
      <c r="BM179">
        <v>495</v>
      </c>
      <c r="BN179">
        <v>0</v>
      </c>
      <c r="BO179">
        <v>0</v>
      </c>
      <c r="BP179">
        <v>0</v>
      </c>
      <c r="BQ179">
        <v>495</v>
      </c>
      <c r="BR179">
        <f t="shared" si="28"/>
        <v>0</v>
      </c>
      <c r="BS179">
        <f t="shared" si="29"/>
        <v>110</v>
      </c>
    </row>
    <row r="180" spans="1:74" x14ac:dyDescent="0.25">
      <c r="A180" s="5" t="s">
        <v>207</v>
      </c>
      <c r="B180" s="5" t="s">
        <v>207</v>
      </c>
      <c r="C180" s="5" t="s">
        <v>61</v>
      </c>
      <c r="D180" s="1" t="s">
        <v>121</v>
      </c>
      <c r="E180">
        <v>0</v>
      </c>
      <c r="F180">
        <v>81</v>
      </c>
      <c r="G180">
        <v>0</v>
      </c>
      <c r="H180">
        <v>0</v>
      </c>
      <c r="I180">
        <v>0</v>
      </c>
      <c r="J180">
        <v>420</v>
      </c>
      <c r="K180">
        <v>0</v>
      </c>
      <c r="L180">
        <v>0</v>
      </c>
      <c r="M180">
        <v>729</v>
      </c>
      <c r="N180">
        <v>0</v>
      </c>
      <c r="O180">
        <v>0</v>
      </c>
      <c r="P180">
        <v>0</v>
      </c>
      <c r="Q180">
        <v>81</v>
      </c>
      <c r="R180">
        <v>81</v>
      </c>
      <c r="S180" s="18">
        <f t="shared" si="20"/>
        <v>9</v>
      </c>
      <c r="T180" s="17">
        <f t="shared" si="21"/>
        <v>81</v>
      </c>
      <c r="U180" s="17">
        <f t="shared" si="22"/>
        <v>0</v>
      </c>
      <c r="V180" s="17">
        <f t="shared" si="23"/>
        <v>0</v>
      </c>
      <c r="W180" s="17">
        <f t="shared" si="24"/>
        <v>0</v>
      </c>
      <c r="X180" s="17">
        <f t="shared" si="25"/>
        <v>0</v>
      </c>
      <c r="Y180" s="19" t="e">
        <f t="shared" si="26"/>
        <v>#DIV/0!</v>
      </c>
      <c r="Z180">
        <v>81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420</v>
      </c>
      <c r="AL180">
        <v>420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f t="shared" si="27"/>
        <v>840</v>
      </c>
      <c r="BF180">
        <v>501</v>
      </c>
      <c r="BG180">
        <v>501</v>
      </c>
      <c r="BH180" t="s">
        <v>109</v>
      </c>
      <c r="BI180" t="s">
        <v>570</v>
      </c>
      <c r="BJ180">
        <v>0</v>
      </c>
      <c r="BK180">
        <v>420</v>
      </c>
      <c r="BL180">
        <v>501</v>
      </c>
      <c r="BM180">
        <v>729</v>
      </c>
      <c r="BN180">
        <v>0</v>
      </c>
      <c r="BO180">
        <v>0</v>
      </c>
      <c r="BP180">
        <v>420</v>
      </c>
      <c r="BQ180">
        <v>1149</v>
      </c>
      <c r="BR180">
        <f t="shared" si="28"/>
        <v>0</v>
      </c>
      <c r="BS180">
        <f t="shared" si="29"/>
        <v>162</v>
      </c>
    </row>
    <row r="181" spans="1:74" x14ac:dyDescent="0.25">
      <c r="A181" s="5" t="s">
        <v>207</v>
      </c>
      <c r="B181" s="5" t="s">
        <v>207</v>
      </c>
      <c r="C181" s="5" t="s">
        <v>61</v>
      </c>
      <c r="D181" s="1" t="s">
        <v>129</v>
      </c>
      <c r="E181">
        <v>0</v>
      </c>
      <c r="F181">
        <v>912</v>
      </c>
      <c r="G181">
        <v>1510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900</v>
      </c>
      <c r="O181">
        <v>0</v>
      </c>
      <c r="P181">
        <v>684</v>
      </c>
      <c r="Q181">
        <v>176</v>
      </c>
      <c r="R181">
        <v>176</v>
      </c>
      <c r="S181" s="18">
        <f t="shared" si="20"/>
        <v>9</v>
      </c>
      <c r="T181" s="17">
        <f t="shared" si="21"/>
        <v>0</v>
      </c>
      <c r="U181" s="17">
        <f t="shared" si="22"/>
        <v>100</v>
      </c>
      <c r="V181" s="17">
        <f t="shared" si="23"/>
        <v>0</v>
      </c>
      <c r="W181" s="17">
        <f t="shared" si="24"/>
        <v>76</v>
      </c>
      <c r="X181" s="17">
        <f t="shared" si="25"/>
        <v>0</v>
      </c>
      <c r="Y181" s="19" t="e">
        <f t="shared" si="26"/>
        <v>#DIV/0!</v>
      </c>
      <c r="Z181">
        <v>912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1510</v>
      </c>
      <c r="AT181">
        <v>0</v>
      </c>
      <c r="AU181">
        <v>1510</v>
      </c>
      <c r="AV181">
        <v>1510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f t="shared" si="27"/>
        <v>4530</v>
      </c>
      <c r="BF181">
        <v>2422</v>
      </c>
      <c r="BG181">
        <v>2422</v>
      </c>
      <c r="BH181" t="s">
        <v>560</v>
      </c>
      <c r="BI181" t="s">
        <v>574</v>
      </c>
      <c r="BJ181">
        <v>0</v>
      </c>
      <c r="BK181">
        <v>1510</v>
      </c>
      <c r="BL181">
        <v>2422</v>
      </c>
      <c r="BM181">
        <v>0</v>
      </c>
      <c r="BN181">
        <v>2410</v>
      </c>
      <c r="BO181">
        <v>0</v>
      </c>
      <c r="BP181">
        <v>684</v>
      </c>
      <c r="BQ181">
        <v>3094</v>
      </c>
      <c r="BR181">
        <f t="shared" si="28"/>
        <v>0</v>
      </c>
      <c r="BS181">
        <f t="shared" si="29"/>
        <v>352</v>
      </c>
    </row>
    <row r="182" spans="1:74" x14ac:dyDescent="0.25">
      <c r="A182" s="5" t="s">
        <v>207</v>
      </c>
      <c r="B182" s="5" t="s">
        <v>207</v>
      </c>
      <c r="C182" s="5" t="s">
        <v>61</v>
      </c>
      <c r="D182" s="1" t="s">
        <v>131</v>
      </c>
      <c r="E182">
        <v>0</v>
      </c>
      <c r="F182">
        <v>88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232</v>
      </c>
      <c r="M182">
        <v>792</v>
      </c>
      <c r="N182">
        <v>0</v>
      </c>
      <c r="O182">
        <v>0</v>
      </c>
      <c r="P182">
        <v>0</v>
      </c>
      <c r="Q182">
        <v>88</v>
      </c>
      <c r="R182">
        <v>88</v>
      </c>
      <c r="S182" s="18">
        <f t="shared" si="20"/>
        <v>9</v>
      </c>
      <c r="T182" s="17">
        <f t="shared" si="21"/>
        <v>88</v>
      </c>
      <c r="U182" s="17">
        <f t="shared" si="22"/>
        <v>0</v>
      </c>
      <c r="V182" s="17">
        <f t="shared" si="23"/>
        <v>0</v>
      </c>
      <c r="W182" s="17">
        <f t="shared" si="24"/>
        <v>0</v>
      </c>
      <c r="X182" s="17">
        <f t="shared" si="25"/>
        <v>0</v>
      </c>
      <c r="Y182" s="19" t="e">
        <f t="shared" si="26"/>
        <v>#DIV/0!</v>
      </c>
      <c r="Z182">
        <v>88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232</v>
      </c>
      <c r="AY182">
        <v>0</v>
      </c>
      <c r="AZ182">
        <v>0</v>
      </c>
      <c r="BA182">
        <v>232</v>
      </c>
      <c r="BB182">
        <v>0</v>
      </c>
      <c r="BC182">
        <v>0</v>
      </c>
      <c r="BD182">
        <v>0</v>
      </c>
      <c r="BE182">
        <f t="shared" si="27"/>
        <v>464</v>
      </c>
      <c r="BF182">
        <v>320</v>
      </c>
      <c r="BG182">
        <v>320</v>
      </c>
      <c r="BH182" t="s">
        <v>190</v>
      </c>
      <c r="BI182" t="s">
        <v>575</v>
      </c>
      <c r="BJ182">
        <v>0</v>
      </c>
      <c r="BK182">
        <v>232</v>
      </c>
      <c r="BL182">
        <v>320</v>
      </c>
      <c r="BM182">
        <v>1024</v>
      </c>
      <c r="BN182">
        <v>0</v>
      </c>
      <c r="BO182">
        <v>0</v>
      </c>
      <c r="BP182">
        <v>0</v>
      </c>
      <c r="BQ182">
        <v>1024</v>
      </c>
      <c r="BR182">
        <f t="shared" si="28"/>
        <v>0</v>
      </c>
      <c r="BS182">
        <f t="shared" si="29"/>
        <v>176</v>
      </c>
    </row>
    <row r="183" spans="1:74" x14ac:dyDescent="0.25">
      <c r="A183" s="5" t="s">
        <v>207</v>
      </c>
      <c r="B183" s="5" t="s">
        <v>207</v>
      </c>
      <c r="C183" s="5" t="s">
        <v>61</v>
      </c>
      <c r="D183" s="1" t="s">
        <v>133</v>
      </c>
      <c r="E183">
        <v>0</v>
      </c>
      <c r="F183">
        <v>8586</v>
      </c>
      <c r="G183">
        <v>0</v>
      </c>
      <c r="H183">
        <v>0</v>
      </c>
      <c r="I183">
        <v>1245</v>
      </c>
      <c r="J183">
        <v>0</v>
      </c>
      <c r="K183">
        <v>0</v>
      </c>
      <c r="L183">
        <v>0</v>
      </c>
      <c r="M183">
        <v>0</v>
      </c>
      <c r="N183">
        <v>11700</v>
      </c>
      <c r="O183">
        <v>0</v>
      </c>
      <c r="P183">
        <v>11700</v>
      </c>
      <c r="Q183">
        <v>2600</v>
      </c>
      <c r="R183">
        <v>2600</v>
      </c>
      <c r="S183" s="18">
        <f t="shared" si="20"/>
        <v>9</v>
      </c>
      <c r="T183" s="17">
        <f t="shared" si="21"/>
        <v>0</v>
      </c>
      <c r="U183" s="17">
        <f t="shared" si="22"/>
        <v>1300</v>
      </c>
      <c r="V183" s="17">
        <f t="shared" si="23"/>
        <v>0</v>
      </c>
      <c r="W183" s="17">
        <f t="shared" si="24"/>
        <v>1300</v>
      </c>
      <c r="X183" s="17">
        <f t="shared" si="25"/>
        <v>0</v>
      </c>
      <c r="Y183" s="19" t="e">
        <f t="shared" si="26"/>
        <v>#DIV/0!</v>
      </c>
      <c r="Z183">
        <v>8586</v>
      </c>
      <c r="AA183">
        <v>0</v>
      </c>
      <c r="AB183">
        <v>0</v>
      </c>
      <c r="AC183">
        <v>0</v>
      </c>
      <c r="AD183">
        <v>0</v>
      </c>
      <c r="AE183">
        <v>920</v>
      </c>
      <c r="AF183">
        <v>0</v>
      </c>
      <c r="AG183">
        <v>325</v>
      </c>
      <c r="AH183">
        <v>1245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f t="shared" si="27"/>
        <v>2490</v>
      </c>
      <c r="BF183">
        <v>9831</v>
      </c>
      <c r="BG183">
        <v>9831</v>
      </c>
      <c r="BH183" t="s">
        <v>190</v>
      </c>
      <c r="BI183" t="s">
        <v>576</v>
      </c>
      <c r="BJ183">
        <v>0</v>
      </c>
      <c r="BK183">
        <v>1245</v>
      </c>
      <c r="BL183">
        <v>9831</v>
      </c>
      <c r="BM183">
        <v>0</v>
      </c>
      <c r="BN183">
        <v>12620</v>
      </c>
      <c r="BO183">
        <v>0</v>
      </c>
      <c r="BP183">
        <v>12025</v>
      </c>
      <c r="BQ183">
        <v>24645</v>
      </c>
      <c r="BR183">
        <f t="shared" si="28"/>
        <v>0</v>
      </c>
      <c r="BS183">
        <f t="shared" si="29"/>
        <v>5200</v>
      </c>
    </row>
    <row r="184" spans="1:74" x14ac:dyDescent="0.25">
      <c r="A184" s="5" t="s">
        <v>207</v>
      </c>
      <c r="B184" s="5" t="s">
        <v>207</v>
      </c>
      <c r="C184" s="5" t="s">
        <v>61</v>
      </c>
      <c r="D184" s="1" t="s">
        <v>137</v>
      </c>
      <c r="E184">
        <v>0</v>
      </c>
      <c r="F184">
        <v>1200</v>
      </c>
      <c r="G184">
        <v>0</v>
      </c>
      <c r="H184">
        <v>0</v>
      </c>
      <c r="I184">
        <v>500</v>
      </c>
      <c r="J184">
        <v>0</v>
      </c>
      <c r="K184">
        <v>653</v>
      </c>
      <c r="L184">
        <v>0</v>
      </c>
      <c r="M184">
        <v>0</v>
      </c>
      <c r="N184">
        <v>2700</v>
      </c>
      <c r="O184">
        <v>0</v>
      </c>
      <c r="P184">
        <v>2700</v>
      </c>
      <c r="Q184">
        <v>600</v>
      </c>
      <c r="R184">
        <v>600</v>
      </c>
      <c r="S184" s="18">
        <f t="shared" si="20"/>
        <v>9</v>
      </c>
      <c r="T184" s="17">
        <f t="shared" si="21"/>
        <v>0</v>
      </c>
      <c r="U184" s="17">
        <f t="shared" si="22"/>
        <v>300</v>
      </c>
      <c r="V184" s="17">
        <f t="shared" si="23"/>
        <v>0</v>
      </c>
      <c r="W184" s="17">
        <f t="shared" si="24"/>
        <v>300</v>
      </c>
      <c r="X184" s="17">
        <f t="shared" si="25"/>
        <v>0</v>
      </c>
      <c r="Y184" s="19" t="e">
        <f t="shared" si="26"/>
        <v>#DIV/0!</v>
      </c>
      <c r="Z184">
        <v>1200</v>
      </c>
      <c r="AA184">
        <v>0</v>
      </c>
      <c r="AB184">
        <v>0</v>
      </c>
      <c r="AC184">
        <v>0</v>
      </c>
      <c r="AD184">
        <v>0</v>
      </c>
      <c r="AE184">
        <v>300</v>
      </c>
      <c r="AF184">
        <v>0</v>
      </c>
      <c r="AG184">
        <v>200</v>
      </c>
      <c r="AH184">
        <v>500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653</v>
      </c>
      <c r="AO184">
        <v>0</v>
      </c>
      <c r="AP184">
        <v>303</v>
      </c>
      <c r="AQ184">
        <v>653</v>
      </c>
      <c r="AR184">
        <v>350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f t="shared" si="27"/>
        <v>2959</v>
      </c>
      <c r="BF184">
        <v>2353</v>
      </c>
      <c r="BG184">
        <v>2353</v>
      </c>
      <c r="BH184" t="s">
        <v>199</v>
      </c>
      <c r="BI184" t="s">
        <v>578</v>
      </c>
      <c r="BJ184">
        <v>0</v>
      </c>
      <c r="BK184">
        <v>1153</v>
      </c>
      <c r="BL184">
        <v>2353</v>
      </c>
      <c r="BM184">
        <v>0</v>
      </c>
      <c r="BN184">
        <v>3653</v>
      </c>
      <c r="BO184">
        <v>0</v>
      </c>
      <c r="BP184">
        <v>2900</v>
      </c>
      <c r="BQ184">
        <v>6553</v>
      </c>
      <c r="BR184">
        <f t="shared" si="28"/>
        <v>0</v>
      </c>
      <c r="BS184">
        <f t="shared" si="29"/>
        <v>1200</v>
      </c>
    </row>
    <row r="185" spans="1:74" x14ac:dyDescent="0.25">
      <c r="A185" s="5" t="s">
        <v>207</v>
      </c>
      <c r="B185" s="5" t="s">
        <v>207</v>
      </c>
      <c r="C185" s="5" t="s">
        <v>61</v>
      </c>
      <c r="D185" s="1" t="s">
        <v>139</v>
      </c>
      <c r="E185">
        <v>0</v>
      </c>
      <c r="F185">
        <v>800</v>
      </c>
      <c r="G185">
        <v>0</v>
      </c>
      <c r="H185">
        <v>0</v>
      </c>
      <c r="I185">
        <v>121</v>
      </c>
      <c r="J185">
        <v>400</v>
      </c>
      <c r="K185">
        <v>0</v>
      </c>
      <c r="L185">
        <v>0</v>
      </c>
      <c r="M185">
        <v>1350</v>
      </c>
      <c r="N185">
        <v>0</v>
      </c>
      <c r="O185">
        <v>0</v>
      </c>
      <c r="P185">
        <v>0</v>
      </c>
      <c r="Q185">
        <v>150</v>
      </c>
      <c r="R185">
        <v>150</v>
      </c>
      <c r="S185" s="18">
        <f t="shared" si="20"/>
        <v>9</v>
      </c>
      <c r="T185" s="17">
        <f t="shared" si="21"/>
        <v>150</v>
      </c>
      <c r="U185" s="17">
        <f t="shared" si="22"/>
        <v>0</v>
      </c>
      <c r="V185" s="17">
        <f t="shared" si="23"/>
        <v>0</v>
      </c>
      <c r="W185" s="17">
        <f t="shared" si="24"/>
        <v>0</v>
      </c>
      <c r="X185" s="17">
        <f t="shared" si="25"/>
        <v>0</v>
      </c>
      <c r="Y185" s="19" t="e">
        <f t="shared" si="26"/>
        <v>#DIV/0!</v>
      </c>
      <c r="Z185">
        <v>800</v>
      </c>
      <c r="AA185">
        <v>0</v>
      </c>
      <c r="AB185">
        <v>0</v>
      </c>
      <c r="AC185">
        <v>0</v>
      </c>
      <c r="AD185">
        <v>121</v>
      </c>
      <c r="AE185">
        <v>0</v>
      </c>
      <c r="AF185">
        <v>0</v>
      </c>
      <c r="AG185">
        <v>0</v>
      </c>
      <c r="AH185">
        <v>121</v>
      </c>
      <c r="AI185">
        <v>400</v>
      </c>
      <c r="AJ185">
        <v>0</v>
      </c>
      <c r="AK185">
        <v>0</v>
      </c>
      <c r="AL185">
        <v>400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f t="shared" si="27"/>
        <v>1042</v>
      </c>
      <c r="BF185">
        <v>1321</v>
      </c>
      <c r="BG185">
        <v>1321</v>
      </c>
      <c r="BH185" t="s">
        <v>199</v>
      </c>
      <c r="BI185" t="s">
        <v>579</v>
      </c>
      <c r="BJ185">
        <v>0</v>
      </c>
      <c r="BK185">
        <v>521</v>
      </c>
      <c r="BL185">
        <v>1321</v>
      </c>
      <c r="BM185">
        <v>1871</v>
      </c>
      <c r="BN185">
        <v>0</v>
      </c>
      <c r="BO185">
        <v>0</v>
      </c>
      <c r="BP185">
        <v>0</v>
      </c>
      <c r="BQ185">
        <v>1871</v>
      </c>
      <c r="BR185">
        <f t="shared" si="28"/>
        <v>0</v>
      </c>
      <c r="BS185">
        <f t="shared" si="29"/>
        <v>300</v>
      </c>
    </row>
    <row r="186" spans="1:74" x14ac:dyDescent="0.25">
      <c r="A186" s="5" t="s">
        <v>207</v>
      </c>
      <c r="B186" s="5" t="s">
        <v>207</v>
      </c>
      <c r="C186" s="5" t="s">
        <v>61</v>
      </c>
      <c r="D186" s="1" t="s">
        <v>149</v>
      </c>
      <c r="E186">
        <v>0</v>
      </c>
      <c r="F186">
        <v>15480</v>
      </c>
      <c r="G186">
        <v>0</v>
      </c>
      <c r="H186">
        <v>0</v>
      </c>
      <c r="I186">
        <v>400</v>
      </c>
      <c r="J186">
        <v>0</v>
      </c>
      <c r="K186">
        <v>0</v>
      </c>
      <c r="L186">
        <v>0</v>
      </c>
      <c r="M186">
        <v>3150</v>
      </c>
      <c r="N186">
        <v>12600</v>
      </c>
      <c r="O186">
        <v>0</v>
      </c>
      <c r="P186">
        <v>12600</v>
      </c>
      <c r="Q186">
        <v>3150</v>
      </c>
      <c r="R186">
        <v>3150</v>
      </c>
      <c r="S186" s="18">
        <f t="shared" si="20"/>
        <v>9</v>
      </c>
      <c r="T186" s="17">
        <f t="shared" si="21"/>
        <v>350</v>
      </c>
      <c r="U186" s="17">
        <f t="shared" si="22"/>
        <v>1400</v>
      </c>
      <c r="V186" s="17">
        <f t="shared" si="23"/>
        <v>0</v>
      </c>
      <c r="W186" s="17">
        <f t="shared" si="24"/>
        <v>1400</v>
      </c>
      <c r="X186" s="17">
        <f t="shared" si="25"/>
        <v>0</v>
      </c>
      <c r="Y186" s="19" t="e">
        <f t="shared" si="26"/>
        <v>#DIV/0!</v>
      </c>
      <c r="Z186">
        <v>15480</v>
      </c>
      <c r="AA186">
        <v>0</v>
      </c>
      <c r="AB186">
        <v>0</v>
      </c>
      <c r="AC186">
        <v>0</v>
      </c>
      <c r="AD186">
        <v>400</v>
      </c>
      <c r="AE186">
        <v>0</v>
      </c>
      <c r="AF186">
        <v>0</v>
      </c>
      <c r="AG186">
        <v>0</v>
      </c>
      <c r="AH186">
        <v>400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f t="shared" si="27"/>
        <v>800</v>
      </c>
      <c r="BF186">
        <v>15880</v>
      </c>
      <c r="BG186">
        <v>15880</v>
      </c>
      <c r="BH186" t="s">
        <v>560</v>
      </c>
      <c r="BI186" t="s">
        <v>585</v>
      </c>
      <c r="BJ186">
        <v>0</v>
      </c>
      <c r="BK186">
        <v>400</v>
      </c>
      <c r="BL186">
        <v>15880</v>
      </c>
      <c r="BM186">
        <v>3550</v>
      </c>
      <c r="BN186">
        <v>12600</v>
      </c>
      <c r="BO186">
        <v>0</v>
      </c>
      <c r="BP186">
        <v>12600</v>
      </c>
      <c r="BQ186">
        <v>28750</v>
      </c>
      <c r="BR186">
        <f t="shared" si="28"/>
        <v>0</v>
      </c>
      <c r="BS186">
        <f t="shared" si="29"/>
        <v>6300</v>
      </c>
    </row>
    <row r="187" spans="1:74" x14ac:dyDescent="0.25">
      <c r="A187" s="5" t="s">
        <v>207</v>
      </c>
      <c r="B187" s="5" t="s">
        <v>207</v>
      </c>
      <c r="C187" s="5" t="s">
        <v>61</v>
      </c>
      <c r="D187" s="1" t="s">
        <v>151</v>
      </c>
      <c r="E187">
        <v>0</v>
      </c>
      <c r="F187">
        <v>8121</v>
      </c>
      <c r="G187">
        <v>0</v>
      </c>
      <c r="H187">
        <v>0</v>
      </c>
      <c r="I187">
        <v>2489</v>
      </c>
      <c r="J187">
        <v>1750</v>
      </c>
      <c r="K187">
        <v>312</v>
      </c>
      <c r="L187">
        <v>0</v>
      </c>
      <c r="M187">
        <v>0</v>
      </c>
      <c r="N187">
        <v>9000</v>
      </c>
      <c r="O187">
        <v>0</v>
      </c>
      <c r="P187">
        <v>7866</v>
      </c>
      <c r="Q187">
        <v>1874</v>
      </c>
      <c r="R187">
        <v>1874</v>
      </c>
      <c r="S187" s="18">
        <f t="shared" si="20"/>
        <v>9</v>
      </c>
      <c r="T187" s="17">
        <f t="shared" si="21"/>
        <v>0</v>
      </c>
      <c r="U187" s="17">
        <f t="shared" si="22"/>
        <v>1000</v>
      </c>
      <c r="V187" s="17">
        <f t="shared" si="23"/>
        <v>0</v>
      </c>
      <c r="W187" s="17">
        <f t="shared" si="24"/>
        <v>874</v>
      </c>
      <c r="X187" s="17">
        <f t="shared" si="25"/>
        <v>0</v>
      </c>
      <c r="Y187" s="19" t="e">
        <f t="shared" si="26"/>
        <v>#DIV/0!</v>
      </c>
      <c r="Z187">
        <v>8121</v>
      </c>
      <c r="AA187">
        <v>0</v>
      </c>
      <c r="AB187">
        <v>0</v>
      </c>
      <c r="AC187">
        <v>0</v>
      </c>
      <c r="AD187">
        <v>0</v>
      </c>
      <c r="AE187">
        <v>1639</v>
      </c>
      <c r="AF187">
        <v>0</v>
      </c>
      <c r="AG187">
        <v>850</v>
      </c>
      <c r="AH187">
        <v>2489</v>
      </c>
      <c r="AI187">
        <v>1750</v>
      </c>
      <c r="AJ187">
        <v>0</v>
      </c>
      <c r="AK187">
        <v>0</v>
      </c>
      <c r="AL187">
        <v>1750</v>
      </c>
      <c r="AM187">
        <v>0</v>
      </c>
      <c r="AN187">
        <v>0</v>
      </c>
      <c r="AO187">
        <v>312</v>
      </c>
      <c r="AP187">
        <v>0</v>
      </c>
      <c r="AQ187">
        <v>312</v>
      </c>
      <c r="AR187">
        <v>312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f t="shared" si="27"/>
        <v>9414</v>
      </c>
      <c r="BF187">
        <v>12672</v>
      </c>
      <c r="BG187">
        <v>12672</v>
      </c>
      <c r="BH187" t="s">
        <v>560</v>
      </c>
      <c r="BI187" t="s">
        <v>586</v>
      </c>
      <c r="BJ187">
        <v>0</v>
      </c>
      <c r="BK187">
        <v>4551</v>
      </c>
      <c r="BL187">
        <v>12672</v>
      </c>
      <c r="BM187">
        <v>1750</v>
      </c>
      <c r="BN187">
        <v>10639</v>
      </c>
      <c r="BO187">
        <v>0</v>
      </c>
      <c r="BP187">
        <v>9028</v>
      </c>
      <c r="BQ187">
        <v>21417</v>
      </c>
      <c r="BR187">
        <f t="shared" si="28"/>
        <v>0</v>
      </c>
      <c r="BS187">
        <f t="shared" si="29"/>
        <v>3748</v>
      </c>
    </row>
    <row r="188" spans="1:74" x14ac:dyDescent="0.25">
      <c r="A188" s="5" t="s">
        <v>1017</v>
      </c>
      <c r="B188" s="5" t="s">
        <v>207</v>
      </c>
      <c r="C188" s="5" t="s">
        <v>61</v>
      </c>
      <c r="D188" s="1" t="s">
        <v>67</v>
      </c>
      <c r="E188">
        <v>0</v>
      </c>
      <c r="F188">
        <v>30041</v>
      </c>
      <c r="G188">
        <v>0</v>
      </c>
      <c r="H188">
        <v>0</v>
      </c>
      <c r="I188">
        <v>8409</v>
      </c>
      <c r="J188">
        <v>14934</v>
      </c>
      <c r="K188">
        <v>6010</v>
      </c>
      <c r="L188">
        <v>2443</v>
      </c>
      <c r="M188">
        <v>0</v>
      </c>
      <c r="N188">
        <v>0</v>
      </c>
      <c r="O188">
        <v>0</v>
      </c>
      <c r="P188">
        <v>23040</v>
      </c>
      <c r="Q188">
        <v>3636</v>
      </c>
      <c r="R188">
        <v>2560</v>
      </c>
      <c r="S188" s="18">
        <f t="shared" si="20"/>
        <v>9</v>
      </c>
      <c r="T188" s="17">
        <f t="shared" si="21"/>
        <v>0</v>
      </c>
      <c r="U188" s="17">
        <f t="shared" si="22"/>
        <v>0</v>
      </c>
      <c r="V188" s="17">
        <f t="shared" si="23"/>
        <v>0</v>
      </c>
      <c r="W188" s="17">
        <f t="shared" si="24"/>
        <v>2560</v>
      </c>
      <c r="X188" s="17">
        <f t="shared" si="25"/>
        <v>1076</v>
      </c>
      <c r="Y188" s="19">
        <f t="shared" si="26"/>
        <v>0</v>
      </c>
      <c r="Z188">
        <v>30041</v>
      </c>
      <c r="AA188">
        <v>0</v>
      </c>
      <c r="AB188">
        <v>0</v>
      </c>
      <c r="AC188">
        <v>0</v>
      </c>
      <c r="AD188">
        <v>0</v>
      </c>
      <c r="AE188">
        <v>2743</v>
      </c>
      <c r="AF188">
        <v>0</v>
      </c>
      <c r="AG188">
        <v>5666</v>
      </c>
      <c r="AH188">
        <v>8409</v>
      </c>
      <c r="AI188">
        <v>0</v>
      </c>
      <c r="AJ188">
        <v>0</v>
      </c>
      <c r="AK188">
        <v>14934</v>
      </c>
      <c r="AL188">
        <v>14934</v>
      </c>
      <c r="AM188">
        <v>0</v>
      </c>
      <c r="AN188">
        <v>1750</v>
      </c>
      <c r="AO188">
        <v>4260</v>
      </c>
      <c r="AP188">
        <v>2070</v>
      </c>
      <c r="AQ188">
        <v>6010</v>
      </c>
      <c r="AR188">
        <v>3940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2443</v>
      </c>
      <c r="BA188">
        <v>2443</v>
      </c>
      <c r="BB188">
        <v>0</v>
      </c>
      <c r="BC188">
        <v>0</v>
      </c>
      <c r="BD188">
        <v>0</v>
      </c>
      <c r="BE188">
        <f t="shared" si="27"/>
        <v>69602</v>
      </c>
      <c r="BF188">
        <v>61837</v>
      </c>
      <c r="BG188">
        <v>61837</v>
      </c>
      <c r="BH188" t="s">
        <v>543</v>
      </c>
      <c r="BI188" t="s">
        <v>1086</v>
      </c>
      <c r="BJ188">
        <v>0</v>
      </c>
      <c r="BK188">
        <v>31796</v>
      </c>
      <c r="BL188">
        <v>61837</v>
      </c>
      <c r="BM188">
        <v>0</v>
      </c>
      <c r="BN188">
        <v>4493</v>
      </c>
      <c r="BO188">
        <v>0</v>
      </c>
      <c r="BP188">
        <v>50343</v>
      </c>
      <c r="BQ188">
        <v>54836</v>
      </c>
      <c r="BR188">
        <f t="shared" si="28"/>
        <v>-1076</v>
      </c>
      <c r="BS188">
        <f t="shared" si="29"/>
        <v>6196</v>
      </c>
      <c r="BU188">
        <f>R188*9</f>
        <v>23040</v>
      </c>
      <c r="BV188">
        <f>IF(BU188&gt;BG188, 1, 0)</f>
        <v>0</v>
      </c>
    </row>
    <row r="189" spans="1:74" x14ac:dyDescent="0.25">
      <c r="A189" s="5" t="s">
        <v>207</v>
      </c>
      <c r="B189" s="5" t="s">
        <v>207</v>
      </c>
      <c r="C189" s="5" t="s">
        <v>207</v>
      </c>
      <c r="D189" s="1" t="s">
        <v>65</v>
      </c>
      <c r="E189">
        <v>0</v>
      </c>
      <c r="F189">
        <v>920</v>
      </c>
      <c r="G189">
        <v>0</v>
      </c>
      <c r="H189">
        <v>0</v>
      </c>
      <c r="I189">
        <v>700</v>
      </c>
      <c r="J189">
        <v>0</v>
      </c>
      <c r="K189">
        <v>0</v>
      </c>
      <c r="L189">
        <v>0</v>
      </c>
      <c r="M189">
        <v>0</v>
      </c>
      <c r="N189">
        <v>693</v>
      </c>
      <c r="O189">
        <v>0</v>
      </c>
      <c r="P189">
        <v>0</v>
      </c>
      <c r="Q189">
        <v>77</v>
      </c>
      <c r="R189">
        <v>77</v>
      </c>
      <c r="S189" s="18">
        <f t="shared" si="20"/>
        <v>9</v>
      </c>
      <c r="T189" s="17">
        <f t="shared" si="21"/>
        <v>0</v>
      </c>
      <c r="U189" s="17">
        <f t="shared" si="22"/>
        <v>77</v>
      </c>
      <c r="V189" s="17">
        <f t="shared" si="23"/>
        <v>0</v>
      </c>
      <c r="W189" s="17">
        <f t="shared" si="24"/>
        <v>0</v>
      </c>
      <c r="X189" s="17">
        <f t="shared" si="25"/>
        <v>0</v>
      </c>
      <c r="Y189" s="19" t="e">
        <f t="shared" si="26"/>
        <v>#DIV/0!</v>
      </c>
      <c r="Z189">
        <v>920</v>
      </c>
      <c r="AA189">
        <v>0</v>
      </c>
      <c r="AB189">
        <v>0</v>
      </c>
      <c r="AC189">
        <v>0</v>
      </c>
      <c r="AD189">
        <v>0</v>
      </c>
      <c r="AE189">
        <v>700</v>
      </c>
      <c r="AF189">
        <v>0</v>
      </c>
      <c r="AG189">
        <v>0</v>
      </c>
      <c r="AH189">
        <v>700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f t="shared" si="27"/>
        <v>1400</v>
      </c>
      <c r="BF189">
        <v>1620</v>
      </c>
      <c r="BG189">
        <v>1620</v>
      </c>
      <c r="BH189" t="s">
        <v>109</v>
      </c>
      <c r="BI189" t="s">
        <v>588</v>
      </c>
      <c r="BJ189">
        <v>0</v>
      </c>
      <c r="BK189">
        <v>700</v>
      </c>
      <c r="BL189">
        <v>1620</v>
      </c>
      <c r="BM189">
        <v>0</v>
      </c>
      <c r="BN189">
        <v>1393</v>
      </c>
      <c r="BO189">
        <v>0</v>
      </c>
      <c r="BP189">
        <v>0</v>
      </c>
      <c r="BQ189">
        <v>1393</v>
      </c>
      <c r="BR189">
        <f t="shared" si="28"/>
        <v>0</v>
      </c>
      <c r="BS189">
        <f t="shared" si="29"/>
        <v>154</v>
      </c>
    </row>
    <row r="190" spans="1:74" x14ac:dyDescent="0.25">
      <c r="A190" s="5" t="s">
        <v>207</v>
      </c>
      <c r="B190" s="5" t="s">
        <v>207</v>
      </c>
      <c r="C190" s="5" t="s">
        <v>207</v>
      </c>
      <c r="D190" s="1" t="s">
        <v>75</v>
      </c>
      <c r="E190">
        <v>0</v>
      </c>
      <c r="F190">
        <v>12600</v>
      </c>
      <c r="G190">
        <v>0</v>
      </c>
      <c r="H190">
        <v>0</v>
      </c>
      <c r="I190">
        <v>3500</v>
      </c>
      <c r="J190">
        <v>0</v>
      </c>
      <c r="K190">
        <v>0</v>
      </c>
      <c r="L190">
        <v>0</v>
      </c>
      <c r="M190">
        <v>0</v>
      </c>
      <c r="N190">
        <v>44226</v>
      </c>
      <c r="O190">
        <v>0</v>
      </c>
      <c r="P190">
        <v>0</v>
      </c>
      <c r="Q190">
        <v>4914</v>
      </c>
      <c r="R190">
        <v>4914</v>
      </c>
      <c r="S190" s="18">
        <f t="shared" si="20"/>
        <v>9</v>
      </c>
      <c r="T190" s="17">
        <f t="shared" si="21"/>
        <v>0</v>
      </c>
      <c r="U190" s="17">
        <f t="shared" si="22"/>
        <v>4914</v>
      </c>
      <c r="V190" s="17">
        <f t="shared" si="23"/>
        <v>0</v>
      </c>
      <c r="W190" s="17">
        <f t="shared" si="24"/>
        <v>0</v>
      </c>
      <c r="X190" s="17">
        <f t="shared" si="25"/>
        <v>0</v>
      </c>
      <c r="Y190" s="19" t="e">
        <f t="shared" si="26"/>
        <v>#DIV/0!</v>
      </c>
      <c r="Z190">
        <v>12600</v>
      </c>
      <c r="AA190">
        <v>0</v>
      </c>
      <c r="AB190">
        <v>0</v>
      </c>
      <c r="AC190">
        <v>0</v>
      </c>
      <c r="AD190">
        <v>0</v>
      </c>
      <c r="AE190">
        <v>3500</v>
      </c>
      <c r="AF190">
        <v>0</v>
      </c>
      <c r="AG190">
        <v>0</v>
      </c>
      <c r="AH190">
        <v>3500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f t="shared" si="27"/>
        <v>7000</v>
      </c>
      <c r="BF190">
        <v>16100</v>
      </c>
      <c r="BG190">
        <v>16100</v>
      </c>
      <c r="BH190" t="s">
        <v>190</v>
      </c>
      <c r="BI190" t="s">
        <v>592</v>
      </c>
      <c r="BJ190">
        <v>0</v>
      </c>
      <c r="BK190">
        <v>3500</v>
      </c>
      <c r="BL190">
        <v>16100</v>
      </c>
      <c r="BM190">
        <v>0</v>
      </c>
      <c r="BN190">
        <v>47726</v>
      </c>
      <c r="BO190">
        <v>0</v>
      </c>
      <c r="BP190">
        <v>0</v>
      </c>
      <c r="BQ190">
        <v>47726</v>
      </c>
      <c r="BR190">
        <f t="shared" si="28"/>
        <v>0</v>
      </c>
      <c r="BS190">
        <f t="shared" si="29"/>
        <v>9828</v>
      </c>
    </row>
    <row r="191" spans="1:74" x14ac:dyDescent="0.25">
      <c r="A191" s="5" t="s">
        <v>207</v>
      </c>
      <c r="B191" s="5" t="s">
        <v>207</v>
      </c>
      <c r="C191" s="5" t="s">
        <v>207</v>
      </c>
      <c r="D191" s="1" t="s">
        <v>77</v>
      </c>
      <c r="E191">
        <v>0</v>
      </c>
      <c r="F191">
        <v>5000</v>
      </c>
      <c r="G191">
        <v>0</v>
      </c>
      <c r="H191">
        <v>0</v>
      </c>
      <c r="I191">
        <v>600</v>
      </c>
      <c r="J191">
        <v>0</v>
      </c>
      <c r="K191">
        <v>1000</v>
      </c>
      <c r="L191">
        <v>0</v>
      </c>
      <c r="M191">
        <v>0</v>
      </c>
      <c r="N191">
        <v>6372</v>
      </c>
      <c r="O191">
        <v>0</v>
      </c>
      <c r="P191">
        <v>0</v>
      </c>
      <c r="Q191">
        <v>708</v>
      </c>
      <c r="R191">
        <v>708</v>
      </c>
      <c r="S191" s="18">
        <f t="shared" si="20"/>
        <v>9</v>
      </c>
      <c r="T191" s="17">
        <f t="shared" si="21"/>
        <v>0</v>
      </c>
      <c r="U191" s="17">
        <f t="shared" si="22"/>
        <v>708</v>
      </c>
      <c r="V191" s="17">
        <f t="shared" si="23"/>
        <v>0</v>
      </c>
      <c r="W191" s="17">
        <f t="shared" si="24"/>
        <v>0</v>
      </c>
      <c r="X191" s="17">
        <f t="shared" si="25"/>
        <v>0</v>
      </c>
      <c r="Y191" s="19" t="e">
        <f t="shared" si="26"/>
        <v>#DIV/0!</v>
      </c>
      <c r="Z191">
        <v>5000</v>
      </c>
      <c r="AA191">
        <v>0</v>
      </c>
      <c r="AB191">
        <v>0</v>
      </c>
      <c r="AC191">
        <v>1440</v>
      </c>
      <c r="AD191">
        <v>0</v>
      </c>
      <c r="AE191">
        <v>600</v>
      </c>
      <c r="AF191">
        <v>0</v>
      </c>
      <c r="AG191">
        <v>0</v>
      </c>
      <c r="AH191">
        <v>600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1000</v>
      </c>
      <c r="AO191">
        <v>0</v>
      </c>
      <c r="AP191">
        <v>1000</v>
      </c>
      <c r="AQ191">
        <v>1000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f t="shared" si="27"/>
        <v>5640</v>
      </c>
      <c r="BF191">
        <v>8040</v>
      </c>
      <c r="BG191">
        <v>8040</v>
      </c>
      <c r="BH191" t="s">
        <v>199</v>
      </c>
      <c r="BI191" t="s">
        <v>593</v>
      </c>
      <c r="BJ191">
        <v>1440</v>
      </c>
      <c r="BK191">
        <v>1600</v>
      </c>
      <c r="BL191">
        <v>8040</v>
      </c>
      <c r="BM191">
        <v>0</v>
      </c>
      <c r="BN191">
        <v>7972</v>
      </c>
      <c r="BO191">
        <v>0</v>
      </c>
      <c r="BP191">
        <v>0</v>
      </c>
      <c r="BQ191">
        <v>7972</v>
      </c>
      <c r="BR191">
        <f t="shared" si="28"/>
        <v>0</v>
      </c>
      <c r="BS191">
        <f t="shared" si="29"/>
        <v>1416</v>
      </c>
    </row>
    <row r="192" spans="1:74" x14ac:dyDescent="0.25">
      <c r="A192" s="5" t="s">
        <v>207</v>
      </c>
      <c r="B192" s="5" t="s">
        <v>359</v>
      </c>
      <c r="C192" s="5" t="s">
        <v>61</v>
      </c>
      <c r="D192" s="1" t="s">
        <v>79</v>
      </c>
      <c r="E192">
        <v>0</v>
      </c>
      <c r="F192">
        <v>2500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2500</v>
      </c>
      <c r="N192">
        <v>0</v>
      </c>
      <c r="O192">
        <v>0</v>
      </c>
      <c r="P192">
        <v>0</v>
      </c>
      <c r="Q192">
        <v>294</v>
      </c>
      <c r="R192">
        <v>294</v>
      </c>
      <c r="S192" s="18">
        <f t="shared" si="20"/>
        <v>8.5034013605442169</v>
      </c>
      <c r="T192" s="17">
        <f t="shared" si="21"/>
        <v>294</v>
      </c>
      <c r="U192" s="17">
        <f t="shared" si="22"/>
        <v>0</v>
      </c>
      <c r="V192" s="17">
        <f t="shared" si="23"/>
        <v>0</v>
      </c>
      <c r="W192" s="17">
        <f t="shared" si="24"/>
        <v>0</v>
      </c>
      <c r="X192" s="17">
        <f t="shared" si="25"/>
        <v>0</v>
      </c>
      <c r="Y192" s="19" t="e">
        <f t="shared" si="26"/>
        <v>#DIV/0!</v>
      </c>
      <c r="Z192">
        <v>2500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f t="shared" si="27"/>
        <v>0</v>
      </c>
      <c r="BF192">
        <v>2500</v>
      </c>
      <c r="BG192">
        <v>2500</v>
      </c>
      <c r="BH192" t="s">
        <v>546</v>
      </c>
      <c r="BI192" t="s">
        <v>602</v>
      </c>
      <c r="BJ192">
        <v>0</v>
      </c>
      <c r="BK192">
        <v>0</v>
      </c>
      <c r="BL192">
        <v>2500</v>
      </c>
      <c r="BM192">
        <v>2500</v>
      </c>
      <c r="BN192">
        <v>0</v>
      </c>
      <c r="BO192">
        <v>0</v>
      </c>
      <c r="BP192">
        <v>0</v>
      </c>
      <c r="BQ192">
        <v>2500</v>
      </c>
      <c r="BR192">
        <f t="shared" si="28"/>
        <v>0</v>
      </c>
      <c r="BS192">
        <f t="shared" si="29"/>
        <v>588</v>
      </c>
    </row>
    <row r="193" spans="1:74" x14ac:dyDescent="0.25">
      <c r="A193" s="5" t="s">
        <v>207</v>
      </c>
      <c r="B193" s="5" t="s">
        <v>359</v>
      </c>
      <c r="C193" s="5" t="s">
        <v>61</v>
      </c>
      <c r="D193" s="1" t="s">
        <v>108</v>
      </c>
      <c r="E193">
        <v>0</v>
      </c>
      <c r="F193">
        <v>100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900</v>
      </c>
      <c r="N193">
        <v>0</v>
      </c>
      <c r="O193">
        <v>0</v>
      </c>
      <c r="P193">
        <v>0</v>
      </c>
      <c r="Q193">
        <v>100</v>
      </c>
      <c r="R193">
        <v>100</v>
      </c>
      <c r="S193" s="18">
        <f t="shared" si="20"/>
        <v>9</v>
      </c>
      <c r="T193" s="17">
        <f t="shared" si="21"/>
        <v>100</v>
      </c>
      <c r="U193" s="17">
        <f t="shared" si="22"/>
        <v>0</v>
      </c>
      <c r="V193" s="17">
        <f t="shared" si="23"/>
        <v>0</v>
      </c>
      <c r="W193" s="17">
        <f t="shared" si="24"/>
        <v>0</v>
      </c>
      <c r="X193" s="17">
        <f t="shared" si="25"/>
        <v>0</v>
      </c>
      <c r="Y193" s="19" t="e">
        <f t="shared" si="26"/>
        <v>#DIV/0!</v>
      </c>
      <c r="Z193">
        <v>100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f t="shared" si="27"/>
        <v>0</v>
      </c>
      <c r="BF193">
        <v>100</v>
      </c>
      <c r="BG193">
        <v>100</v>
      </c>
      <c r="BH193" t="s">
        <v>190</v>
      </c>
      <c r="BI193" t="s">
        <v>612</v>
      </c>
      <c r="BJ193">
        <v>0</v>
      </c>
      <c r="BK193">
        <v>0</v>
      </c>
      <c r="BL193">
        <v>100</v>
      </c>
      <c r="BM193">
        <v>900</v>
      </c>
      <c r="BN193">
        <v>0</v>
      </c>
      <c r="BO193">
        <v>0</v>
      </c>
      <c r="BP193">
        <v>0</v>
      </c>
      <c r="BQ193">
        <v>900</v>
      </c>
      <c r="BR193">
        <f t="shared" si="28"/>
        <v>0</v>
      </c>
      <c r="BS193">
        <f t="shared" si="29"/>
        <v>200</v>
      </c>
    </row>
    <row r="194" spans="1:74" x14ac:dyDescent="0.25">
      <c r="A194" s="5" t="s">
        <v>207</v>
      </c>
      <c r="B194" s="5" t="s">
        <v>359</v>
      </c>
      <c r="C194" s="5" t="s">
        <v>61</v>
      </c>
      <c r="D194" s="1" t="s">
        <v>127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8" t="e">
        <f t="shared" ref="S194:S257" si="30">(M194+N194+O194+P194)/R194</f>
        <v>#DIV/0!</v>
      </c>
      <c r="T194" s="17" t="e">
        <f t="shared" ref="T194:T257" si="31">M194/$S194</f>
        <v>#DIV/0!</v>
      </c>
      <c r="U194" s="17" t="e">
        <f t="shared" ref="U194:U257" si="32">N194/$S194</f>
        <v>#DIV/0!</v>
      </c>
      <c r="V194" s="17" t="e">
        <f t="shared" ref="V194:V257" si="33">O194/$S194</f>
        <v>#DIV/0!</v>
      </c>
      <c r="W194" s="17" t="e">
        <f t="shared" ref="W194:W257" si="34">P194/$S194</f>
        <v>#DIV/0!</v>
      </c>
      <c r="X194" s="17" t="e">
        <f t="shared" ref="X194:X257" si="35">Q194-T194-U194-W194</f>
        <v>#DIV/0!</v>
      </c>
      <c r="Y194" s="19" t="e">
        <f t="shared" ref="Y194:Y257" si="36">V194/X194</f>
        <v>#DIV/0!</v>
      </c>
      <c r="Z194">
        <v>0</v>
      </c>
      <c r="AA194">
        <v>0</v>
      </c>
      <c r="AB194">
        <v>0</v>
      </c>
      <c r="AC194">
        <v>0</v>
      </c>
      <c r="AD194">
        <v>153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f t="shared" ref="BE194:BE257" si="37">SUM(AC194:BD194)</f>
        <v>153</v>
      </c>
      <c r="BH194" t="s">
        <v>199</v>
      </c>
      <c r="BI194" t="s">
        <v>579</v>
      </c>
      <c r="BJ194">
        <v>0</v>
      </c>
      <c r="BK194">
        <v>0</v>
      </c>
      <c r="BL194">
        <v>0</v>
      </c>
      <c r="BM194">
        <v>153</v>
      </c>
      <c r="BN194">
        <v>0</v>
      </c>
      <c r="BO194">
        <v>0</v>
      </c>
      <c r="BP194">
        <v>0</v>
      </c>
      <c r="BQ194">
        <v>153</v>
      </c>
      <c r="BR194">
        <f t="shared" ref="BR194:BR257" si="38">R194-Q194</f>
        <v>0</v>
      </c>
      <c r="BS194">
        <f t="shared" ref="BS194:BS257" si="39">R194+Q194</f>
        <v>0</v>
      </c>
    </row>
    <row r="195" spans="1:74" x14ac:dyDescent="0.25">
      <c r="A195" s="5" t="s">
        <v>207</v>
      </c>
      <c r="B195" s="5" t="s">
        <v>359</v>
      </c>
      <c r="C195" s="5" t="s">
        <v>61</v>
      </c>
      <c r="D195" s="1" t="s">
        <v>131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8" t="e">
        <f t="shared" si="30"/>
        <v>#DIV/0!</v>
      </c>
      <c r="T195" s="17" t="e">
        <f t="shared" si="31"/>
        <v>#DIV/0!</v>
      </c>
      <c r="U195" s="17" t="e">
        <f t="shared" si="32"/>
        <v>#DIV/0!</v>
      </c>
      <c r="V195" s="17" t="e">
        <f t="shared" si="33"/>
        <v>#DIV/0!</v>
      </c>
      <c r="W195" s="17" t="e">
        <f t="shared" si="34"/>
        <v>#DIV/0!</v>
      </c>
      <c r="X195" s="17" t="e">
        <f t="shared" si="35"/>
        <v>#DIV/0!</v>
      </c>
      <c r="Y195" s="19" t="e">
        <f t="shared" si="36"/>
        <v>#DIV/0!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90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f t="shared" si="37"/>
        <v>90</v>
      </c>
      <c r="BF195">
        <v>0</v>
      </c>
      <c r="BG195">
        <v>90</v>
      </c>
      <c r="BH195" t="s">
        <v>199</v>
      </c>
      <c r="BI195" t="s">
        <v>580</v>
      </c>
      <c r="BJ195">
        <v>0</v>
      </c>
      <c r="BK195">
        <v>90</v>
      </c>
      <c r="BL195">
        <v>90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f t="shared" si="38"/>
        <v>0</v>
      </c>
      <c r="BS195">
        <f t="shared" si="39"/>
        <v>0</v>
      </c>
    </row>
    <row r="196" spans="1:74" x14ac:dyDescent="0.25">
      <c r="A196" s="5" t="s">
        <v>207</v>
      </c>
      <c r="B196" s="5" t="s">
        <v>627</v>
      </c>
      <c r="C196" s="5" t="s">
        <v>61</v>
      </c>
      <c r="D196" s="1" t="s">
        <v>86</v>
      </c>
      <c r="E196">
        <v>0</v>
      </c>
      <c r="F196">
        <v>2090</v>
      </c>
      <c r="G196">
        <v>0</v>
      </c>
      <c r="H196">
        <v>0</v>
      </c>
      <c r="I196">
        <v>280</v>
      </c>
      <c r="J196">
        <v>0</v>
      </c>
      <c r="K196">
        <v>0</v>
      </c>
      <c r="L196">
        <v>0</v>
      </c>
      <c r="M196">
        <v>8289</v>
      </c>
      <c r="N196">
        <v>0</v>
      </c>
      <c r="O196">
        <v>0</v>
      </c>
      <c r="P196">
        <v>0</v>
      </c>
      <c r="Q196">
        <v>921</v>
      </c>
      <c r="R196">
        <v>921</v>
      </c>
      <c r="S196" s="18">
        <f t="shared" si="30"/>
        <v>9</v>
      </c>
      <c r="T196" s="17">
        <f t="shared" si="31"/>
        <v>921</v>
      </c>
      <c r="U196" s="17">
        <f t="shared" si="32"/>
        <v>0</v>
      </c>
      <c r="V196" s="17">
        <f t="shared" si="33"/>
        <v>0</v>
      </c>
      <c r="W196" s="17">
        <f t="shared" si="34"/>
        <v>0</v>
      </c>
      <c r="X196" s="17">
        <f t="shared" si="35"/>
        <v>0</v>
      </c>
      <c r="Y196" s="19" t="e">
        <f t="shared" si="36"/>
        <v>#DIV/0!</v>
      </c>
      <c r="Z196">
        <v>2090</v>
      </c>
      <c r="AA196">
        <v>0</v>
      </c>
      <c r="AB196">
        <v>0</v>
      </c>
      <c r="AC196">
        <v>0</v>
      </c>
      <c r="AD196">
        <v>280</v>
      </c>
      <c r="AE196">
        <v>0</v>
      </c>
      <c r="AF196">
        <v>0</v>
      </c>
      <c r="AG196">
        <v>0</v>
      </c>
      <c r="AH196">
        <v>280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f t="shared" si="37"/>
        <v>560</v>
      </c>
      <c r="BF196">
        <v>2370</v>
      </c>
      <c r="BG196">
        <v>2370</v>
      </c>
      <c r="BH196" t="s">
        <v>109</v>
      </c>
      <c r="BI196" t="s">
        <v>637</v>
      </c>
      <c r="BJ196">
        <v>0</v>
      </c>
      <c r="BK196">
        <v>280</v>
      </c>
      <c r="BL196">
        <v>2370</v>
      </c>
      <c r="BM196">
        <v>8569</v>
      </c>
      <c r="BN196">
        <v>0</v>
      </c>
      <c r="BO196">
        <v>0</v>
      </c>
      <c r="BP196">
        <v>0</v>
      </c>
      <c r="BQ196">
        <v>8569</v>
      </c>
      <c r="BR196">
        <f t="shared" si="38"/>
        <v>0</v>
      </c>
      <c r="BS196">
        <f t="shared" si="39"/>
        <v>1842</v>
      </c>
    </row>
    <row r="197" spans="1:74" x14ac:dyDescent="0.25">
      <c r="A197" s="5" t="s">
        <v>1135</v>
      </c>
      <c r="B197" s="5" t="s">
        <v>207</v>
      </c>
      <c r="C197" s="5" t="s">
        <v>359</v>
      </c>
      <c r="D197" s="1" t="s">
        <v>75</v>
      </c>
      <c r="E197">
        <v>0</v>
      </c>
      <c r="F197">
        <v>3250</v>
      </c>
      <c r="G197">
        <v>0</v>
      </c>
      <c r="H197">
        <v>0</v>
      </c>
      <c r="I197">
        <v>896</v>
      </c>
      <c r="J197">
        <v>12070</v>
      </c>
      <c r="K197">
        <v>3123</v>
      </c>
      <c r="L197">
        <v>608</v>
      </c>
      <c r="M197">
        <v>0</v>
      </c>
      <c r="N197">
        <v>0</v>
      </c>
      <c r="O197">
        <v>0</v>
      </c>
      <c r="P197">
        <v>21690</v>
      </c>
      <c r="Q197">
        <v>3522</v>
      </c>
      <c r="R197">
        <v>2410</v>
      </c>
      <c r="S197" s="18">
        <f t="shared" si="30"/>
        <v>9</v>
      </c>
      <c r="T197" s="17">
        <f t="shared" si="31"/>
        <v>0</v>
      </c>
      <c r="U197" s="17">
        <f t="shared" si="32"/>
        <v>0</v>
      </c>
      <c r="V197" s="17">
        <f t="shared" si="33"/>
        <v>0</v>
      </c>
      <c r="W197" s="17">
        <f t="shared" si="34"/>
        <v>2410</v>
      </c>
      <c r="X197" s="17">
        <f t="shared" si="35"/>
        <v>1112</v>
      </c>
      <c r="Y197" s="19">
        <f t="shared" si="36"/>
        <v>0</v>
      </c>
      <c r="Z197">
        <v>3250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896</v>
      </c>
      <c r="AH197">
        <v>896</v>
      </c>
      <c r="AI197">
        <v>0</v>
      </c>
      <c r="AJ197">
        <v>10949</v>
      </c>
      <c r="AK197">
        <v>1121</v>
      </c>
      <c r="AL197">
        <v>12070</v>
      </c>
      <c r="AM197">
        <v>0</v>
      </c>
      <c r="AN197">
        <v>0</v>
      </c>
      <c r="AO197">
        <v>3123</v>
      </c>
      <c r="AP197">
        <v>570</v>
      </c>
      <c r="AQ197">
        <v>3123</v>
      </c>
      <c r="AR197">
        <v>2553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608</v>
      </c>
      <c r="BA197">
        <v>608</v>
      </c>
      <c r="BB197">
        <v>0</v>
      </c>
      <c r="BC197">
        <v>0</v>
      </c>
      <c r="BD197">
        <v>0</v>
      </c>
      <c r="BE197">
        <f t="shared" si="37"/>
        <v>36517</v>
      </c>
      <c r="BF197">
        <v>19947</v>
      </c>
      <c r="BG197">
        <v>19947</v>
      </c>
      <c r="BH197" t="s">
        <v>543</v>
      </c>
      <c r="BI197" t="s">
        <v>1289</v>
      </c>
      <c r="BJ197">
        <v>0</v>
      </c>
      <c r="BK197">
        <v>16697</v>
      </c>
      <c r="BL197">
        <v>19947</v>
      </c>
      <c r="BM197">
        <v>0</v>
      </c>
      <c r="BN197">
        <v>10949</v>
      </c>
      <c r="BO197">
        <v>0</v>
      </c>
      <c r="BP197">
        <v>27438</v>
      </c>
      <c r="BQ197">
        <v>38387</v>
      </c>
      <c r="BR197">
        <f t="shared" si="38"/>
        <v>-1112</v>
      </c>
      <c r="BS197">
        <f t="shared" si="39"/>
        <v>5932</v>
      </c>
      <c r="BU197">
        <f>R197*9</f>
        <v>21690</v>
      </c>
      <c r="BV197">
        <f>IF(BU197&gt;BG197, 1, 0)</f>
        <v>1</v>
      </c>
    </row>
    <row r="198" spans="1:74" x14ac:dyDescent="0.25">
      <c r="A198" s="5" t="s">
        <v>1451</v>
      </c>
      <c r="B198" s="5" t="s">
        <v>359</v>
      </c>
      <c r="C198" s="5" t="s">
        <v>61</v>
      </c>
      <c r="D198" s="1" t="s">
        <v>65</v>
      </c>
      <c r="E198">
        <v>0</v>
      </c>
      <c r="F198">
        <v>18350</v>
      </c>
      <c r="G198">
        <v>0</v>
      </c>
      <c r="H198">
        <v>0</v>
      </c>
      <c r="I198">
        <v>4040</v>
      </c>
      <c r="J198">
        <v>1760</v>
      </c>
      <c r="K198">
        <v>479</v>
      </c>
      <c r="L198">
        <v>60</v>
      </c>
      <c r="M198">
        <v>2277</v>
      </c>
      <c r="N198">
        <v>16452</v>
      </c>
      <c r="O198">
        <v>0</v>
      </c>
      <c r="P198">
        <v>2898</v>
      </c>
      <c r="Q198">
        <v>2403</v>
      </c>
      <c r="R198">
        <v>2403</v>
      </c>
      <c r="S198" s="18">
        <f t="shared" si="30"/>
        <v>9</v>
      </c>
      <c r="T198" s="17">
        <f t="shared" si="31"/>
        <v>253</v>
      </c>
      <c r="U198" s="17">
        <f t="shared" si="32"/>
        <v>1828</v>
      </c>
      <c r="V198" s="17">
        <f t="shared" si="33"/>
        <v>0</v>
      </c>
      <c r="W198" s="17">
        <f t="shared" si="34"/>
        <v>322</v>
      </c>
      <c r="X198" s="17">
        <f t="shared" si="35"/>
        <v>0</v>
      </c>
      <c r="Y198" s="19" t="e">
        <f t="shared" si="36"/>
        <v>#DIV/0!</v>
      </c>
      <c r="Z198">
        <v>18350</v>
      </c>
      <c r="AA198">
        <v>30</v>
      </c>
      <c r="AB198">
        <v>0</v>
      </c>
      <c r="AC198">
        <v>0</v>
      </c>
      <c r="AD198">
        <v>1650</v>
      </c>
      <c r="AE198">
        <v>1515</v>
      </c>
      <c r="AF198">
        <v>0</v>
      </c>
      <c r="AG198">
        <v>875</v>
      </c>
      <c r="AH198">
        <v>4040</v>
      </c>
      <c r="AI198">
        <v>0</v>
      </c>
      <c r="AJ198">
        <v>0</v>
      </c>
      <c r="AK198">
        <v>1760</v>
      </c>
      <c r="AL198">
        <v>1760</v>
      </c>
      <c r="AM198">
        <v>0</v>
      </c>
      <c r="AN198">
        <v>0</v>
      </c>
      <c r="AO198">
        <v>479</v>
      </c>
      <c r="AP198">
        <v>335</v>
      </c>
      <c r="AQ198">
        <v>479</v>
      </c>
      <c r="AR198">
        <v>144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60</v>
      </c>
      <c r="BA198">
        <v>60</v>
      </c>
      <c r="BB198">
        <v>0</v>
      </c>
      <c r="BC198">
        <v>0</v>
      </c>
      <c r="BD198">
        <v>0</v>
      </c>
      <c r="BE198">
        <f t="shared" si="37"/>
        <v>13157</v>
      </c>
      <c r="BF198">
        <v>24719</v>
      </c>
      <c r="BG198">
        <v>24719</v>
      </c>
      <c r="BH198" t="s">
        <v>63</v>
      </c>
      <c r="BI198" t="s">
        <v>1604</v>
      </c>
      <c r="BJ198">
        <v>30</v>
      </c>
      <c r="BK198">
        <v>6339</v>
      </c>
      <c r="BL198">
        <v>24719</v>
      </c>
      <c r="BM198">
        <v>3927</v>
      </c>
      <c r="BN198">
        <v>17967</v>
      </c>
      <c r="BO198">
        <v>0</v>
      </c>
      <c r="BP198">
        <v>6072</v>
      </c>
      <c r="BQ198">
        <v>27966</v>
      </c>
      <c r="BR198">
        <f t="shared" si="38"/>
        <v>0</v>
      </c>
      <c r="BS198">
        <f t="shared" si="39"/>
        <v>4806</v>
      </c>
      <c r="BU198">
        <f>R198*9</f>
        <v>21627</v>
      </c>
      <c r="BV198">
        <f>IF(BU198&gt;BG198, 1, 0)</f>
        <v>0</v>
      </c>
    </row>
    <row r="199" spans="1:74" x14ac:dyDescent="0.25">
      <c r="A199" s="5" t="s">
        <v>207</v>
      </c>
      <c r="B199" s="5" t="s">
        <v>627</v>
      </c>
      <c r="C199" s="5" t="s">
        <v>207</v>
      </c>
      <c r="D199" s="1" t="s">
        <v>98</v>
      </c>
      <c r="E199">
        <v>0</v>
      </c>
      <c r="F199">
        <v>160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1368</v>
      </c>
      <c r="N199">
        <v>0</v>
      </c>
      <c r="O199">
        <v>0</v>
      </c>
      <c r="P199">
        <v>0</v>
      </c>
      <c r="Q199">
        <v>152</v>
      </c>
      <c r="R199">
        <v>152</v>
      </c>
      <c r="S199" s="18">
        <f t="shared" si="30"/>
        <v>9</v>
      </c>
      <c r="T199" s="17">
        <f t="shared" si="31"/>
        <v>152</v>
      </c>
      <c r="U199" s="17">
        <f t="shared" si="32"/>
        <v>0</v>
      </c>
      <c r="V199" s="17">
        <f t="shared" si="33"/>
        <v>0</v>
      </c>
      <c r="W199" s="17">
        <f t="shared" si="34"/>
        <v>0</v>
      </c>
      <c r="X199" s="17">
        <f t="shared" si="35"/>
        <v>0</v>
      </c>
      <c r="Y199" s="19" t="e">
        <f t="shared" si="36"/>
        <v>#DIV/0!</v>
      </c>
      <c r="Z199">
        <v>160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f t="shared" si="37"/>
        <v>0</v>
      </c>
      <c r="BF199">
        <v>160</v>
      </c>
      <c r="BG199">
        <v>160</v>
      </c>
      <c r="BH199" t="s">
        <v>109</v>
      </c>
      <c r="BI199" t="s">
        <v>675</v>
      </c>
      <c r="BJ199">
        <v>0</v>
      </c>
      <c r="BK199">
        <v>0</v>
      </c>
      <c r="BL199">
        <v>160</v>
      </c>
      <c r="BM199">
        <v>1368</v>
      </c>
      <c r="BN199">
        <v>0</v>
      </c>
      <c r="BO199">
        <v>0</v>
      </c>
      <c r="BP199">
        <v>0</v>
      </c>
      <c r="BQ199">
        <v>1368</v>
      </c>
      <c r="BR199">
        <f t="shared" si="38"/>
        <v>0</v>
      </c>
      <c r="BS199">
        <f t="shared" si="39"/>
        <v>304</v>
      </c>
    </row>
    <row r="200" spans="1:74" x14ac:dyDescent="0.25">
      <c r="A200" s="5" t="s">
        <v>207</v>
      </c>
      <c r="B200" s="5" t="s">
        <v>627</v>
      </c>
      <c r="C200" s="5" t="s">
        <v>207</v>
      </c>
      <c r="D200" s="1" t="s">
        <v>106</v>
      </c>
      <c r="E200">
        <v>0</v>
      </c>
      <c r="F200">
        <v>385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3465</v>
      </c>
      <c r="N200">
        <v>0</v>
      </c>
      <c r="O200">
        <v>0</v>
      </c>
      <c r="P200">
        <v>0</v>
      </c>
      <c r="Q200">
        <v>385</v>
      </c>
      <c r="R200">
        <v>385</v>
      </c>
      <c r="S200" s="18">
        <f t="shared" si="30"/>
        <v>9</v>
      </c>
      <c r="T200" s="17">
        <f t="shared" si="31"/>
        <v>385</v>
      </c>
      <c r="U200" s="17">
        <f t="shared" si="32"/>
        <v>0</v>
      </c>
      <c r="V200" s="17">
        <f t="shared" si="33"/>
        <v>0</v>
      </c>
      <c r="W200" s="17">
        <f t="shared" si="34"/>
        <v>0</v>
      </c>
      <c r="X200" s="17">
        <f t="shared" si="35"/>
        <v>0</v>
      </c>
      <c r="Y200" s="19" t="e">
        <f t="shared" si="36"/>
        <v>#DIV/0!</v>
      </c>
      <c r="Z200">
        <v>385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f t="shared" si="37"/>
        <v>0</v>
      </c>
      <c r="BF200">
        <v>385</v>
      </c>
      <c r="BG200">
        <v>385</v>
      </c>
      <c r="BH200" t="s">
        <v>109</v>
      </c>
      <c r="BI200" t="s">
        <v>679</v>
      </c>
      <c r="BJ200">
        <v>0</v>
      </c>
      <c r="BK200">
        <v>0</v>
      </c>
      <c r="BL200">
        <v>385</v>
      </c>
      <c r="BM200">
        <v>3465</v>
      </c>
      <c r="BN200">
        <v>0</v>
      </c>
      <c r="BO200">
        <v>0</v>
      </c>
      <c r="BP200">
        <v>0</v>
      </c>
      <c r="BQ200">
        <v>3465</v>
      </c>
      <c r="BR200">
        <f t="shared" si="38"/>
        <v>0</v>
      </c>
      <c r="BS200">
        <f t="shared" si="39"/>
        <v>770</v>
      </c>
    </row>
    <row r="201" spans="1:74" x14ac:dyDescent="0.25">
      <c r="A201" s="5" t="s">
        <v>207</v>
      </c>
      <c r="B201" s="5" t="s">
        <v>627</v>
      </c>
      <c r="C201" s="5" t="s">
        <v>207</v>
      </c>
      <c r="D201" s="1" t="s">
        <v>115</v>
      </c>
      <c r="E201">
        <v>45</v>
      </c>
      <c r="F201">
        <v>0</v>
      </c>
      <c r="G201">
        <v>0</v>
      </c>
      <c r="H201">
        <v>0</v>
      </c>
      <c r="I201">
        <v>0</v>
      </c>
      <c r="J201">
        <v>61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8" t="e">
        <f t="shared" si="30"/>
        <v>#DIV/0!</v>
      </c>
      <c r="T201" s="17" t="e">
        <f t="shared" si="31"/>
        <v>#DIV/0!</v>
      </c>
      <c r="U201" s="17" t="e">
        <f t="shared" si="32"/>
        <v>#DIV/0!</v>
      </c>
      <c r="V201" s="17" t="e">
        <f t="shared" si="33"/>
        <v>#DIV/0!</v>
      </c>
      <c r="W201" s="17" t="e">
        <f t="shared" si="34"/>
        <v>#DIV/0!</v>
      </c>
      <c r="X201" s="17" t="e">
        <f t="shared" si="35"/>
        <v>#DIV/0!</v>
      </c>
      <c r="Y201" s="19" t="e">
        <f t="shared" si="36"/>
        <v>#DIV/0!</v>
      </c>
      <c r="Z201">
        <v>0</v>
      </c>
      <c r="AA201">
        <v>0</v>
      </c>
      <c r="AB201">
        <v>0</v>
      </c>
      <c r="AC201">
        <v>180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61</v>
      </c>
      <c r="AJ201">
        <v>0</v>
      </c>
      <c r="AK201">
        <v>0</v>
      </c>
      <c r="AL201">
        <v>61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f t="shared" si="37"/>
        <v>302</v>
      </c>
      <c r="BF201">
        <v>286</v>
      </c>
      <c r="BG201">
        <v>286</v>
      </c>
      <c r="BH201" t="s">
        <v>190</v>
      </c>
      <c r="BI201" t="s">
        <v>683</v>
      </c>
      <c r="BJ201">
        <v>225</v>
      </c>
      <c r="BK201">
        <v>61</v>
      </c>
      <c r="BL201">
        <v>286</v>
      </c>
      <c r="BM201">
        <v>61</v>
      </c>
      <c r="BN201">
        <v>0</v>
      </c>
      <c r="BO201">
        <v>0</v>
      </c>
      <c r="BP201">
        <v>0</v>
      </c>
      <c r="BQ201">
        <v>61</v>
      </c>
      <c r="BR201">
        <f t="shared" si="38"/>
        <v>0</v>
      </c>
      <c r="BS201">
        <f t="shared" si="39"/>
        <v>0</v>
      </c>
    </row>
    <row r="202" spans="1:74" x14ac:dyDescent="0.25">
      <c r="A202" s="5" t="s">
        <v>207</v>
      </c>
      <c r="B202" s="5" t="s">
        <v>627</v>
      </c>
      <c r="C202" s="5" t="s">
        <v>207</v>
      </c>
      <c r="D202" s="1" t="s">
        <v>117</v>
      </c>
      <c r="E202">
        <v>0</v>
      </c>
      <c r="F202">
        <v>300</v>
      </c>
      <c r="G202">
        <v>0</v>
      </c>
      <c r="H202">
        <v>0</v>
      </c>
      <c r="I202">
        <v>20</v>
      </c>
      <c r="J202">
        <v>0</v>
      </c>
      <c r="K202">
        <v>30</v>
      </c>
      <c r="L202">
        <v>0</v>
      </c>
      <c r="M202">
        <v>819</v>
      </c>
      <c r="N202">
        <v>0</v>
      </c>
      <c r="O202">
        <v>0</v>
      </c>
      <c r="P202">
        <v>0</v>
      </c>
      <c r="Q202">
        <v>91</v>
      </c>
      <c r="R202">
        <v>91</v>
      </c>
      <c r="S202" s="18">
        <f t="shared" si="30"/>
        <v>9</v>
      </c>
      <c r="T202" s="17">
        <f t="shared" si="31"/>
        <v>91</v>
      </c>
      <c r="U202" s="17">
        <f t="shared" si="32"/>
        <v>0</v>
      </c>
      <c r="V202" s="17">
        <f t="shared" si="33"/>
        <v>0</v>
      </c>
      <c r="W202" s="17">
        <f t="shared" si="34"/>
        <v>0</v>
      </c>
      <c r="X202" s="17">
        <f t="shared" si="35"/>
        <v>0</v>
      </c>
      <c r="Y202" s="19" t="e">
        <f t="shared" si="36"/>
        <v>#DIV/0!</v>
      </c>
      <c r="Z202">
        <v>300</v>
      </c>
      <c r="AA202">
        <v>0</v>
      </c>
      <c r="AB202">
        <v>0</v>
      </c>
      <c r="AC202">
        <v>20</v>
      </c>
      <c r="AD202">
        <v>20</v>
      </c>
      <c r="AE202">
        <v>0</v>
      </c>
      <c r="AF202">
        <v>0</v>
      </c>
      <c r="AG202">
        <v>0</v>
      </c>
      <c r="AH202">
        <v>20</v>
      </c>
      <c r="AI202">
        <v>0</v>
      </c>
      <c r="AJ202">
        <v>0</v>
      </c>
      <c r="AK202">
        <v>0</v>
      </c>
      <c r="AL202">
        <v>0</v>
      </c>
      <c r="AM202">
        <v>30</v>
      </c>
      <c r="AN202">
        <v>0</v>
      </c>
      <c r="AO202">
        <v>0</v>
      </c>
      <c r="AP202">
        <v>0</v>
      </c>
      <c r="AQ202">
        <v>30</v>
      </c>
      <c r="AR202">
        <v>30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f t="shared" si="37"/>
        <v>150</v>
      </c>
      <c r="BF202">
        <v>370</v>
      </c>
      <c r="BG202">
        <v>370</v>
      </c>
      <c r="BH202" t="s">
        <v>190</v>
      </c>
      <c r="BI202" t="s">
        <v>684</v>
      </c>
      <c r="BJ202">
        <v>20</v>
      </c>
      <c r="BK202">
        <v>50</v>
      </c>
      <c r="BL202">
        <v>370</v>
      </c>
      <c r="BM202">
        <v>869</v>
      </c>
      <c r="BN202">
        <v>0</v>
      </c>
      <c r="BO202">
        <v>0</v>
      </c>
      <c r="BP202">
        <v>0</v>
      </c>
      <c r="BQ202">
        <v>869</v>
      </c>
      <c r="BR202">
        <f t="shared" si="38"/>
        <v>0</v>
      </c>
      <c r="BS202">
        <f t="shared" si="39"/>
        <v>182</v>
      </c>
    </row>
    <row r="203" spans="1:74" x14ac:dyDescent="0.25">
      <c r="A203" s="5" t="s">
        <v>207</v>
      </c>
      <c r="B203" s="5" t="s">
        <v>627</v>
      </c>
      <c r="C203" s="5" t="s">
        <v>207</v>
      </c>
      <c r="D203" s="1" t="s">
        <v>125</v>
      </c>
      <c r="E203">
        <v>0</v>
      </c>
      <c r="F203">
        <v>433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693</v>
      </c>
      <c r="N203">
        <v>0</v>
      </c>
      <c r="O203">
        <v>0</v>
      </c>
      <c r="P203">
        <v>0</v>
      </c>
      <c r="Q203">
        <v>77</v>
      </c>
      <c r="R203">
        <v>77</v>
      </c>
      <c r="S203" s="18">
        <f t="shared" si="30"/>
        <v>9</v>
      </c>
      <c r="T203" s="17">
        <f t="shared" si="31"/>
        <v>77</v>
      </c>
      <c r="U203" s="17">
        <f t="shared" si="32"/>
        <v>0</v>
      </c>
      <c r="V203" s="17">
        <f t="shared" si="33"/>
        <v>0</v>
      </c>
      <c r="W203" s="17">
        <f t="shared" si="34"/>
        <v>0</v>
      </c>
      <c r="X203" s="17">
        <f t="shared" si="35"/>
        <v>0</v>
      </c>
      <c r="Y203" s="19" t="e">
        <f t="shared" si="36"/>
        <v>#DIV/0!</v>
      </c>
      <c r="Z203">
        <v>433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f t="shared" si="37"/>
        <v>0</v>
      </c>
      <c r="BF203">
        <v>433</v>
      </c>
      <c r="BG203">
        <v>433</v>
      </c>
      <c r="BH203" t="s">
        <v>190</v>
      </c>
      <c r="BI203" t="s">
        <v>688</v>
      </c>
      <c r="BJ203">
        <v>0</v>
      </c>
      <c r="BK203">
        <v>0</v>
      </c>
      <c r="BL203">
        <v>433</v>
      </c>
      <c r="BM203">
        <v>693</v>
      </c>
      <c r="BN203">
        <v>0</v>
      </c>
      <c r="BO203">
        <v>0</v>
      </c>
      <c r="BP203">
        <v>0</v>
      </c>
      <c r="BQ203">
        <v>693</v>
      </c>
      <c r="BR203">
        <f t="shared" si="38"/>
        <v>0</v>
      </c>
      <c r="BS203">
        <f t="shared" si="39"/>
        <v>154</v>
      </c>
    </row>
    <row r="204" spans="1:74" x14ac:dyDescent="0.25">
      <c r="A204" s="5" t="s">
        <v>1661</v>
      </c>
      <c r="B204" s="5" t="s">
        <v>207</v>
      </c>
      <c r="C204" s="5" t="s">
        <v>207</v>
      </c>
      <c r="D204" s="1" t="s">
        <v>65</v>
      </c>
      <c r="E204">
        <v>0</v>
      </c>
      <c r="F204">
        <v>31800</v>
      </c>
      <c r="G204">
        <v>0</v>
      </c>
      <c r="H204">
        <v>0</v>
      </c>
      <c r="I204">
        <v>15950</v>
      </c>
      <c r="J204">
        <v>0</v>
      </c>
      <c r="K204">
        <v>625</v>
      </c>
      <c r="L204">
        <v>0</v>
      </c>
      <c r="M204">
        <v>0</v>
      </c>
      <c r="N204">
        <v>16443</v>
      </c>
      <c r="O204">
        <v>0</v>
      </c>
      <c r="P204">
        <v>0</v>
      </c>
      <c r="Q204">
        <v>1827</v>
      </c>
      <c r="R204">
        <v>1827</v>
      </c>
      <c r="S204" s="18">
        <f t="shared" si="30"/>
        <v>9</v>
      </c>
      <c r="T204" s="17">
        <f t="shared" si="31"/>
        <v>0</v>
      </c>
      <c r="U204" s="17">
        <f t="shared" si="32"/>
        <v>1827</v>
      </c>
      <c r="V204" s="17">
        <f t="shared" si="33"/>
        <v>0</v>
      </c>
      <c r="W204" s="17">
        <f t="shared" si="34"/>
        <v>0</v>
      </c>
      <c r="X204" s="17">
        <f t="shared" si="35"/>
        <v>0</v>
      </c>
      <c r="Y204" s="19" t="e">
        <f t="shared" si="36"/>
        <v>#DIV/0!</v>
      </c>
      <c r="Z204">
        <v>31800</v>
      </c>
      <c r="AA204">
        <v>0</v>
      </c>
      <c r="AB204">
        <v>0</v>
      </c>
      <c r="AC204">
        <v>0</v>
      </c>
      <c r="AD204">
        <v>0</v>
      </c>
      <c r="AE204">
        <v>15835</v>
      </c>
      <c r="AF204">
        <v>0</v>
      </c>
      <c r="AG204">
        <v>115</v>
      </c>
      <c r="AH204">
        <v>15950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625</v>
      </c>
      <c r="AP204">
        <v>95</v>
      </c>
      <c r="AQ204">
        <v>625</v>
      </c>
      <c r="AR204">
        <v>530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f t="shared" si="37"/>
        <v>33775</v>
      </c>
      <c r="BF204">
        <v>48375</v>
      </c>
      <c r="BG204">
        <v>48375</v>
      </c>
      <c r="BH204" t="s">
        <v>543</v>
      </c>
      <c r="BI204" t="s">
        <v>1797</v>
      </c>
      <c r="BJ204">
        <v>0</v>
      </c>
      <c r="BK204">
        <v>16575</v>
      </c>
      <c r="BL204">
        <v>48375</v>
      </c>
      <c r="BM204">
        <v>0</v>
      </c>
      <c r="BN204">
        <v>32278</v>
      </c>
      <c r="BO204">
        <v>0</v>
      </c>
      <c r="BP204">
        <v>740</v>
      </c>
      <c r="BQ204">
        <v>33018</v>
      </c>
      <c r="BR204">
        <f t="shared" si="38"/>
        <v>0</v>
      </c>
      <c r="BS204">
        <f t="shared" si="39"/>
        <v>3654</v>
      </c>
      <c r="BU204">
        <f>R204*9</f>
        <v>16443</v>
      </c>
      <c r="BV204">
        <f>IF(BU204&gt;BG204, 1, 0)</f>
        <v>0</v>
      </c>
    </row>
    <row r="205" spans="1:74" x14ac:dyDescent="0.25">
      <c r="A205" s="5" t="s">
        <v>359</v>
      </c>
      <c r="B205" s="5" t="s">
        <v>61</v>
      </c>
      <c r="C205" s="5" t="s">
        <v>61</v>
      </c>
      <c r="D205" s="1" t="s">
        <v>81</v>
      </c>
      <c r="E205">
        <v>0</v>
      </c>
      <c r="F205">
        <v>785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2313</v>
      </c>
      <c r="N205">
        <v>0</v>
      </c>
      <c r="O205">
        <v>0</v>
      </c>
      <c r="P205">
        <v>0</v>
      </c>
      <c r="Q205">
        <v>257</v>
      </c>
      <c r="R205">
        <v>257</v>
      </c>
      <c r="S205" s="18">
        <f t="shared" si="30"/>
        <v>9</v>
      </c>
      <c r="T205" s="17">
        <f t="shared" si="31"/>
        <v>257</v>
      </c>
      <c r="U205" s="17">
        <f t="shared" si="32"/>
        <v>0</v>
      </c>
      <c r="V205" s="17">
        <f t="shared" si="33"/>
        <v>0</v>
      </c>
      <c r="W205" s="17">
        <f t="shared" si="34"/>
        <v>0</v>
      </c>
      <c r="X205" s="17">
        <f t="shared" si="35"/>
        <v>0</v>
      </c>
      <c r="Y205" s="19" t="e">
        <f t="shared" si="36"/>
        <v>#DIV/0!</v>
      </c>
      <c r="Z205">
        <v>785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f t="shared" si="37"/>
        <v>0</v>
      </c>
      <c r="BF205">
        <v>785</v>
      </c>
      <c r="BG205">
        <v>785</v>
      </c>
      <c r="BH205" t="s">
        <v>109</v>
      </c>
      <c r="BI205" t="s">
        <v>705</v>
      </c>
      <c r="BJ205">
        <v>0</v>
      </c>
      <c r="BK205">
        <v>0</v>
      </c>
      <c r="BL205">
        <v>785</v>
      </c>
      <c r="BM205">
        <v>2313</v>
      </c>
      <c r="BN205">
        <v>0</v>
      </c>
      <c r="BO205">
        <v>0</v>
      </c>
      <c r="BP205">
        <v>0</v>
      </c>
      <c r="BQ205">
        <v>2313</v>
      </c>
      <c r="BR205">
        <f t="shared" si="38"/>
        <v>0</v>
      </c>
      <c r="BS205">
        <f t="shared" si="39"/>
        <v>514</v>
      </c>
    </row>
    <row r="206" spans="1:74" x14ac:dyDescent="0.25">
      <c r="A206" s="5" t="s">
        <v>359</v>
      </c>
      <c r="B206" s="5" t="s">
        <v>61</v>
      </c>
      <c r="C206" s="5" t="s">
        <v>61</v>
      </c>
      <c r="D206" s="1" t="s">
        <v>84</v>
      </c>
      <c r="E206">
        <v>0</v>
      </c>
      <c r="F206">
        <v>860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2583</v>
      </c>
      <c r="N206">
        <v>0</v>
      </c>
      <c r="O206">
        <v>0</v>
      </c>
      <c r="P206">
        <v>0</v>
      </c>
      <c r="Q206">
        <v>287</v>
      </c>
      <c r="R206">
        <v>287</v>
      </c>
      <c r="S206" s="18">
        <f t="shared" si="30"/>
        <v>9</v>
      </c>
      <c r="T206" s="17">
        <f t="shared" si="31"/>
        <v>287</v>
      </c>
      <c r="U206" s="17">
        <f t="shared" si="32"/>
        <v>0</v>
      </c>
      <c r="V206" s="17">
        <f t="shared" si="33"/>
        <v>0</v>
      </c>
      <c r="W206" s="17">
        <f t="shared" si="34"/>
        <v>0</v>
      </c>
      <c r="X206" s="17">
        <f t="shared" si="35"/>
        <v>0</v>
      </c>
      <c r="Y206" s="19" t="e">
        <f t="shared" si="36"/>
        <v>#DIV/0!</v>
      </c>
      <c r="Z206">
        <v>860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f t="shared" si="37"/>
        <v>0</v>
      </c>
      <c r="BF206">
        <v>860</v>
      </c>
      <c r="BG206">
        <v>860</v>
      </c>
      <c r="BH206" t="s">
        <v>109</v>
      </c>
      <c r="BI206" t="s">
        <v>706</v>
      </c>
      <c r="BJ206">
        <v>0</v>
      </c>
      <c r="BK206">
        <v>0</v>
      </c>
      <c r="BL206">
        <v>860</v>
      </c>
      <c r="BM206">
        <v>2583</v>
      </c>
      <c r="BN206">
        <v>0</v>
      </c>
      <c r="BO206">
        <v>0</v>
      </c>
      <c r="BP206">
        <v>0</v>
      </c>
      <c r="BQ206">
        <v>2583</v>
      </c>
      <c r="BR206">
        <f t="shared" si="38"/>
        <v>0</v>
      </c>
      <c r="BS206">
        <f t="shared" si="39"/>
        <v>574</v>
      </c>
    </row>
    <row r="207" spans="1:74" x14ac:dyDescent="0.25">
      <c r="A207" s="5" t="s">
        <v>359</v>
      </c>
      <c r="B207" s="5" t="s">
        <v>61</v>
      </c>
      <c r="C207" s="5" t="s">
        <v>61</v>
      </c>
      <c r="D207" s="1" t="s">
        <v>90</v>
      </c>
      <c r="E207">
        <v>0</v>
      </c>
      <c r="F207">
        <v>1706</v>
      </c>
      <c r="G207">
        <v>0</v>
      </c>
      <c r="H207">
        <v>0</v>
      </c>
      <c r="I207">
        <v>377</v>
      </c>
      <c r="J207">
        <v>0</v>
      </c>
      <c r="K207">
        <v>0</v>
      </c>
      <c r="L207">
        <v>0</v>
      </c>
      <c r="M207">
        <v>5094</v>
      </c>
      <c r="N207">
        <v>0</v>
      </c>
      <c r="O207">
        <v>0</v>
      </c>
      <c r="P207">
        <v>0</v>
      </c>
      <c r="Q207">
        <v>566</v>
      </c>
      <c r="R207">
        <v>566</v>
      </c>
      <c r="S207" s="18">
        <f t="shared" si="30"/>
        <v>9</v>
      </c>
      <c r="T207" s="17">
        <f t="shared" si="31"/>
        <v>566</v>
      </c>
      <c r="U207" s="17">
        <f t="shared" si="32"/>
        <v>0</v>
      </c>
      <c r="V207" s="17">
        <f t="shared" si="33"/>
        <v>0</v>
      </c>
      <c r="W207" s="17">
        <f t="shared" si="34"/>
        <v>0</v>
      </c>
      <c r="X207" s="17">
        <f t="shared" si="35"/>
        <v>0</v>
      </c>
      <c r="Y207" s="19" t="e">
        <f t="shared" si="36"/>
        <v>#DIV/0!</v>
      </c>
      <c r="Z207">
        <v>1706</v>
      </c>
      <c r="AA207">
        <v>0</v>
      </c>
      <c r="AB207">
        <v>0</v>
      </c>
      <c r="AC207">
        <v>0</v>
      </c>
      <c r="AD207">
        <v>377</v>
      </c>
      <c r="AE207">
        <v>0</v>
      </c>
      <c r="AF207">
        <v>0</v>
      </c>
      <c r="AG207">
        <v>0</v>
      </c>
      <c r="AH207">
        <v>377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f t="shared" si="37"/>
        <v>754</v>
      </c>
      <c r="BF207">
        <v>2083</v>
      </c>
      <c r="BG207">
        <v>2083</v>
      </c>
      <c r="BH207" t="s">
        <v>109</v>
      </c>
      <c r="BI207" t="s">
        <v>709</v>
      </c>
      <c r="BJ207">
        <v>0</v>
      </c>
      <c r="BK207">
        <v>377</v>
      </c>
      <c r="BL207">
        <v>2083</v>
      </c>
      <c r="BM207">
        <v>5471</v>
      </c>
      <c r="BN207">
        <v>0</v>
      </c>
      <c r="BO207">
        <v>0</v>
      </c>
      <c r="BP207">
        <v>0</v>
      </c>
      <c r="BQ207">
        <v>5471</v>
      </c>
      <c r="BR207">
        <f t="shared" si="38"/>
        <v>0</v>
      </c>
      <c r="BS207">
        <f t="shared" si="39"/>
        <v>1132</v>
      </c>
    </row>
    <row r="208" spans="1:74" x14ac:dyDescent="0.25">
      <c r="A208" s="5" t="s">
        <v>359</v>
      </c>
      <c r="B208" s="5" t="s">
        <v>61</v>
      </c>
      <c r="C208" s="5" t="s">
        <v>61</v>
      </c>
      <c r="D208" s="1" t="s">
        <v>100</v>
      </c>
      <c r="E208">
        <v>0</v>
      </c>
      <c r="F208">
        <v>1485</v>
      </c>
      <c r="G208">
        <v>0</v>
      </c>
      <c r="H208">
        <v>0</v>
      </c>
      <c r="I208">
        <v>68</v>
      </c>
      <c r="J208">
        <v>0</v>
      </c>
      <c r="K208">
        <v>0</v>
      </c>
      <c r="L208">
        <v>0</v>
      </c>
      <c r="M208">
        <v>3942</v>
      </c>
      <c r="N208">
        <v>0</v>
      </c>
      <c r="O208">
        <v>0</v>
      </c>
      <c r="P208">
        <v>0</v>
      </c>
      <c r="Q208">
        <v>438</v>
      </c>
      <c r="R208">
        <v>438</v>
      </c>
      <c r="S208" s="18">
        <f t="shared" si="30"/>
        <v>9</v>
      </c>
      <c r="T208" s="17">
        <f t="shared" si="31"/>
        <v>438</v>
      </c>
      <c r="U208" s="17">
        <f t="shared" si="32"/>
        <v>0</v>
      </c>
      <c r="V208" s="17">
        <f t="shared" si="33"/>
        <v>0</v>
      </c>
      <c r="W208" s="17">
        <f t="shared" si="34"/>
        <v>0</v>
      </c>
      <c r="X208" s="17">
        <f t="shared" si="35"/>
        <v>0</v>
      </c>
      <c r="Y208" s="19" t="e">
        <f t="shared" si="36"/>
        <v>#DIV/0!</v>
      </c>
      <c r="Z208">
        <v>1485</v>
      </c>
      <c r="AA208">
        <v>0</v>
      </c>
      <c r="AB208">
        <v>0</v>
      </c>
      <c r="AC208">
        <v>0</v>
      </c>
      <c r="AD208">
        <v>68</v>
      </c>
      <c r="AE208">
        <v>0</v>
      </c>
      <c r="AF208">
        <v>0</v>
      </c>
      <c r="AG208">
        <v>0</v>
      </c>
      <c r="AH208">
        <v>68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f t="shared" si="37"/>
        <v>136</v>
      </c>
      <c r="BF208">
        <v>1553</v>
      </c>
      <c r="BG208">
        <v>1553</v>
      </c>
      <c r="BH208" t="s">
        <v>109</v>
      </c>
      <c r="BI208" t="s">
        <v>713</v>
      </c>
      <c r="BJ208">
        <v>0</v>
      </c>
      <c r="BK208">
        <v>68</v>
      </c>
      <c r="BL208">
        <v>1553</v>
      </c>
      <c r="BM208">
        <v>4010</v>
      </c>
      <c r="BN208">
        <v>0</v>
      </c>
      <c r="BO208">
        <v>0</v>
      </c>
      <c r="BP208">
        <v>0</v>
      </c>
      <c r="BQ208">
        <v>4010</v>
      </c>
      <c r="BR208">
        <f t="shared" si="38"/>
        <v>0</v>
      </c>
      <c r="BS208">
        <f t="shared" si="39"/>
        <v>876</v>
      </c>
    </row>
    <row r="209" spans="1:74" x14ac:dyDescent="0.25">
      <c r="A209" s="5" t="s">
        <v>359</v>
      </c>
      <c r="B209" s="5" t="s">
        <v>61</v>
      </c>
      <c r="C209" s="5" t="s">
        <v>61</v>
      </c>
      <c r="D209" s="1" t="s">
        <v>102</v>
      </c>
      <c r="E209">
        <v>0</v>
      </c>
      <c r="F209">
        <v>675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2664</v>
      </c>
      <c r="Q209">
        <v>296</v>
      </c>
      <c r="R209">
        <v>296</v>
      </c>
      <c r="S209" s="18">
        <f t="shared" si="30"/>
        <v>9</v>
      </c>
      <c r="T209" s="17">
        <f t="shared" si="31"/>
        <v>0</v>
      </c>
      <c r="U209" s="17">
        <f t="shared" si="32"/>
        <v>0</v>
      </c>
      <c r="V209" s="17">
        <f t="shared" si="33"/>
        <v>0</v>
      </c>
      <c r="W209" s="17">
        <f t="shared" si="34"/>
        <v>296</v>
      </c>
      <c r="X209" s="17">
        <f t="shared" si="35"/>
        <v>0</v>
      </c>
      <c r="Y209" s="19" t="e">
        <f t="shared" si="36"/>
        <v>#DIV/0!</v>
      </c>
      <c r="Z209">
        <v>675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f t="shared" si="37"/>
        <v>0</v>
      </c>
      <c r="BF209">
        <v>675</v>
      </c>
      <c r="BG209">
        <v>675</v>
      </c>
      <c r="BH209" t="s">
        <v>109</v>
      </c>
      <c r="BI209" t="s">
        <v>714</v>
      </c>
      <c r="BJ209">
        <v>0</v>
      </c>
      <c r="BK209">
        <v>0</v>
      </c>
      <c r="BL209">
        <v>675</v>
      </c>
      <c r="BM209">
        <v>0</v>
      </c>
      <c r="BN209">
        <v>0</v>
      </c>
      <c r="BO209">
        <v>0</v>
      </c>
      <c r="BP209">
        <v>2664</v>
      </c>
      <c r="BQ209">
        <v>2664</v>
      </c>
      <c r="BR209">
        <f t="shared" si="38"/>
        <v>0</v>
      </c>
      <c r="BS209">
        <f t="shared" si="39"/>
        <v>592</v>
      </c>
    </row>
    <row r="210" spans="1:74" x14ac:dyDescent="0.25">
      <c r="A210" s="5" t="s">
        <v>359</v>
      </c>
      <c r="B210" s="5" t="s">
        <v>61</v>
      </c>
      <c r="C210" s="5" t="s">
        <v>61</v>
      </c>
      <c r="D210" s="1" t="s">
        <v>113</v>
      </c>
      <c r="E210">
        <v>0</v>
      </c>
      <c r="F210">
        <v>177</v>
      </c>
      <c r="G210">
        <v>0</v>
      </c>
      <c r="H210">
        <v>0</v>
      </c>
      <c r="I210">
        <v>40</v>
      </c>
      <c r="J210">
        <v>250</v>
      </c>
      <c r="K210">
        <v>745</v>
      </c>
      <c r="L210">
        <v>15</v>
      </c>
      <c r="M210">
        <v>0</v>
      </c>
      <c r="N210">
        <v>0</v>
      </c>
      <c r="O210">
        <v>0</v>
      </c>
      <c r="P210">
        <v>882</v>
      </c>
      <c r="Q210">
        <v>98</v>
      </c>
      <c r="R210">
        <v>98</v>
      </c>
      <c r="S210" s="18">
        <f t="shared" si="30"/>
        <v>9</v>
      </c>
      <c r="T210" s="17">
        <f t="shared" si="31"/>
        <v>0</v>
      </c>
      <c r="U210" s="17">
        <f t="shared" si="32"/>
        <v>0</v>
      </c>
      <c r="V210" s="17">
        <f t="shared" si="33"/>
        <v>0</v>
      </c>
      <c r="W210" s="17">
        <f t="shared" si="34"/>
        <v>98</v>
      </c>
      <c r="X210" s="17">
        <f t="shared" si="35"/>
        <v>0</v>
      </c>
      <c r="Y210" s="19" t="e">
        <f t="shared" si="36"/>
        <v>#DIV/0!</v>
      </c>
      <c r="Z210">
        <v>177</v>
      </c>
      <c r="AA210">
        <v>0</v>
      </c>
      <c r="AB210">
        <v>0</v>
      </c>
      <c r="AC210">
        <v>1080</v>
      </c>
      <c r="AD210">
        <v>0</v>
      </c>
      <c r="AE210">
        <v>0</v>
      </c>
      <c r="AF210">
        <v>0</v>
      </c>
      <c r="AG210">
        <v>40</v>
      </c>
      <c r="AH210">
        <v>40</v>
      </c>
      <c r="AI210">
        <v>0</v>
      </c>
      <c r="AJ210">
        <v>0</v>
      </c>
      <c r="AK210">
        <v>250</v>
      </c>
      <c r="AL210">
        <v>250</v>
      </c>
      <c r="AM210">
        <v>0</v>
      </c>
      <c r="AN210">
        <v>0</v>
      </c>
      <c r="AO210">
        <v>745</v>
      </c>
      <c r="AP210">
        <v>715</v>
      </c>
      <c r="AQ210">
        <v>745</v>
      </c>
      <c r="AR210">
        <v>30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15</v>
      </c>
      <c r="BA210">
        <v>15</v>
      </c>
      <c r="BB210">
        <v>0</v>
      </c>
      <c r="BC210">
        <v>0</v>
      </c>
      <c r="BD210">
        <v>0</v>
      </c>
      <c r="BE210">
        <f t="shared" si="37"/>
        <v>3925</v>
      </c>
      <c r="BF210">
        <v>2307</v>
      </c>
      <c r="BG210">
        <v>2307</v>
      </c>
      <c r="BH210" t="s">
        <v>190</v>
      </c>
      <c r="BI210" t="s">
        <v>719</v>
      </c>
      <c r="BJ210">
        <v>1080</v>
      </c>
      <c r="BK210">
        <v>1050</v>
      </c>
      <c r="BL210">
        <v>2307</v>
      </c>
      <c r="BM210">
        <v>0</v>
      </c>
      <c r="BN210">
        <v>0</v>
      </c>
      <c r="BO210">
        <v>0</v>
      </c>
      <c r="BP210">
        <v>1932</v>
      </c>
      <c r="BQ210">
        <v>1932</v>
      </c>
      <c r="BR210">
        <f t="shared" si="38"/>
        <v>0</v>
      </c>
      <c r="BS210">
        <f t="shared" si="39"/>
        <v>196</v>
      </c>
    </row>
    <row r="211" spans="1:74" x14ac:dyDescent="0.25">
      <c r="A211" s="5" t="s">
        <v>359</v>
      </c>
      <c r="B211" s="5" t="s">
        <v>61</v>
      </c>
      <c r="C211" s="5" t="s">
        <v>61</v>
      </c>
      <c r="D211" s="1" t="s">
        <v>117</v>
      </c>
      <c r="E211">
        <v>50</v>
      </c>
      <c r="F211">
        <v>0</v>
      </c>
      <c r="G211">
        <v>0</v>
      </c>
      <c r="H211">
        <v>0</v>
      </c>
      <c r="I211">
        <v>0</v>
      </c>
      <c r="J211">
        <v>150</v>
      </c>
      <c r="K211">
        <v>40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8" t="e">
        <f t="shared" si="30"/>
        <v>#DIV/0!</v>
      </c>
      <c r="T211" s="17" t="e">
        <f t="shared" si="31"/>
        <v>#DIV/0!</v>
      </c>
      <c r="U211" s="17" t="e">
        <f t="shared" si="32"/>
        <v>#DIV/0!</v>
      </c>
      <c r="V211" s="17" t="e">
        <f t="shared" si="33"/>
        <v>#DIV/0!</v>
      </c>
      <c r="W211" s="17" t="e">
        <f t="shared" si="34"/>
        <v>#DIV/0!</v>
      </c>
      <c r="X211" s="17" t="e">
        <f t="shared" si="35"/>
        <v>#DIV/0!</v>
      </c>
      <c r="Y211" s="19" t="e">
        <f t="shared" si="36"/>
        <v>#DIV/0!</v>
      </c>
      <c r="Z211">
        <v>0</v>
      </c>
      <c r="AA211">
        <v>0</v>
      </c>
      <c r="AB211">
        <v>0</v>
      </c>
      <c r="AC211">
        <v>200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150</v>
      </c>
      <c r="AL211">
        <v>150</v>
      </c>
      <c r="AM211">
        <v>0</v>
      </c>
      <c r="AN211">
        <v>0</v>
      </c>
      <c r="AO211">
        <v>40</v>
      </c>
      <c r="AP211">
        <v>10</v>
      </c>
      <c r="AQ211">
        <v>40</v>
      </c>
      <c r="AR211">
        <v>30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150</v>
      </c>
      <c r="BA211">
        <v>150</v>
      </c>
      <c r="BB211">
        <v>0</v>
      </c>
      <c r="BC211">
        <v>0</v>
      </c>
      <c r="BD211">
        <v>0</v>
      </c>
      <c r="BE211">
        <f t="shared" si="37"/>
        <v>920</v>
      </c>
      <c r="BF211">
        <v>590</v>
      </c>
      <c r="BG211">
        <v>590</v>
      </c>
      <c r="BH211" t="s">
        <v>199</v>
      </c>
      <c r="BI211" t="s">
        <v>721</v>
      </c>
      <c r="BJ211">
        <v>250</v>
      </c>
      <c r="BK211">
        <v>340</v>
      </c>
      <c r="BL211">
        <v>590</v>
      </c>
      <c r="BM211">
        <v>0</v>
      </c>
      <c r="BN211">
        <v>0</v>
      </c>
      <c r="BO211">
        <v>0</v>
      </c>
      <c r="BP211">
        <v>340</v>
      </c>
      <c r="BQ211">
        <v>340</v>
      </c>
      <c r="BR211">
        <f t="shared" si="38"/>
        <v>0</v>
      </c>
      <c r="BS211">
        <f t="shared" si="39"/>
        <v>0</v>
      </c>
    </row>
    <row r="212" spans="1:74" x14ac:dyDescent="0.25">
      <c r="A212" s="5" t="s">
        <v>207</v>
      </c>
      <c r="B212" s="5" t="s">
        <v>61</v>
      </c>
      <c r="C212" s="5" t="s">
        <v>359</v>
      </c>
      <c r="D212" s="1" t="s">
        <v>71</v>
      </c>
      <c r="E212">
        <v>0</v>
      </c>
      <c r="F212">
        <v>18076</v>
      </c>
      <c r="G212">
        <v>0</v>
      </c>
      <c r="H212">
        <v>0</v>
      </c>
      <c r="I212">
        <v>3937</v>
      </c>
      <c r="J212">
        <v>261</v>
      </c>
      <c r="K212">
        <v>82</v>
      </c>
      <c r="L212">
        <v>22</v>
      </c>
      <c r="M212">
        <v>0</v>
      </c>
      <c r="N212">
        <v>0</v>
      </c>
      <c r="O212">
        <v>0</v>
      </c>
      <c r="P212">
        <v>15561</v>
      </c>
      <c r="Q212">
        <v>1729</v>
      </c>
      <c r="R212">
        <v>1729</v>
      </c>
      <c r="S212" s="18">
        <f t="shared" si="30"/>
        <v>9</v>
      </c>
      <c r="T212" s="17">
        <f t="shared" si="31"/>
        <v>0</v>
      </c>
      <c r="U212" s="17">
        <f t="shared" si="32"/>
        <v>0</v>
      </c>
      <c r="V212" s="17">
        <f t="shared" si="33"/>
        <v>0</v>
      </c>
      <c r="W212" s="17">
        <f t="shared" si="34"/>
        <v>1729</v>
      </c>
      <c r="X212" s="17">
        <f t="shared" si="35"/>
        <v>0</v>
      </c>
      <c r="Y212" s="19" t="e">
        <f t="shared" si="36"/>
        <v>#DIV/0!</v>
      </c>
      <c r="Z212">
        <v>18076</v>
      </c>
      <c r="AA212">
        <v>0</v>
      </c>
      <c r="AB212">
        <v>0</v>
      </c>
      <c r="AC212">
        <v>567</v>
      </c>
      <c r="AD212">
        <v>0</v>
      </c>
      <c r="AE212">
        <v>0</v>
      </c>
      <c r="AF212">
        <v>0</v>
      </c>
      <c r="AG212">
        <v>3937</v>
      </c>
      <c r="AH212">
        <v>3937</v>
      </c>
      <c r="AI212">
        <v>0</v>
      </c>
      <c r="AJ212">
        <v>0</v>
      </c>
      <c r="AK212">
        <v>261</v>
      </c>
      <c r="AL212">
        <v>261</v>
      </c>
      <c r="AM212">
        <v>0</v>
      </c>
      <c r="AN212">
        <v>0</v>
      </c>
      <c r="AO212">
        <v>82</v>
      </c>
      <c r="AP212">
        <v>0</v>
      </c>
      <c r="AQ212">
        <v>82</v>
      </c>
      <c r="AR212">
        <v>82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22</v>
      </c>
      <c r="BA212">
        <v>22</v>
      </c>
      <c r="BB212">
        <v>0</v>
      </c>
      <c r="BC212">
        <v>0</v>
      </c>
      <c r="BD212">
        <v>0</v>
      </c>
      <c r="BE212">
        <f t="shared" si="37"/>
        <v>9253</v>
      </c>
      <c r="BF212">
        <v>22945</v>
      </c>
      <c r="BG212">
        <v>22945</v>
      </c>
      <c r="BH212" t="s">
        <v>63</v>
      </c>
      <c r="BI212" t="s">
        <v>463</v>
      </c>
      <c r="BJ212">
        <v>567</v>
      </c>
      <c r="BK212">
        <v>4302</v>
      </c>
      <c r="BL212">
        <v>22945</v>
      </c>
      <c r="BM212">
        <v>0</v>
      </c>
      <c r="BN212">
        <v>0</v>
      </c>
      <c r="BO212">
        <v>0</v>
      </c>
      <c r="BP212">
        <v>19863</v>
      </c>
      <c r="BQ212">
        <v>19863</v>
      </c>
      <c r="BR212">
        <f t="shared" si="38"/>
        <v>0</v>
      </c>
      <c r="BS212">
        <f t="shared" si="39"/>
        <v>3458</v>
      </c>
      <c r="BU212">
        <f>R212*9</f>
        <v>15561</v>
      </c>
      <c r="BV212">
        <f>IF(BU212&gt;BG212, 1, 0)</f>
        <v>0</v>
      </c>
    </row>
    <row r="213" spans="1:74" x14ac:dyDescent="0.25">
      <c r="A213" s="5" t="s">
        <v>1135</v>
      </c>
      <c r="B213" s="5" t="s">
        <v>359</v>
      </c>
      <c r="C213" s="5" t="s">
        <v>61</v>
      </c>
      <c r="D213" s="1" t="s">
        <v>71</v>
      </c>
      <c r="E213">
        <v>0</v>
      </c>
      <c r="F213">
        <v>7100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3600</v>
      </c>
      <c r="N213">
        <v>0</v>
      </c>
      <c r="O213">
        <v>0</v>
      </c>
      <c r="P213">
        <v>10962</v>
      </c>
      <c r="Q213">
        <v>1618</v>
      </c>
      <c r="R213">
        <v>1618</v>
      </c>
      <c r="S213" s="18">
        <f t="shared" si="30"/>
        <v>9</v>
      </c>
      <c r="T213" s="17">
        <f t="shared" si="31"/>
        <v>400</v>
      </c>
      <c r="U213" s="17">
        <f t="shared" si="32"/>
        <v>0</v>
      </c>
      <c r="V213" s="17">
        <f t="shared" si="33"/>
        <v>0</v>
      </c>
      <c r="W213" s="17">
        <f t="shared" si="34"/>
        <v>1218</v>
      </c>
      <c r="X213" s="17">
        <f t="shared" si="35"/>
        <v>0</v>
      </c>
      <c r="Y213" s="19" t="e">
        <f t="shared" si="36"/>
        <v>#DIV/0!</v>
      </c>
      <c r="Z213">
        <v>7100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f t="shared" si="37"/>
        <v>0</v>
      </c>
      <c r="BF213">
        <v>7100</v>
      </c>
      <c r="BG213">
        <v>7100</v>
      </c>
      <c r="BH213" t="s">
        <v>63</v>
      </c>
      <c r="BI213" t="s">
        <v>1313</v>
      </c>
      <c r="BJ213">
        <v>0</v>
      </c>
      <c r="BK213">
        <v>0</v>
      </c>
      <c r="BL213">
        <v>7100</v>
      </c>
      <c r="BM213">
        <v>3600</v>
      </c>
      <c r="BN213">
        <v>0</v>
      </c>
      <c r="BO213">
        <v>0</v>
      </c>
      <c r="BP213">
        <v>10962</v>
      </c>
      <c r="BQ213">
        <v>14562</v>
      </c>
      <c r="BR213">
        <f t="shared" si="38"/>
        <v>0</v>
      </c>
      <c r="BS213">
        <f t="shared" si="39"/>
        <v>3236</v>
      </c>
      <c r="BU213">
        <f>R213*9</f>
        <v>14562</v>
      </c>
      <c r="BV213">
        <f>IF(BU213&gt;BG213, 1, 0)</f>
        <v>1</v>
      </c>
    </row>
    <row r="214" spans="1:74" x14ac:dyDescent="0.25">
      <c r="A214" s="5" t="s">
        <v>359</v>
      </c>
      <c r="B214" s="5" t="s">
        <v>207</v>
      </c>
      <c r="C214" s="5" t="s">
        <v>61</v>
      </c>
      <c r="D214" s="1" t="s">
        <v>77</v>
      </c>
      <c r="E214">
        <v>0</v>
      </c>
      <c r="F214">
        <v>2200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4365</v>
      </c>
      <c r="N214">
        <v>0</v>
      </c>
      <c r="O214">
        <v>0</v>
      </c>
      <c r="P214">
        <v>0</v>
      </c>
      <c r="Q214">
        <v>485</v>
      </c>
      <c r="R214">
        <v>485</v>
      </c>
      <c r="S214" s="18">
        <f t="shared" si="30"/>
        <v>9</v>
      </c>
      <c r="T214" s="17">
        <f t="shared" si="31"/>
        <v>485</v>
      </c>
      <c r="U214" s="17">
        <f t="shared" si="32"/>
        <v>0</v>
      </c>
      <c r="V214" s="17">
        <f t="shared" si="33"/>
        <v>0</v>
      </c>
      <c r="W214" s="17">
        <f t="shared" si="34"/>
        <v>0</v>
      </c>
      <c r="X214" s="17">
        <f t="shared" si="35"/>
        <v>0</v>
      </c>
      <c r="Y214" s="19" t="e">
        <f t="shared" si="36"/>
        <v>#DIV/0!</v>
      </c>
      <c r="Z214">
        <v>2200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f t="shared" si="37"/>
        <v>0</v>
      </c>
      <c r="BF214">
        <v>2200</v>
      </c>
      <c r="BG214">
        <v>2200</v>
      </c>
      <c r="BH214" t="s">
        <v>109</v>
      </c>
      <c r="BI214" t="s">
        <v>738</v>
      </c>
      <c r="BJ214">
        <v>0</v>
      </c>
      <c r="BK214">
        <v>0</v>
      </c>
      <c r="BL214">
        <v>2200</v>
      </c>
      <c r="BM214">
        <v>4365</v>
      </c>
      <c r="BN214">
        <v>0</v>
      </c>
      <c r="BO214">
        <v>0</v>
      </c>
      <c r="BP214">
        <v>0</v>
      </c>
      <c r="BQ214">
        <v>4365</v>
      </c>
      <c r="BR214">
        <f t="shared" si="38"/>
        <v>0</v>
      </c>
      <c r="BS214">
        <f t="shared" si="39"/>
        <v>970</v>
      </c>
    </row>
    <row r="215" spans="1:74" x14ac:dyDescent="0.25">
      <c r="A215" s="5" t="s">
        <v>359</v>
      </c>
      <c r="B215" s="5" t="s">
        <v>207</v>
      </c>
      <c r="C215" s="5" t="s">
        <v>61</v>
      </c>
      <c r="D215" s="1" t="s">
        <v>108</v>
      </c>
      <c r="E215">
        <v>0</v>
      </c>
      <c r="F215">
        <v>60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279</v>
      </c>
      <c r="N215">
        <v>0</v>
      </c>
      <c r="O215">
        <v>0</v>
      </c>
      <c r="P215">
        <v>0</v>
      </c>
      <c r="Q215">
        <v>31</v>
      </c>
      <c r="R215">
        <v>31</v>
      </c>
      <c r="S215" s="18">
        <f t="shared" si="30"/>
        <v>9</v>
      </c>
      <c r="T215" s="17">
        <f t="shared" si="31"/>
        <v>31</v>
      </c>
      <c r="U215" s="17">
        <f t="shared" si="32"/>
        <v>0</v>
      </c>
      <c r="V215" s="17">
        <f t="shared" si="33"/>
        <v>0</v>
      </c>
      <c r="W215" s="17">
        <f t="shared" si="34"/>
        <v>0</v>
      </c>
      <c r="X215" s="17">
        <f t="shared" si="35"/>
        <v>0</v>
      </c>
      <c r="Y215" s="19" t="e">
        <f t="shared" si="36"/>
        <v>#DIV/0!</v>
      </c>
      <c r="Z215">
        <v>60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503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f t="shared" si="37"/>
        <v>503</v>
      </c>
      <c r="BF215">
        <v>60</v>
      </c>
      <c r="BG215">
        <v>60</v>
      </c>
      <c r="BH215" t="s">
        <v>109</v>
      </c>
      <c r="BI215" t="s">
        <v>751</v>
      </c>
      <c r="BJ215">
        <v>0</v>
      </c>
      <c r="BK215">
        <v>0</v>
      </c>
      <c r="BL215">
        <v>60</v>
      </c>
      <c r="BM215">
        <v>279</v>
      </c>
      <c r="BN215">
        <v>0</v>
      </c>
      <c r="BO215">
        <v>0</v>
      </c>
      <c r="BP215">
        <v>0</v>
      </c>
      <c r="BQ215">
        <v>279</v>
      </c>
      <c r="BR215">
        <f t="shared" si="38"/>
        <v>0</v>
      </c>
      <c r="BS215">
        <f t="shared" si="39"/>
        <v>62</v>
      </c>
    </row>
    <row r="216" spans="1:74" x14ac:dyDescent="0.25">
      <c r="A216" s="5" t="s">
        <v>359</v>
      </c>
      <c r="B216" s="6" t="s">
        <v>207</v>
      </c>
      <c r="C216" s="6" t="s">
        <v>61</v>
      </c>
      <c r="D216" s="1" t="s">
        <v>111</v>
      </c>
      <c r="E216">
        <v>0</v>
      </c>
      <c r="F216">
        <v>220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171</v>
      </c>
      <c r="N216">
        <v>0</v>
      </c>
      <c r="O216">
        <v>0</v>
      </c>
      <c r="P216">
        <v>0</v>
      </c>
      <c r="Q216">
        <v>19</v>
      </c>
      <c r="R216">
        <v>19</v>
      </c>
      <c r="S216" s="18">
        <f t="shared" si="30"/>
        <v>9</v>
      </c>
      <c r="T216" s="17">
        <f t="shared" si="31"/>
        <v>19</v>
      </c>
      <c r="U216" s="17">
        <f t="shared" si="32"/>
        <v>0</v>
      </c>
      <c r="V216" s="17">
        <f t="shared" si="33"/>
        <v>0</v>
      </c>
      <c r="W216" s="17">
        <f t="shared" si="34"/>
        <v>0</v>
      </c>
      <c r="X216" s="17">
        <f t="shared" si="35"/>
        <v>0</v>
      </c>
      <c r="Y216" s="19" t="e">
        <f t="shared" si="36"/>
        <v>#DIV/0!</v>
      </c>
      <c r="Z216">
        <v>220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f t="shared" si="37"/>
        <v>0</v>
      </c>
      <c r="BF216">
        <v>220</v>
      </c>
      <c r="BG216">
        <v>220</v>
      </c>
      <c r="BH216" t="s">
        <v>190</v>
      </c>
      <c r="BI216" t="s">
        <v>752</v>
      </c>
      <c r="BJ216">
        <v>0</v>
      </c>
      <c r="BK216">
        <v>0</v>
      </c>
      <c r="BL216">
        <v>220</v>
      </c>
      <c r="BM216">
        <v>171</v>
      </c>
      <c r="BN216">
        <v>0</v>
      </c>
      <c r="BO216">
        <v>0</v>
      </c>
      <c r="BP216">
        <v>0</v>
      </c>
      <c r="BQ216">
        <v>171</v>
      </c>
      <c r="BR216">
        <f t="shared" si="38"/>
        <v>0</v>
      </c>
      <c r="BS216">
        <f t="shared" si="39"/>
        <v>38</v>
      </c>
    </row>
    <row r="217" spans="1:74" x14ac:dyDescent="0.25">
      <c r="A217" s="5" t="s">
        <v>1017</v>
      </c>
      <c r="B217" s="7" t="s">
        <v>207</v>
      </c>
      <c r="C217" s="7" t="s">
        <v>61</v>
      </c>
      <c r="D217" s="1" t="s">
        <v>73</v>
      </c>
      <c r="E217">
        <v>0</v>
      </c>
      <c r="F217">
        <v>3435</v>
      </c>
      <c r="G217">
        <v>5596</v>
      </c>
      <c r="H217">
        <v>5</v>
      </c>
      <c r="I217">
        <v>3743</v>
      </c>
      <c r="J217">
        <v>4911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13284</v>
      </c>
      <c r="Q217">
        <v>1526</v>
      </c>
      <c r="R217">
        <v>1476</v>
      </c>
      <c r="S217" s="18">
        <f t="shared" si="30"/>
        <v>9</v>
      </c>
      <c r="T217" s="17">
        <f t="shared" si="31"/>
        <v>0</v>
      </c>
      <c r="U217" s="17">
        <f t="shared" si="32"/>
        <v>0</v>
      </c>
      <c r="V217" s="17">
        <f t="shared" si="33"/>
        <v>0</v>
      </c>
      <c r="W217" s="17">
        <f t="shared" si="34"/>
        <v>1476</v>
      </c>
      <c r="X217" s="17">
        <f t="shared" si="35"/>
        <v>50</v>
      </c>
      <c r="Y217" s="19">
        <f t="shared" si="36"/>
        <v>0</v>
      </c>
      <c r="Z217">
        <v>3435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3743</v>
      </c>
      <c r="AH217">
        <v>3743</v>
      </c>
      <c r="AI217">
        <v>0</v>
      </c>
      <c r="AJ217">
        <v>0</v>
      </c>
      <c r="AK217">
        <v>4911</v>
      </c>
      <c r="AL217">
        <v>4911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5596</v>
      </c>
      <c r="AU217">
        <v>1618</v>
      </c>
      <c r="AV217">
        <v>5596</v>
      </c>
      <c r="AW217">
        <v>3978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5</v>
      </c>
      <c r="BD217">
        <v>5</v>
      </c>
      <c r="BE217">
        <f t="shared" si="37"/>
        <v>34106</v>
      </c>
      <c r="BF217">
        <v>17690</v>
      </c>
      <c r="BG217">
        <v>17690</v>
      </c>
      <c r="BH217" t="s">
        <v>63</v>
      </c>
      <c r="BI217" t="s">
        <v>1089</v>
      </c>
      <c r="BJ217">
        <v>0</v>
      </c>
      <c r="BK217">
        <v>14255</v>
      </c>
      <c r="BL217">
        <v>17690</v>
      </c>
      <c r="BM217">
        <v>0</v>
      </c>
      <c r="BN217">
        <v>0</v>
      </c>
      <c r="BO217">
        <v>0</v>
      </c>
      <c r="BP217">
        <v>27539</v>
      </c>
      <c r="BQ217">
        <v>27539</v>
      </c>
      <c r="BR217">
        <f t="shared" si="38"/>
        <v>-50</v>
      </c>
      <c r="BS217">
        <f t="shared" si="39"/>
        <v>3002</v>
      </c>
      <c r="BU217">
        <f>R217*9</f>
        <v>13284</v>
      </c>
      <c r="BV217">
        <f>IF(BU217&gt;BG217, 1, 0)</f>
        <v>0</v>
      </c>
    </row>
    <row r="218" spans="1:74" x14ac:dyDescent="0.25">
      <c r="A218" s="5" t="s">
        <v>359</v>
      </c>
      <c r="B218" s="5" t="s">
        <v>359</v>
      </c>
      <c r="C218" s="5" t="s">
        <v>61</v>
      </c>
      <c r="D218" s="1" t="s">
        <v>73</v>
      </c>
      <c r="E218">
        <v>0</v>
      </c>
      <c r="F218">
        <v>4250</v>
      </c>
      <c r="G218">
        <v>742</v>
      </c>
      <c r="H218">
        <v>0</v>
      </c>
      <c r="I218">
        <v>43</v>
      </c>
      <c r="J218">
        <v>0</v>
      </c>
      <c r="K218">
        <v>115</v>
      </c>
      <c r="L218">
        <v>0</v>
      </c>
      <c r="M218">
        <v>1503</v>
      </c>
      <c r="N218">
        <v>0</v>
      </c>
      <c r="O218">
        <v>0</v>
      </c>
      <c r="P218">
        <v>3483</v>
      </c>
      <c r="Q218">
        <v>554</v>
      </c>
      <c r="R218">
        <v>554</v>
      </c>
      <c r="S218" s="18">
        <f t="shared" si="30"/>
        <v>9</v>
      </c>
      <c r="T218" s="17">
        <f t="shared" si="31"/>
        <v>167</v>
      </c>
      <c r="U218" s="17">
        <f t="shared" si="32"/>
        <v>0</v>
      </c>
      <c r="V218" s="17">
        <f t="shared" si="33"/>
        <v>0</v>
      </c>
      <c r="W218" s="17">
        <f t="shared" si="34"/>
        <v>387</v>
      </c>
      <c r="X218" s="17">
        <f t="shared" si="35"/>
        <v>0</v>
      </c>
      <c r="Y218" s="19" t="e">
        <f t="shared" si="36"/>
        <v>#DIV/0!</v>
      </c>
      <c r="Z218">
        <v>4250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43</v>
      </c>
      <c r="AH218">
        <v>43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115</v>
      </c>
      <c r="AP218">
        <v>35</v>
      </c>
      <c r="AQ218">
        <v>115</v>
      </c>
      <c r="AR218">
        <v>80</v>
      </c>
      <c r="AS218">
        <v>742</v>
      </c>
      <c r="AT218">
        <v>0</v>
      </c>
      <c r="AU218">
        <v>665</v>
      </c>
      <c r="AV218">
        <v>742</v>
      </c>
      <c r="AW218">
        <v>77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f t="shared" si="37"/>
        <v>2657</v>
      </c>
      <c r="BF218">
        <v>5150</v>
      </c>
      <c r="BG218">
        <v>5150</v>
      </c>
      <c r="BH218" t="s">
        <v>109</v>
      </c>
      <c r="BI218" t="s">
        <v>761</v>
      </c>
      <c r="BJ218">
        <v>0</v>
      </c>
      <c r="BK218">
        <v>900</v>
      </c>
      <c r="BL218">
        <v>5150</v>
      </c>
      <c r="BM218">
        <v>1503</v>
      </c>
      <c r="BN218">
        <v>742</v>
      </c>
      <c r="BO218">
        <v>0</v>
      </c>
      <c r="BP218">
        <v>3641</v>
      </c>
      <c r="BQ218">
        <v>5886</v>
      </c>
      <c r="BR218">
        <f t="shared" si="38"/>
        <v>0</v>
      </c>
      <c r="BS218">
        <f t="shared" si="39"/>
        <v>1108</v>
      </c>
    </row>
    <row r="219" spans="1:74" x14ac:dyDescent="0.25">
      <c r="A219" s="5" t="s">
        <v>2090</v>
      </c>
      <c r="B219" s="5" t="s">
        <v>207</v>
      </c>
      <c r="C219" s="5" t="s">
        <v>61</v>
      </c>
      <c r="D219" s="1" t="s">
        <v>100</v>
      </c>
      <c r="E219">
        <v>0</v>
      </c>
      <c r="F219">
        <v>1288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s="16">
        <v>1288</v>
      </c>
      <c r="P219">
        <v>0</v>
      </c>
      <c r="Q219">
        <v>124</v>
      </c>
      <c r="R219">
        <v>1412</v>
      </c>
      <c r="S219" s="18">
        <f t="shared" si="30"/>
        <v>0.91218130311614731</v>
      </c>
      <c r="T219" s="17">
        <f t="shared" si="31"/>
        <v>0</v>
      </c>
      <c r="U219" s="17">
        <f t="shared" si="32"/>
        <v>0</v>
      </c>
      <c r="V219" s="17">
        <f t="shared" si="33"/>
        <v>1412</v>
      </c>
      <c r="W219" s="17">
        <f t="shared" si="34"/>
        <v>0</v>
      </c>
      <c r="X219" s="17">
        <f t="shared" si="35"/>
        <v>124</v>
      </c>
      <c r="Y219" s="19">
        <f t="shared" si="36"/>
        <v>11.387096774193548</v>
      </c>
      <c r="Z219">
        <v>1288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f t="shared" si="37"/>
        <v>0</v>
      </c>
      <c r="BF219">
        <v>1288</v>
      </c>
      <c r="BG219">
        <v>1288</v>
      </c>
      <c r="BH219" t="s">
        <v>546</v>
      </c>
      <c r="BI219" t="s">
        <v>2229</v>
      </c>
      <c r="BJ219">
        <v>0</v>
      </c>
      <c r="BK219">
        <v>0</v>
      </c>
      <c r="BL219">
        <v>1288</v>
      </c>
      <c r="BM219">
        <v>0</v>
      </c>
      <c r="BN219">
        <v>0</v>
      </c>
      <c r="BO219">
        <v>1288</v>
      </c>
      <c r="BP219">
        <v>0</v>
      </c>
      <c r="BQ219">
        <v>1288</v>
      </c>
      <c r="BR219">
        <f t="shared" si="38"/>
        <v>1288</v>
      </c>
      <c r="BS219">
        <f t="shared" si="39"/>
        <v>1536</v>
      </c>
    </row>
    <row r="220" spans="1:74" x14ac:dyDescent="0.25">
      <c r="A220" s="5" t="s">
        <v>2090</v>
      </c>
      <c r="B220" s="5" t="s">
        <v>207</v>
      </c>
      <c r="C220" s="5" t="s">
        <v>61</v>
      </c>
      <c r="D220" s="1" t="s">
        <v>102</v>
      </c>
      <c r="E220">
        <v>0</v>
      </c>
      <c r="F220">
        <v>1288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6">
        <v>1288</v>
      </c>
      <c r="P220">
        <v>0</v>
      </c>
      <c r="Q220">
        <v>127</v>
      </c>
      <c r="R220">
        <v>1415</v>
      </c>
      <c r="S220" s="18">
        <f t="shared" si="30"/>
        <v>0.91024734982332156</v>
      </c>
      <c r="T220" s="17">
        <f t="shared" si="31"/>
        <v>0</v>
      </c>
      <c r="U220" s="17">
        <f t="shared" si="32"/>
        <v>0</v>
      </c>
      <c r="V220" s="17">
        <f t="shared" si="33"/>
        <v>1415</v>
      </c>
      <c r="W220" s="17">
        <f t="shared" si="34"/>
        <v>0</v>
      </c>
      <c r="X220" s="17">
        <f t="shared" si="35"/>
        <v>127</v>
      </c>
      <c r="Y220" s="19">
        <f t="shared" si="36"/>
        <v>11.141732283464567</v>
      </c>
      <c r="Z220">
        <v>1288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f t="shared" si="37"/>
        <v>0</v>
      </c>
      <c r="BF220">
        <v>1288</v>
      </c>
      <c r="BG220">
        <v>1288</v>
      </c>
      <c r="BH220" t="s">
        <v>546</v>
      </c>
      <c r="BI220" t="s">
        <v>2230</v>
      </c>
      <c r="BJ220">
        <v>0</v>
      </c>
      <c r="BK220">
        <v>0</v>
      </c>
      <c r="BL220">
        <v>1288</v>
      </c>
      <c r="BM220">
        <v>0</v>
      </c>
      <c r="BN220">
        <v>0</v>
      </c>
      <c r="BO220">
        <v>1288</v>
      </c>
      <c r="BP220">
        <v>0</v>
      </c>
      <c r="BQ220">
        <v>1288</v>
      </c>
      <c r="BR220">
        <f t="shared" si="38"/>
        <v>1288</v>
      </c>
      <c r="BS220">
        <f t="shared" si="39"/>
        <v>1542</v>
      </c>
    </row>
    <row r="221" spans="1:74" x14ac:dyDescent="0.25">
      <c r="A221" s="5" t="s">
        <v>359</v>
      </c>
      <c r="B221" s="5" t="s">
        <v>359</v>
      </c>
      <c r="C221" s="5" t="s">
        <v>61</v>
      </c>
      <c r="D221" s="1" t="s">
        <v>108</v>
      </c>
      <c r="E221">
        <v>0</v>
      </c>
      <c r="F221">
        <v>2888</v>
      </c>
      <c r="G221">
        <v>0</v>
      </c>
      <c r="H221">
        <v>0</v>
      </c>
      <c r="I221">
        <v>5059</v>
      </c>
      <c r="J221">
        <v>13595</v>
      </c>
      <c r="K221">
        <v>7571</v>
      </c>
      <c r="L221">
        <v>0</v>
      </c>
      <c r="M221">
        <v>0</v>
      </c>
      <c r="N221">
        <v>0</v>
      </c>
      <c r="O221">
        <v>0</v>
      </c>
      <c r="P221">
        <v>34929</v>
      </c>
      <c r="Q221">
        <v>3881</v>
      </c>
      <c r="R221">
        <v>3881</v>
      </c>
      <c r="S221" s="18">
        <f t="shared" si="30"/>
        <v>9</v>
      </c>
      <c r="T221" s="17">
        <f t="shared" si="31"/>
        <v>0</v>
      </c>
      <c r="U221" s="17">
        <f t="shared" si="32"/>
        <v>0</v>
      </c>
      <c r="V221" s="17">
        <f t="shared" si="33"/>
        <v>0</v>
      </c>
      <c r="W221" s="17">
        <f t="shared" si="34"/>
        <v>3881</v>
      </c>
      <c r="X221" s="17">
        <f t="shared" si="35"/>
        <v>0</v>
      </c>
      <c r="Y221" s="19" t="e">
        <f t="shared" si="36"/>
        <v>#DIV/0!</v>
      </c>
      <c r="Z221">
        <v>2888</v>
      </c>
      <c r="AA221">
        <v>4</v>
      </c>
      <c r="AB221">
        <v>688</v>
      </c>
      <c r="AC221">
        <v>11658</v>
      </c>
      <c r="AD221">
        <v>0</v>
      </c>
      <c r="AE221">
        <v>0</v>
      </c>
      <c r="AF221">
        <v>0</v>
      </c>
      <c r="AG221">
        <v>5059</v>
      </c>
      <c r="AH221">
        <v>5059</v>
      </c>
      <c r="AI221">
        <v>0</v>
      </c>
      <c r="AJ221">
        <v>0</v>
      </c>
      <c r="AK221">
        <v>13595</v>
      </c>
      <c r="AL221">
        <v>13595</v>
      </c>
      <c r="AM221">
        <v>0</v>
      </c>
      <c r="AN221">
        <v>0</v>
      </c>
      <c r="AO221">
        <v>7571</v>
      </c>
      <c r="AP221">
        <v>3347</v>
      </c>
      <c r="AQ221">
        <v>7571</v>
      </c>
      <c r="AR221">
        <v>4224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f t="shared" si="37"/>
        <v>71679</v>
      </c>
      <c r="BF221">
        <v>41463</v>
      </c>
      <c r="BG221">
        <v>41463</v>
      </c>
      <c r="BH221" t="s">
        <v>82</v>
      </c>
      <c r="BI221" t="s">
        <v>778</v>
      </c>
      <c r="BJ221">
        <v>12350</v>
      </c>
      <c r="BK221">
        <v>26225</v>
      </c>
      <c r="BL221">
        <v>41463</v>
      </c>
      <c r="BM221">
        <v>0</v>
      </c>
      <c r="BN221">
        <v>0</v>
      </c>
      <c r="BO221">
        <v>0</v>
      </c>
      <c r="BP221">
        <v>61154</v>
      </c>
      <c r="BQ221">
        <v>61154</v>
      </c>
      <c r="BR221">
        <f t="shared" si="38"/>
        <v>0</v>
      </c>
      <c r="BS221">
        <f t="shared" si="39"/>
        <v>7762</v>
      </c>
    </row>
    <row r="222" spans="1:74" x14ac:dyDescent="0.25">
      <c r="A222" s="5" t="s">
        <v>359</v>
      </c>
      <c r="B222" s="5" t="s">
        <v>359</v>
      </c>
      <c r="C222" s="5" t="s">
        <v>61</v>
      </c>
      <c r="D222" s="1" t="s">
        <v>127</v>
      </c>
      <c r="E222">
        <v>0</v>
      </c>
      <c r="F222">
        <v>2810</v>
      </c>
      <c r="G222">
        <v>0</v>
      </c>
      <c r="H222">
        <v>0</v>
      </c>
      <c r="I222">
        <v>1250</v>
      </c>
      <c r="J222">
        <v>7900</v>
      </c>
      <c r="K222">
        <v>350</v>
      </c>
      <c r="L222">
        <v>32</v>
      </c>
      <c r="M222">
        <v>0</v>
      </c>
      <c r="N222">
        <v>0</v>
      </c>
      <c r="O222">
        <v>0</v>
      </c>
      <c r="P222">
        <v>5058</v>
      </c>
      <c r="Q222">
        <v>562</v>
      </c>
      <c r="R222">
        <v>562</v>
      </c>
      <c r="S222" s="18">
        <f t="shared" si="30"/>
        <v>9</v>
      </c>
      <c r="T222" s="17">
        <f t="shared" si="31"/>
        <v>0</v>
      </c>
      <c r="U222" s="17">
        <f t="shared" si="32"/>
        <v>0</v>
      </c>
      <c r="V222" s="17">
        <f t="shared" si="33"/>
        <v>0</v>
      </c>
      <c r="W222" s="17">
        <f t="shared" si="34"/>
        <v>562</v>
      </c>
      <c r="X222" s="17">
        <f t="shared" si="35"/>
        <v>0</v>
      </c>
      <c r="Y222" s="19" t="e">
        <f t="shared" si="36"/>
        <v>#DIV/0!</v>
      </c>
      <c r="Z222">
        <v>2810</v>
      </c>
      <c r="AA222">
        <v>50</v>
      </c>
      <c r="AB222">
        <v>276</v>
      </c>
      <c r="AC222">
        <v>3550</v>
      </c>
      <c r="AD222">
        <v>0</v>
      </c>
      <c r="AE222">
        <v>0</v>
      </c>
      <c r="AF222">
        <v>0</v>
      </c>
      <c r="AG222">
        <v>1250</v>
      </c>
      <c r="AH222">
        <v>1250</v>
      </c>
      <c r="AI222">
        <v>0</v>
      </c>
      <c r="AJ222">
        <v>0</v>
      </c>
      <c r="AK222">
        <v>7900</v>
      </c>
      <c r="AL222">
        <v>7900</v>
      </c>
      <c r="AM222">
        <v>0</v>
      </c>
      <c r="AN222">
        <v>0</v>
      </c>
      <c r="AO222">
        <v>350</v>
      </c>
      <c r="AP222">
        <v>40</v>
      </c>
      <c r="AQ222">
        <v>350</v>
      </c>
      <c r="AR222">
        <v>310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32</v>
      </c>
      <c r="BA222">
        <v>32</v>
      </c>
      <c r="BB222">
        <v>0</v>
      </c>
      <c r="BC222">
        <v>0</v>
      </c>
      <c r="BD222">
        <v>0</v>
      </c>
      <c r="BE222">
        <f t="shared" si="37"/>
        <v>22964</v>
      </c>
      <c r="BF222">
        <v>16218</v>
      </c>
      <c r="BG222">
        <v>16218</v>
      </c>
      <c r="BH222" t="s">
        <v>82</v>
      </c>
      <c r="BI222" t="s">
        <v>787</v>
      </c>
      <c r="BJ222">
        <v>3876</v>
      </c>
      <c r="BK222">
        <v>9532</v>
      </c>
      <c r="BL222">
        <v>16218</v>
      </c>
      <c r="BM222">
        <v>0</v>
      </c>
      <c r="BN222">
        <v>0</v>
      </c>
      <c r="BO222">
        <v>0</v>
      </c>
      <c r="BP222">
        <v>14590</v>
      </c>
      <c r="BQ222">
        <v>14590</v>
      </c>
      <c r="BR222">
        <f t="shared" si="38"/>
        <v>0</v>
      </c>
      <c r="BS222">
        <f t="shared" si="39"/>
        <v>1124</v>
      </c>
    </row>
    <row r="223" spans="1:74" x14ac:dyDescent="0.25">
      <c r="A223" s="5" t="s">
        <v>1135</v>
      </c>
      <c r="B223" s="5" t="s">
        <v>207</v>
      </c>
      <c r="C223" s="5" t="s">
        <v>61</v>
      </c>
      <c r="D223" s="1" t="s">
        <v>92</v>
      </c>
      <c r="E223">
        <v>0</v>
      </c>
      <c r="F223">
        <v>18000</v>
      </c>
      <c r="G223">
        <v>1550</v>
      </c>
      <c r="H223">
        <v>0</v>
      </c>
      <c r="I223">
        <v>0</v>
      </c>
      <c r="J223">
        <v>6560</v>
      </c>
      <c r="K223">
        <v>0</v>
      </c>
      <c r="L223">
        <v>200</v>
      </c>
      <c r="M223">
        <v>0</v>
      </c>
      <c r="N223">
        <v>0</v>
      </c>
      <c r="O223">
        <v>0</v>
      </c>
      <c r="P223">
        <v>13050</v>
      </c>
      <c r="Q223">
        <v>1450</v>
      </c>
      <c r="R223">
        <v>1450</v>
      </c>
      <c r="S223" s="18">
        <f t="shared" si="30"/>
        <v>9</v>
      </c>
      <c r="T223" s="17">
        <f t="shared" si="31"/>
        <v>0</v>
      </c>
      <c r="U223" s="17">
        <f t="shared" si="32"/>
        <v>0</v>
      </c>
      <c r="V223" s="17">
        <f t="shared" si="33"/>
        <v>0</v>
      </c>
      <c r="W223" s="17">
        <f t="shared" si="34"/>
        <v>1450</v>
      </c>
      <c r="X223" s="17">
        <f t="shared" si="35"/>
        <v>0</v>
      </c>
      <c r="Y223" s="19" t="e">
        <f t="shared" si="36"/>
        <v>#DIV/0!</v>
      </c>
      <c r="Z223">
        <v>18000</v>
      </c>
      <c r="AA223">
        <v>0</v>
      </c>
      <c r="AB223">
        <v>0</v>
      </c>
      <c r="AC223">
        <v>180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6560</v>
      </c>
      <c r="AK223">
        <v>0</v>
      </c>
      <c r="AL223">
        <v>6560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1550</v>
      </c>
      <c r="AT223">
        <v>0</v>
      </c>
      <c r="AU223">
        <v>1550</v>
      </c>
      <c r="AV223">
        <v>1550</v>
      </c>
      <c r="AW223">
        <v>0</v>
      </c>
      <c r="AX223">
        <v>0</v>
      </c>
      <c r="AY223">
        <v>200</v>
      </c>
      <c r="AZ223">
        <v>0</v>
      </c>
      <c r="BA223">
        <v>200</v>
      </c>
      <c r="BB223">
        <v>0</v>
      </c>
      <c r="BC223">
        <v>0</v>
      </c>
      <c r="BD223">
        <v>0</v>
      </c>
      <c r="BE223">
        <f t="shared" si="37"/>
        <v>18350</v>
      </c>
      <c r="BF223">
        <v>26490</v>
      </c>
      <c r="BG223">
        <v>26490</v>
      </c>
      <c r="BH223" t="s">
        <v>543</v>
      </c>
      <c r="BI223" t="s">
        <v>1210</v>
      </c>
      <c r="BJ223">
        <v>180</v>
      </c>
      <c r="BK223">
        <v>8310</v>
      </c>
      <c r="BL223">
        <v>26490</v>
      </c>
      <c r="BM223">
        <v>0</v>
      </c>
      <c r="BN223">
        <v>8310</v>
      </c>
      <c r="BO223">
        <v>0</v>
      </c>
      <c r="BP223">
        <v>13050</v>
      </c>
      <c r="BQ223">
        <v>21360</v>
      </c>
      <c r="BR223">
        <f t="shared" si="38"/>
        <v>0</v>
      </c>
      <c r="BS223">
        <f t="shared" si="39"/>
        <v>2900</v>
      </c>
      <c r="BU223">
        <f>R223*9</f>
        <v>13050</v>
      </c>
      <c r="BV223">
        <f>IF(BU223&gt;BG223, 1, 0)</f>
        <v>0</v>
      </c>
    </row>
    <row r="224" spans="1:74" x14ac:dyDescent="0.25">
      <c r="A224" s="5" t="s">
        <v>1451</v>
      </c>
      <c r="B224" s="5" t="s">
        <v>61</v>
      </c>
      <c r="C224" s="5" t="s">
        <v>61</v>
      </c>
      <c r="D224" s="1" t="s">
        <v>62</v>
      </c>
      <c r="E224">
        <v>0</v>
      </c>
      <c r="F224">
        <v>25580</v>
      </c>
      <c r="G224">
        <v>0</v>
      </c>
      <c r="H224">
        <v>0</v>
      </c>
      <c r="I224">
        <v>7900</v>
      </c>
      <c r="J224">
        <v>390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12672</v>
      </c>
      <c r="Q224">
        <v>1408</v>
      </c>
      <c r="R224">
        <v>1408</v>
      </c>
      <c r="S224" s="18">
        <f t="shared" si="30"/>
        <v>9</v>
      </c>
      <c r="T224" s="17">
        <f t="shared" si="31"/>
        <v>0</v>
      </c>
      <c r="U224" s="17">
        <f t="shared" si="32"/>
        <v>0</v>
      </c>
      <c r="V224" s="17">
        <f t="shared" si="33"/>
        <v>0</v>
      </c>
      <c r="W224" s="17">
        <f t="shared" si="34"/>
        <v>1408</v>
      </c>
      <c r="X224" s="17">
        <f t="shared" si="35"/>
        <v>0</v>
      </c>
      <c r="Y224" s="19" t="e">
        <f t="shared" si="36"/>
        <v>#DIV/0!</v>
      </c>
      <c r="Z224">
        <v>25580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7900</v>
      </c>
      <c r="AH224">
        <v>7900</v>
      </c>
      <c r="AI224">
        <v>0</v>
      </c>
      <c r="AJ224">
        <v>0</v>
      </c>
      <c r="AK224">
        <v>390</v>
      </c>
      <c r="AL224">
        <v>390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f t="shared" si="37"/>
        <v>16580</v>
      </c>
      <c r="BF224">
        <v>33870</v>
      </c>
      <c r="BG224">
        <v>33870</v>
      </c>
      <c r="BH224" t="s">
        <v>543</v>
      </c>
      <c r="BI224" t="s">
        <v>1414</v>
      </c>
      <c r="BJ224">
        <v>0</v>
      </c>
      <c r="BK224">
        <v>8290</v>
      </c>
      <c r="BL224">
        <v>33870</v>
      </c>
      <c r="BM224">
        <v>0</v>
      </c>
      <c r="BN224">
        <v>0</v>
      </c>
      <c r="BO224">
        <v>0</v>
      </c>
      <c r="BP224">
        <v>20962</v>
      </c>
      <c r="BQ224">
        <v>20962</v>
      </c>
      <c r="BR224">
        <f t="shared" si="38"/>
        <v>0</v>
      </c>
      <c r="BS224">
        <f t="shared" si="39"/>
        <v>2816</v>
      </c>
      <c r="BU224">
        <f>R224*9</f>
        <v>12672</v>
      </c>
      <c r="BV224">
        <f>IF(BU224&gt;BG224, 1, 0)</f>
        <v>0</v>
      </c>
    </row>
    <row r="225" spans="1:74" x14ac:dyDescent="0.25">
      <c r="A225" s="5" t="s">
        <v>207</v>
      </c>
      <c r="B225" s="5" t="s">
        <v>61</v>
      </c>
      <c r="C225" s="5" t="s">
        <v>207</v>
      </c>
      <c r="D225" s="1" t="s">
        <v>65</v>
      </c>
      <c r="E225">
        <v>0</v>
      </c>
      <c r="F225">
        <v>9500</v>
      </c>
      <c r="G225">
        <v>0</v>
      </c>
      <c r="H225">
        <v>0</v>
      </c>
      <c r="I225">
        <v>4650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12348</v>
      </c>
      <c r="Q225">
        <v>1372</v>
      </c>
      <c r="R225">
        <v>1372</v>
      </c>
      <c r="S225" s="18">
        <f t="shared" si="30"/>
        <v>9</v>
      </c>
      <c r="T225" s="17">
        <f t="shared" si="31"/>
        <v>0</v>
      </c>
      <c r="U225" s="17">
        <f t="shared" si="32"/>
        <v>0</v>
      </c>
      <c r="V225" s="17">
        <f t="shared" si="33"/>
        <v>0</v>
      </c>
      <c r="W225" s="17">
        <f t="shared" si="34"/>
        <v>1372</v>
      </c>
      <c r="X225" s="17">
        <f t="shared" si="35"/>
        <v>0</v>
      </c>
      <c r="Y225" s="19" t="e">
        <f t="shared" si="36"/>
        <v>#DIV/0!</v>
      </c>
      <c r="Z225">
        <v>9500</v>
      </c>
      <c r="AA225">
        <v>0</v>
      </c>
      <c r="AB225">
        <v>0</v>
      </c>
      <c r="AC225">
        <v>655</v>
      </c>
      <c r="AD225">
        <v>0</v>
      </c>
      <c r="AE225">
        <v>0</v>
      </c>
      <c r="AF225">
        <v>0</v>
      </c>
      <c r="AG225">
        <v>4650</v>
      </c>
      <c r="AH225">
        <v>4650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f t="shared" si="37"/>
        <v>9955</v>
      </c>
      <c r="BF225">
        <v>14805</v>
      </c>
      <c r="BG225">
        <v>14805</v>
      </c>
      <c r="BH225" t="s">
        <v>63</v>
      </c>
      <c r="BI225" t="s">
        <v>463</v>
      </c>
      <c r="BJ225">
        <v>655</v>
      </c>
      <c r="BK225">
        <v>4650</v>
      </c>
      <c r="BL225">
        <v>14805</v>
      </c>
      <c r="BM225">
        <v>0</v>
      </c>
      <c r="BN225">
        <v>0</v>
      </c>
      <c r="BO225">
        <v>0</v>
      </c>
      <c r="BP225">
        <v>16998</v>
      </c>
      <c r="BQ225">
        <v>16998</v>
      </c>
      <c r="BR225">
        <f t="shared" si="38"/>
        <v>0</v>
      </c>
      <c r="BS225">
        <f t="shared" si="39"/>
        <v>2744</v>
      </c>
      <c r="BU225">
        <f>R225*9</f>
        <v>12348</v>
      </c>
      <c r="BV225">
        <f>IF(BU225&gt;BG225, 1, 0)</f>
        <v>0</v>
      </c>
    </row>
    <row r="226" spans="1:74" x14ac:dyDescent="0.25">
      <c r="A226" s="5" t="s">
        <v>359</v>
      </c>
      <c r="B226" s="5" t="s">
        <v>627</v>
      </c>
      <c r="C226" s="5" t="s">
        <v>61</v>
      </c>
      <c r="D226" s="1" t="s">
        <v>75</v>
      </c>
      <c r="E226">
        <v>0</v>
      </c>
      <c r="F226">
        <v>1926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5778</v>
      </c>
      <c r="N226">
        <v>0</v>
      </c>
      <c r="O226">
        <v>0</v>
      </c>
      <c r="P226">
        <v>0</v>
      </c>
      <c r="Q226">
        <v>642</v>
      </c>
      <c r="R226">
        <v>642</v>
      </c>
      <c r="S226" s="18">
        <f t="shared" si="30"/>
        <v>9</v>
      </c>
      <c r="T226" s="17">
        <f t="shared" si="31"/>
        <v>642</v>
      </c>
      <c r="U226" s="17">
        <f t="shared" si="32"/>
        <v>0</v>
      </c>
      <c r="V226" s="17">
        <f t="shared" si="33"/>
        <v>0</v>
      </c>
      <c r="W226" s="17">
        <f t="shared" si="34"/>
        <v>0</v>
      </c>
      <c r="X226" s="17">
        <f t="shared" si="35"/>
        <v>0</v>
      </c>
      <c r="Y226" s="19" t="e">
        <f t="shared" si="36"/>
        <v>#DIV/0!</v>
      </c>
      <c r="Z226">
        <v>1926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f t="shared" si="37"/>
        <v>0</v>
      </c>
      <c r="BF226">
        <v>1926</v>
      </c>
      <c r="BG226">
        <v>1926</v>
      </c>
      <c r="BH226" t="s">
        <v>109</v>
      </c>
      <c r="BI226" t="s">
        <v>798</v>
      </c>
      <c r="BJ226">
        <v>0</v>
      </c>
      <c r="BK226">
        <v>0</v>
      </c>
      <c r="BL226">
        <v>1926</v>
      </c>
      <c r="BM226">
        <v>5778</v>
      </c>
      <c r="BN226">
        <v>0</v>
      </c>
      <c r="BO226">
        <v>0</v>
      </c>
      <c r="BP226">
        <v>0</v>
      </c>
      <c r="BQ226">
        <v>5778</v>
      </c>
      <c r="BR226">
        <f t="shared" si="38"/>
        <v>0</v>
      </c>
      <c r="BS226">
        <f t="shared" si="39"/>
        <v>1284</v>
      </c>
    </row>
    <row r="227" spans="1:74" x14ac:dyDescent="0.25">
      <c r="A227" s="5" t="s">
        <v>359</v>
      </c>
      <c r="B227" s="5" t="s">
        <v>627</v>
      </c>
      <c r="C227" s="5" t="s">
        <v>61</v>
      </c>
      <c r="D227" s="1" t="s">
        <v>77</v>
      </c>
      <c r="E227">
        <v>0</v>
      </c>
      <c r="F227">
        <v>78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702</v>
      </c>
      <c r="N227">
        <v>0</v>
      </c>
      <c r="O227">
        <v>0</v>
      </c>
      <c r="P227">
        <v>0</v>
      </c>
      <c r="Q227">
        <v>78</v>
      </c>
      <c r="R227">
        <v>78</v>
      </c>
      <c r="S227" s="18">
        <f t="shared" si="30"/>
        <v>9</v>
      </c>
      <c r="T227" s="17">
        <f t="shared" si="31"/>
        <v>78</v>
      </c>
      <c r="U227" s="17">
        <f t="shared" si="32"/>
        <v>0</v>
      </c>
      <c r="V227" s="17">
        <f t="shared" si="33"/>
        <v>0</v>
      </c>
      <c r="W227" s="17">
        <f t="shared" si="34"/>
        <v>0</v>
      </c>
      <c r="X227" s="17">
        <f t="shared" si="35"/>
        <v>0</v>
      </c>
      <c r="Y227" s="19" t="e">
        <f t="shared" si="36"/>
        <v>#DIV/0!</v>
      </c>
      <c r="Z227">
        <v>78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f t="shared" si="37"/>
        <v>0</v>
      </c>
      <c r="BF227">
        <v>78</v>
      </c>
      <c r="BG227">
        <v>78</v>
      </c>
      <c r="BH227" t="s">
        <v>109</v>
      </c>
      <c r="BI227" t="s">
        <v>378</v>
      </c>
      <c r="BJ227">
        <v>0</v>
      </c>
      <c r="BK227">
        <v>0</v>
      </c>
      <c r="BL227">
        <v>78</v>
      </c>
      <c r="BM227">
        <v>702</v>
      </c>
      <c r="BN227">
        <v>0</v>
      </c>
      <c r="BO227">
        <v>0</v>
      </c>
      <c r="BP227">
        <v>0</v>
      </c>
      <c r="BQ227">
        <v>702</v>
      </c>
      <c r="BR227">
        <f t="shared" si="38"/>
        <v>0</v>
      </c>
      <c r="BS227">
        <f t="shared" si="39"/>
        <v>156</v>
      </c>
    </row>
    <row r="228" spans="1:74" x14ac:dyDescent="0.25">
      <c r="A228" s="5" t="s">
        <v>359</v>
      </c>
      <c r="B228" s="5" t="s">
        <v>627</v>
      </c>
      <c r="C228" s="5" t="s">
        <v>61</v>
      </c>
      <c r="D228" s="1" t="s">
        <v>81</v>
      </c>
      <c r="E228">
        <v>0</v>
      </c>
      <c r="F228">
        <v>56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504</v>
      </c>
      <c r="N228">
        <v>0</v>
      </c>
      <c r="O228">
        <v>0</v>
      </c>
      <c r="P228">
        <v>0</v>
      </c>
      <c r="Q228">
        <v>56</v>
      </c>
      <c r="R228">
        <v>56</v>
      </c>
      <c r="S228" s="18">
        <f t="shared" si="30"/>
        <v>9</v>
      </c>
      <c r="T228" s="17">
        <f t="shared" si="31"/>
        <v>56</v>
      </c>
      <c r="U228" s="17">
        <f t="shared" si="32"/>
        <v>0</v>
      </c>
      <c r="V228" s="17">
        <f t="shared" si="33"/>
        <v>0</v>
      </c>
      <c r="W228" s="17">
        <f t="shared" si="34"/>
        <v>0</v>
      </c>
      <c r="X228" s="17">
        <f t="shared" si="35"/>
        <v>0</v>
      </c>
      <c r="Y228" s="19" t="e">
        <f t="shared" si="36"/>
        <v>#DIV/0!</v>
      </c>
      <c r="Z228">
        <v>56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f t="shared" si="37"/>
        <v>0</v>
      </c>
      <c r="BF228">
        <v>56</v>
      </c>
      <c r="BG228">
        <v>56</v>
      </c>
      <c r="BH228" t="s">
        <v>109</v>
      </c>
      <c r="BI228" t="s">
        <v>800</v>
      </c>
      <c r="BJ228">
        <v>0</v>
      </c>
      <c r="BK228">
        <v>0</v>
      </c>
      <c r="BL228">
        <v>56</v>
      </c>
      <c r="BM228">
        <v>504</v>
      </c>
      <c r="BN228">
        <v>0</v>
      </c>
      <c r="BO228">
        <v>0</v>
      </c>
      <c r="BP228">
        <v>0</v>
      </c>
      <c r="BQ228">
        <v>504</v>
      </c>
      <c r="BR228">
        <f t="shared" si="38"/>
        <v>0</v>
      </c>
      <c r="BS228">
        <f t="shared" si="39"/>
        <v>112</v>
      </c>
    </row>
    <row r="229" spans="1:74" x14ac:dyDescent="0.25">
      <c r="A229" s="5" t="s">
        <v>359</v>
      </c>
      <c r="B229" s="5" t="s">
        <v>627</v>
      </c>
      <c r="C229" s="5" t="s">
        <v>61</v>
      </c>
      <c r="D229" s="1" t="s">
        <v>86</v>
      </c>
      <c r="E229">
        <v>0</v>
      </c>
      <c r="F229">
        <v>71</v>
      </c>
      <c r="G229">
        <v>0</v>
      </c>
      <c r="H229">
        <v>0</v>
      </c>
      <c r="I229">
        <v>170</v>
      </c>
      <c r="J229">
        <v>0</v>
      </c>
      <c r="K229">
        <v>1450</v>
      </c>
      <c r="L229">
        <v>0</v>
      </c>
      <c r="M229">
        <v>0</v>
      </c>
      <c r="N229">
        <v>0</v>
      </c>
      <c r="O229">
        <v>0</v>
      </c>
      <c r="P229">
        <v>639</v>
      </c>
      <c r="Q229">
        <v>71</v>
      </c>
      <c r="R229">
        <v>71</v>
      </c>
      <c r="S229" s="18">
        <f t="shared" si="30"/>
        <v>9</v>
      </c>
      <c r="T229" s="17">
        <f t="shared" si="31"/>
        <v>0</v>
      </c>
      <c r="U229" s="17">
        <f t="shared" si="32"/>
        <v>0</v>
      </c>
      <c r="V229" s="17">
        <f t="shared" si="33"/>
        <v>0</v>
      </c>
      <c r="W229" s="17">
        <f t="shared" si="34"/>
        <v>71</v>
      </c>
      <c r="X229" s="17">
        <f t="shared" si="35"/>
        <v>0</v>
      </c>
      <c r="Y229" s="19" t="e">
        <f t="shared" si="36"/>
        <v>#DIV/0!</v>
      </c>
      <c r="Z229">
        <v>71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170</v>
      </c>
      <c r="AH229">
        <v>170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1450</v>
      </c>
      <c r="AP229">
        <v>1100</v>
      </c>
      <c r="AQ229">
        <v>1450</v>
      </c>
      <c r="AR229">
        <v>350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f t="shared" si="37"/>
        <v>4690</v>
      </c>
      <c r="BF229">
        <v>1691</v>
      </c>
      <c r="BG229">
        <v>1691</v>
      </c>
      <c r="BH229" t="s">
        <v>199</v>
      </c>
      <c r="BI229" t="s">
        <v>802</v>
      </c>
      <c r="BJ229">
        <v>0</v>
      </c>
      <c r="BK229">
        <v>1620</v>
      </c>
      <c r="BL229">
        <v>1691</v>
      </c>
      <c r="BM229">
        <v>0</v>
      </c>
      <c r="BN229">
        <v>0</v>
      </c>
      <c r="BO229">
        <v>0</v>
      </c>
      <c r="BP229">
        <v>2259</v>
      </c>
      <c r="BQ229">
        <v>2259</v>
      </c>
      <c r="BR229">
        <f t="shared" si="38"/>
        <v>0</v>
      </c>
      <c r="BS229">
        <f t="shared" si="39"/>
        <v>142</v>
      </c>
    </row>
    <row r="230" spans="1:74" x14ac:dyDescent="0.25">
      <c r="A230" s="5" t="s">
        <v>627</v>
      </c>
      <c r="B230" s="5" t="s">
        <v>61</v>
      </c>
      <c r="C230" s="5" t="s">
        <v>61</v>
      </c>
      <c r="D230" s="1" t="s">
        <v>88</v>
      </c>
      <c r="E230">
        <v>0</v>
      </c>
      <c r="F230">
        <v>468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4212</v>
      </c>
      <c r="Q230">
        <v>468</v>
      </c>
      <c r="R230">
        <v>468</v>
      </c>
      <c r="S230" s="18">
        <f t="shared" si="30"/>
        <v>9</v>
      </c>
      <c r="T230" s="17">
        <f t="shared" si="31"/>
        <v>0</v>
      </c>
      <c r="U230" s="17">
        <f t="shared" si="32"/>
        <v>0</v>
      </c>
      <c r="V230" s="17">
        <f t="shared" si="33"/>
        <v>0</v>
      </c>
      <c r="W230" s="17">
        <f t="shared" si="34"/>
        <v>468</v>
      </c>
      <c r="X230" s="17">
        <f t="shared" si="35"/>
        <v>0</v>
      </c>
      <c r="Y230" s="19" t="e">
        <f t="shared" si="36"/>
        <v>#DIV/0!</v>
      </c>
      <c r="Z230">
        <v>468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f t="shared" si="37"/>
        <v>0</v>
      </c>
      <c r="BF230">
        <v>468</v>
      </c>
      <c r="BG230">
        <v>468</v>
      </c>
      <c r="BH230" t="s">
        <v>109</v>
      </c>
      <c r="BI230" t="s">
        <v>821</v>
      </c>
      <c r="BJ230">
        <v>0</v>
      </c>
      <c r="BK230">
        <v>0</v>
      </c>
      <c r="BL230">
        <v>468</v>
      </c>
      <c r="BM230">
        <v>0</v>
      </c>
      <c r="BN230">
        <v>0</v>
      </c>
      <c r="BO230">
        <v>0</v>
      </c>
      <c r="BP230">
        <v>4212</v>
      </c>
      <c r="BQ230">
        <v>4212</v>
      </c>
      <c r="BR230">
        <f t="shared" si="38"/>
        <v>0</v>
      </c>
      <c r="BS230">
        <f t="shared" si="39"/>
        <v>936</v>
      </c>
    </row>
    <row r="231" spans="1:74" x14ac:dyDescent="0.25">
      <c r="A231" s="5" t="s">
        <v>627</v>
      </c>
      <c r="B231" s="5" t="s">
        <v>61</v>
      </c>
      <c r="C231" s="5" t="s">
        <v>61</v>
      </c>
      <c r="D231" s="1" t="s">
        <v>100</v>
      </c>
      <c r="E231">
        <v>0</v>
      </c>
      <c r="F231">
        <v>12</v>
      </c>
      <c r="G231">
        <v>0</v>
      </c>
      <c r="H231">
        <v>0</v>
      </c>
      <c r="I231">
        <v>30</v>
      </c>
      <c r="J231">
        <v>0</v>
      </c>
      <c r="K231">
        <v>90</v>
      </c>
      <c r="L231">
        <v>0</v>
      </c>
      <c r="M231">
        <v>126</v>
      </c>
      <c r="N231">
        <v>0</v>
      </c>
      <c r="O231">
        <v>0</v>
      </c>
      <c r="P231">
        <v>0</v>
      </c>
      <c r="Q231">
        <v>14</v>
      </c>
      <c r="R231">
        <v>14</v>
      </c>
      <c r="S231" s="18">
        <f t="shared" si="30"/>
        <v>9</v>
      </c>
      <c r="T231" s="17">
        <f t="shared" si="31"/>
        <v>14</v>
      </c>
      <c r="U231" s="17">
        <f t="shared" si="32"/>
        <v>0</v>
      </c>
      <c r="V231" s="17">
        <f t="shared" si="33"/>
        <v>0</v>
      </c>
      <c r="W231" s="17">
        <f t="shared" si="34"/>
        <v>0</v>
      </c>
      <c r="X231" s="17">
        <f t="shared" si="35"/>
        <v>0</v>
      </c>
      <c r="Y231" s="19" t="e">
        <f t="shared" si="36"/>
        <v>#DIV/0!</v>
      </c>
      <c r="Z231">
        <v>12</v>
      </c>
      <c r="AA231">
        <v>0</v>
      </c>
      <c r="AB231">
        <v>0</v>
      </c>
      <c r="AC231">
        <v>0</v>
      </c>
      <c r="AD231">
        <v>30</v>
      </c>
      <c r="AE231">
        <v>0</v>
      </c>
      <c r="AF231">
        <v>0</v>
      </c>
      <c r="AG231">
        <v>0</v>
      </c>
      <c r="AH231">
        <v>30</v>
      </c>
      <c r="AI231">
        <v>0</v>
      </c>
      <c r="AJ231">
        <v>0</v>
      </c>
      <c r="AK231">
        <v>0</v>
      </c>
      <c r="AL231">
        <v>0</v>
      </c>
      <c r="AM231">
        <v>90</v>
      </c>
      <c r="AN231">
        <v>0</v>
      </c>
      <c r="AO231">
        <v>0</v>
      </c>
      <c r="AP231">
        <v>0</v>
      </c>
      <c r="AQ231">
        <v>90</v>
      </c>
      <c r="AR231">
        <v>90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f t="shared" si="37"/>
        <v>330</v>
      </c>
      <c r="BF231">
        <v>132</v>
      </c>
      <c r="BG231">
        <v>132</v>
      </c>
      <c r="BH231" t="s">
        <v>190</v>
      </c>
      <c r="BI231" t="s">
        <v>827</v>
      </c>
      <c r="BJ231">
        <v>0</v>
      </c>
      <c r="BK231">
        <v>120</v>
      </c>
      <c r="BL231">
        <v>132</v>
      </c>
      <c r="BM231">
        <v>246</v>
      </c>
      <c r="BN231">
        <v>0</v>
      </c>
      <c r="BO231">
        <v>0</v>
      </c>
      <c r="BP231">
        <v>0</v>
      </c>
      <c r="BQ231">
        <v>246</v>
      </c>
      <c r="BR231">
        <f t="shared" si="38"/>
        <v>0</v>
      </c>
      <c r="BS231">
        <f t="shared" si="39"/>
        <v>28</v>
      </c>
    </row>
    <row r="232" spans="1:74" x14ac:dyDescent="0.25">
      <c r="A232" s="5" t="s">
        <v>627</v>
      </c>
      <c r="B232" s="5" t="s">
        <v>61</v>
      </c>
      <c r="C232" s="5" t="s">
        <v>61</v>
      </c>
      <c r="D232" s="1" t="s">
        <v>102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65</v>
      </c>
      <c r="K232">
        <v>25</v>
      </c>
      <c r="L232">
        <v>85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8" t="e">
        <f t="shared" si="30"/>
        <v>#DIV/0!</v>
      </c>
      <c r="T232" s="17" t="e">
        <f t="shared" si="31"/>
        <v>#DIV/0!</v>
      </c>
      <c r="U232" s="17" t="e">
        <f t="shared" si="32"/>
        <v>#DIV/0!</v>
      </c>
      <c r="V232" s="17" t="e">
        <f t="shared" si="33"/>
        <v>#DIV/0!</v>
      </c>
      <c r="W232" s="17" t="e">
        <f t="shared" si="34"/>
        <v>#DIV/0!</v>
      </c>
      <c r="X232" s="17" t="e">
        <f t="shared" si="35"/>
        <v>#DIV/0!</v>
      </c>
      <c r="Y232" s="19" t="e">
        <f t="shared" si="36"/>
        <v>#DIV/0!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65</v>
      </c>
      <c r="AL232">
        <v>65</v>
      </c>
      <c r="AM232">
        <v>0</v>
      </c>
      <c r="AN232">
        <v>0</v>
      </c>
      <c r="AO232">
        <v>25</v>
      </c>
      <c r="AP232">
        <v>0</v>
      </c>
      <c r="AQ232">
        <v>25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85</v>
      </c>
      <c r="BA232">
        <v>85</v>
      </c>
      <c r="BB232">
        <v>0</v>
      </c>
      <c r="BC232">
        <v>0</v>
      </c>
      <c r="BD232">
        <v>0</v>
      </c>
      <c r="BE232">
        <f t="shared" si="37"/>
        <v>350</v>
      </c>
      <c r="BF232">
        <v>175</v>
      </c>
      <c r="BG232">
        <v>175</v>
      </c>
      <c r="BH232" t="s">
        <v>199</v>
      </c>
      <c r="BI232" t="s">
        <v>828</v>
      </c>
      <c r="BJ232">
        <v>0</v>
      </c>
      <c r="BK232">
        <v>175</v>
      </c>
      <c r="BL232">
        <v>175</v>
      </c>
      <c r="BM232">
        <v>0</v>
      </c>
      <c r="BN232">
        <v>0</v>
      </c>
      <c r="BO232">
        <v>0</v>
      </c>
      <c r="BP232">
        <v>175</v>
      </c>
      <c r="BQ232">
        <v>175</v>
      </c>
      <c r="BR232">
        <f t="shared" si="38"/>
        <v>0</v>
      </c>
      <c r="BS232">
        <f t="shared" si="39"/>
        <v>0</v>
      </c>
    </row>
    <row r="233" spans="1:74" x14ac:dyDescent="0.25">
      <c r="A233" s="5" t="s">
        <v>359</v>
      </c>
      <c r="B233" s="5" t="s">
        <v>359</v>
      </c>
      <c r="C233" s="5" t="s">
        <v>61</v>
      </c>
      <c r="D233" s="1" t="s">
        <v>67</v>
      </c>
      <c r="E233">
        <v>0</v>
      </c>
      <c r="F233">
        <v>15300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12150</v>
      </c>
      <c r="Q233">
        <v>1350</v>
      </c>
      <c r="R233">
        <v>1350</v>
      </c>
      <c r="S233" s="18">
        <f t="shared" si="30"/>
        <v>9</v>
      </c>
      <c r="T233" s="17">
        <f t="shared" si="31"/>
        <v>0</v>
      </c>
      <c r="U233" s="17">
        <f t="shared" si="32"/>
        <v>0</v>
      </c>
      <c r="V233" s="17">
        <f t="shared" si="33"/>
        <v>0</v>
      </c>
      <c r="W233" s="17">
        <f t="shared" si="34"/>
        <v>1350</v>
      </c>
      <c r="X233" s="17">
        <f t="shared" si="35"/>
        <v>0</v>
      </c>
      <c r="Y233" s="19" t="e">
        <f t="shared" si="36"/>
        <v>#DIV/0!</v>
      </c>
      <c r="Z233">
        <v>15300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f t="shared" si="37"/>
        <v>0</v>
      </c>
      <c r="BF233">
        <v>15300</v>
      </c>
      <c r="BG233">
        <v>15300</v>
      </c>
      <c r="BH233" t="s">
        <v>63</v>
      </c>
      <c r="BI233" t="s">
        <v>758</v>
      </c>
      <c r="BJ233">
        <v>0</v>
      </c>
      <c r="BK233">
        <v>0</v>
      </c>
      <c r="BL233">
        <v>15300</v>
      </c>
      <c r="BM233">
        <v>0</v>
      </c>
      <c r="BN233">
        <v>0</v>
      </c>
      <c r="BO233">
        <v>0</v>
      </c>
      <c r="BP233">
        <v>12150</v>
      </c>
      <c r="BQ233">
        <v>12150</v>
      </c>
      <c r="BR233">
        <f t="shared" si="38"/>
        <v>0</v>
      </c>
      <c r="BS233">
        <f t="shared" si="39"/>
        <v>2700</v>
      </c>
      <c r="BU233">
        <f>R233*9</f>
        <v>12150</v>
      </c>
      <c r="BV233">
        <f>IF(BU233&gt;BG233, 1, 0)</f>
        <v>0</v>
      </c>
    </row>
    <row r="234" spans="1:74" x14ac:dyDescent="0.25">
      <c r="A234" s="5" t="s">
        <v>627</v>
      </c>
      <c r="B234" s="5" t="s">
        <v>207</v>
      </c>
      <c r="C234" s="5" t="s">
        <v>61</v>
      </c>
      <c r="D234" s="1" t="s">
        <v>71</v>
      </c>
      <c r="E234">
        <v>0</v>
      </c>
      <c r="F234">
        <v>553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3015</v>
      </c>
      <c r="N234">
        <v>0</v>
      </c>
      <c r="O234">
        <v>0</v>
      </c>
      <c r="P234">
        <v>0</v>
      </c>
      <c r="Q234">
        <v>335</v>
      </c>
      <c r="R234">
        <v>335</v>
      </c>
      <c r="S234" s="18">
        <f t="shared" si="30"/>
        <v>9</v>
      </c>
      <c r="T234" s="17">
        <f t="shared" si="31"/>
        <v>335</v>
      </c>
      <c r="U234" s="17">
        <f t="shared" si="32"/>
        <v>0</v>
      </c>
      <c r="V234" s="17">
        <f t="shared" si="33"/>
        <v>0</v>
      </c>
      <c r="W234" s="17">
        <f t="shared" si="34"/>
        <v>0</v>
      </c>
      <c r="X234" s="17">
        <f t="shared" si="35"/>
        <v>0</v>
      </c>
      <c r="Y234" s="19" t="e">
        <f t="shared" si="36"/>
        <v>#DIV/0!</v>
      </c>
      <c r="Z234">
        <v>553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f t="shared" si="37"/>
        <v>0</v>
      </c>
      <c r="BF234">
        <v>553</v>
      </c>
      <c r="BG234">
        <v>553</v>
      </c>
      <c r="BH234" t="s">
        <v>109</v>
      </c>
      <c r="BI234" t="s">
        <v>836</v>
      </c>
      <c r="BJ234">
        <v>0</v>
      </c>
      <c r="BK234">
        <v>0</v>
      </c>
      <c r="BL234">
        <v>553</v>
      </c>
      <c r="BM234">
        <v>3015</v>
      </c>
      <c r="BN234">
        <v>0</v>
      </c>
      <c r="BO234">
        <v>0</v>
      </c>
      <c r="BP234">
        <v>0</v>
      </c>
      <c r="BQ234">
        <v>3015</v>
      </c>
      <c r="BR234">
        <f t="shared" si="38"/>
        <v>0</v>
      </c>
      <c r="BS234">
        <f t="shared" si="39"/>
        <v>670</v>
      </c>
    </row>
    <row r="235" spans="1:74" x14ac:dyDescent="0.25">
      <c r="A235" s="5" t="s">
        <v>627</v>
      </c>
      <c r="B235" s="5" t="s">
        <v>207</v>
      </c>
      <c r="C235" s="5" t="s">
        <v>61</v>
      </c>
      <c r="D235" s="1" t="s">
        <v>75</v>
      </c>
      <c r="E235">
        <v>0</v>
      </c>
      <c r="F235">
        <v>626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3960</v>
      </c>
      <c r="N235">
        <v>0</v>
      </c>
      <c r="O235">
        <v>0</v>
      </c>
      <c r="P235">
        <v>0</v>
      </c>
      <c r="Q235">
        <v>440</v>
      </c>
      <c r="R235">
        <v>440</v>
      </c>
      <c r="S235" s="18">
        <f t="shared" si="30"/>
        <v>9</v>
      </c>
      <c r="T235" s="17">
        <f t="shared" si="31"/>
        <v>440</v>
      </c>
      <c r="U235" s="17">
        <f t="shared" si="32"/>
        <v>0</v>
      </c>
      <c r="V235" s="17">
        <f t="shared" si="33"/>
        <v>0</v>
      </c>
      <c r="W235" s="17">
        <f t="shared" si="34"/>
        <v>0</v>
      </c>
      <c r="X235" s="17">
        <f t="shared" si="35"/>
        <v>0</v>
      </c>
      <c r="Y235" s="19" t="e">
        <f t="shared" si="36"/>
        <v>#DIV/0!</v>
      </c>
      <c r="Z235">
        <v>626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f t="shared" si="37"/>
        <v>0</v>
      </c>
      <c r="BF235">
        <v>626</v>
      </c>
      <c r="BG235">
        <v>626</v>
      </c>
      <c r="BH235" t="s">
        <v>109</v>
      </c>
      <c r="BI235" t="s">
        <v>823</v>
      </c>
      <c r="BJ235">
        <v>0</v>
      </c>
      <c r="BK235">
        <v>0</v>
      </c>
      <c r="BL235">
        <v>626</v>
      </c>
      <c r="BM235">
        <v>3960</v>
      </c>
      <c r="BN235">
        <v>0</v>
      </c>
      <c r="BO235">
        <v>0</v>
      </c>
      <c r="BP235">
        <v>0</v>
      </c>
      <c r="BQ235">
        <v>3960</v>
      </c>
      <c r="BR235">
        <f t="shared" si="38"/>
        <v>0</v>
      </c>
      <c r="BS235">
        <f t="shared" si="39"/>
        <v>880</v>
      </c>
    </row>
    <row r="236" spans="1:74" x14ac:dyDescent="0.25">
      <c r="A236" s="5" t="s">
        <v>627</v>
      </c>
      <c r="B236" s="5" t="s">
        <v>207</v>
      </c>
      <c r="C236" s="5" t="s">
        <v>61</v>
      </c>
      <c r="D236" s="1" t="s">
        <v>79</v>
      </c>
      <c r="E236">
        <v>20</v>
      </c>
      <c r="F236">
        <v>2</v>
      </c>
      <c r="G236">
        <v>0</v>
      </c>
      <c r="H236">
        <v>0</v>
      </c>
      <c r="I236">
        <v>25</v>
      </c>
      <c r="J236">
        <v>310</v>
      </c>
      <c r="K236">
        <v>0</v>
      </c>
      <c r="L236">
        <v>32</v>
      </c>
      <c r="M236">
        <v>0</v>
      </c>
      <c r="N236">
        <v>0</v>
      </c>
      <c r="O236">
        <v>0</v>
      </c>
      <c r="P236">
        <v>9</v>
      </c>
      <c r="Q236">
        <v>1</v>
      </c>
      <c r="R236">
        <v>1</v>
      </c>
      <c r="S236" s="18">
        <f t="shared" si="30"/>
        <v>9</v>
      </c>
      <c r="T236" s="17">
        <f t="shared" si="31"/>
        <v>0</v>
      </c>
      <c r="U236" s="17">
        <f t="shared" si="32"/>
        <v>0</v>
      </c>
      <c r="V236" s="17">
        <f t="shared" si="33"/>
        <v>0</v>
      </c>
      <c r="W236" s="17">
        <f t="shared" si="34"/>
        <v>1</v>
      </c>
      <c r="X236" s="17">
        <f t="shared" si="35"/>
        <v>0</v>
      </c>
      <c r="Y236" s="19" t="e">
        <f t="shared" si="36"/>
        <v>#DIV/0!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25</v>
      </c>
      <c r="AH236">
        <v>25</v>
      </c>
      <c r="AI236">
        <v>0</v>
      </c>
      <c r="AJ236">
        <v>0</v>
      </c>
      <c r="AK236">
        <v>310</v>
      </c>
      <c r="AL236">
        <v>310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32</v>
      </c>
      <c r="BA236">
        <v>32</v>
      </c>
      <c r="BB236">
        <v>0</v>
      </c>
      <c r="BC236">
        <v>0</v>
      </c>
      <c r="BD236">
        <v>0</v>
      </c>
      <c r="BE236">
        <f t="shared" si="37"/>
        <v>734</v>
      </c>
      <c r="BF236">
        <v>389</v>
      </c>
      <c r="BG236">
        <v>389</v>
      </c>
      <c r="BH236" t="s">
        <v>190</v>
      </c>
      <c r="BI236" t="s">
        <v>838</v>
      </c>
      <c r="BJ236">
        <v>20</v>
      </c>
      <c r="BK236">
        <v>367</v>
      </c>
      <c r="BL236">
        <v>389</v>
      </c>
      <c r="BM236">
        <v>0</v>
      </c>
      <c r="BN236">
        <v>0</v>
      </c>
      <c r="BO236">
        <v>0</v>
      </c>
      <c r="BP236">
        <v>376</v>
      </c>
      <c r="BQ236">
        <v>376</v>
      </c>
      <c r="BR236">
        <f t="shared" si="38"/>
        <v>0</v>
      </c>
      <c r="BS236">
        <f t="shared" si="39"/>
        <v>2</v>
      </c>
    </row>
    <row r="237" spans="1:74" x14ac:dyDescent="0.25">
      <c r="A237" s="5" t="s">
        <v>2090</v>
      </c>
      <c r="B237" s="5" t="s">
        <v>207</v>
      </c>
      <c r="C237" s="5" t="s">
        <v>61</v>
      </c>
      <c r="D237" s="1" t="s">
        <v>62</v>
      </c>
      <c r="E237">
        <v>0</v>
      </c>
      <c r="F237">
        <v>14510</v>
      </c>
      <c r="G237">
        <v>0</v>
      </c>
      <c r="H237">
        <v>0</v>
      </c>
      <c r="I237">
        <v>2444</v>
      </c>
      <c r="J237">
        <v>4800</v>
      </c>
      <c r="K237">
        <v>110</v>
      </c>
      <c r="L237">
        <v>353</v>
      </c>
      <c r="M237">
        <v>0</v>
      </c>
      <c r="N237">
        <v>4212</v>
      </c>
      <c r="O237">
        <v>0</v>
      </c>
      <c r="P237">
        <v>7695</v>
      </c>
      <c r="Q237">
        <v>1323</v>
      </c>
      <c r="R237">
        <v>1323</v>
      </c>
      <c r="S237" s="18">
        <f t="shared" si="30"/>
        <v>9</v>
      </c>
      <c r="T237" s="17">
        <f t="shared" si="31"/>
        <v>0</v>
      </c>
      <c r="U237" s="17">
        <f t="shared" si="32"/>
        <v>468</v>
      </c>
      <c r="V237" s="17">
        <f t="shared" si="33"/>
        <v>0</v>
      </c>
      <c r="W237" s="17">
        <f t="shared" si="34"/>
        <v>855</v>
      </c>
      <c r="X237" s="17">
        <f t="shared" si="35"/>
        <v>0</v>
      </c>
      <c r="Y237" s="19" t="e">
        <f t="shared" si="36"/>
        <v>#DIV/0!</v>
      </c>
      <c r="Z237">
        <v>14510</v>
      </c>
      <c r="AA237">
        <v>0</v>
      </c>
      <c r="AB237">
        <v>0</v>
      </c>
      <c r="AC237">
        <v>5200</v>
      </c>
      <c r="AD237">
        <v>0</v>
      </c>
      <c r="AE237">
        <v>2444</v>
      </c>
      <c r="AF237">
        <v>0</v>
      </c>
      <c r="AG237">
        <v>0</v>
      </c>
      <c r="AH237">
        <v>2444</v>
      </c>
      <c r="AI237">
        <v>0</v>
      </c>
      <c r="AJ237">
        <v>4800</v>
      </c>
      <c r="AK237">
        <v>0</v>
      </c>
      <c r="AL237">
        <v>4800</v>
      </c>
      <c r="AM237">
        <v>0</v>
      </c>
      <c r="AN237">
        <v>110</v>
      </c>
      <c r="AO237">
        <v>0</v>
      </c>
      <c r="AP237">
        <v>110</v>
      </c>
      <c r="AQ237">
        <v>110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353</v>
      </c>
      <c r="AZ237">
        <v>0</v>
      </c>
      <c r="BA237">
        <v>353</v>
      </c>
      <c r="BB237">
        <v>0</v>
      </c>
      <c r="BC237">
        <v>0</v>
      </c>
      <c r="BD237">
        <v>0</v>
      </c>
      <c r="BE237">
        <f t="shared" si="37"/>
        <v>20724</v>
      </c>
      <c r="BF237">
        <v>23217</v>
      </c>
      <c r="BG237">
        <v>23217</v>
      </c>
      <c r="BH237" t="s">
        <v>63</v>
      </c>
      <c r="BI237" t="s">
        <v>2211</v>
      </c>
      <c r="BJ237">
        <v>5200</v>
      </c>
      <c r="BK237">
        <v>7707</v>
      </c>
      <c r="BL237">
        <v>27417</v>
      </c>
      <c r="BM237">
        <v>0</v>
      </c>
      <c r="BN237">
        <v>11919</v>
      </c>
      <c r="BO237">
        <v>0</v>
      </c>
      <c r="BP237">
        <v>7695</v>
      </c>
      <c r="BQ237">
        <v>19614</v>
      </c>
      <c r="BR237">
        <f t="shared" si="38"/>
        <v>0</v>
      </c>
      <c r="BS237">
        <f t="shared" si="39"/>
        <v>2646</v>
      </c>
      <c r="BU237">
        <f>R237*9</f>
        <v>11907</v>
      </c>
      <c r="BV237">
        <f>IF(BU237&gt;BG237, 1, 0)</f>
        <v>0</v>
      </c>
    </row>
    <row r="238" spans="1:74" x14ac:dyDescent="0.25">
      <c r="A238" s="5" t="s">
        <v>1135</v>
      </c>
      <c r="B238" s="5" t="s">
        <v>207</v>
      </c>
      <c r="C238" s="5" t="s">
        <v>61</v>
      </c>
      <c r="D238" s="1" t="s">
        <v>75</v>
      </c>
      <c r="E238">
        <v>0</v>
      </c>
      <c r="F238">
        <v>19100</v>
      </c>
      <c r="G238">
        <v>0</v>
      </c>
      <c r="H238">
        <v>0</v>
      </c>
      <c r="I238">
        <v>1880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11250</v>
      </c>
      <c r="Q238">
        <v>1250</v>
      </c>
      <c r="R238">
        <v>1250</v>
      </c>
      <c r="S238" s="18">
        <f t="shared" si="30"/>
        <v>9</v>
      </c>
      <c r="T238" s="17">
        <f t="shared" si="31"/>
        <v>0</v>
      </c>
      <c r="U238" s="17">
        <f t="shared" si="32"/>
        <v>0</v>
      </c>
      <c r="V238" s="17">
        <f t="shared" si="33"/>
        <v>0</v>
      </c>
      <c r="W238" s="17">
        <f t="shared" si="34"/>
        <v>1250</v>
      </c>
      <c r="X238" s="17">
        <f t="shared" si="35"/>
        <v>0</v>
      </c>
      <c r="Y238" s="19" t="e">
        <f t="shared" si="36"/>
        <v>#DIV/0!</v>
      </c>
      <c r="Z238">
        <v>19100</v>
      </c>
      <c r="AA238">
        <v>0</v>
      </c>
      <c r="AB238">
        <v>0</v>
      </c>
      <c r="AC238">
        <v>500</v>
      </c>
      <c r="AD238">
        <v>0</v>
      </c>
      <c r="AE238">
        <v>0</v>
      </c>
      <c r="AF238">
        <v>0</v>
      </c>
      <c r="AG238">
        <v>1880</v>
      </c>
      <c r="AH238">
        <v>1880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f t="shared" si="37"/>
        <v>4260</v>
      </c>
      <c r="BF238">
        <v>21480</v>
      </c>
      <c r="BG238">
        <v>21480</v>
      </c>
      <c r="BH238" t="s">
        <v>63</v>
      </c>
      <c r="BI238" t="s">
        <v>1203</v>
      </c>
      <c r="BJ238">
        <v>500</v>
      </c>
      <c r="BK238">
        <v>1880</v>
      </c>
      <c r="BL238">
        <v>21480</v>
      </c>
      <c r="BM238">
        <v>0</v>
      </c>
      <c r="BN238">
        <v>0</v>
      </c>
      <c r="BO238">
        <v>0</v>
      </c>
      <c r="BP238">
        <v>13130</v>
      </c>
      <c r="BQ238">
        <v>13130</v>
      </c>
      <c r="BR238">
        <f t="shared" si="38"/>
        <v>0</v>
      </c>
      <c r="BS238">
        <f t="shared" si="39"/>
        <v>2500</v>
      </c>
      <c r="BU238">
        <f>R238*9</f>
        <v>11250</v>
      </c>
      <c r="BV238">
        <f>IF(BU238&gt;BG238, 1, 0)</f>
        <v>0</v>
      </c>
    </row>
    <row r="239" spans="1:74" x14ac:dyDescent="0.25">
      <c r="A239" s="8" t="s">
        <v>1135</v>
      </c>
      <c r="B239" s="8" t="s">
        <v>207</v>
      </c>
      <c r="C239" s="8" t="s">
        <v>61</v>
      </c>
      <c r="D239" s="9" t="s">
        <v>94</v>
      </c>
      <c r="E239" s="10">
        <v>0</v>
      </c>
      <c r="F239" s="10">
        <v>22000</v>
      </c>
      <c r="G239" s="10">
        <v>1360</v>
      </c>
      <c r="H239" s="10">
        <v>0</v>
      </c>
      <c r="I239" s="10">
        <v>135</v>
      </c>
      <c r="J239" s="10">
        <v>10890</v>
      </c>
      <c r="K239" s="10">
        <v>50</v>
      </c>
      <c r="L239" s="10">
        <v>260</v>
      </c>
      <c r="M239" s="10">
        <v>0</v>
      </c>
      <c r="N239" s="10">
        <v>0</v>
      </c>
      <c r="O239" s="10">
        <v>0</v>
      </c>
      <c r="P239" s="10">
        <v>11250</v>
      </c>
      <c r="Q239" s="10">
        <v>1540</v>
      </c>
      <c r="R239" s="10">
        <v>1250</v>
      </c>
      <c r="S239" s="18">
        <f t="shared" si="30"/>
        <v>9</v>
      </c>
      <c r="T239" s="17">
        <f t="shared" si="31"/>
        <v>0</v>
      </c>
      <c r="U239" s="17">
        <f t="shared" si="32"/>
        <v>0</v>
      </c>
      <c r="V239" s="17">
        <f t="shared" si="33"/>
        <v>0</v>
      </c>
      <c r="W239" s="17">
        <f t="shared" si="34"/>
        <v>1250</v>
      </c>
      <c r="X239" s="17">
        <f t="shared" si="35"/>
        <v>290</v>
      </c>
      <c r="Y239" s="19">
        <f t="shared" si="36"/>
        <v>0</v>
      </c>
      <c r="Z239" s="10">
        <v>22000</v>
      </c>
      <c r="AA239" s="10">
        <v>0</v>
      </c>
      <c r="AB239" s="10">
        <v>0</v>
      </c>
      <c r="AC239" s="10">
        <v>610</v>
      </c>
      <c r="AD239" s="10">
        <v>0</v>
      </c>
      <c r="AE239" s="10">
        <v>135</v>
      </c>
      <c r="AF239" s="10">
        <v>0</v>
      </c>
      <c r="AG239" s="10">
        <v>0</v>
      </c>
      <c r="AH239" s="10">
        <v>135</v>
      </c>
      <c r="AI239" s="10">
        <v>0</v>
      </c>
      <c r="AJ239" s="10">
        <v>10890</v>
      </c>
      <c r="AK239" s="10">
        <v>0</v>
      </c>
      <c r="AL239" s="10">
        <v>10890</v>
      </c>
      <c r="AM239" s="10">
        <v>0</v>
      </c>
      <c r="AN239" s="10">
        <v>50</v>
      </c>
      <c r="AO239" s="10">
        <v>0</v>
      </c>
      <c r="AP239" s="10">
        <v>0</v>
      </c>
      <c r="AQ239" s="10">
        <v>50</v>
      </c>
      <c r="AR239" s="10">
        <v>50</v>
      </c>
      <c r="AS239" s="10">
        <v>1360</v>
      </c>
      <c r="AT239" s="10">
        <v>0</v>
      </c>
      <c r="AU239" s="10">
        <v>1360</v>
      </c>
      <c r="AV239" s="10">
        <v>1360</v>
      </c>
      <c r="AW239" s="10">
        <v>0</v>
      </c>
      <c r="AX239" s="10">
        <v>0</v>
      </c>
      <c r="AY239" s="10">
        <v>260</v>
      </c>
      <c r="AZ239" s="10">
        <v>0</v>
      </c>
      <c r="BA239" s="10">
        <v>260</v>
      </c>
      <c r="BB239" s="10">
        <v>0</v>
      </c>
      <c r="BC239" s="10">
        <v>0</v>
      </c>
      <c r="BD239" s="10">
        <v>0</v>
      </c>
      <c r="BE239">
        <f t="shared" si="37"/>
        <v>27410</v>
      </c>
      <c r="BF239" s="10">
        <v>35305</v>
      </c>
      <c r="BG239" s="10">
        <v>35305</v>
      </c>
      <c r="BH239" s="10" t="s">
        <v>543</v>
      </c>
      <c r="BI239" s="10" t="s">
        <v>1211</v>
      </c>
      <c r="BJ239">
        <v>610</v>
      </c>
      <c r="BK239">
        <v>12695</v>
      </c>
      <c r="BL239">
        <v>35305</v>
      </c>
      <c r="BM239">
        <v>0</v>
      </c>
      <c r="BN239">
        <v>12695</v>
      </c>
      <c r="BO239">
        <v>0</v>
      </c>
      <c r="BP239">
        <v>11250</v>
      </c>
      <c r="BQ239">
        <v>23945</v>
      </c>
      <c r="BR239">
        <f t="shared" si="38"/>
        <v>-290</v>
      </c>
      <c r="BS239">
        <f t="shared" si="39"/>
        <v>2790</v>
      </c>
      <c r="BU239">
        <f>R239*9</f>
        <v>11250</v>
      </c>
      <c r="BV239">
        <f>IF(BU239&gt;BG239, 1, 0)</f>
        <v>0</v>
      </c>
    </row>
    <row r="240" spans="1:74" x14ac:dyDescent="0.25">
      <c r="A240" s="5" t="s">
        <v>627</v>
      </c>
      <c r="B240" s="5" t="s">
        <v>207</v>
      </c>
      <c r="C240" s="5" t="s">
        <v>61</v>
      </c>
      <c r="D240" s="1" t="s">
        <v>62</v>
      </c>
      <c r="E240">
        <v>0</v>
      </c>
      <c r="F240">
        <v>17612</v>
      </c>
      <c r="G240">
        <v>0</v>
      </c>
      <c r="H240">
        <v>0</v>
      </c>
      <c r="I240">
        <v>3508</v>
      </c>
      <c r="J240">
        <v>0</v>
      </c>
      <c r="K240">
        <v>1578</v>
      </c>
      <c r="L240">
        <v>0</v>
      </c>
      <c r="M240">
        <v>0</v>
      </c>
      <c r="N240">
        <v>0</v>
      </c>
      <c r="O240">
        <v>0</v>
      </c>
      <c r="P240">
        <v>11133</v>
      </c>
      <c r="Q240">
        <v>1237</v>
      </c>
      <c r="R240">
        <v>1237</v>
      </c>
      <c r="S240" s="18">
        <f t="shared" si="30"/>
        <v>9</v>
      </c>
      <c r="T240" s="17">
        <f t="shared" si="31"/>
        <v>0</v>
      </c>
      <c r="U240" s="17">
        <f t="shared" si="32"/>
        <v>0</v>
      </c>
      <c r="V240" s="17">
        <f t="shared" si="33"/>
        <v>0</v>
      </c>
      <c r="W240" s="17">
        <f t="shared" si="34"/>
        <v>1237</v>
      </c>
      <c r="X240" s="17">
        <f t="shared" si="35"/>
        <v>0</v>
      </c>
      <c r="Y240" s="19" t="e">
        <f t="shared" si="36"/>
        <v>#DIV/0!</v>
      </c>
      <c r="Z240">
        <v>17612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3508</v>
      </c>
      <c r="AH240">
        <v>3508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1578</v>
      </c>
      <c r="AP240">
        <v>1578</v>
      </c>
      <c r="AQ240">
        <v>1578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f t="shared" si="37"/>
        <v>11750</v>
      </c>
      <c r="BF240">
        <v>22698</v>
      </c>
      <c r="BG240">
        <v>22698</v>
      </c>
      <c r="BH240" t="s">
        <v>543</v>
      </c>
      <c r="BI240" t="s">
        <v>832</v>
      </c>
      <c r="BJ240">
        <v>0</v>
      </c>
      <c r="BK240">
        <v>5086</v>
      </c>
      <c r="BL240">
        <v>22698</v>
      </c>
      <c r="BM240">
        <v>0</v>
      </c>
      <c r="BN240">
        <v>0</v>
      </c>
      <c r="BO240">
        <v>0</v>
      </c>
      <c r="BP240">
        <v>16219</v>
      </c>
      <c r="BQ240">
        <v>16219</v>
      </c>
      <c r="BR240">
        <f t="shared" si="38"/>
        <v>0</v>
      </c>
      <c r="BS240">
        <f t="shared" si="39"/>
        <v>2474</v>
      </c>
      <c r="BU240">
        <f>R240*9</f>
        <v>11133</v>
      </c>
      <c r="BV240">
        <f>IF(BU240&gt;BG240, 1, 0)</f>
        <v>0</v>
      </c>
    </row>
    <row r="241" spans="1:74" x14ac:dyDescent="0.25">
      <c r="A241" s="5" t="s">
        <v>627</v>
      </c>
      <c r="B241" s="5" t="s">
        <v>359</v>
      </c>
      <c r="C241" s="5" t="s">
        <v>61</v>
      </c>
      <c r="D241" s="1" t="s">
        <v>90</v>
      </c>
      <c r="E241">
        <v>0</v>
      </c>
      <c r="F241">
        <v>303</v>
      </c>
      <c r="G241">
        <v>0</v>
      </c>
      <c r="H241">
        <v>0</v>
      </c>
      <c r="I241">
        <v>902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2817</v>
      </c>
      <c r="Q241">
        <v>313</v>
      </c>
      <c r="R241">
        <v>313</v>
      </c>
      <c r="S241" s="18">
        <f t="shared" si="30"/>
        <v>9</v>
      </c>
      <c r="T241" s="17">
        <f t="shared" si="31"/>
        <v>0</v>
      </c>
      <c r="U241" s="17">
        <f t="shared" si="32"/>
        <v>0</v>
      </c>
      <c r="V241" s="17">
        <f t="shared" si="33"/>
        <v>0</v>
      </c>
      <c r="W241" s="17">
        <f t="shared" si="34"/>
        <v>313</v>
      </c>
      <c r="X241" s="17">
        <f t="shared" si="35"/>
        <v>0</v>
      </c>
      <c r="Y241" s="19" t="e">
        <f t="shared" si="36"/>
        <v>#DIV/0!</v>
      </c>
      <c r="Z241">
        <v>303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902</v>
      </c>
      <c r="AH241">
        <v>902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f t="shared" si="37"/>
        <v>1804</v>
      </c>
      <c r="BF241">
        <v>1205</v>
      </c>
      <c r="BG241">
        <v>1205</v>
      </c>
      <c r="BH241" t="s">
        <v>109</v>
      </c>
      <c r="BI241" t="s">
        <v>858</v>
      </c>
      <c r="BJ241">
        <v>0</v>
      </c>
      <c r="BK241">
        <v>902</v>
      </c>
      <c r="BL241">
        <v>1205</v>
      </c>
      <c r="BM241">
        <v>0</v>
      </c>
      <c r="BN241">
        <v>0</v>
      </c>
      <c r="BO241">
        <v>0</v>
      </c>
      <c r="BP241">
        <v>3719</v>
      </c>
      <c r="BQ241">
        <v>3719</v>
      </c>
      <c r="BR241">
        <f t="shared" si="38"/>
        <v>0</v>
      </c>
      <c r="BS241">
        <f t="shared" si="39"/>
        <v>626</v>
      </c>
    </row>
    <row r="242" spans="1:74" x14ac:dyDescent="0.25">
      <c r="A242" s="5" t="s">
        <v>627</v>
      </c>
      <c r="B242" s="5" t="s">
        <v>359</v>
      </c>
      <c r="C242" s="5" t="s">
        <v>61</v>
      </c>
      <c r="D242" s="1" t="s">
        <v>94</v>
      </c>
      <c r="E242">
        <v>0</v>
      </c>
      <c r="F242">
        <v>3258</v>
      </c>
      <c r="G242">
        <v>0</v>
      </c>
      <c r="H242">
        <v>0</v>
      </c>
      <c r="I242">
        <v>723</v>
      </c>
      <c r="J242">
        <v>0</v>
      </c>
      <c r="K242">
        <v>0</v>
      </c>
      <c r="L242">
        <v>0</v>
      </c>
      <c r="M242">
        <v>9243</v>
      </c>
      <c r="N242">
        <v>0</v>
      </c>
      <c r="O242">
        <v>0</v>
      </c>
      <c r="P242">
        <v>0</v>
      </c>
      <c r="Q242">
        <v>1027</v>
      </c>
      <c r="R242">
        <v>1027</v>
      </c>
      <c r="S242" s="18">
        <f t="shared" si="30"/>
        <v>9</v>
      </c>
      <c r="T242" s="17">
        <f t="shared" si="31"/>
        <v>1027</v>
      </c>
      <c r="U242" s="17">
        <f t="shared" si="32"/>
        <v>0</v>
      </c>
      <c r="V242" s="17">
        <f t="shared" si="33"/>
        <v>0</v>
      </c>
      <c r="W242" s="17">
        <f t="shared" si="34"/>
        <v>0</v>
      </c>
      <c r="X242" s="17">
        <f t="shared" si="35"/>
        <v>0</v>
      </c>
      <c r="Y242" s="19" t="e">
        <f t="shared" si="36"/>
        <v>#DIV/0!</v>
      </c>
      <c r="Z242">
        <v>3258</v>
      </c>
      <c r="AA242">
        <v>0</v>
      </c>
      <c r="AB242">
        <v>0</v>
      </c>
      <c r="AC242">
        <v>0</v>
      </c>
      <c r="AD242">
        <v>723</v>
      </c>
      <c r="AE242">
        <v>0</v>
      </c>
      <c r="AF242">
        <v>0</v>
      </c>
      <c r="AG242">
        <v>0</v>
      </c>
      <c r="AH242">
        <v>723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f t="shared" si="37"/>
        <v>1446</v>
      </c>
      <c r="BF242">
        <v>3981</v>
      </c>
      <c r="BG242">
        <v>3981</v>
      </c>
      <c r="BH242" t="s">
        <v>109</v>
      </c>
      <c r="BI242" t="s">
        <v>860</v>
      </c>
      <c r="BJ242">
        <v>0</v>
      </c>
      <c r="BK242">
        <v>723</v>
      </c>
      <c r="BL242">
        <v>3981</v>
      </c>
      <c r="BM242">
        <v>9966</v>
      </c>
      <c r="BN242">
        <v>0</v>
      </c>
      <c r="BO242">
        <v>0</v>
      </c>
      <c r="BP242">
        <v>0</v>
      </c>
      <c r="BQ242">
        <v>9966</v>
      </c>
      <c r="BR242">
        <f t="shared" si="38"/>
        <v>0</v>
      </c>
      <c r="BS242">
        <f t="shared" si="39"/>
        <v>2054</v>
      </c>
    </row>
    <row r="243" spans="1:74" x14ac:dyDescent="0.25">
      <c r="A243" s="5" t="s">
        <v>627</v>
      </c>
      <c r="B243" s="5" t="s">
        <v>359</v>
      </c>
      <c r="C243" s="5" t="s">
        <v>61</v>
      </c>
      <c r="D243" s="1" t="s">
        <v>96</v>
      </c>
      <c r="E243">
        <v>0</v>
      </c>
      <c r="F243">
        <v>1563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3015</v>
      </c>
      <c r="N243">
        <v>0</v>
      </c>
      <c r="O243">
        <v>0</v>
      </c>
      <c r="P243">
        <v>2511</v>
      </c>
      <c r="Q243">
        <v>614</v>
      </c>
      <c r="R243">
        <v>614</v>
      </c>
      <c r="S243" s="18">
        <f t="shared" si="30"/>
        <v>9</v>
      </c>
      <c r="T243" s="17">
        <f t="shared" si="31"/>
        <v>335</v>
      </c>
      <c r="U243" s="17">
        <f t="shared" si="32"/>
        <v>0</v>
      </c>
      <c r="V243" s="17">
        <f t="shared" si="33"/>
        <v>0</v>
      </c>
      <c r="W243" s="17">
        <f t="shared" si="34"/>
        <v>279</v>
      </c>
      <c r="X243" s="17">
        <f t="shared" si="35"/>
        <v>0</v>
      </c>
      <c r="Y243" s="19" t="e">
        <f t="shared" si="36"/>
        <v>#DIV/0!</v>
      </c>
      <c r="Z243">
        <v>1563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f t="shared" si="37"/>
        <v>0</v>
      </c>
      <c r="BF243">
        <v>1563</v>
      </c>
      <c r="BG243">
        <v>1563</v>
      </c>
      <c r="BH243" t="s">
        <v>109</v>
      </c>
      <c r="BI243" t="s">
        <v>861</v>
      </c>
      <c r="BJ243">
        <v>0</v>
      </c>
      <c r="BK243">
        <v>0</v>
      </c>
      <c r="BL243">
        <v>1563</v>
      </c>
      <c r="BM243">
        <v>3015</v>
      </c>
      <c r="BN243">
        <v>0</v>
      </c>
      <c r="BO243">
        <v>0</v>
      </c>
      <c r="BP243">
        <v>2511</v>
      </c>
      <c r="BQ243">
        <v>5526</v>
      </c>
      <c r="BR243">
        <f t="shared" si="38"/>
        <v>0</v>
      </c>
      <c r="BS243">
        <f t="shared" si="39"/>
        <v>1228</v>
      </c>
    </row>
    <row r="244" spans="1:74" x14ac:dyDescent="0.25">
      <c r="A244" s="5" t="s">
        <v>627</v>
      </c>
      <c r="B244" s="5" t="s">
        <v>359</v>
      </c>
      <c r="C244" s="5" t="s">
        <v>61</v>
      </c>
      <c r="D244" s="1" t="s">
        <v>98</v>
      </c>
      <c r="E244">
        <v>0</v>
      </c>
      <c r="F244">
        <v>193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1737</v>
      </c>
      <c r="N244">
        <v>0</v>
      </c>
      <c r="O244">
        <v>0</v>
      </c>
      <c r="P244">
        <v>0</v>
      </c>
      <c r="Q244">
        <v>193</v>
      </c>
      <c r="R244">
        <v>193</v>
      </c>
      <c r="S244" s="18">
        <f t="shared" si="30"/>
        <v>9</v>
      </c>
      <c r="T244" s="17">
        <f t="shared" si="31"/>
        <v>193</v>
      </c>
      <c r="U244" s="17">
        <f t="shared" si="32"/>
        <v>0</v>
      </c>
      <c r="V244" s="17">
        <f t="shared" si="33"/>
        <v>0</v>
      </c>
      <c r="W244" s="17">
        <f t="shared" si="34"/>
        <v>0</v>
      </c>
      <c r="X244" s="17">
        <f t="shared" si="35"/>
        <v>0</v>
      </c>
      <c r="Y244" s="19" t="e">
        <f t="shared" si="36"/>
        <v>#DIV/0!</v>
      </c>
      <c r="Z244">
        <v>193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f t="shared" si="37"/>
        <v>0</v>
      </c>
      <c r="BF244">
        <v>193</v>
      </c>
      <c r="BG244">
        <v>193</v>
      </c>
      <c r="BH244" t="s">
        <v>560</v>
      </c>
      <c r="BI244" t="s">
        <v>862</v>
      </c>
      <c r="BJ244">
        <v>0</v>
      </c>
      <c r="BK244">
        <v>0</v>
      </c>
      <c r="BL244">
        <v>193</v>
      </c>
      <c r="BM244">
        <v>1737</v>
      </c>
      <c r="BN244">
        <v>0</v>
      </c>
      <c r="BO244">
        <v>0</v>
      </c>
      <c r="BP244">
        <v>0</v>
      </c>
      <c r="BQ244">
        <v>1737</v>
      </c>
      <c r="BR244">
        <f t="shared" si="38"/>
        <v>0</v>
      </c>
      <c r="BS244">
        <f t="shared" si="39"/>
        <v>386</v>
      </c>
    </row>
    <row r="245" spans="1:74" x14ac:dyDescent="0.25">
      <c r="A245" s="5" t="s">
        <v>627</v>
      </c>
      <c r="B245" s="5" t="s">
        <v>359</v>
      </c>
      <c r="C245" s="5" t="s">
        <v>61</v>
      </c>
      <c r="D245" s="1" t="s">
        <v>100</v>
      </c>
      <c r="E245">
        <v>0</v>
      </c>
      <c r="F245">
        <v>740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6660</v>
      </c>
      <c r="N245">
        <v>0</v>
      </c>
      <c r="O245">
        <v>0</v>
      </c>
      <c r="P245">
        <v>0</v>
      </c>
      <c r="Q245">
        <v>740</v>
      </c>
      <c r="R245">
        <v>740</v>
      </c>
      <c r="S245" s="18">
        <f t="shared" si="30"/>
        <v>9</v>
      </c>
      <c r="T245" s="17">
        <f t="shared" si="31"/>
        <v>740</v>
      </c>
      <c r="U245" s="17">
        <f t="shared" si="32"/>
        <v>0</v>
      </c>
      <c r="V245" s="17">
        <f t="shared" si="33"/>
        <v>0</v>
      </c>
      <c r="W245" s="17">
        <f t="shared" si="34"/>
        <v>0</v>
      </c>
      <c r="X245" s="17">
        <f t="shared" si="35"/>
        <v>0</v>
      </c>
      <c r="Y245" s="19" t="e">
        <f t="shared" si="36"/>
        <v>#DIV/0!</v>
      </c>
      <c r="Z245">
        <v>740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f t="shared" si="37"/>
        <v>0</v>
      </c>
      <c r="BF245">
        <v>740</v>
      </c>
      <c r="BG245">
        <v>740</v>
      </c>
      <c r="BH245" t="s">
        <v>109</v>
      </c>
      <c r="BI245" t="s">
        <v>863</v>
      </c>
      <c r="BJ245">
        <v>0</v>
      </c>
      <c r="BK245">
        <v>0</v>
      </c>
      <c r="BL245">
        <v>740</v>
      </c>
      <c r="BM245">
        <v>6660</v>
      </c>
      <c r="BN245">
        <v>0</v>
      </c>
      <c r="BO245">
        <v>0</v>
      </c>
      <c r="BP245">
        <v>0</v>
      </c>
      <c r="BQ245">
        <v>6660</v>
      </c>
      <c r="BR245">
        <f t="shared" si="38"/>
        <v>0</v>
      </c>
      <c r="BS245">
        <f t="shared" si="39"/>
        <v>1480</v>
      </c>
    </row>
    <row r="246" spans="1:74" x14ac:dyDescent="0.25">
      <c r="A246" s="5" t="s">
        <v>627</v>
      </c>
      <c r="B246" s="5" t="s">
        <v>359</v>
      </c>
      <c r="C246" s="5" t="s">
        <v>61</v>
      </c>
      <c r="D246" s="1" t="s">
        <v>102</v>
      </c>
      <c r="E246">
        <v>0</v>
      </c>
      <c r="F246">
        <v>672</v>
      </c>
      <c r="G246">
        <v>0</v>
      </c>
      <c r="H246">
        <v>0</v>
      </c>
      <c r="I246">
        <v>435</v>
      </c>
      <c r="J246">
        <v>0</v>
      </c>
      <c r="K246">
        <v>0</v>
      </c>
      <c r="L246">
        <v>0</v>
      </c>
      <c r="M246">
        <v>6048</v>
      </c>
      <c r="N246">
        <v>0</v>
      </c>
      <c r="O246">
        <v>0</v>
      </c>
      <c r="P246">
        <v>0</v>
      </c>
      <c r="Q246">
        <v>672</v>
      </c>
      <c r="R246">
        <v>672</v>
      </c>
      <c r="S246" s="18">
        <f t="shared" si="30"/>
        <v>9</v>
      </c>
      <c r="T246" s="17">
        <f t="shared" si="31"/>
        <v>672</v>
      </c>
      <c r="U246" s="17">
        <f t="shared" si="32"/>
        <v>0</v>
      </c>
      <c r="V246" s="17">
        <f t="shared" si="33"/>
        <v>0</v>
      </c>
      <c r="W246" s="17">
        <f t="shared" si="34"/>
        <v>0</v>
      </c>
      <c r="X246" s="17">
        <f t="shared" si="35"/>
        <v>0</v>
      </c>
      <c r="Y246" s="19" t="e">
        <f t="shared" si="36"/>
        <v>#DIV/0!</v>
      </c>
      <c r="Z246">
        <v>672</v>
      </c>
      <c r="AA246">
        <v>0</v>
      </c>
      <c r="AB246">
        <v>0</v>
      </c>
      <c r="AC246">
        <v>0</v>
      </c>
      <c r="AD246">
        <v>435</v>
      </c>
      <c r="AE246">
        <v>0</v>
      </c>
      <c r="AF246">
        <v>0</v>
      </c>
      <c r="AG246">
        <v>0</v>
      </c>
      <c r="AH246">
        <v>435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f t="shared" si="37"/>
        <v>870</v>
      </c>
      <c r="BF246">
        <v>1107</v>
      </c>
      <c r="BG246">
        <v>1107</v>
      </c>
      <c r="BH246" t="s">
        <v>109</v>
      </c>
      <c r="BI246" t="s">
        <v>864</v>
      </c>
      <c r="BJ246">
        <v>0</v>
      </c>
      <c r="BK246">
        <v>435</v>
      </c>
      <c r="BL246">
        <v>1107</v>
      </c>
      <c r="BM246">
        <v>6483</v>
      </c>
      <c r="BN246">
        <v>0</v>
      </c>
      <c r="BO246">
        <v>0</v>
      </c>
      <c r="BP246">
        <v>0</v>
      </c>
      <c r="BQ246">
        <v>6483</v>
      </c>
      <c r="BR246">
        <f t="shared" si="38"/>
        <v>0</v>
      </c>
      <c r="BS246">
        <f t="shared" si="39"/>
        <v>1344</v>
      </c>
    </row>
    <row r="247" spans="1:74" x14ac:dyDescent="0.25">
      <c r="A247" s="5" t="s">
        <v>627</v>
      </c>
      <c r="B247" s="5" t="s">
        <v>359</v>
      </c>
      <c r="C247" s="5" t="s">
        <v>61</v>
      </c>
      <c r="D247" s="1" t="s">
        <v>104</v>
      </c>
      <c r="E247">
        <v>0</v>
      </c>
      <c r="F247">
        <v>3400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3087</v>
      </c>
      <c r="N247">
        <v>0</v>
      </c>
      <c r="O247">
        <v>0</v>
      </c>
      <c r="P247">
        <v>0</v>
      </c>
      <c r="Q247">
        <v>343</v>
      </c>
      <c r="R247">
        <v>343</v>
      </c>
      <c r="S247" s="18">
        <f t="shared" si="30"/>
        <v>9</v>
      </c>
      <c r="T247" s="17">
        <f t="shared" si="31"/>
        <v>343</v>
      </c>
      <c r="U247" s="17">
        <f t="shared" si="32"/>
        <v>0</v>
      </c>
      <c r="V247" s="17">
        <f t="shared" si="33"/>
        <v>0</v>
      </c>
      <c r="W247" s="17">
        <f t="shared" si="34"/>
        <v>0</v>
      </c>
      <c r="X247" s="17">
        <f t="shared" si="35"/>
        <v>0</v>
      </c>
      <c r="Y247" s="19" t="e">
        <f t="shared" si="36"/>
        <v>#DIV/0!</v>
      </c>
      <c r="Z247">
        <v>3400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f t="shared" si="37"/>
        <v>0</v>
      </c>
      <c r="BF247">
        <v>3400</v>
      </c>
      <c r="BG247">
        <v>3400</v>
      </c>
      <c r="BH247" t="s">
        <v>109</v>
      </c>
      <c r="BI247" t="s">
        <v>865</v>
      </c>
      <c r="BJ247">
        <v>0</v>
      </c>
      <c r="BK247">
        <v>0</v>
      </c>
      <c r="BL247">
        <v>3400</v>
      </c>
      <c r="BM247">
        <v>3087</v>
      </c>
      <c r="BN247">
        <v>0</v>
      </c>
      <c r="BO247">
        <v>0</v>
      </c>
      <c r="BP247">
        <v>0</v>
      </c>
      <c r="BQ247">
        <v>3087</v>
      </c>
      <c r="BR247">
        <f t="shared" si="38"/>
        <v>0</v>
      </c>
      <c r="BS247">
        <f t="shared" si="39"/>
        <v>686</v>
      </c>
    </row>
    <row r="248" spans="1:74" x14ac:dyDescent="0.25">
      <c r="A248" s="5" t="s">
        <v>627</v>
      </c>
      <c r="B248" s="5" t="s">
        <v>359</v>
      </c>
      <c r="C248" s="5" t="s">
        <v>61</v>
      </c>
      <c r="D248" s="1" t="s">
        <v>106</v>
      </c>
      <c r="E248">
        <v>0</v>
      </c>
      <c r="F248">
        <v>438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1143</v>
      </c>
      <c r="N248">
        <v>0</v>
      </c>
      <c r="O248">
        <v>0</v>
      </c>
      <c r="P248">
        <v>333</v>
      </c>
      <c r="Q248">
        <v>164</v>
      </c>
      <c r="R248">
        <v>164</v>
      </c>
      <c r="S248" s="18">
        <f t="shared" si="30"/>
        <v>9</v>
      </c>
      <c r="T248" s="17">
        <f t="shared" si="31"/>
        <v>127</v>
      </c>
      <c r="U248" s="17">
        <f t="shared" si="32"/>
        <v>0</v>
      </c>
      <c r="V248" s="17">
        <f t="shared" si="33"/>
        <v>0</v>
      </c>
      <c r="W248" s="17">
        <f t="shared" si="34"/>
        <v>37</v>
      </c>
      <c r="X248" s="17">
        <f t="shared" si="35"/>
        <v>0</v>
      </c>
      <c r="Y248" s="19" t="e">
        <f t="shared" si="36"/>
        <v>#DIV/0!</v>
      </c>
      <c r="Z248">
        <v>438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f t="shared" si="37"/>
        <v>0</v>
      </c>
      <c r="BF248">
        <v>438</v>
      </c>
      <c r="BG248">
        <v>438</v>
      </c>
      <c r="BH248" t="s">
        <v>109</v>
      </c>
      <c r="BI248" t="s">
        <v>866</v>
      </c>
      <c r="BJ248">
        <v>0</v>
      </c>
      <c r="BK248">
        <v>0</v>
      </c>
      <c r="BL248">
        <v>438</v>
      </c>
      <c r="BM248">
        <v>1143</v>
      </c>
      <c r="BN248">
        <v>0</v>
      </c>
      <c r="BO248">
        <v>0</v>
      </c>
      <c r="BP248">
        <v>333</v>
      </c>
      <c r="BQ248">
        <v>1476</v>
      </c>
      <c r="BR248">
        <f t="shared" si="38"/>
        <v>0</v>
      </c>
      <c r="BS248">
        <f t="shared" si="39"/>
        <v>328</v>
      </c>
    </row>
    <row r="249" spans="1:74" x14ac:dyDescent="0.25">
      <c r="A249" s="5" t="s">
        <v>627</v>
      </c>
      <c r="B249" s="5" t="s">
        <v>359</v>
      </c>
      <c r="C249" s="5" t="s">
        <v>61</v>
      </c>
      <c r="D249" s="1" t="s">
        <v>108</v>
      </c>
      <c r="E249">
        <v>0</v>
      </c>
      <c r="F249">
        <v>3852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11880</v>
      </c>
      <c r="N249">
        <v>0</v>
      </c>
      <c r="O249">
        <v>0</v>
      </c>
      <c r="P249">
        <v>0</v>
      </c>
      <c r="Q249">
        <v>1320</v>
      </c>
      <c r="R249">
        <v>1320</v>
      </c>
      <c r="S249" s="18">
        <f t="shared" si="30"/>
        <v>9</v>
      </c>
      <c r="T249" s="17">
        <f t="shared" si="31"/>
        <v>1320</v>
      </c>
      <c r="U249" s="17">
        <f t="shared" si="32"/>
        <v>0</v>
      </c>
      <c r="V249" s="17">
        <f t="shared" si="33"/>
        <v>0</v>
      </c>
      <c r="W249" s="17">
        <f t="shared" si="34"/>
        <v>0</v>
      </c>
      <c r="X249" s="17">
        <f t="shared" si="35"/>
        <v>0</v>
      </c>
      <c r="Y249" s="19" t="e">
        <f t="shared" si="36"/>
        <v>#DIV/0!</v>
      </c>
      <c r="Z249">
        <v>3852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f t="shared" si="37"/>
        <v>0</v>
      </c>
      <c r="BF249">
        <v>3852</v>
      </c>
      <c r="BG249">
        <v>3852</v>
      </c>
      <c r="BH249" t="s">
        <v>109</v>
      </c>
      <c r="BI249" t="s">
        <v>867</v>
      </c>
      <c r="BJ249">
        <v>0</v>
      </c>
      <c r="BK249">
        <v>0</v>
      </c>
      <c r="BL249">
        <v>3852</v>
      </c>
      <c r="BM249">
        <v>11880</v>
      </c>
      <c r="BN249">
        <v>0</v>
      </c>
      <c r="BO249">
        <v>0</v>
      </c>
      <c r="BP249">
        <v>0</v>
      </c>
      <c r="BQ249">
        <v>11880</v>
      </c>
      <c r="BR249">
        <f t="shared" si="38"/>
        <v>0</v>
      </c>
      <c r="BS249">
        <f t="shared" si="39"/>
        <v>2640</v>
      </c>
    </row>
    <row r="250" spans="1:74" x14ac:dyDescent="0.25">
      <c r="A250" s="5" t="s">
        <v>627</v>
      </c>
      <c r="B250" s="5" t="s">
        <v>359</v>
      </c>
      <c r="C250" s="5" t="s">
        <v>61</v>
      </c>
      <c r="D250" s="1" t="s">
        <v>111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1200</v>
      </c>
      <c r="K250">
        <v>0</v>
      </c>
      <c r="L250">
        <v>110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8" t="e">
        <f t="shared" si="30"/>
        <v>#DIV/0!</v>
      </c>
      <c r="T250" s="17" t="e">
        <f t="shared" si="31"/>
        <v>#DIV/0!</v>
      </c>
      <c r="U250" s="17" t="e">
        <f t="shared" si="32"/>
        <v>#DIV/0!</v>
      </c>
      <c r="V250" s="17" t="e">
        <f t="shared" si="33"/>
        <v>#DIV/0!</v>
      </c>
      <c r="W250" s="17" t="e">
        <f t="shared" si="34"/>
        <v>#DIV/0!</v>
      </c>
      <c r="X250" s="17" t="e">
        <f t="shared" si="35"/>
        <v>#DIV/0!</v>
      </c>
      <c r="Y250" s="19" t="e">
        <f t="shared" si="36"/>
        <v>#DIV/0!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1200</v>
      </c>
      <c r="AL250">
        <v>1200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110</v>
      </c>
      <c r="BA250">
        <v>110</v>
      </c>
      <c r="BB250">
        <v>0</v>
      </c>
      <c r="BC250">
        <v>0</v>
      </c>
      <c r="BD250">
        <v>0</v>
      </c>
      <c r="BE250">
        <f t="shared" si="37"/>
        <v>2620</v>
      </c>
      <c r="BF250">
        <v>1310</v>
      </c>
      <c r="BG250">
        <v>1310</v>
      </c>
      <c r="BH250" t="s">
        <v>190</v>
      </c>
      <c r="BI250" t="s">
        <v>868</v>
      </c>
      <c r="BJ250">
        <v>0</v>
      </c>
      <c r="BK250">
        <v>1310</v>
      </c>
      <c r="BL250">
        <v>1310</v>
      </c>
      <c r="BM250">
        <v>0</v>
      </c>
      <c r="BN250">
        <v>0</v>
      </c>
      <c r="BO250">
        <v>0</v>
      </c>
      <c r="BP250">
        <v>1310</v>
      </c>
      <c r="BQ250">
        <v>1310</v>
      </c>
      <c r="BR250">
        <f t="shared" si="38"/>
        <v>0</v>
      </c>
      <c r="BS250">
        <f t="shared" si="39"/>
        <v>0</v>
      </c>
    </row>
    <row r="251" spans="1:74" x14ac:dyDescent="0.25">
      <c r="A251" s="5" t="s">
        <v>627</v>
      </c>
      <c r="B251" s="5" t="s">
        <v>359</v>
      </c>
      <c r="C251" s="5" t="s">
        <v>61</v>
      </c>
      <c r="D251" s="1" t="s">
        <v>117</v>
      </c>
      <c r="E251">
        <v>0</v>
      </c>
      <c r="F251">
        <v>111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810</v>
      </c>
      <c r="N251">
        <v>0</v>
      </c>
      <c r="O251">
        <v>0</v>
      </c>
      <c r="P251">
        <v>0</v>
      </c>
      <c r="Q251">
        <v>90</v>
      </c>
      <c r="R251">
        <v>90</v>
      </c>
      <c r="S251" s="18">
        <f t="shared" si="30"/>
        <v>9</v>
      </c>
      <c r="T251" s="17">
        <f t="shared" si="31"/>
        <v>90</v>
      </c>
      <c r="U251" s="17">
        <f t="shared" si="32"/>
        <v>0</v>
      </c>
      <c r="V251" s="17">
        <f t="shared" si="33"/>
        <v>0</v>
      </c>
      <c r="W251" s="17">
        <f t="shared" si="34"/>
        <v>0</v>
      </c>
      <c r="X251" s="17">
        <f t="shared" si="35"/>
        <v>0</v>
      </c>
      <c r="Y251" s="19" t="e">
        <f t="shared" si="36"/>
        <v>#DIV/0!</v>
      </c>
      <c r="Z251">
        <v>111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f t="shared" si="37"/>
        <v>0</v>
      </c>
      <c r="BF251">
        <v>111</v>
      </c>
      <c r="BG251">
        <v>111</v>
      </c>
      <c r="BH251" t="s">
        <v>199</v>
      </c>
      <c r="BI251" t="s">
        <v>871</v>
      </c>
      <c r="BJ251">
        <v>0</v>
      </c>
      <c r="BK251">
        <v>0</v>
      </c>
      <c r="BL251">
        <v>111</v>
      </c>
      <c r="BM251">
        <v>810</v>
      </c>
      <c r="BN251">
        <v>0</v>
      </c>
      <c r="BO251">
        <v>0</v>
      </c>
      <c r="BP251">
        <v>0</v>
      </c>
      <c r="BQ251">
        <v>810</v>
      </c>
      <c r="BR251">
        <f t="shared" si="38"/>
        <v>0</v>
      </c>
      <c r="BS251">
        <f t="shared" si="39"/>
        <v>180</v>
      </c>
    </row>
    <row r="252" spans="1:74" x14ac:dyDescent="0.25">
      <c r="A252" s="5" t="s">
        <v>627</v>
      </c>
      <c r="B252" s="5" t="s">
        <v>359</v>
      </c>
      <c r="C252" s="5" t="s">
        <v>61</v>
      </c>
      <c r="D252" s="1" t="s">
        <v>119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7461</v>
      </c>
      <c r="Q252">
        <v>829</v>
      </c>
      <c r="R252">
        <v>829</v>
      </c>
      <c r="S252" s="18">
        <f t="shared" si="30"/>
        <v>9</v>
      </c>
      <c r="T252" s="17">
        <f t="shared" si="31"/>
        <v>0</v>
      </c>
      <c r="U252" s="17">
        <f t="shared" si="32"/>
        <v>0</v>
      </c>
      <c r="V252" s="17">
        <f t="shared" si="33"/>
        <v>0</v>
      </c>
      <c r="W252" s="17">
        <f t="shared" si="34"/>
        <v>829</v>
      </c>
      <c r="X252" s="17">
        <f t="shared" si="35"/>
        <v>0</v>
      </c>
      <c r="Y252" s="19" t="e">
        <f t="shared" si="36"/>
        <v>#DIV/0!</v>
      </c>
      <c r="Z252">
        <v>829</v>
      </c>
      <c r="AA252">
        <v>0</v>
      </c>
      <c r="AB252">
        <v>0</v>
      </c>
      <c r="AC252">
        <v>7000</v>
      </c>
      <c r="AD252">
        <v>0</v>
      </c>
      <c r="AE252">
        <v>0</v>
      </c>
      <c r="AF252">
        <v>0</v>
      </c>
      <c r="AG252">
        <v>325</v>
      </c>
      <c r="AH252">
        <v>325</v>
      </c>
      <c r="AI252">
        <v>0</v>
      </c>
      <c r="AJ252">
        <v>0</v>
      </c>
      <c r="AK252">
        <v>250</v>
      </c>
      <c r="AL252">
        <v>250</v>
      </c>
      <c r="AM252">
        <v>0</v>
      </c>
      <c r="AN252">
        <v>0</v>
      </c>
      <c r="AO252">
        <v>7450</v>
      </c>
      <c r="AP252">
        <v>7250</v>
      </c>
      <c r="AQ252">
        <v>7450</v>
      </c>
      <c r="AR252">
        <v>200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24</v>
      </c>
      <c r="BA252">
        <v>24</v>
      </c>
      <c r="BB252">
        <v>0</v>
      </c>
      <c r="BC252">
        <v>0</v>
      </c>
      <c r="BD252">
        <v>0</v>
      </c>
      <c r="BE252">
        <f t="shared" si="37"/>
        <v>30548</v>
      </c>
      <c r="BF252">
        <v>8878</v>
      </c>
      <c r="BG252">
        <v>8878</v>
      </c>
      <c r="BH252" t="s">
        <v>82</v>
      </c>
      <c r="BI252" t="s">
        <v>872</v>
      </c>
      <c r="BJ252">
        <v>7000</v>
      </c>
      <c r="BK252">
        <v>8049</v>
      </c>
      <c r="BL252">
        <v>15878</v>
      </c>
      <c r="BM252">
        <v>0</v>
      </c>
      <c r="BN252">
        <v>0</v>
      </c>
      <c r="BO252">
        <v>0</v>
      </c>
      <c r="BP252">
        <v>15510</v>
      </c>
      <c r="BQ252">
        <v>15510</v>
      </c>
      <c r="BR252">
        <f t="shared" si="38"/>
        <v>0</v>
      </c>
      <c r="BS252">
        <f t="shared" si="39"/>
        <v>1658</v>
      </c>
    </row>
    <row r="253" spans="1:74" x14ac:dyDescent="0.25">
      <c r="A253" s="5" t="s">
        <v>1451</v>
      </c>
      <c r="B253" s="5" t="s">
        <v>359</v>
      </c>
      <c r="C253" s="5" t="s">
        <v>61</v>
      </c>
      <c r="D253" s="1" t="s">
        <v>71</v>
      </c>
      <c r="E253">
        <v>0</v>
      </c>
      <c r="F253">
        <v>4550</v>
      </c>
      <c r="G253">
        <v>0</v>
      </c>
      <c r="H253">
        <v>0</v>
      </c>
      <c r="I253">
        <v>700</v>
      </c>
      <c r="J253">
        <v>60</v>
      </c>
      <c r="K253">
        <v>25</v>
      </c>
      <c r="L253">
        <v>0</v>
      </c>
      <c r="M253">
        <v>0</v>
      </c>
      <c r="N253">
        <v>0</v>
      </c>
      <c r="O253">
        <v>0</v>
      </c>
      <c r="P253">
        <v>9369</v>
      </c>
      <c r="Q253">
        <v>1041</v>
      </c>
      <c r="R253">
        <v>1041</v>
      </c>
      <c r="S253" s="18">
        <f t="shared" si="30"/>
        <v>9</v>
      </c>
      <c r="T253" s="17">
        <f t="shared" si="31"/>
        <v>0</v>
      </c>
      <c r="U253" s="17">
        <f t="shared" si="32"/>
        <v>0</v>
      </c>
      <c r="V253" s="17">
        <f t="shared" si="33"/>
        <v>0</v>
      </c>
      <c r="W253" s="17">
        <f t="shared" si="34"/>
        <v>1041</v>
      </c>
      <c r="X253" s="17">
        <f t="shared" si="35"/>
        <v>0</v>
      </c>
      <c r="Y253" s="19" t="e">
        <f t="shared" si="36"/>
        <v>#DIV/0!</v>
      </c>
      <c r="Z253">
        <v>4550</v>
      </c>
      <c r="AA253">
        <v>0</v>
      </c>
      <c r="AB253">
        <v>0</v>
      </c>
      <c r="AC253">
        <v>180</v>
      </c>
      <c r="AD253">
        <v>0</v>
      </c>
      <c r="AE253">
        <v>0</v>
      </c>
      <c r="AF253">
        <v>0</v>
      </c>
      <c r="AG253">
        <v>700</v>
      </c>
      <c r="AH253">
        <v>700</v>
      </c>
      <c r="AI253">
        <v>0</v>
      </c>
      <c r="AJ253">
        <v>0</v>
      </c>
      <c r="AK253">
        <v>60</v>
      </c>
      <c r="AL253">
        <v>60</v>
      </c>
      <c r="AM253">
        <v>0</v>
      </c>
      <c r="AN253">
        <v>0</v>
      </c>
      <c r="AO253">
        <v>25</v>
      </c>
      <c r="AP253">
        <v>8</v>
      </c>
      <c r="AQ253">
        <v>25</v>
      </c>
      <c r="AR253">
        <v>17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f t="shared" si="37"/>
        <v>1775</v>
      </c>
      <c r="BF253">
        <v>5515</v>
      </c>
      <c r="BG253">
        <v>5515</v>
      </c>
      <c r="BH253" t="s">
        <v>63</v>
      </c>
      <c r="BI253" t="s">
        <v>1607</v>
      </c>
      <c r="BJ253">
        <v>180</v>
      </c>
      <c r="BK253">
        <v>785</v>
      </c>
      <c r="BL253">
        <v>5515</v>
      </c>
      <c r="BM253">
        <v>0</v>
      </c>
      <c r="BN253">
        <v>0</v>
      </c>
      <c r="BO253">
        <v>0</v>
      </c>
      <c r="BP253">
        <v>10154</v>
      </c>
      <c r="BQ253">
        <v>10154</v>
      </c>
      <c r="BR253">
        <f t="shared" si="38"/>
        <v>0</v>
      </c>
      <c r="BS253">
        <f t="shared" si="39"/>
        <v>2082</v>
      </c>
      <c r="BU253">
        <f>R253*9</f>
        <v>9369</v>
      </c>
      <c r="BV253">
        <f>IF(BU253&gt;BG253, 1, 0)</f>
        <v>1</v>
      </c>
    </row>
    <row r="254" spans="1:74" x14ac:dyDescent="0.25">
      <c r="A254" s="5" t="s">
        <v>875</v>
      </c>
      <c r="B254" s="5" t="s">
        <v>207</v>
      </c>
      <c r="C254" s="5" t="s">
        <v>61</v>
      </c>
      <c r="D254" s="1" t="s">
        <v>65</v>
      </c>
      <c r="E254">
        <v>0</v>
      </c>
      <c r="F254">
        <v>1887</v>
      </c>
      <c r="G254">
        <v>0</v>
      </c>
      <c r="H254">
        <v>0</v>
      </c>
      <c r="I254">
        <v>4515</v>
      </c>
      <c r="J254">
        <v>320</v>
      </c>
      <c r="K254">
        <v>110</v>
      </c>
      <c r="L254">
        <v>65</v>
      </c>
      <c r="M254">
        <v>2277</v>
      </c>
      <c r="N254">
        <v>0</v>
      </c>
      <c r="O254">
        <v>0</v>
      </c>
      <c r="P254">
        <v>7074</v>
      </c>
      <c r="Q254">
        <v>1039</v>
      </c>
      <c r="R254">
        <v>1039</v>
      </c>
      <c r="S254" s="18">
        <f t="shared" si="30"/>
        <v>9</v>
      </c>
      <c r="T254" s="17">
        <f t="shared" si="31"/>
        <v>253</v>
      </c>
      <c r="U254" s="17">
        <f t="shared" si="32"/>
        <v>0</v>
      </c>
      <c r="V254" s="17">
        <f t="shared" si="33"/>
        <v>0</v>
      </c>
      <c r="W254" s="17">
        <f t="shared" si="34"/>
        <v>786</v>
      </c>
      <c r="X254" s="17">
        <f t="shared" si="35"/>
        <v>0</v>
      </c>
      <c r="Y254" s="19" t="e">
        <f t="shared" si="36"/>
        <v>#DIV/0!</v>
      </c>
      <c r="Z254">
        <v>1887</v>
      </c>
      <c r="AA254">
        <v>0</v>
      </c>
      <c r="AB254">
        <v>0</v>
      </c>
      <c r="AC254">
        <v>245</v>
      </c>
      <c r="AD254">
        <v>0</v>
      </c>
      <c r="AE254">
        <v>0</v>
      </c>
      <c r="AF254">
        <v>0</v>
      </c>
      <c r="AG254">
        <v>4515</v>
      </c>
      <c r="AH254">
        <v>4515</v>
      </c>
      <c r="AI254">
        <v>0</v>
      </c>
      <c r="AJ254">
        <v>0</v>
      </c>
      <c r="AK254">
        <v>320</v>
      </c>
      <c r="AL254">
        <v>320</v>
      </c>
      <c r="AM254">
        <v>0</v>
      </c>
      <c r="AN254">
        <v>0</v>
      </c>
      <c r="AO254">
        <v>110</v>
      </c>
      <c r="AP254">
        <v>20</v>
      </c>
      <c r="AQ254">
        <v>110</v>
      </c>
      <c r="AR254">
        <v>90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65</v>
      </c>
      <c r="BA254">
        <v>65</v>
      </c>
      <c r="BB254">
        <v>0</v>
      </c>
      <c r="BC254">
        <v>0</v>
      </c>
      <c r="BD254">
        <v>0</v>
      </c>
      <c r="BE254">
        <f t="shared" si="37"/>
        <v>10375</v>
      </c>
      <c r="BF254">
        <v>7142</v>
      </c>
      <c r="BG254">
        <v>7142</v>
      </c>
      <c r="BH254" t="s">
        <v>63</v>
      </c>
      <c r="BI254" t="s">
        <v>967</v>
      </c>
      <c r="BJ254">
        <v>245</v>
      </c>
      <c r="BK254">
        <v>5010</v>
      </c>
      <c r="BL254">
        <v>7142</v>
      </c>
      <c r="BM254">
        <v>2277</v>
      </c>
      <c r="BN254">
        <v>0</v>
      </c>
      <c r="BO254">
        <v>0</v>
      </c>
      <c r="BP254">
        <v>12084</v>
      </c>
      <c r="BQ254">
        <v>14361</v>
      </c>
      <c r="BR254">
        <f t="shared" si="38"/>
        <v>0</v>
      </c>
      <c r="BS254">
        <f t="shared" si="39"/>
        <v>2078</v>
      </c>
      <c r="BU254">
        <f>R254*9</f>
        <v>9351</v>
      </c>
      <c r="BV254">
        <f>IF(BU254&gt;BG254, 1, 0)</f>
        <v>1</v>
      </c>
    </row>
    <row r="255" spans="1:74" x14ac:dyDescent="0.25">
      <c r="A255" s="5" t="s">
        <v>2090</v>
      </c>
      <c r="B255" s="5" t="s">
        <v>61</v>
      </c>
      <c r="C255" s="5" t="s">
        <v>61</v>
      </c>
      <c r="D255" s="1" t="s">
        <v>65</v>
      </c>
      <c r="E255">
        <v>0</v>
      </c>
      <c r="F255">
        <v>4229</v>
      </c>
      <c r="G255">
        <v>0</v>
      </c>
      <c r="H255">
        <v>0</v>
      </c>
      <c r="I255">
        <v>2800</v>
      </c>
      <c r="J255">
        <v>0</v>
      </c>
      <c r="K255">
        <v>83</v>
      </c>
      <c r="L255">
        <v>97</v>
      </c>
      <c r="M255">
        <v>0</v>
      </c>
      <c r="N255">
        <v>0</v>
      </c>
      <c r="O255">
        <v>0</v>
      </c>
      <c r="P255">
        <v>9054</v>
      </c>
      <c r="Q255">
        <v>1006</v>
      </c>
      <c r="R255">
        <v>1006</v>
      </c>
      <c r="S255" s="18">
        <f t="shared" si="30"/>
        <v>9</v>
      </c>
      <c r="T255" s="17">
        <f t="shared" si="31"/>
        <v>0</v>
      </c>
      <c r="U255" s="17">
        <f t="shared" si="32"/>
        <v>0</v>
      </c>
      <c r="V255" s="17">
        <f t="shared" si="33"/>
        <v>0</v>
      </c>
      <c r="W255" s="17">
        <f t="shared" si="34"/>
        <v>1006</v>
      </c>
      <c r="X255" s="17">
        <f t="shared" si="35"/>
        <v>0</v>
      </c>
      <c r="Y255" s="19" t="e">
        <f t="shared" si="36"/>
        <v>#DIV/0!</v>
      </c>
      <c r="Z255">
        <v>4229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2800</v>
      </c>
      <c r="AH255">
        <v>2800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83</v>
      </c>
      <c r="AP255">
        <v>0</v>
      </c>
      <c r="AQ255">
        <v>83</v>
      </c>
      <c r="AR255">
        <v>83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97</v>
      </c>
      <c r="BA255">
        <v>97</v>
      </c>
      <c r="BB255">
        <v>0</v>
      </c>
      <c r="BC255">
        <v>0</v>
      </c>
      <c r="BD255">
        <v>0</v>
      </c>
      <c r="BE255">
        <f t="shared" si="37"/>
        <v>6043</v>
      </c>
      <c r="BF255">
        <v>7209</v>
      </c>
      <c r="BG255">
        <v>7209</v>
      </c>
      <c r="BH255" t="s">
        <v>63</v>
      </c>
      <c r="BI255" t="s">
        <v>2092</v>
      </c>
      <c r="BJ255">
        <v>0</v>
      </c>
      <c r="BK255">
        <v>2980</v>
      </c>
      <c r="BL255">
        <v>7209</v>
      </c>
      <c r="BM255">
        <v>0</v>
      </c>
      <c r="BN255">
        <v>0</v>
      </c>
      <c r="BO255">
        <v>0</v>
      </c>
      <c r="BP255">
        <v>12034</v>
      </c>
      <c r="BQ255">
        <v>12034</v>
      </c>
      <c r="BR255">
        <f t="shared" si="38"/>
        <v>0</v>
      </c>
      <c r="BS255">
        <f t="shared" si="39"/>
        <v>2012</v>
      </c>
      <c r="BU255">
        <f>R255*9</f>
        <v>9054</v>
      </c>
      <c r="BV255">
        <f>IF(BU255&gt;BG255, 1, 0)</f>
        <v>1</v>
      </c>
    </row>
    <row r="256" spans="1:74" x14ac:dyDescent="0.25">
      <c r="A256" s="5" t="s">
        <v>875</v>
      </c>
      <c r="B256" s="5" t="s">
        <v>61</v>
      </c>
      <c r="C256" s="5" t="s">
        <v>207</v>
      </c>
      <c r="D256" s="1" t="s">
        <v>100</v>
      </c>
      <c r="E256">
        <v>0</v>
      </c>
      <c r="F256">
        <v>2205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2205</v>
      </c>
      <c r="N256">
        <v>0</v>
      </c>
      <c r="O256">
        <v>0</v>
      </c>
      <c r="P256">
        <v>0</v>
      </c>
      <c r="Q256">
        <v>550</v>
      </c>
      <c r="R256">
        <v>550</v>
      </c>
      <c r="S256" s="18">
        <f t="shared" si="30"/>
        <v>4.0090909090909088</v>
      </c>
      <c r="T256" s="17">
        <f t="shared" si="31"/>
        <v>550</v>
      </c>
      <c r="U256" s="17">
        <f t="shared" si="32"/>
        <v>0</v>
      </c>
      <c r="V256" s="17">
        <f t="shared" si="33"/>
        <v>0</v>
      </c>
      <c r="W256" s="17">
        <f t="shared" si="34"/>
        <v>0</v>
      </c>
      <c r="X256" s="17">
        <f t="shared" si="35"/>
        <v>0</v>
      </c>
      <c r="Y256" s="19" t="e">
        <f t="shared" si="36"/>
        <v>#DIV/0!</v>
      </c>
      <c r="Z256">
        <v>2205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f t="shared" si="37"/>
        <v>0</v>
      </c>
      <c r="BF256">
        <v>2205</v>
      </c>
      <c r="BG256">
        <v>2205</v>
      </c>
      <c r="BH256" t="s">
        <v>82</v>
      </c>
      <c r="BI256" t="s">
        <v>893</v>
      </c>
      <c r="BJ256">
        <v>0</v>
      </c>
      <c r="BK256">
        <v>0</v>
      </c>
      <c r="BL256">
        <v>2205</v>
      </c>
      <c r="BM256">
        <v>2205</v>
      </c>
      <c r="BN256">
        <v>0</v>
      </c>
      <c r="BO256">
        <v>0</v>
      </c>
      <c r="BP256">
        <v>0</v>
      </c>
      <c r="BQ256">
        <v>2205</v>
      </c>
      <c r="BR256">
        <f t="shared" si="38"/>
        <v>0</v>
      </c>
      <c r="BS256">
        <f t="shared" si="39"/>
        <v>1100</v>
      </c>
    </row>
    <row r="257" spans="1:71" x14ac:dyDescent="0.25">
      <c r="A257" s="5" t="s">
        <v>875</v>
      </c>
      <c r="B257" s="5" t="s">
        <v>61</v>
      </c>
      <c r="C257" s="5" t="s">
        <v>207</v>
      </c>
      <c r="D257" s="1" t="s">
        <v>125</v>
      </c>
      <c r="E257">
        <v>0</v>
      </c>
      <c r="F257">
        <v>200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1350</v>
      </c>
      <c r="N257">
        <v>0</v>
      </c>
      <c r="O257">
        <v>0</v>
      </c>
      <c r="P257">
        <v>0</v>
      </c>
      <c r="Q257">
        <v>150</v>
      </c>
      <c r="R257">
        <v>150</v>
      </c>
      <c r="S257" s="18">
        <f t="shared" si="30"/>
        <v>9</v>
      </c>
      <c r="T257" s="17">
        <f t="shared" si="31"/>
        <v>150</v>
      </c>
      <c r="U257" s="17">
        <f t="shared" si="32"/>
        <v>0</v>
      </c>
      <c r="V257" s="17">
        <f t="shared" si="33"/>
        <v>0</v>
      </c>
      <c r="W257" s="17">
        <f t="shared" si="34"/>
        <v>0</v>
      </c>
      <c r="X257" s="17">
        <f t="shared" si="35"/>
        <v>0</v>
      </c>
      <c r="Y257" s="19" t="e">
        <f t="shared" si="36"/>
        <v>#DIV/0!</v>
      </c>
      <c r="Z257">
        <v>200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f t="shared" si="37"/>
        <v>0</v>
      </c>
      <c r="BF257">
        <v>200</v>
      </c>
      <c r="BG257">
        <v>200</v>
      </c>
      <c r="BH257" t="s">
        <v>109</v>
      </c>
      <c r="BI257" t="s">
        <v>903</v>
      </c>
      <c r="BJ257">
        <v>0</v>
      </c>
      <c r="BK257">
        <v>0</v>
      </c>
      <c r="BL257">
        <v>200</v>
      </c>
      <c r="BM257">
        <v>1350</v>
      </c>
      <c r="BN257">
        <v>0</v>
      </c>
      <c r="BO257">
        <v>0</v>
      </c>
      <c r="BP257">
        <v>0</v>
      </c>
      <c r="BQ257">
        <v>1350</v>
      </c>
      <c r="BR257">
        <f t="shared" si="38"/>
        <v>0</v>
      </c>
      <c r="BS257">
        <f t="shared" si="39"/>
        <v>300</v>
      </c>
    </row>
    <row r="258" spans="1:71" x14ac:dyDescent="0.25">
      <c r="A258" s="5" t="s">
        <v>875</v>
      </c>
      <c r="B258" s="5" t="s">
        <v>61</v>
      </c>
      <c r="C258" s="5" t="s">
        <v>207</v>
      </c>
      <c r="D258" s="1" t="s">
        <v>127</v>
      </c>
      <c r="E258">
        <v>0</v>
      </c>
      <c r="F258">
        <v>2960</v>
      </c>
      <c r="G258">
        <v>0</v>
      </c>
      <c r="H258">
        <v>0</v>
      </c>
      <c r="I258">
        <v>1538</v>
      </c>
      <c r="J258">
        <v>0</v>
      </c>
      <c r="K258">
        <v>0</v>
      </c>
      <c r="L258">
        <v>0</v>
      </c>
      <c r="M258">
        <v>4581</v>
      </c>
      <c r="N258">
        <v>0</v>
      </c>
      <c r="O258">
        <v>0</v>
      </c>
      <c r="P258">
        <v>2079</v>
      </c>
      <c r="Q258">
        <v>740</v>
      </c>
      <c r="R258">
        <v>740</v>
      </c>
      <c r="S258" s="18">
        <f t="shared" ref="S258:S321" si="40">(M258+N258+O258+P258)/R258</f>
        <v>9</v>
      </c>
      <c r="T258" s="17">
        <f t="shared" ref="T258:T321" si="41">M258/$S258</f>
        <v>509</v>
      </c>
      <c r="U258" s="17">
        <f t="shared" ref="U258:U321" si="42">N258/$S258</f>
        <v>0</v>
      </c>
      <c r="V258" s="17">
        <f t="shared" ref="V258:V321" si="43">O258/$S258</f>
        <v>0</v>
      </c>
      <c r="W258" s="17">
        <f t="shared" ref="W258:W321" si="44">P258/$S258</f>
        <v>231</v>
      </c>
      <c r="X258" s="17">
        <f t="shared" ref="X258:X321" si="45">Q258-T258-U258-W258</f>
        <v>0</v>
      </c>
      <c r="Y258" s="19" t="e">
        <f t="shared" ref="Y258:Y321" si="46">V258/X258</f>
        <v>#DIV/0!</v>
      </c>
      <c r="Z258">
        <v>2960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1538</v>
      </c>
      <c r="AH258">
        <v>1538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f t="shared" ref="BE258:BE321" si="47">SUM(AC258:BD258)</f>
        <v>3076</v>
      </c>
      <c r="BF258">
        <v>4498</v>
      </c>
      <c r="BG258">
        <v>4498</v>
      </c>
      <c r="BH258" t="s">
        <v>109</v>
      </c>
      <c r="BI258" t="s">
        <v>904</v>
      </c>
      <c r="BJ258">
        <v>0</v>
      </c>
      <c r="BK258">
        <v>1538</v>
      </c>
      <c r="BL258">
        <v>4498</v>
      </c>
      <c r="BM258">
        <v>4581</v>
      </c>
      <c r="BN258">
        <v>0</v>
      </c>
      <c r="BO258">
        <v>0</v>
      </c>
      <c r="BP258">
        <v>3617</v>
      </c>
      <c r="BQ258">
        <v>8198</v>
      </c>
      <c r="BR258">
        <f t="shared" ref="BR258:BR321" si="48">R258-Q258</f>
        <v>0</v>
      </c>
      <c r="BS258">
        <f t="shared" ref="BS258:BS321" si="49">R258+Q258</f>
        <v>1480</v>
      </c>
    </row>
    <row r="259" spans="1:71" x14ac:dyDescent="0.25">
      <c r="A259" s="5" t="s">
        <v>875</v>
      </c>
      <c r="B259" s="5" t="s">
        <v>61</v>
      </c>
      <c r="C259" s="5" t="s">
        <v>207</v>
      </c>
      <c r="D259" s="1" t="s">
        <v>129</v>
      </c>
      <c r="E259">
        <v>0</v>
      </c>
      <c r="F259">
        <v>150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1323</v>
      </c>
      <c r="N259">
        <v>0</v>
      </c>
      <c r="O259">
        <v>0</v>
      </c>
      <c r="P259">
        <v>0</v>
      </c>
      <c r="Q259">
        <v>147</v>
      </c>
      <c r="R259">
        <v>147</v>
      </c>
      <c r="S259" s="18">
        <f t="shared" si="40"/>
        <v>9</v>
      </c>
      <c r="T259" s="17">
        <f t="shared" si="41"/>
        <v>147</v>
      </c>
      <c r="U259" s="17">
        <f t="shared" si="42"/>
        <v>0</v>
      </c>
      <c r="V259" s="17">
        <f t="shared" si="43"/>
        <v>0</v>
      </c>
      <c r="W259" s="17">
        <f t="shared" si="44"/>
        <v>0</v>
      </c>
      <c r="X259" s="17">
        <f t="shared" si="45"/>
        <v>0</v>
      </c>
      <c r="Y259" s="19" t="e">
        <f t="shared" si="46"/>
        <v>#DIV/0!</v>
      </c>
      <c r="Z259">
        <v>150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f t="shared" si="47"/>
        <v>0</v>
      </c>
      <c r="BF259">
        <v>150</v>
      </c>
      <c r="BG259">
        <v>150</v>
      </c>
      <c r="BH259" t="s">
        <v>109</v>
      </c>
      <c r="BI259" t="s">
        <v>905</v>
      </c>
      <c r="BJ259">
        <v>0</v>
      </c>
      <c r="BK259">
        <v>0</v>
      </c>
      <c r="BL259">
        <v>150</v>
      </c>
      <c r="BM259">
        <v>1323</v>
      </c>
      <c r="BN259">
        <v>0</v>
      </c>
      <c r="BO259">
        <v>0</v>
      </c>
      <c r="BP259">
        <v>0</v>
      </c>
      <c r="BQ259">
        <v>1323</v>
      </c>
      <c r="BR259">
        <f t="shared" si="48"/>
        <v>0</v>
      </c>
      <c r="BS259">
        <f t="shared" si="49"/>
        <v>294</v>
      </c>
    </row>
    <row r="260" spans="1:71" x14ac:dyDescent="0.25">
      <c r="A260" s="5" t="s">
        <v>875</v>
      </c>
      <c r="B260" s="5" t="s">
        <v>61</v>
      </c>
      <c r="C260" s="5" t="s">
        <v>207</v>
      </c>
      <c r="D260" s="1" t="s">
        <v>131</v>
      </c>
      <c r="E260">
        <v>0</v>
      </c>
      <c r="F260">
        <v>150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450</v>
      </c>
      <c r="N260">
        <v>0</v>
      </c>
      <c r="O260">
        <v>0</v>
      </c>
      <c r="P260">
        <v>0</v>
      </c>
      <c r="Q260">
        <v>50</v>
      </c>
      <c r="R260">
        <v>50</v>
      </c>
      <c r="S260" s="18">
        <f t="shared" si="40"/>
        <v>9</v>
      </c>
      <c r="T260" s="17">
        <f t="shared" si="41"/>
        <v>50</v>
      </c>
      <c r="U260" s="17">
        <f t="shared" si="42"/>
        <v>0</v>
      </c>
      <c r="V260" s="17">
        <f t="shared" si="43"/>
        <v>0</v>
      </c>
      <c r="W260" s="17">
        <f t="shared" si="44"/>
        <v>0</v>
      </c>
      <c r="X260" s="17">
        <f t="shared" si="45"/>
        <v>0</v>
      </c>
      <c r="Y260" s="19" t="e">
        <f t="shared" si="46"/>
        <v>#DIV/0!</v>
      </c>
      <c r="Z260">
        <v>150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f t="shared" si="47"/>
        <v>0</v>
      </c>
      <c r="BF260">
        <v>150</v>
      </c>
      <c r="BG260">
        <v>150</v>
      </c>
      <c r="BH260" t="s">
        <v>109</v>
      </c>
      <c r="BI260" t="s">
        <v>906</v>
      </c>
      <c r="BJ260">
        <v>0</v>
      </c>
      <c r="BK260">
        <v>0</v>
      </c>
      <c r="BL260">
        <v>150</v>
      </c>
      <c r="BM260">
        <v>450</v>
      </c>
      <c r="BN260">
        <v>0</v>
      </c>
      <c r="BO260">
        <v>0</v>
      </c>
      <c r="BP260">
        <v>0</v>
      </c>
      <c r="BQ260">
        <v>450</v>
      </c>
      <c r="BR260">
        <f t="shared" si="48"/>
        <v>0</v>
      </c>
      <c r="BS260">
        <f t="shared" si="49"/>
        <v>100</v>
      </c>
    </row>
    <row r="261" spans="1:71" x14ac:dyDescent="0.25">
      <c r="A261" s="5" t="s">
        <v>875</v>
      </c>
      <c r="B261" s="5" t="s">
        <v>61</v>
      </c>
      <c r="C261" s="5" t="s">
        <v>207</v>
      </c>
      <c r="D261" s="1" t="s">
        <v>145</v>
      </c>
      <c r="E261">
        <v>0</v>
      </c>
      <c r="F261">
        <v>672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1512</v>
      </c>
      <c r="N261">
        <v>0</v>
      </c>
      <c r="O261">
        <v>0</v>
      </c>
      <c r="P261">
        <v>0</v>
      </c>
      <c r="Q261">
        <v>168</v>
      </c>
      <c r="R261">
        <v>168</v>
      </c>
      <c r="S261" s="18">
        <f t="shared" si="40"/>
        <v>9</v>
      </c>
      <c r="T261" s="17">
        <f t="shared" si="41"/>
        <v>168</v>
      </c>
      <c r="U261" s="17">
        <f t="shared" si="42"/>
        <v>0</v>
      </c>
      <c r="V261" s="17">
        <f t="shared" si="43"/>
        <v>0</v>
      </c>
      <c r="W261" s="17">
        <f t="shared" si="44"/>
        <v>0</v>
      </c>
      <c r="X261" s="17">
        <f t="shared" si="45"/>
        <v>0</v>
      </c>
      <c r="Y261" s="19" t="e">
        <f t="shared" si="46"/>
        <v>#DIV/0!</v>
      </c>
      <c r="Z261">
        <v>672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f t="shared" si="47"/>
        <v>0</v>
      </c>
      <c r="BF261">
        <v>672</v>
      </c>
      <c r="BG261">
        <v>672</v>
      </c>
      <c r="BH261" t="s">
        <v>109</v>
      </c>
      <c r="BI261" t="s">
        <v>912</v>
      </c>
      <c r="BJ261">
        <v>0</v>
      </c>
      <c r="BK261">
        <v>0</v>
      </c>
      <c r="BL261">
        <v>672</v>
      </c>
      <c r="BM261">
        <v>1512</v>
      </c>
      <c r="BN261">
        <v>0</v>
      </c>
      <c r="BO261">
        <v>0</v>
      </c>
      <c r="BP261">
        <v>0</v>
      </c>
      <c r="BQ261">
        <v>1512</v>
      </c>
      <c r="BR261">
        <f t="shared" si="48"/>
        <v>0</v>
      </c>
      <c r="BS261">
        <f t="shared" si="49"/>
        <v>336</v>
      </c>
    </row>
    <row r="262" spans="1:71" x14ac:dyDescent="0.25">
      <c r="A262" s="5" t="s">
        <v>875</v>
      </c>
      <c r="B262" s="5" t="s">
        <v>61</v>
      </c>
      <c r="C262" s="5" t="s">
        <v>207</v>
      </c>
      <c r="D262" s="1" t="s">
        <v>149</v>
      </c>
      <c r="E262">
        <v>0</v>
      </c>
      <c r="F262">
        <v>152</v>
      </c>
      <c r="G262">
        <v>0</v>
      </c>
      <c r="H262">
        <v>0</v>
      </c>
      <c r="I262">
        <v>52</v>
      </c>
      <c r="J262">
        <v>0</v>
      </c>
      <c r="K262">
        <v>25</v>
      </c>
      <c r="L262">
        <v>0</v>
      </c>
      <c r="M262">
        <v>342</v>
      </c>
      <c r="N262">
        <v>0</v>
      </c>
      <c r="O262">
        <v>0</v>
      </c>
      <c r="P262">
        <v>0</v>
      </c>
      <c r="Q262">
        <v>38</v>
      </c>
      <c r="R262">
        <v>38</v>
      </c>
      <c r="S262" s="18">
        <f t="shared" si="40"/>
        <v>9</v>
      </c>
      <c r="T262" s="17">
        <f t="shared" si="41"/>
        <v>38</v>
      </c>
      <c r="U262" s="17">
        <f t="shared" si="42"/>
        <v>0</v>
      </c>
      <c r="V262" s="17">
        <f t="shared" si="43"/>
        <v>0</v>
      </c>
      <c r="W262" s="17">
        <f t="shared" si="44"/>
        <v>0</v>
      </c>
      <c r="X262" s="17">
        <f t="shared" si="45"/>
        <v>0</v>
      </c>
      <c r="Y262" s="19" t="e">
        <f t="shared" si="46"/>
        <v>#DIV/0!</v>
      </c>
      <c r="Z262">
        <v>152</v>
      </c>
      <c r="AA262">
        <v>0</v>
      </c>
      <c r="AB262">
        <v>0</v>
      </c>
      <c r="AC262">
        <v>0</v>
      </c>
      <c r="AD262">
        <v>52</v>
      </c>
      <c r="AE262">
        <v>0</v>
      </c>
      <c r="AF262">
        <v>0</v>
      </c>
      <c r="AG262">
        <v>0</v>
      </c>
      <c r="AH262">
        <v>52</v>
      </c>
      <c r="AI262">
        <v>0</v>
      </c>
      <c r="AJ262">
        <v>0</v>
      </c>
      <c r="AK262">
        <v>0</v>
      </c>
      <c r="AL262">
        <v>0</v>
      </c>
      <c r="AM262">
        <v>25</v>
      </c>
      <c r="AN262">
        <v>0</v>
      </c>
      <c r="AO262">
        <v>0</v>
      </c>
      <c r="AP262">
        <v>25</v>
      </c>
      <c r="AQ262">
        <v>25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f t="shared" si="47"/>
        <v>179</v>
      </c>
      <c r="BF262">
        <v>229</v>
      </c>
      <c r="BG262">
        <v>229</v>
      </c>
      <c r="BH262" t="s">
        <v>109</v>
      </c>
      <c r="BI262" t="s">
        <v>914</v>
      </c>
      <c r="BJ262">
        <v>0</v>
      </c>
      <c r="BK262">
        <v>77</v>
      </c>
      <c r="BL262">
        <v>229</v>
      </c>
      <c r="BM262">
        <v>419</v>
      </c>
      <c r="BN262">
        <v>0</v>
      </c>
      <c r="BO262">
        <v>0</v>
      </c>
      <c r="BP262">
        <v>0</v>
      </c>
      <c r="BQ262">
        <v>419</v>
      </c>
      <c r="BR262">
        <f t="shared" si="48"/>
        <v>0</v>
      </c>
      <c r="BS262">
        <f t="shared" si="49"/>
        <v>76</v>
      </c>
    </row>
    <row r="263" spans="1:71" x14ac:dyDescent="0.25">
      <c r="A263" s="5" t="s">
        <v>875</v>
      </c>
      <c r="B263" s="5" t="s">
        <v>61</v>
      </c>
      <c r="C263" s="5" t="s">
        <v>207</v>
      </c>
      <c r="D263" s="1" t="s">
        <v>153</v>
      </c>
      <c r="E263">
        <v>0</v>
      </c>
      <c r="F263">
        <v>672</v>
      </c>
      <c r="G263">
        <v>0</v>
      </c>
      <c r="H263">
        <v>0</v>
      </c>
      <c r="I263">
        <v>72</v>
      </c>
      <c r="J263">
        <v>0</v>
      </c>
      <c r="K263">
        <v>0</v>
      </c>
      <c r="L263">
        <v>0</v>
      </c>
      <c r="M263">
        <v>1512</v>
      </c>
      <c r="N263">
        <v>0</v>
      </c>
      <c r="O263">
        <v>0</v>
      </c>
      <c r="P263">
        <v>0</v>
      </c>
      <c r="Q263">
        <v>168</v>
      </c>
      <c r="R263">
        <v>168</v>
      </c>
      <c r="S263" s="18">
        <f t="shared" si="40"/>
        <v>9</v>
      </c>
      <c r="T263" s="17">
        <f t="shared" si="41"/>
        <v>168</v>
      </c>
      <c r="U263" s="17">
        <f t="shared" si="42"/>
        <v>0</v>
      </c>
      <c r="V263" s="17">
        <f t="shared" si="43"/>
        <v>0</v>
      </c>
      <c r="W263" s="17">
        <f t="shared" si="44"/>
        <v>0</v>
      </c>
      <c r="X263" s="17">
        <f t="shared" si="45"/>
        <v>0</v>
      </c>
      <c r="Y263" s="19" t="e">
        <f t="shared" si="46"/>
        <v>#DIV/0!</v>
      </c>
      <c r="Z263">
        <v>672</v>
      </c>
      <c r="AA263">
        <v>0</v>
      </c>
      <c r="AB263">
        <v>0</v>
      </c>
      <c r="AC263">
        <v>0</v>
      </c>
      <c r="AD263">
        <v>72</v>
      </c>
      <c r="AE263">
        <v>0</v>
      </c>
      <c r="AF263">
        <v>0</v>
      </c>
      <c r="AG263">
        <v>0</v>
      </c>
      <c r="AH263">
        <v>72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f t="shared" si="47"/>
        <v>144</v>
      </c>
      <c r="BF263">
        <v>744</v>
      </c>
      <c r="BG263">
        <v>744</v>
      </c>
      <c r="BH263" t="s">
        <v>109</v>
      </c>
      <c r="BI263" t="s">
        <v>916</v>
      </c>
      <c r="BJ263">
        <v>0</v>
      </c>
      <c r="BK263">
        <v>72</v>
      </c>
      <c r="BL263">
        <v>744</v>
      </c>
      <c r="BM263">
        <v>1584</v>
      </c>
      <c r="BN263">
        <v>0</v>
      </c>
      <c r="BO263">
        <v>0</v>
      </c>
      <c r="BP263">
        <v>0</v>
      </c>
      <c r="BQ263">
        <v>1584</v>
      </c>
      <c r="BR263">
        <f t="shared" si="48"/>
        <v>0</v>
      </c>
      <c r="BS263">
        <f t="shared" si="49"/>
        <v>336</v>
      </c>
    </row>
    <row r="264" spans="1:71" x14ac:dyDescent="0.25">
      <c r="A264" s="5" t="s">
        <v>875</v>
      </c>
      <c r="B264" s="5" t="s">
        <v>61</v>
      </c>
      <c r="C264" s="5" t="s">
        <v>207</v>
      </c>
      <c r="D264" s="1" t="s">
        <v>157</v>
      </c>
      <c r="E264">
        <v>0</v>
      </c>
      <c r="F264">
        <v>1032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2322</v>
      </c>
      <c r="N264">
        <v>0</v>
      </c>
      <c r="O264">
        <v>0</v>
      </c>
      <c r="P264">
        <v>0</v>
      </c>
      <c r="Q264">
        <v>258</v>
      </c>
      <c r="R264">
        <v>258</v>
      </c>
      <c r="S264" s="18">
        <f t="shared" si="40"/>
        <v>9</v>
      </c>
      <c r="T264" s="17">
        <f t="shared" si="41"/>
        <v>258</v>
      </c>
      <c r="U264" s="17">
        <f t="shared" si="42"/>
        <v>0</v>
      </c>
      <c r="V264" s="17">
        <f t="shared" si="43"/>
        <v>0</v>
      </c>
      <c r="W264" s="17">
        <f t="shared" si="44"/>
        <v>0</v>
      </c>
      <c r="X264" s="17">
        <f t="shared" si="45"/>
        <v>0</v>
      </c>
      <c r="Y264" s="19" t="e">
        <f t="shared" si="46"/>
        <v>#DIV/0!</v>
      </c>
      <c r="Z264">
        <v>1032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f t="shared" si="47"/>
        <v>0</v>
      </c>
      <c r="BF264">
        <v>1032</v>
      </c>
      <c r="BG264">
        <v>1032</v>
      </c>
      <c r="BH264" t="s">
        <v>109</v>
      </c>
      <c r="BI264" t="s">
        <v>918</v>
      </c>
      <c r="BJ264">
        <v>0</v>
      </c>
      <c r="BK264">
        <v>0</v>
      </c>
      <c r="BL264">
        <v>1032</v>
      </c>
      <c r="BM264">
        <v>2322</v>
      </c>
      <c r="BN264">
        <v>0</v>
      </c>
      <c r="BO264">
        <v>0</v>
      </c>
      <c r="BP264">
        <v>0</v>
      </c>
      <c r="BQ264">
        <v>2322</v>
      </c>
      <c r="BR264">
        <f t="shared" si="48"/>
        <v>0</v>
      </c>
      <c r="BS264">
        <f t="shared" si="49"/>
        <v>516</v>
      </c>
    </row>
    <row r="265" spans="1:71" x14ac:dyDescent="0.25">
      <c r="A265" s="5" t="s">
        <v>875</v>
      </c>
      <c r="B265" s="5" t="s">
        <v>61</v>
      </c>
      <c r="C265" s="5" t="s">
        <v>207</v>
      </c>
      <c r="D265" s="1" t="s">
        <v>161</v>
      </c>
      <c r="E265">
        <v>0</v>
      </c>
      <c r="F265">
        <v>248</v>
      </c>
      <c r="G265">
        <v>0</v>
      </c>
      <c r="H265">
        <v>0</v>
      </c>
      <c r="I265">
        <v>10</v>
      </c>
      <c r="J265">
        <v>0</v>
      </c>
      <c r="K265">
        <v>0</v>
      </c>
      <c r="L265">
        <v>0</v>
      </c>
      <c r="M265">
        <v>558</v>
      </c>
      <c r="N265">
        <v>0</v>
      </c>
      <c r="O265">
        <v>0</v>
      </c>
      <c r="P265">
        <v>0</v>
      </c>
      <c r="Q265">
        <v>62</v>
      </c>
      <c r="R265">
        <v>62</v>
      </c>
      <c r="S265" s="18">
        <f t="shared" si="40"/>
        <v>9</v>
      </c>
      <c r="T265" s="17">
        <f t="shared" si="41"/>
        <v>62</v>
      </c>
      <c r="U265" s="17">
        <f t="shared" si="42"/>
        <v>0</v>
      </c>
      <c r="V265" s="17">
        <f t="shared" si="43"/>
        <v>0</v>
      </c>
      <c r="W265" s="17">
        <f t="shared" si="44"/>
        <v>0</v>
      </c>
      <c r="X265" s="17">
        <f t="shared" si="45"/>
        <v>0</v>
      </c>
      <c r="Y265" s="19" t="e">
        <f t="shared" si="46"/>
        <v>#DIV/0!</v>
      </c>
      <c r="Z265">
        <v>248</v>
      </c>
      <c r="AA265">
        <v>0</v>
      </c>
      <c r="AB265">
        <v>0</v>
      </c>
      <c r="AC265">
        <v>0</v>
      </c>
      <c r="AD265">
        <v>10</v>
      </c>
      <c r="AE265">
        <v>0</v>
      </c>
      <c r="AF265">
        <v>0</v>
      </c>
      <c r="AG265">
        <v>0</v>
      </c>
      <c r="AH265">
        <v>10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f t="shared" si="47"/>
        <v>20</v>
      </c>
      <c r="BF265">
        <v>258</v>
      </c>
      <c r="BG265">
        <v>258</v>
      </c>
      <c r="BH265" t="s">
        <v>109</v>
      </c>
      <c r="BI265" t="s">
        <v>920</v>
      </c>
      <c r="BJ265">
        <v>0</v>
      </c>
      <c r="BK265">
        <v>10</v>
      </c>
      <c r="BL265">
        <v>258</v>
      </c>
      <c r="BM265">
        <v>568</v>
      </c>
      <c r="BN265">
        <v>0</v>
      </c>
      <c r="BO265">
        <v>0</v>
      </c>
      <c r="BP265">
        <v>0</v>
      </c>
      <c r="BQ265">
        <v>568</v>
      </c>
      <c r="BR265">
        <f t="shared" si="48"/>
        <v>0</v>
      </c>
      <c r="BS265">
        <f t="shared" si="49"/>
        <v>124</v>
      </c>
    </row>
    <row r="266" spans="1:71" x14ac:dyDescent="0.25">
      <c r="A266" s="5" t="s">
        <v>875</v>
      </c>
      <c r="B266" s="5" t="s">
        <v>61</v>
      </c>
      <c r="C266" s="5" t="s">
        <v>207</v>
      </c>
      <c r="D266" s="1" t="s">
        <v>163</v>
      </c>
      <c r="E266">
        <v>0</v>
      </c>
      <c r="F266">
        <v>86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774</v>
      </c>
      <c r="N266">
        <v>0</v>
      </c>
      <c r="O266">
        <v>0</v>
      </c>
      <c r="P266">
        <v>0</v>
      </c>
      <c r="Q266">
        <v>86</v>
      </c>
      <c r="R266">
        <v>86</v>
      </c>
      <c r="S266" s="18">
        <f t="shared" si="40"/>
        <v>9</v>
      </c>
      <c r="T266" s="17">
        <f t="shared" si="41"/>
        <v>86</v>
      </c>
      <c r="U266" s="17">
        <f t="shared" si="42"/>
        <v>0</v>
      </c>
      <c r="V266" s="17">
        <f t="shared" si="43"/>
        <v>0</v>
      </c>
      <c r="W266" s="17">
        <f t="shared" si="44"/>
        <v>0</v>
      </c>
      <c r="X266" s="17">
        <f t="shared" si="45"/>
        <v>0</v>
      </c>
      <c r="Y266" s="19" t="e">
        <f t="shared" si="46"/>
        <v>#DIV/0!</v>
      </c>
      <c r="Z266">
        <v>86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f t="shared" si="47"/>
        <v>0</v>
      </c>
      <c r="BF266">
        <v>86</v>
      </c>
      <c r="BG266">
        <v>86</v>
      </c>
      <c r="BH266" t="s">
        <v>109</v>
      </c>
      <c r="BI266" t="s">
        <v>921</v>
      </c>
      <c r="BJ266">
        <v>0</v>
      </c>
      <c r="BK266">
        <v>0</v>
      </c>
      <c r="BL266">
        <v>86</v>
      </c>
      <c r="BM266">
        <v>774</v>
      </c>
      <c r="BN266">
        <v>0</v>
      </c>
      <c r="BO266">
        <v>0</v>
      </c>
      <c r="BP266">
        <v>0</v>
      </c>
      <c r="BQ266">
        <v>774</v>
      </c>
      <c r="BR266">
        <f t="shared" si="48"/>
        <v>0</v>
      </c>
      <c r="BS266">
        <f t="shared" si="49"/>
        <v>172</v>
      </c>
    </row>
    <row r="267" spans="1:71" x14ac:dyDescent="0.25">
      <c r="A267" s="5" t="s">
        <v>875</v>
      </c>
      <c r="B267" s="5" t="s">
        <v>61</v>
      </c>
      <c r="C267" s="5" t="s">
        <v>207</v>
      </c>
      <c r="D267" s="1" t="s">
        <v>165</v>
      </c>
      <c r="E267">
        <v>0</v>
      </c>
      <c r="F267">
        <v>120</v>
      </c>
      <c r="G267">
        <v>0</v>
      </c>
      <c r="H267">
        <v>0</v>
      </c>
      <c r="I267">
        <v>281</v>
      </c>
      <c r="J267">
        <v>0</v>
      </c>
      <c r="K267">
        <v>95</v>
      </c>
      <c r="L267">
        <v>0</v>
      </c>
      <c r="M267">
        <v>1080</v>
      </c>
      <c r="N267">
        <v>0</v>
      </c>
      <c r="O267">
        <v>0</v>
      </c>
      <c r="P267">
        <v>0</v>
      </c>
      <c r="Q267">
        <v>120</v>
      </c>
      <c r="R267">
        <v>120</v>
      </c>
      <c r="S267" s="18">
        <f t="shared" si="40"/>
        <v>9</v>
      </c>
      <c r="T267" s="17">
        <f t="shared" si="41"/>
        <v>120</v>
      </c>
      <c r="U267" s="17">
        <f t="shared" si="42"/>
        <v>0</v>
      </c>
      <c r="V267" s="17">
        <f t="shared" si="43"/>
        <v>0</v>
      </c>
      <c r="W267" s="17">
        <f t="shared" si="44"/>
        <v>0</v>
      </c>
      <c r="X267" s="17">
        <f t="shared" si="45"/>
        <v>0</v>
      </c>
      <c r="Y267" s="19" t="e">
        <f t="shared" si="46"/>
        <v>#DIV/0!</v>
      </c>
      <c r="Z267">
        <v>120</v>
      </c>
      <c r="AA267">
        <v>0</v>
      </c>
      <c r="AB267">
        <v>0</v>
      </c>
      <c r="AC267">
        <v>0</v>
      </c>
      <c r="AD267">
        <v>281</v>
      </c>
      <c r="AE267">
        <v>0</v>
      </c>
      <c r="AF267">
        <v>0</v>
      </c>
      <c r="AG267">
        <v>0</v>
      </c>
      <c r="AH267">
        <v>281</v>
      </c>
      <c r="AI267">
        <v>0</v>
      </c>
      <c r="AJ267">
        <v>0</v>
      </c>
      <c r="AK267">
        <v>0</v>
      </c>
      <c r="AL267">
        <v>0</v>
      </c>
      <c r="AM267">
        <v>95</v>
      </c>
      <c r="AN267">
        <v>0</v>
      </c>
      <c r="AO267">
        <v>0</v>
      </c>
      <c r="AP267">
        <v>10</v>
      </c>
      <c r="AQ267">
        <v>95</v>
      </c>
      <c r="AR267">
        <v>85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f t="shared" si="47"/>
        <v>847</v>
      </c>
      <c r="BF267">
        <v>496</v>
      </c>
      <c r="BG267">
        <v>496</v>
      </c>
      <c r="BH267" t="s">
        <v>109</v>
      </c>
      <c r="BI267" t="s">
        <v>922</v>
      </c>
      <c r="BJ267">
        <v>0</v>
      </c>
      <c r="BK267">
        <v>376</v>
      </c>
      <c r="BL267">
        <v>496</v>
      </c>
      <c r="BM267">
        <v>1456</v>
      </c>
      <c r="BN267">
        <v>0</v>
      </c>
      <c r="BO267">
        <v>0</v>
      </c>
      <c r="BP267">
        <v>0</v>
      </c>
      <c r="BQ267">
        <v>1456</v>
      </c>
      <c r="BR267">
        <f t="shared" si="48"/>
        <v>0</v>
      </c>
      <c r="BS267">
        <f t="shared" si="49"/>
        <v>240</v>
      </c>
    </row>
    <row r="268" spans="1:71" x14ac:dyDescent="0.25">
      <c r="A268" s="5" t="s">
        <v>875</v>
      </c>
      <c r="B268" s="5" t="s">
        <v>61</v>
      </c>
      <c r="C268" s="5" t="s">
        <v>207</v>
      </c>
      <c r="D268" s="1" t="s">
        <v>167</v>
      </c>
      <c r="E268">
        <v>0</v>
      </c>
      <c r="F268">
        <v>271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2439</v>
      </c>
      <c r="N268">
        <v>0</v>
      </c>
      <c r="O268">
        <v>0</v>
      </c>
      <c r="P268">
        <v>0</v>
      </c>
      <c r="Q268">
        <v>271</v>
      </c>
      <c r="R268">
        <v>271</v>
      </c>
      <c r="S268" s="18">
        <f t="shared" si="40"/>
        <v>9</v>
      </c>
      <c r="T268" s="17">
        <f t="shared" si="41"/>
        <v>271</v>
      </c>
      <c r="U268" s="17">
        <f t="shared" si="42"/>
        <v>0</v>
      </c>
      <c r="V268" s="17">
        <f t="shared" si="43"/>
        <v>0</v>
      </c>
      <c r="W268" s="17">
        <f t="shared" si="44"/>
        <v>0</v>
      </c>
      <c r="X268" s="17">
        <f t="shared" si="45"/>
        <v>0</v>
      </c>
      <c r="Y268" s="19" t="e">
        <f t="shared" si="46"/>
        <v>#DIV/0!</v>
      </c>
      <c r="Z268">
        <v>271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f t="shared" si="47"/>
        <v>0</v>
      </c>
      <c r="BF268">
        <v>271</v>
      </c>
      <c r="BG268">
        <v>271</v>
      </c>
      <c r="BH268" t="s">
        <v>109</v>
      </c>
      <c r="BI268" t="s">
        <v>923</v>
      </c>
      <c r="BJ268">
        <v>0</v>
      </c>
      <c r="BK268">
        <v>0</v>
      </c>
      <c r="BL268">
        <v>271</v>
      </c>
      <c r="BM268">
        <v>2439</v>
      </c>
      <c r="BN268">
        <v>0</v>
      </c>
      <c r="BO268">
        <v>0</v>
      </c>
      <c r="BP268">
        <v>0</v>
      </c>
      <c r="BQ268">
        <v>2439</v>
      </c>
      <c r="BR268">
        <f t="shared" si="48"/>
        <v>0</v>
      </c>
      <c r="BS268">
        <f t="shared" si="49"/>
        <v>542</v>
      </c>
    </row>
    <row r="269" spans="1:71" x14ac:dyDescent="0.25">
      <c r="A269" s="5" t="s">
        <v>875</v>
      </c>
      <c r="B269" s="5" t="s">
        <v>61</v>
      </c>
      <c r="C269" s="5" t="s">
        <v>207</v>
      </c>
      <c r="D269" s="1" t="s">
        <v>169</v>
      </c>
      <c r="E269">
        <v>0</v>
      </c>
      <c r="F269">
        <v>0</v>
      </c>
      <c r="G269">
        <v>0</v>
      </c>
      <c r="H269">
        <v>0</v>
      </c>
      <c r="I269">
        <v>92</v>
      </c>
      <c r="J269">
        <v>0</v>
      </c>
      <c r="K269">
        <v>95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8" t="e">
        <f t="shared" si="40"/>
        <v>#DIV/0!</v>
      </c>
      <c r="T269" s="17" t="e">
        <f t="shared" si="41"/>
        <v>#DIV/0!</v>
      </c>
      <c r="U269" s="17" t="e">
        <f t="shared" si="42"/>
        <v>#DIV/0!</v>
      </c>
      <c r="V269" s="17" t="e">
        <f t="shared" si="43"/>
        <v>#DIV/0!</v>
      </c>
      <c r="W269" s="17" t="e">
        <f t="shared" si="44"/>
        <v>#DIV/0!</v>
      </c>
      <c r="X269" s="17" t="e">
        <f t="shared" si="45"/>
        <v>#DIV/0!</v>
      </c>
      <c r="Y269" s="19" t="e">
        <f t="shared" si="46"/>
        <v>#DIV/0!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92</v>
      </c>
      <c r="AH269">
        <v>92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95</v>
      </c>
      <c r="AP269">
        <v>0</v>
      </c>
      <c r="AQ269">
        <v>95</v>
      </c>
      <c r="AR269">
        <v>95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f t="shared" si="47"/>
        <v>469</v>
      </c>
      <c r="BF269">
        <v>187</v>
      </c>
      <c r="BG269">
        <v>187</v>
      </c>
      <c r="BH269" t="s">
        <v>109</v>
      </c>
      <c r="BI269" t="s">
        <v>924</v>
      </c>
      <c r="BJ269">
        <v>0</v>
      </c>
      <c r="BK269">
        <v>187</v>
      </c>
      <c r="BL269">
        <v>187</v>
      </c>
      <c r="BM269">
        <v>0</v>
      </c>
      <c r="BN269">
        <v>0</v>
      </c>
      <c r="BO269">
        <v>0</v>
      </c>
      <c r="BP269">
        <v>187</v>
      </c>
      <c r="BQ269">
        <v>187</v>
      </c>
      <c r="BR269">
        <f t="shared" si="48"/>
        <v>0</v>
      </c>
      <c r="BS269">
        <f t="shared" si="49"/>
        <v>0</v>
      </c>
    </row>
    <row r="270" spans="1:71" x14ac:dyDescent="0.25">
      <c r="A270" s="5" t="s">
        <v>875</v>
      </c>
      <c r="B270" s="5" t="s">
        <v>61</v>
      </c>
      <c r="C270" s="5" t="s">
        <v>207</v>
      </c>
      <c r="D270" s="1" t="s">
        <v>171</v>
      </c>
      <c r="E270">
        <v>0</v>
      </c>
      <c r="F270">
        <v>300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1332</v>
      </c>
      <c r="N270">
        <v>0</v>
      </c>
      <c r="O270">
        <v>0</v>
      </c>
      <c r="P270">
        <v>0</v>
      </c>
      <c r="Q270">
        <v>148</v>
      </c>
      <c r="R270">
        <v>148</v>
      </c>
      <c r="S270" s="18">
        <f t="shared" si="40"/>
        <v>9</v>
      </c>
      <c r="T270" s="17">
        <f t="shared" si="41"/>
        <v>148</v>
      </c>
      <c r="U270" s="17">
        <f t="shared" si="42"/>
        <v>0</v>
      </c>
      <c r="V270" s="17">
        <f t="shared" si="43"/>
        <v>0</v>
      </c>
      <c r="W270" s="17">
        <f t="shared" si="44"/>
        <v>0</v>
      </c>
      <c r="X270" s="17">
        <f t="shared" si="45"/>
        <v>0</v>
      </c>
      <c r="Y270" s="19" t="e">
        <f t="shared" si="46"/>
        <v>#DIV/0!</v>
      </c>
      <c r="Z270">
        <v>300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f t="shared" si="47"/>
        <v>0</v>
      </c>
      <c r="BF270">
        <v>300</v>
      </c>
      <c r="BG270">
        <v>300</v>
      </c>
      <c r="BH270" t="s">
        <v>109</v>
      </c>
      <c r="BI270" t="s">
        <v>925</v>
      </c>
      <c r="BJ270">
        <v>0</v>
      </c>
      <c r="BK270">
        <v>0</v>
      </c>
      <c r="BL270">
        <v>300</v>
      </c>
      <c r="BM270">
        <v>1332</v>
      </c>
      <c r="BN270">
        <v>0</v>
      </c>
      <c r="BO270">
        <v>0</v>
      </c>
      <c r="BP270">
        <v>0</v>
      </c>
      <c r="BQ270">
        <v>1332</v>
      </c>
      <c r="BR270">
        <f t="shared" si="48"/>
        <v>0</v>
      </c>
      <c r="BS270">
        <f t="shared" si="49"/>
        <v>296</v>
      </c>
    </row>
    <row r="271" spans="1:71" x14ac:dyDescent="0.25">
      <c r="A271" s="5" t="s">
        <v>875</v>
      </c>
      <c r="B271" s="5" t="s">
        <v>61</v>
      </c>
      <c r="C271" s="5" t="s">
        <v>207</v>
      </c>
      <c r="D271" s="1" t="s">
        <v>173</v>
      </c>
      <c r="E271">
        <v>0</v>
      </c>
      <c r="F271">
        <v>200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216</v>
      </c>
      <c r="N271">
        <v>0</v>
      </c>
      <c r="O271">
        <v>0</v>
      </c>
      <c r="P271">
        <v>0</v>
      </c>
      <c r="Q271">
        <v>24</v>
      </c>
      <c r="R271">
        <v>24</v>
      </c>
      <c r="S271" s="18">
        <f t="shared" si="40"/>
        <v>9</v>
      </c>
      <c r="T271" s="17">
        <f t="shared" si="41"/>
        <v>24</v>
      </c>
      <c r="U271" s="17">
        <f t="shared" si="42"/>
        <v>0</v>
      </c>
      <c r="V271" s="17">
        <f t="shared" si="43"/>
        <v>0</v>
      </c>
      <c r="W271" s="17">
        <f t="shared" si="44"/>
        <v>0</v>
      </c>
      <c r="X271" s="17">
        <f t="shared" si="45"/>
        <v>0</v>
      </c>
      <c r="Y271" s="19" t="e">
        <f t="shared" si="46"/>
        <v>#DIV/0!</v>
      </c>
      <c r="Z271">
        <v>200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f t="shared" si="47"/>
        <v>0</v>
      </c>
      <c r="BF271">
        <v>200</v>
      </c>
      <c r="BG271">
        <v>200</v>
      </c>
      <c r="BH271" t="s">
        <v>109</v>
      </c>
      <c r="BI271" t="s">
        <v>926</v>
      </c>
      <c r="BJ271">
        <v>0</v>
      </c>
      <c r="BK271">
        <v>0</v>
      </c>
      <c r="BL271">
        <v>200</v>
      </c>
      <c r="BM271">
        <v>216</v>
      </c>
      <c r="BN271">
        <v>0</v>
      </c>
      <c r="BO271">
        <v>0</v>
      </c>
      <c r="BP271">
        <v>0</v>
      </c>
      <c r="BQ271">
        <v>216</v>
      </c>
      <c r="BR271">
        <f t="shared" si="48"/>
        <v>0</v>
      </c>
      <c r="BS271">
        <f t="shared" si="49"/>
        <v>48</v>
      </c>
    </row>
    <row r="272" spans="1:71" x14ac:dyDescent="0.25">
      <c r="A272" s="5" t="s">
        <v>875</v>
      </c>
      <c r="B272" s="5" t="s">
        <v>61</v>
      </c>
      <c r="C272" s="5" t="s">
        <v>207</v>
      </c>
      <c r="D272" s="1" t="s">
        <v>177</v>
      </c>
      <c r="E272">
        <v>0</v>
      </c>
      <c r="F272">
        <v>0</v>
      </c>
      <c r="G272">
        <v>0</v>
      </c>
      <c r="H272">
        <v>0</v>
      </c>
      <c r="I272">
        <v>25</v>
      </c>
      <c r="J272">
        <v>22</v>
      </c>
      <c r="K272">
        <v>60</v>
      </c>
      <c r="L272">
        <v>65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8" t="e">
        <f t="shared" si="40"/>
        <v>#DIV/0!</v>
      </c>
      <c r="T272" s="17" t="e">
        <f t="shared" si="41"/>
        <v>#DIV/0!</v>
      </c>
      <c r="U272" s="17" t="e">
        <f t="shared" si="42"/>
        <v>#DIV/0!</v>
      </c>
      <c r="V272" s="17" t="e">
        <f t="shared" si="43"/>
        <v>#DIV/0!</v>
      </c>
      <c r="W272" s="17" t="e">
        <f t="shared" si="44"/>
        <v>#DIV/0!</v>
      </c>
      <c r="X272" s="17" t="e">
        <f t="shared" si="45"/>
        <v>#DIV/0!</v>
      </c>
      <c r="Y272" s="19" t="e">
        <f t="shared" si="46"/>
        <v>#DIV/0!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25</v>
      </c>
      <c r="AH272">
        <v>25</v>
      </c>
      <c r="AI272">
        <v>0</v>
      </c>
      <c r="AJ272">
        <v>0</v>
      </c>
      <c r="AK272">
        <v>22</v>
      </c>
      <c r="AL272">
        <v>22</v>
      </c>
      <c r="AM272">
        <v>0</v>
      </c>
      <c r="AN272">
        <v>0</v>
      </c>
      <c r="AO272">
        <v>60</v>
      </c>
      <c r="AP272">
        <v>15</v>
      </c>
      <c r="AQ272">
        <v>60</v>
      </c>
      <c r="AR272">
        <v>45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65</v>
      </c>
      <c r="BA272">
        <v>65</v>
      </c>
      <c r="BB272">
        <v>0</v>
      </c>
      <c r="BC272">
        <v>0</v>
      </c>
      <c r="BD272">
        <v>0</v>
      </c>
      <c r="BE272">
        <f t="shared" si="47"/>
        <v>404</v>
      </c>
      <c r="BF272">
        <v>172</v>
      </c>
      <c r="BG272">
        <v>172</v>
      </c>
      <c r="BH272" t="s">
        <v>190</v>
      </c>
      <c r="BI272" t="s">
        <v>928</v>
      </c>
      <c r="BJ272">
        <v>0</v>
      </c>
      <c r="BK272">
        <v>172</v>
      </c>
      <c r="BL272">
        <v>172</v>
      </c>
      <c r="BM272">
        <v>0</v>
      </c>
      <c r="BN272">
        <v>0</v>
      </c>
      <c r="BO272">
        <v>0</v>
      </c>
      <c r="BP272">
        <v>172</v>
      </c>
      <c r="BQ272">
        <v>172</v>
      </c>
      <c r="BR272">
        <f t="shared" si="48"/>
        <v>0</v>
      </c>
      <c r="BS272">
        <f t="shared" si="49"/>
        <v>0</v>
      </c>
    </row>
    <row r="273" spans="1:74" x14ac:dyDescent="0.25">
      <c r="A273" s="5" t="s">
        <v>875</v>
      </c>
      <c r="B273" s="5" t="s">
        <v>61</v>
      </c>
      <c r="C273" s="5" t="s">
        <v>207</v>
      </c>
      <c r="D273" s="1" t="s">
        <v>179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8" t="e">
        <f t="shared" si="40"/>
        <v>#DIV/0!</v>
      </c>
      <c r="T273" s="17" t="e">
        <f t="shared" si="41"/>
        <v>#DIV/0!</v>
      </c>
      <c r="U273" s="17" t="e">
        <f t="shared" si="42"/>
        <v>#DIV/0!</v>
      </c>
      <c r="V273" s="17" t="e">
        <f t="shared" si="43"/>
        <v>#DIV/0!</v>
      </c>
      <c r="W273" s="17" t="e">
        <f t="shared" si="44"/>
        <v>#DIV/0!</v>
      </c>
      <c r="X273" s="17" t="e">
        <f t="shared" si="45"/>
        <v>#DIV/0!</v>
      </c>
      <c r="Y273" s="19" t="e">
        <f t="shared" si="46"/>
        <v>#DIV/0!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30</v>
      </c>
      <c r="AP273">
        <v>10</v>
      </c>
      <c r="AQ273">
        <v>30</v>
      </c>
      <c r="AR273">
        <v>20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f t="shared" si="47"/>
        <v>90</v>
      </c>
      <c r="BF273">
        <v>30</v>
      </c>
      <c r="BG273">
        <v>30</v>
      </c>
      <c r="BH273" t="s">
        <v>190</v>
      </c>
      <c r="BI273" t="s">
        <v>929</v>
      </c>
      <c r="BJ273">
        <v>0</v>
      </c>
      <c r="BK273">
        <v>30</v>
      </c>
      <c r="BL273">
        <v>30</v>
      </c>
      <c r="BM273">
        <v>0</v>
      </c>
      <c r="BN273">
        <v>0</v>
      </c>
      <c r="BO273">
        <v>0</v>
      </c>
      <c r="BP273">
        <v>30</v>
      </c>
      <c r="BQ273">
        <v>30</v>
      </c>
      <c r="BR273">
        <f t="shared" si="48"/>
        <v>0</v>
      </c>
      <c r="BS273">
        <f t="shared" si="49"/>
        <v>0</v>
      </c>
    </row>
    <row r="274" spans="1:74" x14ac:dyDescent="0.25">
      <c r="A274" s="5" t="s">
        <v>875</v>
      </c>
      <c r="B274" s="5" t="s">
        <v>61</v>
      </c>
      <c r="C274" s="5" t="s">
        <v>207</v>
      </c>
      <c r="D274" s="1" t="s">
        <v>185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8" t="e">
        <f t="shared" si="40"/>
        <v>#DIV/0!</v>
      </c>
      <c r="T274" s="17" t="e">
        <f t="shared" si="41"/>
        <v>#DIV/0!</v>
      </c>
      <c r="U274" s="17" t="e">
        <f t="shared" si="42"/>
        <v>#DIV/0!</v>
      </c>
      <c r="V274" s="17" t="e">
        <f t="shared" si="43"/>
        <v>#DIV/0!</v>
      </c>
      <c r="W274" s="17" t="e">
        <f t="shared" si="44"/>
        <v>#DIV/0!</v>
      </c>
      <c r="X274" s="17" t="e">
        <f t="shared" si="45"/>
        <v>#DIV/0!</v>
      </c>
      <c r="Y274" s="19" t="e">
        <f t="shared" si="46"/>
        <v>#DIV/0!</v>
      </c>
      <c r="Z274">
        <v>0</v>
      </c>
      <c r="AA274">
        <v>0</v>
      </c>
      <c r="AB274">
        <v>0</v>
      </c>
      <c r="AC274">
        <v>143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f t="shared" si="47"/>
        <v>143</v>
      </c>
      <c r="BH274" t="s">
        <v>190</v>
      </c>
      <c r="BI274" t="s">
        <v>932</v>
      </c>
      <c r="BJ274">
        <v>143</v>
      </c>
      <c r="BK274">
        <v>0</v>
      </c>
      <c r="BL274">
        <v>143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f t="shared" si="48"/>
        <v>0</v>
      </c>
      <c r="BS274">
        <f t="shared" si="49"/>
        <v>0</v>
      </c>
    </row>
    <row r="275" spans="1:74" x14ac:dyDescent="0.25">
      <c r="A275" s="5" t="s">
        <v>875</v>
      </c>
      <c r="B275" s="5" t="s">
        <v>61</v>
      </c>
      <c r="C275" s="5" t="s">
        <v>207</v>
      </c>
      <c r="D275" s="1" t="s">
        <v>187</v>
      </c>
      <c r="E275">
        <v>0</v>
      </c>
      <c r="F275">
        <v>1740</v>
      </c>
      <c r="G275">
        <v>0</v>
      </c>
      <c r="H275">
        <v>0</v>
      </c>
      <c r="I275">
        <v>20</v>
      </c>
      <c r="J275">
        <v>0</v>
      </c>
      <c r="K275">
        <v>256</v>
      </c>
      <c r="L275">
        <v>0</v>
      </c>
      <c r="M275">
        <v>0</v>
      </c>
      <c r="N275">
        <v>0</v>
      </c>
      <c r="O275">
        <v>0</v>
      </c>
      <c r="P275">
        <v>6678</v>
      </c>
      <c r="Q275">
        <v>742</v>
      </c>
      <c r="R275">
        <v>742</v>
      </c>
      <c r="S275" s="18">
        <f t="shared" si="40"/>
        <v>9</v>
      </c>
      <c r="T275" s="17">
        <f t="shared" si="41"/>
        <v>0</v>
      </c>
      <c r="U275" s="17">
        <f t="shared" si="42"/>
        <v>0</v>
      </c>
      <c r="V275" s="17">
        <f t="shared" si="43"/>
        <v>0</v>
      </c>
      <c r="W275" s="17">
        <f t="shared" si="44"/>
        <v>742</v>
      </c>
      <c r="X275" s="17">
        <f t="shared" si="45"/>
        <v>0</v>
      </c>
      <c r="Y275" s="19" t="e">
        <f t="shared" si="46"/>
        <v>#DIV/0!</v>
      </c>
      <c r="Z275">
        <v>1740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20</v>
      </c>
      <c r="AH275">
        <v>20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256</v>
      </c>
      <c r="AP275">
        <v>256</v>
      </c>
      <c r="AQ275">
        <v>256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f t="shared" si="47"/>
        <v>808</v>
      </c>
      <c r="BF275">
        <v>2016</v>
      </c>
      <c r="BG275">
        <v>2016</v>
      </c>
      <c r="BH275" t="s">
        <v>190</v>
      </c>
      <c r="BI275" t="s">
        <v>933</v>
      </c>
      <c r="BJ275">
        <v>0</v>
      </c>
      <c r="BK275">
        <v>276</v>
      </c>
      <c r="BL275">
        <v>2016</v>
      </c>
      <c r="BM275">
        <v>0</v>
      </c>
      <c r="BN275">
        <v>0</v>
      </c>
      <c r="BO275">
        <v>0</v>
      </c>
      <c r="BP275">
        <v>6954</v>
      </c>
      <c r="BQ275">
        <v>6954</v>
      </c>
      <c r="BR275">
        <f t="shared" si="48"/>
        <v>0</v>
      </c>
      <c r="BS275">
        <f t="shared" si="49"/>
        <v>1484</v>
      </c>
    </row>
    <row r="276" spans="1:74" x14ac:dyDescent="0.25">
      <c r="A276" s="5" t="s">
        <v>875</v>
      </c>
      <c r="B276" s="5" t="s">
        <v>61</v>
      </c>
      <c r="C276" s="5" t="s">
        <v>207</v>
      </c>
      <c r="D276" s="1" t="s">
        <v>189</v>
      </c>
      <c r="E276">
        <v>0</v>
      </c>
      <c r="F276">
        <v>0</v>
      </c>
      <c r="G276">
        <v>0</v>
      </c>
      <c r="H276">
        <v>0</v>
      </c>
      <c r="I276">
        <v>10</v>
      </c>
      <c r="J276">
        <v>50</v>
      </c>
      <c r="K276">
        <v>50</v>
      </c>
      <c r="L276">
        <v>10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8" t="e">
        <f t="shared" si="40"/>
        <v>#DIV/0!</v>
      </c>
      <c r="T276" s="17" t="e">
        <f t="shared" si="41"/>
        <v>#DIV/0!</v>
      </c>
      <c r="U276" s="17" t="e">
        <f t="shared" si="42"/>
        <v>#DIV/0!</v>
      </c>
      <c r="V276" s="17" t="e">
        <f t="shared" si="43"/>
        <v>#DIV/0!</v>
      </c>
      <c r="W276" s="17" t="e">
        <f t="shared" si="44"/>
        <v>#DIV/0!</v>
      </c>
      <c r="X276" s="17" t="e">
        <f t="shared" si="45"/>
        <v>#DIV/0!</v>
      </c>
      <c r="Y276" s="19" t="e">
        <f t="shared" si="46"/>
        <v>#DIV/0!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</v>
      </c>
      <c r="AH276">
        <v>10</v>
      </c>
      <c r="AI276">
        <v>0</v>
      </c>
      <c r="AJ276">
        <v>0</v>
      </c>
      <c r="AK276">
        <v>50</v>
      </c>
      <c r="AL276">
        <v>50</v>
      </c>
      <c r="AM276">
        <v>0</v>
      </c>
      <c r="AN276">
        <v>0</v>
      </c>
      <c r="AO276">
        <v>50</v>
      </c>
      <c r="AP276">
        <v>0</v>
      </c>
      <c r="AQ276">
        <v>50</v>
      </c>
      <c r="AR276">
        <v>50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10</v>
      </c>
      <c r="BA276">
        <v>10</v>
      </c>
      <c r="BB276">
        <v>0</v>
      </c>
      <c r="BC276">
        <v>0</v>
      </c>
      <c r="BD276">
        <v>0</v>
      </c>
      <c r="BE276">
        <f t="shared" si="47"/>
        <v>290</v>
      </c>
      <c r="BF276">
        <v>120</v>
      </c>
      <c r="BG276">
        <v>120</v>
      </c>
      <c r="BH276" t="s">
        <v>190</v>
      </c>
      <c r="BI276" t="s">
        <v>934</v>
      </c>
      <c r="BJ276">
        <v>0</v>
      </c>
      <c r="BK276">
        <v>120</v>
      </c>
      <c r="BL276">
        <v>120</v>
      </c>
      <c r="BM276">
        <v>0</v>
      </c>
      <c r="BN276">
        <v>0</v>
      </c>
      <c r="BO276">
        <v>0</v>
      </c>
      <c r="BP276">
        <v>120</v>
      </c>
      <c r="BQ276">
        <v>120</v>
      </c>
      <c r="BR276">
        <f t="shared" si="48"/>
        <v>0</v>
      </c>
      <c r="BS276">
        <f t="shared" si="49"/>
        <v>0</v>
      </c>
    </row>
    <row r="277" spans="1:74" x14ac:dyDescent="0.25">
      <c r="A277" s="5" t="s">
        <v>875</v>
      </c>
      <c r="B277" s="5" t="s">
        <v>61</v>
      </c>
      <c r="C277" s="5" t="s">
        <v>207</v>
      </c>
      <c r="D277" s="1" t="s">
        <v>196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80</v>
      </c>
      <c r="L277">
        <v>40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8" t="e">
        <f t="shared" si="40"/>
        <v>#DIV/0!</v>
      </c>
      <c r="T277" s="17" t="e">
        <f t="shared" si="41"/>
        <v>#DIV/0!</v>
      </c>
      <c r="U277" s="17" t="e">
        <f t="shared" si="42"/>
        <v>#DIV/0!</v>
      </c>
      <c r="V277" s="17" t="e">
        <f t="shared" si="43"/>
        <v>#DIV/0!</v>
      </c>
      <c r="W277" s="17" t="e">
        <f t="shared" si="44"/>
        <v>#DIV/0!</v>
      </c>
      <c r="X277" s="17" t="e">
        <f t="shared" si="45"/>
        <v>#DIV/0!</v>
      </c>
      <c r="Y277" s="19" t="e">
        <f t="shared" si="46"/>
        <v>#DIV/0!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80</v>
      </c>
      <c r="AN277">
        <v>0</v>
      </c>
      <c r="AO277">
        <v>0</v>
      </c>
      <c r="AP277">
        <v>20</v>
      </c>
      <c r="AQ277">
        <v>80</v>
      </c>
      <c r="AR277">
        <v>60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40</v>
      </c>
      <c r="AY277">
        <v>0</v>
      </c>
      <c r="AZ277">
        <v>0</v>
      </c>
      <c r="BA277">
        <v>40</v>
      </c>
      <c r="BB277">
        <v>0</v>
      </c>
      <c r="BC277">
        <v>0</v>
      </c>
      <c r="BD277">
        <v>0</v>
      </c>
      <c r="BE277">
        <f t="shared" si="47"/>
        <v>320</v>
      </c>
      <c r="BF277">
        <v>120</v>
      </c>
      <c r="BG277">
        <v>120</v>
      </c>
      <c r="BH277" t="s">
        <v>190</v>
      </c>
      <c r="BI277" t="s">
        <v>937</v>
      </c>
      <c r="BJ277">
        <v>0</v>
      </c>
      <c r="BK277">
        <v>120</v>
      </c>
      <c r="BL277">
        <v>120</v>
      </c>
      <c r="BM277">
        <v>120</v>
      </c>
      <c r="BN277">
        <v>0</v>
      </c>
      <c r="BO277">
        <v>0</v>
      </c>
      <c r="BP277">
        <v>0</v>
      </c>
      <c r="BQ277">
        <v>120</v>
      </c>
      <c r="BR277">
        <f t="shared" si="48"/>
        <v>0</v>
      </c>
      <c r="BS277">
        <f t="shared" si="49"/>
        <v>0</v>
      </c>
    </row>
    <row r="278" spans="1:74" x14ac:dyDescent="0.25">
      <c r="A278" s="5" t="s">
        <v>875</v>
      </c>
      <c r="B278" s="5" t="s">
        <v>61</v>
      </c>
      <c r="C278" s="5" t="s">
        <v>207</v>
      </c>
      <c r="D278" s="1" t="s">
        <v>201</v>
      </c>
      <c r="E278">
        <v>0</v>
      </c>
      <c r="F278">
        <v>0</v>
      </c>
      <c r="G278">
        <v>0</v>
      </c>
      <c r="H278">
        <v>0</v>
      </c>
      <c r="I278">
        <v>42</v>
      </c>
      <c r="J278">
        <v>320</v>
      </c>
      <c r="K278">
        <v>17</v>
      </c>
      <c r="L278">
        <v>45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8" t="e">
        <f t="shared" si="40"/>
        <v>#DIV/0!</v>
      </c>
      <c r="T278" s="17" t="e">
        <f t="shared" si="41"/>
        <v>#DIV/0!</v>
      </c>
      <c r="U278" s="17" t="e">
        <f t="shared" si="42"/>
        <v>#DIV/0!</v>
      </c>
      <c r="V278" s="17" t="e">
        <f t="shared" si="43"/>
        <v>#DIV/0!</v>
      </c>
      <c r="W278" s="17" t="e">
        <f t="shared" si="44"/>
        <v>#DIV/0!</v>
      </c>
      <c r="X278" s="17" t="e">
        <f t="shared" si="45"/>
        <v>#DIV/0!</v>
      </c>
      <c r="Y278" s="19" t="e">
        <f t="shared" si="46"/>
        <v>#DIV/0!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42</v>
      </c>
      <c r="AH278">
        <v>42</v>
      </c>
      <c r="AI278">
        <v>0</v>
      </c>
      <c r="AJ278">
        <v>0</v>
      </c>
      <c r="AK278">
        <v>320</v>
      </c>
      <c r="AL278">
        <v>320</v>
      </c>
      <c r="AM278">
        <v>0</v>
      </c>
      <c r="AN278">
        <v>0</v>
      </c>
      <c r="AO278">
        <v>17</v>
      </c>
      <c r="AP278">
        <v>5</v>
      </c>
      <c r="AQ278">
        <v>17</v>
      </c>
      <c r="AR278">
        <v>12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45</v>
      </c>
      <c r="BA278">
        <v>45</v>
      </c>
      <c r="BB278">
        <v>0</v>
      </c>
      <c r="BC278">
        <v>0</v>
      </c>
      <c r="BD278">
        <v>0</v>
      </c>
      <c r="BE278">
        <f t="shared" si="47"/>
        <v>865</v>
      </c>
      <c r="BF278">
        <v>424</v>
      </c>
      <c r="BG278">
        <v>424</v>
      </c>
      <c r="BH278" t="s">
        <v>190</v>
      </c>
      <c r="BI278" t="s">
        <v>939</v>
      </c>
      <c r="BJ278">
        <v>0</v>
      </c>
      <c r="BK278">
        <v>424</v>
      </c>
      <c r="BL278">
        <v>424</v>
      </c>
      <c r="BM278">
        <v>0</v>
      </c>
      <c r="BN278">
        <v>0</v>
      </c>
      <c r="BO278">
        <v>0</v>
      </c>
      <c r="BP278">
        <v>424</v>
      </c>
      <c r="BQ278">
        <v>424</v>
      </c>
      <c r="BR278">
        <f t="shared" si="48"/>
        <v>0</v>
      </c>
      <c r="BS278">
        <f t="shared" si="49"/>
        <v>0</v>
      </c>
    </row>
    <row r="279" spans="1:74" x14ac:dyDescent="0.25">
      <c r="A279" s="5" t="s">
        <v>875</v>
      </c>
      <c r="B279" s="5" t="s">
        <v>61</v>
      </c>
      <c r="C279" s="5" t="s">
        <v>207</v>
      </c>
      <c r="D279" s="1" t="s">
        <v>203</v>
      </c>
      <c r="E279">
        <v>0</v>
      </c>
      <c r="F279">
        <v>15</v>
      </c>
      <c r="G279">
        <v>0</v>
      </c>
      <c r="H279">
        <v>0</v>
      </c>
      <c r="I279">
        <v>0</v>
      </c>
      <c r="J279">
        <v>0</v>
      </c>
      <c r="K279">
        <v>30</v>
      </c>
      <c r="L279">
        <v>0</v>
      </c>
      <c r="M279">
        <v>45</v>
      </c>
      <c r="N279">
        <v>0</v>
      </c>
      <c r="O279">
        <v>0</v>
      </c>
      <c r="P279">
        <v>0</v>
      </c>
      <c r="Q279">
        <v>5</v>
      </c>
      <c r="R279">
        <v>5</v>
      </c>
      <c r="S279" s="18">
        <f t="shared" si="40"/>
        <v>9</v>
      </c>
      <c r="T279" s="17">
        <f t="shared" si="41"/>
        <v>5</v>
      </c>
      <c r="U279" s="17">
        <f t="shared" si="42"/>
        <v>0</v>
      </c>
      <c r="V279" s="17">
        <f t="shared" si="43"/>
        <v>0</v>
      </c>
      <c r="W279" s="17">
        <f t="shared" si="44"/>
        <v>0</v>
      </c>
      <c r="X279" s="17">
        <f t="shared" si="45"/>
        <v>0</v>
      </c>
      <c r="Y279" s="19" t="e">
        <f t="shared" si="46"/>
        <v>#DIV/0!</v>
      </c>
      <c r="Z279">
        <v>15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30</v>
      </c>
      <c r="AN279">
        <v>0</v>
      </c>
      <c r="AO279">
        <v>0</v>
      </c>
      <c r="AP279">
        <v>10</v>
      </c>
      <c r="AQ279">
        <v>30</v>
      </c>
      <c r="AR279">
        <v>20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f t="shared" si="47"/>
        <v>90</v>
      </c>
      <c r="BF279">
        <v>45</v>
      </c>
      <c r="BG279">
        <v>45</v>
      </c>
      <c r="BH279" t="s">
        <v>190</v>
      </c>
      <c r="BI279" t="s">
        <v>940</v>
      </c>
      <c r="BJ279">
        <v>0</v>
      </c>
      <c r="BK279">
        <v>30</v>
      </c>
      <c r="BL279">
        <v>45</v>
      </c>
      <c r="BM279">
        <v>75</v>
      </c>
      <c r="BN279">
        <v>0</v>
      </c>
      <c r="BO279">
        <v>0</v>
      </c>
      <c r="BP279">
        <v>0</v>
      </c>
      <c r="BQ279">
        <v>75</v>
      </c>
      <c r="BR279">
        <f t="shared" si="48"/>
        <v>0</v>
      </c>
      <c r="BS279">
        <f t="shared" si="49"/>
        <v>10</v>
      </c>
    </row>
    <row r="280" spans="1:74" x14ac:dyDescent="0.25">
      <c r="A280" s="5" t="s">
        <v>875</v>
      </c>
      <c r="B280" s="5" t="s">
        <v>61</v>
      </c>
      <c r="C280" s="5" t="s">
        <v>207</v>
      </c>
      <c r="D280" s="1" t="s">
        <v>205</v>
      </c>
      <c r="E280">
        <v>0</v>
      </c>
      <c r="F280">
        <v>25</v>
      </c>
      <c r="G280">
        <v>0</v>
      </c>
      <c r="H280">
        <v>0</v>
      </c>
      <c r="I280">
        <v>0</v>
      </c>
      <c r="J280">
        <v>550</v>
      </c>
      <c r="K280">
        <v>12</v>
      </c>
      <c r="L280">
        <v>0</v>
      </c>
      <c r="M280">
        <v>0</v>
      </c>
      <c r="N280">
        <v>0</v>
      </c>
      <c r="O280">
        <v>0</v>
      </c>
      <c r="P280">
        <v>45</v>
      </c>
      <c r="Q280">
        <v>5</v>
      </c>
      <c r="R280">
        <v>5</v>
      </c>
      <c r="S280" s="18">
        <f t="shared" si="40"/>
        <v>9</v>
      </c>
      <c r="T280" s="17">
        <f t="shared" si="41"/>
        <v>0</v>
      </c>
      <c r="U280" s="17">
        <f t="shared" si="42"/>
        <v>0</v>
      </c>
      <c r="V280" s="17">
        <f t="shared" si="43"/>
        <v>0</v>
      </c>
      <c r="W280" s="17">
        <f t="shared" si="44"/>
        <v>5</v>
      </c>
      <c r="X280" s="17">
        <f t="shared" si="45"/>
        <v>0</v>
      </c>
      <c r="Y280" s="19" t="e">
        <f t="shared" si="46"/>
        <v>#DIV/0!</v>
      </c>
      <c r="Z280">
        <v>25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550</v>
      </c>
      <c r="AL280">
        <v>550</v>
      </c>
      <c r="AM280">
        <v>0</v>
      </c>
      <c r="AN280">
        <v>0</v>
      </c>
      <c r="AO280">
        <v>12</v>
      </c>
      <c r="AP280">
        <v>6</v>
      </c>
      <c r="AQ280">
        <v>12</v>
      </c>
      <c r="AR280">
        <v>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f t="shared" si="47"/>
        <v>1136</v>
      </c>
      <c r="BF280">
        <v>587</v>
      </c>
      <c r="BG280">
        <v>587</v>
      </c>
      <c r="BH280" t="s">
        <v>190</v>
      </c>
      <c r="BI280" t="s">
        <v>941</v>
      </c>
      <c r="BJ280">
        <v>0</v>
      </c>
      <c r="BK280">
        <v>562</v>
      </c>
      <c r="BL280">
        <v>587</v>
      </c>
      <c r="BM280">
        <v>0</v>
      </c>
      <c r="BN280">
        <v>0</v>
      </c>
      <c r="BO280">
        <v>0</v>
      </c>
      <c r="BP280">
        <v>607</v>
      </c>
      <c r="BQ280">
        <v>607</v>
      </c>
      <c r="BR280">
        <f t="shared" si="48"/>
        <v>0</v>
      </c>
      <c r="BS280">
        <f t="shared" si="49"/>
        <v>10</v>
      </c>
    </row>
    <row r="281" spans="1:74" x14ac:dyDescent="0.25">
      <c r="A281" s="5" t="s">
        <v>875</v>
      </c>
      <c r="B281" s="5" t="s">
        <v>61</v>
      </c>
      <c r="C281" s="5" t="s">
        <v>207</v>
      </c>
      <c r="D281" s="1" t="s">
        <v>353</v>
      </c>
      <c r="E281">
        <v>0</v>
      </c>
      <c r="F281">
        <v>96</v>
      </c>
      <c r="G281">
        <v>0</v>
      </c>
      <c r="H281">
        <v>0</v>
      </c>
      <c r="I281">
        <v>0</v>
      </c>
      <c r="J281">
        <v>0</v>
      </c>
      <c r="K281">
        <v>50</v>
      </c>
      <c r="L281">
        <v>0</v>
      </c>
      <c r="M281">
        <v>0</v>
      </c>
      <c r="N281">
        <v>0</v>
      </c>
      <c r="O281">
        <v>0</v>
      </c>
      <c r="P281">
        <v>216</v>
      </c>
      <c r="Q281">
        <v>24</v>
      </c>
      <c r="R281">
        <v>24</v>
      </c>
      <c r="S281" s="18">
        <f t="shared" si="40"/>
        <v>9</v>
      </c>
      <c r="T281" s="17">
        <f t="shared" si="41"/>
        <v>0</v>
      </c>
      <c r="U281" s="17">
        <f t="shared" si="42"/>
        <v>0</v>
      </c>
      <c r="V281" s="17">
        <f t="shared" si="43"/>
        <v>0</v>
      </c>
      <c r="W281" s="17">
        <f t="shared" si="44"/>
        <v>24</v>
      </c>
      <c r="X281" s="17">
        <f t="shared" si="45"/>
        <v>0</v>
      </c>
      <c r="Y281" s="19" t="e">
        <f t="shared" si="46"/>
        <v>#DIV/0!</v>
      </c>
      <c r="Z281">
        <v>96</v>
      </c>
      <c r="AA281">
        <v>0</v>
      </c>
      <c r="AB281">
        <v>0</v>
      </c>
      <c r="AC281">
        <v>350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50</v>
      </c>
      <c r="AP281">
        <v>50</v>
      </c>
      <c r="AQ281">
        <v>50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f t="shared" si="47"/>
        <v>500</v>
      </c>
      <c r="BF281">
        <v>496</v>
      </c>
      <c r="BG281">
        <v>496</v>
      </c>
      <c r="BH281" t="s">
        <v>190</v>
      </c>
      <c r="BI281" t="s">
        <v>944</v>
      </c>
      <c r="BJ281">
        <v>350</v>
      </c>
      <c r="BK281">
        <v>50</v>
      </c>
      <c r="BL281">
        <v>496</v>
      </c>
      <c r="BM281">
        <v>0</v>
      </c>
      <c r="BN281">
        <v>0</v>
      </c>
      <c r="BO281">
        <v>0</v>
      </c>
      <c r="BP281">
        <v>266</v>
      </c>
      <c r="BQ281">
        <v>266</v>
      </c>
      <c r="BR281">
        <f t="shared" si="48"/>
        <v>0</v>
      </c>
      <c r="BS281">
        <f t="shared" si="49"/>
        <v>48</v>
      </c>
    </row>
    <row r="282" spans="1:74" x14ac:dyDescent="0.25">
      <c r="A282" s="6" t="s">
        <v>875</v>
      </c>
      <c r="B282" s="6" t="s">
        <v>61</v>
      </c>
      <c r="C282" s="6" t="s">
        <v>207</v>
      </c>
      <c r="D282" s="1" t="s">
        <v>357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120</v>
      </c>
      <c r="K282">
        <v>0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8" t="e">
        <f t="shared" si="40"/>
        <v>#DIV/0!</v>
      </c>
      <c r="T282" s="17" t="e">
        <f t="shared" si="41"/>
        <v>#DIV/0!</v>
      </c>
      <c r="U282" s="17" t="e">
        <f t="shared" si="42"/>
        <v>#DIV/0!</v>
      </c>
      <c r="V282" s="17" t="e">
        <f t="shared" si="43"/>
        <v>#DIV/0!</v>
      </c>
      <c r="W282" s="17" t="e">
        <f t="shared" si="44"/>
        <v>#DIV/0!</v>
      </c>
      <c r="X282" s="17" t="e">
        <f t="shared" si="45"/>
        <v>#DIV/0!</v>
      </c>
      <c r="Y282" s="19" t="e">
        <f t="shared" si="46"/>
        <v>#DIV/0!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120</v>
      </c>
      <c r="AL282">
        <v>120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300</v>
      </c>
      <c r="BA282">
        <v>300</v>
      </c>
      <c r="BB282">
        <v>0</v>
      </c>
      <c r="BC282">
        <v>0</v>
      </c>
      <c r="BD282">
        <v>0</v>
      </c>
      <c r="BE282">
        <f t="shared" si="47"/>
        <v>840</v>
      </c>
      <c r="BF282">
        <v>420</v>
      </c>
      <c r="BG282">
        <v>420</v>
      </c>
      <c r="BH282" t="s">
        <v>199</v>
      </c>
      <c r="BI282" t="s">
        <v>946</v>
      </c>
      <c r="BJ282">
        <v>0</v>
      </c>
      <c r="BK282">
        <v>420</v>
      </c>
      <c r="BL282">
        <v>420</v>
      </c>
      <c r="BM282">
        <v>0</v>
      </c>
      <c r="BN282">
        <v>0</v>
      </c>
      <c r="BO282">
        <v>0</v>
      </c>
      <c r="BP282">
        <v>420</v>
      </c>
      <c r="BQ282">
        <v>420</v>
      </c>
      <c r="BR282">
        <f t="shared" si="48"/>
        <v>0</v>
      </c>
      <c r="BS282">
        <f t="shared" si="49"/>
        <v>0</v>
      </c>
    </row>
    <row r="283" spans="1:74" x14ac:dyDescent="0.25">
      <c r="A283" s="7" t="s">
        <v>1451</v>
      </c>
      <c r="B283" s="7" t="s">
        <v>207</v>
      </c>
      <c r="C283" s="7" t="s">
        <v>61</v>
      </c>
      <c r="D283" s="1" t="s">
        <v>67</v>
      </c>
      <c r="E283">
        <v>0</v>
      </c>
      <c r="F283">
        <v>8424</v>
      </c>
      <c r="G283">
        <v>0</v>
      </c>
      <c r="H283">
        <v>0</v>
      </c>
      <c r="I283">
        <v>1784</v>
      </c>
      <c r="J283">
        <v>0</v>
      </c>
      <c r="K283">
        <v>558</v>
      </c>
      <c r="L283">
        <v>0</v>
      </c>
      <c r="M283">
        <v>0</v>
      </c>
      <c r="N283">
        <v>6300</v>
      </c>
      <c r="O283">
        <v>0</v>
      </c>
      <c r="P283">
        <v>2610</v>
      </c>
      <c r="Q283">
        <v>990</v>
      </c>
      <c r="R283">
        <v>990</v>
      </c>
      <c r="S283" s="18">
        <f t="shared" si="40"/>
        <v>9</v>
      </c>
      <c r="T283" s="17">
        <f t="shared" si="41"/>
        <v>0</v>
      </c>
      <c r="U283" s="17">
        <f t="shared" si="42"/>
        <v>700</v>
      </c>
      <c r="V283" s="17">
        <f t="shared" si="43"/>
        <v>0</v>
      </c>
      <c r="W283" s="17">
        <f t="shared" si="44"/>
        <v>290</v>
      </c>
      <c r="X283" s="17">
        <f t="shared" si="45"/>
        <v>0</v>
      </c>
      <c r="Y283" s="19" t="e">
        <f t="shared" si="46"/>
        <v>#DIV/0!</v>
      </c>
      <c r="Z283">
        <v>8424</v>
      </c>
      <c r="AA283">
        <v>0</v>
      </c>
      <c r="AB283">
        <v>0</v>
      </c>
      <c r="AC283">
        <v>0</v>
      </c>
      <c r="AD283">
        <v>0</v>
      </c>
      <c r="AE283">
        <v>1784</v>
      </c>
      <c r="AF283">
        <v>0</v>
      </c>
      <c r="AG283">
        <v>0</v>
      </c>
      <c r="AH283">
        <v>1784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319</v>
      </c>
      <c r="AO283">
        <v>239</v>
      </c>
      <c r="AP283">
        <v>177</v>
      </c>
      <c r="AQ283">
        <v>558</v>
      </c>
      <c r="AR283">
        <v>381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f t="shared" si="47"/>
        <v>5242</v>
      </c>
      <c r="BF283">
        <v>11946</v>
      </c>
      <c r="BG283">
        <v>11946</v>
      </c>
      <c r="BH283" t="s">
        <v>63</v>
      </c>
      <c r="BI283" t="s">
        <v>1536</v>
      </c>
      <c r="BJ283">
        <v>0</v>
      </c>
      <c r="BK283">
        <v>2342</v>
      </c>
      <c r="BL283">
        <v>10766</v>
      </c>
      <c r="BM283">
        <v>0</v>
      </c>
      <c r="BN283">
        <v>8403</v>
      </c>
      <c r="BO283">
        <v>0</v>
      </c>
      <c r="BP283">
        <v>2849</v>
      </c>
      <c r="BQ283">
        <v>11252</v>
      </c>
      <c r="BR283">
        <f t="shared" si="48"/>
        <v>0</v>
      </c>
      <c r="BS283">
        <f t="shared" si="49"/>
        <v>1980</v>
      </c>
      <c r="BU283">
        <f>R283*9</f>
        <v>8910</v>
      </c>
      <c r="BV283">
        <f>IF(BU283&gt;BG283, 1, 0)</f>
        <v>0</v>
      </c>
    </row>
    <row r="284" spans="1:74" x14ac:dyDescent="0.25">
      <c r="A284" s="5" t="s">
        <v>359</v>
      </c>
      <c r="B284" s="5" t="s">
        <v>207</v>
      </c>
      <c r="C284" s="5" t="s">
        <v>61</v>
      </c>
      <c r="D284" s="1" t="s">
        <v>62</v>
      </c>
      <c r="E284">
        <v>0</v>
      </c>
      <c r="F284">
        <v>7600</v>
      </c>
      <c r="G284">
        <v>0</v>
      </c>
      <c r="H284">
        <v>0</v>
      </c>
      <c r="I284">
        <v>16696</v>
      </c>
      <c r="J284">
        <v>23170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8550</v>
      </c>
      <c r="Q284">
        <v>950</v>
      </c>
      <c r="R284">
        <v>950</v>
      </c>
      <c r="S284" s="18">
        <f t="shared" si="40"/>
        <v>9</v>
      </c>
      <c r="T284" s="17">
        <f t="shared" si="41"/>
        <v>0</v>
      </c>
      <c r="U284" s="17">
        <f t="shared" si="42"/>
        <v>0</v>
      </c>
      <c r="V284" s="17">
        <f t="shared" si="43"/>
        <v>0</v>
      </c>
      <c r="W284" s="17">
        <f t="shared" si="44"/>
        <v>950</v>
      </c>
      <c r="X284" s="17">
        <f t="shared" si="45"/>
        <v>0</v>
      </c>
      <c r="Y284" s="19" t="e">
        <f t="shared" si="46"/>
        <v>#DIV/0!</v>
      </c>
      <c r="Z284">
        <v>7600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16696</v>
      </c>
      <c r="AH284">
        <v>16696</v>
      </c>
      <c r="AI284">
        <v>0</v>
      </c>
      <c r="AJ284">
        <v>0</v>
      </c>
      <c r="AK284">
        <v>23170</v>
      </c>
      <c r="AL284">
        <v>23170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f t="shared" si="47"/>
        <v>79732</v>
      </c>
      <c r="BF284">
        <v>47466</v>
      </c>
      <c r="BG284">
        <v>47466</v>
      </c>
      <c r="BH284" t="s">
        <v>543</v>
      </c>
      <c r="BI284" t="s">
        <v>731</v>
      </c>
      <c r="BJ284">
        <v>0</v>
      </c>
      <c r="BK284">
        <v>39866</v>
      </c>
      <c r="BL284">
        <v>47466</v>
      </c>
      <c r="BM284">
        <v>0</v>
      </c>
      <c r="BN284">
        <v>0</v>
      </c>
      <c r="BO284">
        <v>0</v>
      </c>
      <c r="BP284">
        <v>48416</v>
      </c>
      <c r="BQ284">
        <v>48416</v>
      </c>
      <c r="BR284">
        <f t="shared" si="48"/>
        <v>0</v>
      </c>
      <c r="BS284">
        <f t="shared" si="49"/>
        <v>1900</v>
      </c>
      <c r="BU284">
        <f>R284*9</f>
        <v>8550</v>
      </c>
      <c r="BV284">
        <f>IF(BU284&gt;BG284, 1, 0)</f>
        <v>0</v>
      </c>
    </row>
    <row r="285" spans="1:74" x14ac:dyDescent="0.25">
      <c r="A285" s="5" t="s">
        <v>359</v>
      </c>
      <c r="B285" s="5" t="s">
        <v>627</v>
      </c>
      <c r="C285" s="5" t="s">
        <v>61</v>
      </c>
      <c r="D285" s="1" t="s">
        <v>71</v>
      </c>
      <c r="E285">
        <v>0</v>
      </c>
      <c r="F285">
        <v>4725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8505</v>
      </c>
      <c r="Q285">
        <v>945</v>
      </c>
      <c r="R285">
        <v>945</v>
      </c>
      <c r="S285" s="18">
        <f t="shared" si="40"/>
        <v>9</v>
      </c>
      <c r="T285" s="17">
        <f t="shared" si="41"/>
        <v>0</v>
      </c>
      <c r="U285" s="17">
        <f t="shared" si="42"/>
        <v>0</v>
      </c>
      <c r="V285" s="17">
        <f t="shared" si="43"/>
        <v>0</v>
      </c>
      <c r="W285" s="17">
        <f t="shared" si="44"/>
        <v>945</v>
      </c>
      <c r="X285" s="17">
        <f t="shared" si="45"/>
        <v>0</v>
      </c>
      <c r="Y285" s="19" t="e">
        <f t="shared" si="46"/>
        <v>#DIV/0!</v>
      </c>
      <c r="Z285">
        <v>4725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f t="shared" si="47"/>
        <v>0</v>
      </c>
      <c r="BF285">
        <v>4725</v>
      </c>
      <c r="BG285">
        <v>4725</v>
      </c>
      <c r="BH285" t="s">
        <v>63</v>
      </c>
      <c r="BI285" t="s">
        <v>796</v>
      </c>
      <c r="BJ285">
        <v>0</v>
      </c>
      <c r="BK285">
        <v>0</v>
      </c>
      <c r="BL285">
        <v>4725</v>
      </c>
      <c r="BM285">
        <v>0</v>
      </c>
      <c r="BN285">
        <v>0</v>
      </c>
      <c r="BO285">
        <v>0</v>
      </c>
      <c r="BP285">
        <v>8505</v>
      </c>
      <c r="BQ285">
        <v>8505</v>
      </c>
      <c r="BR285">
        <f t="shared" si="48"/>
        <v>0</v>
      </c>
      <c r="BS285">
        <f t="shared" si="49"/>
        <v>1890</v>
      </c>
      <c r="BU285">
        <f>R285*9</f>
        <v>8505</v>
      </c>
      <c r="BV285">
        <f>IF(BU285&gt;BG285, 1, 0)</f>
        <v>1</v>
      </c>
    </row>
    <row r="286" spans="1:74" x14ac:dyDescent="0.25">
      <c r="A286" s="5" t="s">
        <v>207</v>
      </c>
      <c r="B286" s="5" t="s">
        <v>627</v>
      </c>
      <c r="C286" s="5" t="s">
        <v>61</v>
      </c>
      <c r="D286" s="1" t="s">
        <v>62</v>
      </c>
      <c r="E286">
        <v>0</v>
      </c>
      <c r="F286">
        <v>8019</v>
      </c>
      <c r="G286">
        <v>0</v>
      </c>
      <c r="H286">
        <v>0</v>
      </c>
      <c r="I286">
        <v>3584</v>
      </c>
      <c r="J286">
        <v>10745</v>
      </c>
      <c r="K286">
        <v>505</v>
      </c>
      <c r="L286">
        <v>350</v>
      </c>
      <c r="M286">
        <v>0</v>
      </c>
      <c r="N286">
        <v>0</v>
      </c>
      <c r="O286">
        <v>0</v>
      </c>
      <c r="P286">
        <v>8019</v>
      </c>
      <c r="Q286">
        <v>1321</v>
      </c>
      <c r="R286">
        <v>891</v>
      </c>
      <c r="S286" s="18">
        <f t="shared" si="40"/>
        <v>9</v>
      </c>
      <c r="T286" s="17">
        <f t="shared" si="41"/>
        <v>0</v>
      </c>
      <c r="U286" s="17">
        <f t="shared" si="42"/>
        <v>0</v>
      </c>
      <c r="V286" s="17">
        <f t="shared" si="43"/>
        <v>0</v>
      </c>
      <c r="W286" s="17">
        <f t="shared" si="44"/>
        <v>891</v>
      </c>
      <c r="X286" s="17">
        <f t="shared" si="45"/>
        <v>430</v>
      </c>
      <c r="Y286" s="19">
        <f t="shared" si="46"/>
        <v>0</v>
      </c>
      <c r="Z286">
        <v>8019</v>
      </c>
      <c r="AA286">
        <v>0</v>
      </c>
      <c r="AB286">
        <v>0</v>
      </c>
      <c r="AC286">
        <v>20</v>
      </c>
      <c r="AD286">
        <v>0</v>
      </c>
      <c r="AE286">
        <v>0</v>
      </c>
      <c r="AF286">
        <v>0</v>
      </c>
      <c r="AG286">
        <v>3584</v>
      </c>
      <c r="AH286">
        <v>3584</v>
      </c>
      <c r="AI286">
        <v>0</v>
      </c>
      <c r="AJ286">
        <v>0</v>
      </c>
      <c r="AK286">
        <v>10745</v>
      </c>
      <c r="AL286">
        <v>10745</v>
      </c>
      <c r="AM286">
        <v>0</v>
      </c>
      <c r="AN286">
        <v>0</v>
      </c>
      <c r="AO286">
        <v>505</v>
      </c>
      <c r="AP286">
        <v>61</v>
      </c>
      <c r="AQ286">
        <v>505</v>
      </c>
      <c r="AR286">
        <v>444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350</v>
      </c>
      <c r="BA286">
        <v>350</v>
      </c>
      <c r="BB286">
        <v>0</v>
      </c>
      <c r="BC286">
        <v>0</v>
      </c>
      <c r="BD286">
        <v>0</v>
      </c>
      <c r="BE286">
        <f t="shared" si="47"/>
        <v>30893</v>
      </c>
      <c r="BF286">
        <v>23223</v>
      </c>
      <c r="BG286">
        <v>23223</v>
      </c>
      <c r="BH286" t="s">
        <v>63</v>
      </c>
      <c r="BI286" t="s">
        <v>628</v>
      </c>
      <c r="BJ286">
        <v>20</v>
      </c>
      <c r="BK286">
        <v>15184</v>
      </c>
      <c r="BL286">
        <v>23223</v>
      </c>
      <c r="BM286">
        <v>0</v>
      </c>
      <c r="BN286">
        <v>0</v>
      </c>
      <c r="BO286">
        <v>0</v>
      </c>
      <c r="BP286">
        <v>23203</v>
      </c>
      <c r="BQ286">
        <v>23203</v>
      </c>
      <c r="BR286">
        <f t="shared" si="48"/>
        <v>-430</v>
      </c>
      <c r="BS286">
        <f t="shared" si="49"/>
        <v>2212</v>
      </c>
      <c r="BU286">
        <f>R286*9</f>
        <v>8019</v>
      </c>
      <c r="BV286">
        <f>IF(BU286&gt;BG286, 1, 0)</f>
        <v>0</v>
      </c>
    </row>
    <row r="287" spans="1:74" x14ac:dyDescent="0.25">
      <c r="A287" s="5" t="s">
        <v>2090</v>
      </c>
      <c r="B287" s="5" t="s">
        <v>207</v>
      </c>
      <c r="C287" s="5" t="s">
        <v>61</v>
      </c>
      <c r="D287" s="1" t="s">
        <v>65</v>
      </c>
      <c r="E287">
        <v>0</v>
      </c>
      <c r="F287">
        <v>9751</v>
      </c>
      <c r="G287">
        <v>0</v>
      </c>
      <c r="H287">
        <v>0</v>
      </c>
      <c r="I287">
        <v>3700</v>
      </c>
      <c r="J287">
        <v>0</v>
      </c>
      <c r="K287">
        <v>0</v>
      </c>
      <c r="L287">
        <v>78</v>
      </c>
      <c r="M287">
        <v>5211</v>
      </c>
      <c r="N287">
        <v>0</v>
      </c>
      <c r="O287">
        <v>0</v>
      </c>
      <c r="P287">
        <v>2556</v>
      </c>
      <c r="Q287">
        <v>863</v>
      </c>
      <c r="R287">
        <v>863</v>
      </c>
      <c r="S287" s="18">
        <f t="shared" si="40"/>
        <v>9</v>
      </c>
      <c r="T287" s="17">
        <f t="shared" si="41"/>
        <v>579</v>
      </c>
      <c r="U287" s="17">
        <f t="shared" si="42"/>
        <v>0</v>
      </c>
      <c r="V287" s="17">
        <f t="shared" si="43"/>
        <v>0</v>
      </c>
      <c r="W287" s="17">
        <f t="shared" si="44"/>
        <v>284</v>
      </c>
      <c r="X287" s="17">
        <f t="shared" si="45"/>
        <v>0</v>
      </c>
      <c r="Y287" s="19" t="e">
        <f t="shared" si="46"/>
        <v>#DIV/0!</v>
      </c>
      <c r="Z287">
        <v>9751</v>
      </c>
      <c r="AA287">
        <v>0</v>
      </c>
      <c r="AB287">
        <v>0</v>
      </c>
      <c r="AC287">
        <v>0</v>
      </c>
      <c r="AD287">
        <v>2258</v>
      </c>
      <c r="AE287">
        <v>0</v>
      </c>
      <c r="AF287">
        <v>0</v>
      </c>
      <c r="AG287">
        <v>1442</v>
      </c>
      <c r="AH287">
        <v>3700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78</v>
      </c>
      <c r="BA287">
        <v>78</v>
      </c>
      <c r="BB287">
        <v>0</v>
      </c>
      <c r="BC287">
        <v>0</v>
      </c>
      <c r="BD287">
        <v>0</v>
      </c>
      <c r="BE287">
        <f t="shared" si="47"/>
        <v>7556</v>
      </c>
      <c r="BF287">
        <v>13529</v>
      </c>
      <c r="BG287">
        <v>13529</v>
      </c>
      <c r="BH287" t="s">
        <v>63</v>
      </c>
      <c r="BI287" t="s">
        <v>2212</v>
      </c>
      <c r="BJ287">
        <v>0</v>
      </c>
      <c r="BK287">
        <v>3778</v>
      </c>
      <c r="BL287">
        <v>13529</v>
      </c>
      <c r="BM287">
        <v>7469</v>
      </c>
      <c r="BN287">
        <v>0</v>
      </c>
      <c r="BO287">
        <v>0</v>
      </c>
      <c r="BP287">
        <v>4076</v>
      </c>
      <c r="BQ287">
        <v>11545</v>
      </c>
      <c r="BR287">
        <f t="shared" si="48"/>
        <v>0</v>
      </c>
      <c r="BS287">
        <f t="shared" si="49"/>
        <v>1726</v>
      </c>
      <c r="BU287">
        <f>R287*9</f>
        <v>7767</v>
      </c>
      <c r="BV287">
        <f>IF(BU287&gt;BG287, 1, 0)</f>
        <v>0</v>
      </c>
    </row>
    <row r="288" spans="1:74" x14ac:dyDescent="0.25">
      <c r="A288" s="5" t="s">
        <v>875</v>
      </c>
      <c r="B288" s="5" t="s">
        <v>207</v>
      </c>
      <c r="C288" s="5" t="s">
        <v>61</v>
      </c>
      <c r="D288" s="1" t="s">
        <v>79</v>
      </c>
      <c r="E288">
        <v>0</v>
      </c>
      <c r="F288">
        <v>1240</v>
      </c>
      <c r="G288">
        <v>0</v>
      </c>
      <c r="H288">
        <v>0</v>
      </c>
      <c r="I288">
        <v>50</v>
      </c>
      <c r="J288">
        <v>0</v>
      </c>
      <c r="K288">
        <v>0</v>
      </c>
      <c r="L288">
        <v>0</v>
      </c>
      <c r="M288">
        <v>4545</v>
      </c>
      <c r="N288">
        <v>0</v>
      </c>
      <c r="O288">
        <v>0</v>
      </c>
      <c r="P288">
        <v>2700</v>
      </c>
      <c r="Q288">
        <v>805</v>
      </c>
      <c r="R288">
        <v>805</v>
      </c>
      <c r="S288" s="18">
        <f t="shared" si="40"/>
        <v>9</v>
      </c>
      <c r="T288" s="17">
        <f t="shared" si="41"/>
        <v>505</v>
      </c>
      <c r="U288" s="17">
        <f t="shared" si="42"/>
        <v>0</v>
      </c>
      <c r="V288" s="17">
        <f t="shared" si="43"/>
        <v>0</v>
      </c>
      <c r="W288" s="17">
        <f t="shared" si="44"/>
        <v>300</v>
      </c>
      <c r="X288" s="17">
        <f t="shared" si="45"/>
        <v>0</v>
      </c>
      <c r="Y288" s="19" t="e">
        <f t="shared" si="46"/>
        <v>#DIV/0!</v>
      </c>
      <c r="Z288">
        <v>1240</v>
      </c>
      <c r="AA288">
        <v>0</v>
      </c>
      <c r="AB288">
        <v>0</v>
      </c>
      <c r="AC288">
        <v>0</v>
      </c>
      <c r="AD288">
        <v>50</v>
      </c>
      <c r="AE288">
        <v>0</v>
      </c>
      <c r="AF288">
        <v>0</v>
      </c>
      <c r="AG288">
        <v>0</v>
      </c>
      <c r="AH288">
        <v>50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f t="shared" si="47"/>
        <v>100</v>
      </c>
      <c r="BF288">
        <v>1290</v>
      </c>
      <c r="BG288">
        <v>1290</v>
      </c>
      <c r="BH288" t="s">
        <v>560</v>
      </c>
      <c r="BI288" t="s">
        <v>900</v>
      </c>
      <c r="BJ288">
        <v>0</v>
      </c>
      <c r="BK288">
        <v>50</v>
      </c>
      <c r="BL288">
        <v>1290</v>
      </c>
      <c r="BM288">
        <v>4595</v>
      </c>
      <c r="BN288">
        <v>0</v>
      </c>
      <c r="BO288">
        <v>0</v>
      </c>
      <c r="BP288">
        <v>2700</v>
      </c>
      <c r="BQ288">
        <v>7295</v>
      </c>
      <c r="BR288">
        <f t="shared" si="48"/>
        <v>0</v>
      </c>
      <c r="BS288">
        <f t="shared" si="49"/>
        <v>1610</v>
      </c>
    </row>
    <row r="289" spans="1:71" x14ac:dyDescent="0.25">
      <c r="A289" s="5" t="s">
        <v>875</v>
      </c>
      <c r="B289" s="5" t="s">
        <v>207</v>
      </c>
      <c r="C289" s="5" t="s">
        <v>61</v>
      </c>
      <c r="D289" s="1" t="s">
        <v>81</v>
      </c>
      <c r="E289">
        <v>0</v>
      </c>
      <c r="F289">
        <v>200</v>
      </c>
      <c r="G289">
        <v>0</v>
      </c>
      <c r="H289">
        <v>0</v>
      </c>
      <c r="I289">
        <v>600</v>
      </c>
      <c r="J289">
        <v>0</v>
      </c>
      <c r="K289">
        <v>0</v>
      </c>
      <c r="L289">
        <v>0</v>
      </c>
      <c r="M289">
        <v>1710</v>
      </c>
      <c r="N289">
        <v>0</v>
      </c>
      <c r="O289">
        <v>0</v>
      </c>
      <c r="P289">
        <v>0</v>
      </c>
      <c r="Q289">
        <v>190</v>
      </c>
      <c r="R289">
        <v>190</v>
      </c>
      <c r="S289" s="18">
        <f t="shared" si="40"/>
        <v>9</v>
      </c>
      <c r="T289" s="17">
        <f t="shared" si="41"/>
        <v>190</v>
      </c>
      <c r="U289" s="17">
        <f t="shared" si="42"/>
        <v>0</v>
      </c>
      <c r="V289" s="17">
        <f t="shared" si="43"/>
        <v>0</v>
      </c>
      <c r="W289" s="17">
        <f t="shared" si="44"/>
        <v>0</v>
      </c>
      <c r="X289" s="17">
        <f t="shared" si="45"/>
        <v>0</v>
      </c>
      <c r="Y289" s="19" t="e">
        <f t="shared" si="46"/>
        <v>#DIV/0!</v>
      </c>
      <c r="Z289">
        <v>200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600</v>
      </c>
      <c r="AH289">
        <v>600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f t="shared" si="47"/>
        <v>1200</v>
      </c>
      <c r="BF289">
        <v>800</v>
      </c>
      <c r="BG289">
        <v>800</v>
      </c>
      <c r="BH289" t="s">
        <v>109</v>
      </c>
      <c r="BI289" t="s">
        <v>974</v>
      </c>
      <c r="BJ289">
        <v>0</v>
      </c>
      <c r="BK289">
        <v>600</v>
      </c>
      <c r="BL289">
        <v>800</v>
      </c>
      <c r="BM289">
        <v>1710</v>
      </c>
      <c r="BN289">
        <v>0</v>
      </c>
      <c r="BO289">
        <v>0</v>
      </c>
      <c r="BP289">
        <v>600</v>
      </c>
      <c r="BQ289">
        <v>2310</v>
      </c>
      <c r="BR289">
        <f t="shared" si="48"/>
        <v>0</v>
      </c>
      <c r="BS289">
        <f t="shared" si="49"/>
        <v>380</v>
      </c>
    </row>
    <row r="290" spans="1:71" x14ac:dyDescent="0.25">
      <c r="A290" s="5" t="s">
        <v>875</v>
      </c>
      <c r="B290" s="5" t="s">
        <v>207</v>
      </c>
      <c r="C290" s="5" t="s">
        <v>61</v>
      </c>
      <c r="D290" s="1" t="s">
        <v>84</v>
      </c>
      <c r="E290">
        <v>0</v>
      </c>
      <c r="F290">
        <v>185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1035</v>
      </c>
      <c r="N290">
        <v>0</v>
      </c>
      <c r="O290">
        <v>0</v>
      </c>
      <c r="P290">
        <v>0</v>
      </c>
      <c r="Q290">
        <v>115</v>
      </c>
      <c r="R290">
        <v>115</v>
      </c>
      <c r="S290" s="18">
        <f t="shared" si="40"/>
        <v>9</v>
      </c>
      <c r="T290" s="17">
        <f t="shared" si="41"/>
        <v>115</v>
      </c>
      <c r="U290" s="17">
        <f t="shared" si="42"/>
        <v>0</v>
      </c>
      <c r="V290" s="17">
        <f t="shared" si="43"/>
        <v>0</v>
      </c>
      <c r="W290" s="17">
        <f t="shared" si="44"/>
        <v>0</v>
      </c>
      <c r="X290" s="17">
        <f t="shared" si="45"/>
        <v>0</v>
      </c>
      <c r="Y290" s="19" t="e">
        <f t="shared" si="46"/>
        <v>#DIV/0!</v>
      </c>
      <c r="Z290">
        <v>185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f t="shared" si="47"/>
        <v>0</v>
      </c>
      <c r="BF290">
        <v>185</v>
      </c>
      <c r="BG290">
        <v>185</v>
      </c>
      <c r="BH290" t="s">
        <v>109</v>
      </c>
      <c r="BI290" t="s">
        <v>975</v>
      </c>
      <c r="BJ290">
        <v>0</v>
      </c>
      <c r="BK290">
        <v>0</v>
      </c>
      <c r="BL290">
        <v>185</v>
      </c>
      <c r="BM290">
        <v>1035</v>
      </c>
      <c r="BN290">
        <v>0</v>
      </c>
      <c r="BO290">
        <v>0</v>
      </c>
      <c r="BP290">
        <v>0</v>
      </c>
      <c r="BQ290">
        <v>1035</v>
      </c>
      <c r="BR290">
        <f t="shared" si="48"/>
        <v>0</v>
      </c>
      <c r="BS290">
        <f t="shared" si="49"/>
        <v>230</v>
      </c>
    </row>
    <row r="291" spans="1:71" x14ac:dyDescent="0.25">
      <c r="A291" s="5" t="s">
        <v>875</v>
      </c>
      <c r="B291" s="5" t="s">
        <v>207</v>
      </c>
      <c r="C291" s="5" t="s">
        <v>61</v>
      </c>
      <c r="D291" s="1" t="s">
        <v>86</v>
      </c>
      <c r="E291">
        <v>0</v>
      </c>
      <c r="F291">
        <v>270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1998</v>
      </c>
      <c r="N291">
        <v>0</v>
      </c>
      <c r="O291">
        <v>0</v>
      </c>
      <c r="P291">
        <v>0</v>
      </c>
      <c r="Q291">
        <v>222</v>
      </c>
      <c r="R291">
        <v>222</v>
      </c>
      <c r="S291" s="18">
        <f t="shared" si="40"/>
        <v>9</v>
      </c>
      <c r="T291" s="17">
        <f t="shared" si="41"/>
        <v>222</v>
      </c>
      <c r="U291" s="17">
        <f t="shared" si="42"/>
        <v>0</v>
      </c>
      <c r="V291" s="17">
        <f t="shared" si="43"/>
        <v>0</v>
      </c>
      <c r="W291" s="17">
        <f t="shared" si="44"/>
        <v>0</v>
      </c>
      <c r="X291" s="17">
        <f t="shared" si="45"/>
        <v>0</v>
      </c>
      <c r="Y291" s="19" t="e">
        <f t="shared" si="46"/>
        <v>#DIV/0!</v>
      </c>
      <c r="Z291">
        <v>270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f t="shared" si="47"/>
        <v>0</v>
      </c>
      <c r="BF291">
        <v>270</v>
      </c>
      <c r="BG291">
        <v>270</v>
      </c>
      <c r="BH291" t="s">
        <v>560</v>
      </c>
      <c r="BI291" t="s">
        <v>976</v>
      </c>
      <c r="BJ291">
        <v>0</v>
      </c>
      <c r="BK291">
        <v>0</v>
      </c>
      <c r="BL291">
        <v>270</v>
      </c>
      <c r="BM291">
        <v>1998</v>
      </c>
      <c r="BN291">
        <v>0</v>
      </c>
      <c r="BO291">
        <v>0</v>
      </c>
      <c r="BP291">
        <v>0</v>
      </c>
      <c r="BQ291">
        <v>1998</v>
      </c>
      <c r="BR291">
        <f t="shared" si="48"/>
        <v>0</v>
      </c>
      <c r="BS291">
        <f t="shared" si="49"/>
        <v>444</v>
      </c>
    </row>
    <row r="292" spans="1:71" x14ac:dyDescent="0.25">
      <c r="A292" s="5" t="s">
        <v>875</v>
      </c>
      <c r="B292" s="5" t="s">
        <v>207</v>
      </c>
      <c r="C292" s="5" t="s">
        <v>61</v>
      </c>
      <c r="D292" s="1" t="s">
        <v>88</v>
      </c>
      <c r="E292">
        <v>0</v>
      </c>
      <c r="F292">
        <v>95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657</v>
      </c>
      <c r="N292">
        <v>0</v>
      </c>
      <c r="O292">
        <v>0</v>
      </c>
      <c r="P292">
        <v>0</v>
      </c>
      <c r="Q292">
        <v>73</v>
      </c>
      <c r="R292">
        <v>73</v>
      </c>
      <c r="S292" s="18">
        <f t="shared" si="40"/>
        <v>9</v>
      </c>
      <c r="T292" s="17">
        <f t="shared" si="41"/>
        <v>73</v>
      </c>
      <c r="U292" s="17">
        <f t="shared" si="42"/>
        <v>0</v>
      </c>
      <c r="V292" s="17">
        <f t="shared" si="43"/>
        <v>0</v>
      </c>
      <c r="W292" s="17">
        <f t="shared" si="44"/>
        <v>0</v>
      </c>
      <c r="X292" s="17">
        <f t="shared" si="45"/>
        <v>0</v>
      </c>
      <c r="Y292" s="19" t="e">
        <f t="shared" si="46"/>
        <v>#DIV/0!</v>
      </c>
      <c r="Z292">
        <v>95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f t="shared" si="47"/>
        <v>0</v>
      </c>
      <c r="BF292">
        <v>95</v>
      </c>
      <c r="BG292">
        <v>95</v>
      </c>
      <c r="BH292" t="s">
        <v>109</v>
      </c>
      <c r="BI292" t="s">
        <v>977</v>
      </c>
      <c r="BJ292">
        <v>0</v>
      </c>
      <c r="BK292">
        <v>0</v>
      </c>
      <c r="BL292">
        <v>95</v>
      </c>
      <c r="BM292">
        <v>657</v>
      </c>
      <c r="BN292">
        <v>0</v>
      </c>
      <c r="BO292">
        <v>0</v>
      </c>
      <c r="BP292">
        <v>0</v>
      </c>
      <c r="BQ292">
        <v>657</v>
      </c>
      <c r="BR292">
        <f t="shared" si="48"/>
        <v>0</v>
      </c>
      <c r="BS292">
        <f t="shared" si="49"/>
        <v>146</v>
      </c>
    </row>
    <row r="293" spans="1:71" x14ac:dyDescent="0.25">
      <c r="A293" s="5" t="s">
        <v>875</v>
      </c>
      <c r="B293" s="5" t="s">
        <v>207</v>
      </c>
      <c r="C293" s="5" t="s">
        <v>61</v>
      </c>
      <c r="D293" s="1" t="s">
        <v>90</v>
      </c>
      <c r="E293">
        <v>0</v>
      </c>
      <c r="F293">
        <v>170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1017</v>
      </c>
      <c r="N293">
        <v>0</v>
      </c>
      <c r="O293">
        <v>0</v>
      </c>
      <c r="P293">
        <v>0</v>
      </c>
      <c r="Q293">
        <v>113</v>
      </c>
      <c r="R293">
        <v>113</v>
      </c>
      <c r="S293" s="18">
        <f t="shared" si="40"/>
        <v>9</v>
      </c>
      <c r="T293" s="17">
        <f t="shared" si="41"/>
        <v>113</v>
      </c>
      <c r="U293" s="17">
        <f t="shared" si="42"/>
        <v>0</v>
      </c>
      <c r="V293" s="17">
        <f t="shared" si="43"/>
        <v>0</v>
      </c>
      <c r="W293" s="17">
        <f t="shared" si="44"/>
        <v>0</v>
      </c>
      <c r="X293" s="17">
        <f t="shared" si="45"/>
        <v>0</v>
      </c>
      <c r="Y293" s="19" t="e">
        <f t="shared" si="46"/>
        <v>#DIV/0!</v>
      </c>
      <c r="Z293">
        <v>170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f t="shared" si="47"/>
        <v>0</v>
      </c>
      <c r="BF293">
        <v>170</v>
      </c>
      <c r="BG293">
        <v>170</v>
      </c>
      <c r="BH293" t="s">
        <v>109</v>
      </c>
      <c r="BI293" t="s">
        <v>978</v>
      </c>
      <c r="BJ293">
        <v>0</v>
      </c>
      <c r="BK293">
        <v>0</v>
      </c>
      <c r="BL293">
        <v>170</v>
      </c>
      <c r="BM293">
        <v>1017</v>
      </c>
      <c r="BN293">
        <v>0</v>
      </c>
      <c r="BO293">
        <v>0</v>
      </c>
      <c r="BP293">
        <v>0</v>
      </c>
      <c r="BQ293">
        <v>1017</v>
      </c>
      <c r="BR293">
        <f t="shared" si="48"/>
        <v>0</v>
      </c>
      <c r="BS293">
        <f t="shared" si="49"/>
        <v>226</v>
      </c>
    </row>
    <row r="294" spans="1:71" x14ac:dyDescent="0.25">
      <c r="A294" s="5" t="s">
        <v>875</v>
      </c>
      <c r="B294" s="5" t="s">
        <v>207</v>
      </c>
      <c r="C294" s="5" t="s">
        <v>61</v>
      </c>
      <c r="D294" s="1" t="s">
        <v>92</v>
      </c>
      <c r="E294">
        <v>0</v>
      </c>
      <c r="F294">
        <v>85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657</v>
      </c>
      <c r="N294">
        <v>0</v>
      </c>
      <c r="O294">
        <v>0</v>
      </c>
      <c r="P294">
        <v>0</v>
      </c>
      <c r="Q294">
        <v>73</v>
      </c>
      <c r="R294">
        <v>73</v>
      </c>
      <c r="S294" s="18">
        <f t="shared" si="40"/>
        <v>9</v>
      </c>
      <c r="T294" s="17">
        <f t="shared" si="41"/>
        <v>73</v>
      </c>
      <c r="U294" s="17">
        <f t="shared" si="42"/>
        <v>0</v>
      </c>
      <c r="V294" s="17">
        <f t="shared" si="43"/>
        <v>0</v>
      </c>
      <c r="W294" s="17">
        <f t="shared" si="44"/>
        <v>0</v>
      </c>
      <c r="X294" s="17">
        <f t="shared" si="45"/>
        <v>0</v>
      </c>
      <c r="Y294" s="19" t="e">
        <f t="shared" si="46"/>
        <v>#DIV/0!</v>
      </c>
      <c r="Z294">
        <v>85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f t="shared" si="47"/>
        <v>0</v>
      </c>
      <c r="BF294">
        <v>85</v>
      </c>
      <c r="BG294">
        <v>85</v>
      </c>
      <c r="BH294" t="s">
        <v>109</v>
      </c>
      <c r="BI294" t="s">
        <v>979</v>
      </c>
      <c r="BJ294">
        <v>0</v>
      </c>
      <c r="BK294">
        <v>0</v>
      </c>
      <c r="BL294">
        <v>85</v>
      </c>
      <c r="BM294">
        <v>657</v>
      </c>
      <c r="BN294">
        <v>0</v>
      </c>
      <c r="BO294">
        <v>0</v>
      </c>
      <c r="BP294">
        <v>0</v>
      </c>
      <c r="BQ294">
        <v>657</v>
      </c>
      <c r="BR294">
        <f t="shared" si="48"/>
        <v>0</v>
      </c>
      <c r="BS294">
        <f t="shared" si="49"/>
        <v>146</v>
      </c>
    </row>
    <row r="295" spans="1:71" x14ac:dyDescent="0.25">
      <c r="A295" s="5" t="s">
        <v>875</v>
      </c>
      <c r="B295" s="5" t="s">
        <v>207</v>
      </c>
      <c r="C295" s="5" t="s">
        <v>61</v>
      </c>
      <c r="D295" s="1" t="s">
        <v>94</v>
      </c>
      <c r="E295">
        <v>0</v>
      </c>
      <c r="F295">
        <v>385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1962</v>
      </c>
      <c r="N295">
        <v>0</v>
      </c>
      <c r="O295">
        <v>0</v>
      </c>
      <c r="P295">
        <v>0</v>
      </c>
      <c r="Q295">
        <v>218</v>
      </c>
      <c r="R295">
        <v>218</v>
      </c>
      <c r="S295" s="18">
        <f t="shared" si="40"/>
        <v>9</v>
      </c>
      <c r="T295" s="17">
        <f t="shared" si="41"/>
        <v>218</v>
      </c>
      <c r="U295" s="17">
        <f t="shared" si="42"/>
        <v>0</v>
      </c>
      <c r="V295" s="17">
        <f t="shared" si="43"/>
        <v>0</v>
      </c>
      <c r="W295" s="17">
        <f t="shared" si="44"/>
        <v>0</v>
      </c>
      <c r="X295" s="17">
        <f t="shared" si="45"/>
        <v>0</v>
      </c>
      <c r="Y295" s="19" t="e">
        <f t="shared" si="46"/>
        <v>#DIV/0!</v>
      </c>
      <c r="Z295">
        <v>385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f t="shared" si="47"/>
        <v>0</v>
      </c>
      <c r="BF295">
        <v>385</v>
      </c>
      <c r="BG295">
        <v>385</v>
      </c>
      <c r="BH295" t="s">
        <v>109</v>
      </c>
      <c r="BI295" t="s">
        <v>980</v>
      </c>
      <c r="BJ295">
        <v>0</v>
      </c>
      <c r="BK295">
        <v>0</v>
      </c>
      <c r="BL295">
        <v>385</v>
      </c>
      <c r="BM295">
        <v>1962</v>
      </c>
      <c r="BN295">
        <v>0</v>
      </c>
      <c r="BO295">
        <v>0</v>
      </c>
      <c r="BP295">
        <v>0</v>
      </c>
      <c r="BQ295">
        <v>1962</v>
      </c>
      <c r="BR295">
        <f t="shared" si="48"/>
        <v>0</v>
      </c>
      <c r="BS295">
        <f t="shared" si="49"/>
        <v>436</v>
      </c>
    </row>
    <row r="296" spans="1:71" x14ac:dyDescent="0.25">
      <c r="A296" s="5" t="s">
        <v>875</v>
      </c>
      <c r="B296" s="5" t="s">
        <v>207</v>
      </c>
      <c r="C296" s="5" t="s">
        <v>61</v>
      </c>
      <c r="D296" s="1" t="s">
        <v>96</v>
      </c>
      <c r="E296">
        <v>0</v>
      </c>
      <c r="F296">
        <v>150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1584</v>
      </c>
      <c r="N296">
        <v>0</v>
      </c>
      <c r="O296">
        <v>0</v>
      </c>
      <c r="P296">
        <v>0</v>
      </c>
      <c r="Q296">
        <v>176</v>
      </c>
      <c r="R296">
        <v>176</v>
      </c>
      <c r="S296" s="18">
        <f t="shared" si="40"/>
        <v>9</v>
      </c>
      <c r="T296" s="17">
        <f t="shared" si="41"/>
        <v>176</v>
      </c>
      <c r="U296" s="17">
        <f t="shared" si="42"/>
        <v>0</v>
      </c>
      <c r="V296" s="17">
        <f t="shared" si="43"/>
        <v>0</v>
      </c>
      <c r="W296" s="17">
        <f t="shared" si="44"/>
        <v>0</v>
      </c>
      <c r="X296" s="17">
        <f t="shared" si="45"/>
        <v>0</v>
      </c>
      <c r="Y296" s="19" t="e">
        <f t="shared" si="46"/>
        <v>#DIV/0!</v>
      </c>
      <c r="Z296">
        <v>150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f t="shared" si="47"/>
        <v>0</v>
      </c>
      <c r="BF296">
        <v>150</v>
      </c>
      <c r="BG296">
        <v>150</v>
      </c>
      <c r="BH296" t="s">
        <v>109</v>
      </c>
      <c r="BI296" t="s">
        <v>981</v>
      </c>
      <c r="BJ296">
        <v>0</v>
      </c>
      <c r="BK296">
        <v>0</v>
      </c>
      <c r="BL296">
        <v>150</v>
      </c>
      <c r="BM296">
        <v>1584</v>
      </c>
      <c r="BN296">
        <v>0</v>
      </c>
      <c r="BO296">
        <v>0</v>
      </c>
      <c r="BP296">
        <v>0</v>
      </c>
      <c r="BQ296">
        <v>1584</v>
      </c>
      <c r="BR296">
        <f t="shared" si="48"/>
        <v>0</v>
      </c>
      <c r="BS296">
        <f t="shared" si="49"/>
        <v>352</v>
      </c>
    </row>
    <row r="297" spans="1:71" x14ac:dyDescent="0.25">
      <c r="A297" s="5" t="s">
        <v>875</v>
      </c>
      <c r="B297" s="5" t="s">
        <v>207</v>
      </c>
      <c r="C297" s="5" t="s">
        <v>61</v>
      </c>
      <c r="D297" s="1" t="s">
        <v>100</v>
      </c>
      <c r="E297">
        <v>0</v>
      </c>
      <c r="F297">
        <v>485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2997</v>
      </c>
      <c r="N297">
        <v>0</v>
      </c>
      <c r="O297">
        <v>0</v>
      </c>
      <c r="P297">
        <v>0</v>
      </c>
      <c r="Q297">
        <v>333</v>
      </c>
      <c r="R297">
        <v>333</v>
      </c>
      <c r="S297" s="18">
        <f t="shared" si="40"/>
        <v>9</v>
      </c>
      <c r="T297" s="17">
        <f t="shared" si="41"/>
        <v>333</v>
      </c>
      <c r="U297" s="17">
        <f t="shared" si="42"/>
        <v>0</v>
      </c>
      <c r="V297" s="17">
        <f t="shared" si="43"/>
        <v>0</v>
      </c>
      <c r="W297" s="17">
        <f t="shared" si="44"/>
        <v>0</v>
      </c>
      <c r="X297" s="17">
        <f t="shared" si="45"/>
        <v>0</v>
      </c>
      <c r="Y297" s="19" t="e">
        <f t="shared" si="46"/>
        <v>#DIV/0!</v>
      </c>
      <c r="Z297">
        <v>485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f t="shared" si="47"/>
        <v>0</v>
      </c>
      <c r="BF297">
        <v>485</v>
      </c>
      <c r="BG297">
        <v>485</v>
      </c>
      <c r="BH297" t="s">
        <v>109</v>
      </c>
      <c r="BI297" t="s">
        <v>983</v>
      </c>
      <c r="BJ297">
        <v>0</v>
      </c>
      <c r="BK297">
        <v>0</v>
      </c>
      <c r="BL297">
        <v>485</v>
      </c>
      <c r="BM297">
        <v>2997</v>
      </c>
      <c r="BN297">
        <v>0</v>
      </c>
      <c r="BO297">
        <v>0</v>
      </c>
      <c r="BP297">
        <v>0</v>
      </c>
      <c r="BQ297">
        <v>2997</v>
      </c>
      <c r="BR297">
        <f t="shared" si="48"/>
        <v>0</v>
      </c>
      <c r="BS297">
        <f t="shared" si="49"/>
        <v>666</v>
      </c>
    </row>
    <row r="298" spans="1:71" x14ac:dyDescent="0.25">
      <c r="A298" s="5" t="s">
        <v>875</v>
      </c>
      <c r="B298" s="5" t="s">
        <v>207</v>
      </c>
      <c r="C298" s="5" t="s">
        <v>61</v>
      </c>
      <c r="D298" s="1" t="s">
        <v>102</v>
      </c>
      <c r="E298">
        <v>0</v>
      </c>
      <c r="F298">
        <v>150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1035</v>
      </c>
      <c r="N298">
        <v>0</v>
      </c>
      <c r="O298">
        <v>0</v>
      </c>
      <c r="P298">
        <v>0</v>
      </c>
      <c r="Q298">
        <v>115</v>
      </c>
      <c r="R298">
        <v>115</v>
      </c>
      <c r="S298" s="18">
        <f t="shared" si="40"/>
        <v>9</v>
      </c>
      <c r="T298" s="17">
        <f t="shared" si="41"/>
        <v>115</v>
      </c>
      <c r="U298" s="17">
        <f t="shared" si="42"/>
        <v>0</v>
      </c>
      <c r="V298" s="17">
        <f t="shared" si="43"/>
        <v>0</v>
      </c>
      <c r="W298" s="17">
        <f t="shared" si="44"/>
        <v>0</v>
      </c>
      <c r="X298" s="17">
        <f t="shared" si="45"/>
        <v>0</v>
      </c>
      <c r="Y298" s="19" t="e">
        <f t="shared" si="46"/>
        <v>#DIV/0!</v>
      </c>
      <c r="Z298">
        <v>150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f t="shared" si="47"/>
        <v>0</v>
      </c>
      <c r="BF298">
        <v>150</v>
      </c>
      <c r="BG298">
        <v>150</v>
      </c>
      <c r="BH298" t="s">
        <v>109</v>
      </c>
      <c r="BI298" t="s">
        <v>984</v>
      </c>
      <c r="BJ298">
        <v>0</v>
      </c>
      <c r="BK298">
        <v>0</v>
      </c>
      <c r="BL298">
        <v>150</v>
      </c>
      <c r="BM298">
        <v>1035</v>
      </c>
      <c r="BN298">
        <v>0</v>
      </c>
      <c r="BO298">
        <v>0</v>
      </c>
      <c r="BP298">
        <v>0</v>
      </c>
      <c r="BQ298">
        <v>1035</v>
      </c>
      <c r="BR298">
        <f t="shared" si="48"/>
        <v>0</v>
      </c>
      <c r="BS298">
        <f t="shared" si="49"/>
        <v>230</v>
      </c>
    </row>
    <row r="299" spans="1:71" x14ac:dyDescent="0.25">
      <c r="A299" s="5" t="s">
        <v>875</v>
      </c>
      <c r="B299" s="5" t="s">
        <v>207</v>
      </c>
      <c r="C299" s="5" t="s">
        <v>61</v>
      </c>
      <c r="D299" s="1" t="s">
        <v>106</v>
      </c>
      <c r="E299">
        <v>0</v>
      </c>
      <c r="F299">
        <v>35</v>
      </c>
      <c r="G299">
        <v>0</v>
      </c>
      <c r="H299">
        <v>0</v>
      </c>
      <c r="I299">
        <v>192</v>
      </c>
      <c r="J299">
        <v>0</v>
      </c>
      <c r="K299">
        <v>0</v>
      </c>
      <c r="L299">
        <v>80</v>
      </c>
      <c r="M299">
        <v>0</v>
      </c>
      <c r="N299">
        <v>0</v>
      </c>
      <c r="O299">
        <v>0</v>
      </c>
      <c r="P299">
        <v>252</v>
      </c>
      <c r="Q299">
        <v>28</v>
      </c>
      <c r="R299">
        <v>28</v>
      </c>
      <c r="S299" s="18">
        <f t="shared" si="40"/>
        <v>9</v>
      </c>
      <c r="T299" s="17">
        <f t="shared" si="41"/>
        <v>0</v>
      </c>
      <c r="U299" s="17">
        <f t="shared" si="42"/>
        <v>0</v>
      </c>
      <c r="V299" s="17">
        <f t="shared" si="43"/>
        <v>0</v>
      </c>
      <c r="W299" s="17">
        <f t="shared" si="44"/>
        <v>28</v>
      </c>
      <c r="X299" s="17">
        <f t="shared" si="45"/>
        <v>0</v>
      </c>
      <c r="Y299" s="19" t="e">
        <f t="shared" si="46"/>
        <v>#DIV/0!</v>
      </c>
      <c r="Z299">
        <v>35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192</v>
      </c>
      <c r="AH299">
        <v>192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80</v>
      </c>
      <c r="BA299">
        <v>80</v>
      </c>
      <c r="BB299">
        <v>0</v>
      </c>
      <c r="BC299">
        <v>0</v>
      </c>
      <c r="BD299">
        <v>0</v>
      </c>
      <c r="BE299">
        <f t="shared" si="47"/>
        <v>544</v>
      </c>
      <c r="BF299">
        <v>307</v>
      </c>
      <c r="BG299">
        <v>307</v>
      </c>
      <c r="BH299" t="s">
        <v>190</v>
      </c>
      <c r="BI299" t="s">
        <v>986</v>
      </c>
      <c r="BJ299">
        <v>0</v>
      </c>
      <c r="BK299">
        <v>272</v>
      </c>
      <c r="BL299">
        <v>307</v>
      </c>
      <c r="BM299">
        <v>0</v>
      </c>
      <c r="BN299">
        <v>0</v>
      </c>
      <c r="BO299">
        <v>0</v>
      </c>
      <c r="BP299">
        <v>524</v>
      </c>
      <c r="BQ299">
        <v>524</v>
      </c>
      <c r="BR299">
        <f t="shared" si="48"/>
        <v>0</v>
      </c>
      <c r="BS299">
        <f t="shared" si="49"/>
        <v>56</v>
      </c>
    </row>
    <row r="300" spans="1:71" x14ac:dyDescent="0.25">
      <c r="A300" s="5" t="s">
        <v>875</v>
      </c>
      <c r="B300" s="5" t="s">
        <v>207</v>
      </c>
      <c r="C300" s="5" t="s">
        <v>61</v>
      </c>
      <c r="D300" s="1" t="s">
        <v>111</v>
      </c>
      <c r="E300">
        <v>0</v>
      </c>
      <c r="F300">
        <v>4</v>
      </c>
      <c r="G300">
        <v>0</v>
      </c>
      <c r="H300">
        <v>0</v>
      </c>
      <c r="I300">
        <v>15</v>
      </c>
      <c r="J300">
        <v>0</v>
      </c>
      <c r="K300">
        <v>36</v>
      </c>
      <c r="L300">
        <v>0</v>
      </c>
      <c r="M300">
        <v>18</v>
      </c>
      <c r="N300">
        <v>0</v>
      </c>
      <c r="O300">
        <v>0</v>
      </c>
      <c r="P300">
        <v>0</v>
      </c>
      <c r="Q300">
        <v>2</v>
      </c>
      <c r="R300">
        <v>2</v>
      </c>
      <c r="S300" s="18">
        <f t="shared" si="40"/>
        <v>9</v>
      </c>
      <c r="T300" s="17">
        <f t="shared" si="41"/>
        <v>2</v>
      </c>
      <c r="U300" s="17">
        <f t="shared" si="42"/>
        <v>0</v>
      </c>
      <c r="V300" s="17">
        <f t="shared" si="43"/>
        <v>0</v>
      </c>
      <c r="W300" s="17">
        <f t="shared" si="44"/>
        <v>0</v>
      </c>
      <c r="X300" s="17">
        <f t="shared" si="45"/>
        <v>0</v>
      </c>
      <c r="Y300" s="19" t="e">
        <f t="shared" si="46"/>
        <v>#DIV/0!</v>
      </c>
      <c r="Z300">
        <v>4</v>
      </c>
      <c r="AA300">
        <v>0</v>
      </c>
      <c r="AB300">
        <v>0</v>
      </c>
      <c r="AC300">
        <v>0</v>
      </c>
      <c r="AD300">
        <v>15</v>
      </c>
      <c r="AE300">
        <v>0</v>
      </c>
      <c r="AF300">
        <v>0</v>
      </c>
      <c r="AG300">
        <v>0</v>
      </c>
      <c r="AH300">
        <v>15</v>
      </c>
      <c r="AI300">
        <v>0</v>
      </c>
      <c r="AJ300">
        <v>0</v>
      </c>
      <c r="AK300">
        <v>0</v>
      </c>
      <c r="AL300">
        <v>0</v>
      </c>
      <c r="AM300">
        <v>36</v>
      </c>
      <c r="AN300">
        <v>0</v>
      </c>
      <c r="AO300">
        <v>0</v>
      </c>
      <c r="AP300">
        <v>0</v>
      </c>
      <c r="AQ300">
        <v>36</v>
      </c>
      <c r="AR300">
        <v>36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f t="shared" si="47"/>
        <v>138</v>
      </c>
      <c r="BF300">
        <v>55</v>
      </c>
      <c r="BG300">
        <v>55</v>
      </c>
      <c r="BH300" t="s">
        <v>190</v>
      </c>
      <c r="BI300" t="s">
        <v>988</v>
      </c>
      <c r="BJ300">
        <v>0</v>
      </c>
      <c r="BK300">
        <v>51</v>
      </c>
      <c r="BL300">
        <v>55</v>
      </c>
      <c r="BM300">
        <v>69</v>
      </c>
      <c r="BN300">
        <v>0</v>
      </c>
      <c r="BO300">
        <v>0</v>
      </c>
      <c r="BP300">
        <v>0</v>
      </c>
      <c r="BQ300">
        <v>69</v>
      </c>
      <c r="BR300">
        <f t="shared" si="48"/>
        <v>0</v>
      </c>
      <c r="BS300">
        <f t="shared" si="49"/>
        <v>4</v>
      </c>
    </row>
    <row r="301" spans="1:71" x14ac:dyDescent="0.25">
      <c r="A301" s="5" t="s">
        <v>875</v>
      </c>
      <c r="B301" s="5" t="s">
        <v>207</v>
      </c>
      <c r="C301" s="5" t="s">
        <v>61</v>
      </c>
      <c r="D301" s="1" t="s">
        <v>113</v>
      </c>
      <c r="E301">
        <v>0</v>
      </c>
      <c r="F301">
        <v>40</v>
      </c>
      <c r="G301">
        <v>0</v>
      </c>
      <c r="H301">
        <v>0</v>
      </c>
      <c r="I301">
        <v>47</v>
      </c>
      <c r="J301">
        <v>0</v>
      </c>
      <c r="K301">
        <v>0</v>
      </c>
      <c r="L301">
        <v>0</v>
      </c>
      <c r="M301">
        <v>288</v>
      </c>
      <c r="N301">
        <v>0</v>
      </c>
      <c r="O301">
        <v>0</v>
      </c>
      <c r="P301">
        <v>0</v>
      </c>
      <c r="Q301">
        <v>32</v>
      </c>
      <c r="R301">
        <v>32</v>
      </c>
      <c r="S301" s="18">
        <f t="shared" si="40"/>
        <v>9</v>
      </c>
      <c r="T301" s="17">
        <f t="shared" si="41"/>
        <v>32</v>
      </c>
      <c r="U301" s="17">
        <f t="shared" si="42"/>
        <v>0</v>
      </c>
      <c r="V301" s="17">
        <f t="shared" si="43"/>
        <v>0</v>
      </c>
      <c r="W301" s="17">
        <f t="shared" si="44"/>
        <v>0</v>
      </c>
      <c r="X301" s="17">
        <f t="shared" si="45"/>
        <v>0</v>
      </c>
      <c r="Y301" s="19" t="e">
        <f t="shared" si="46"/>
        <v>#DIV/0!</v>
      </c>
      <c r="Z301">
        <v>40</v>
      </c>
      <c r="AA301">
        <v>0</v>
      </c>
      <c r="AB301">
        <v>0</v>
      </c>
      <c r="AC301">
        <v>10</v>
      </c>
      <c r="AD301">
        <v>47</v>
      </c>
      <c r="AE301">
        <v>0</v>
      </c>
      <c r="AF301">
        <v>0</v>
      </c>
      <c r="AG301">
        <v>0</v>
      </c>
      <c r="AH301">
        <v>47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f t="shared" si="47"/>
        <v>104</v>
      </c>
      <c r="BF301">
        <v>97</v>
      </c>
      <c r="BG301">
        <v>97</v>
      </c>
      <c r="BH301" t="s">
        <v>190</v>
      </c>
      <c r="BI301" t="s">
        <v>989</v>
      </c>
      <c r="BJ301">
        <v>10</v>
      </c>
      <c r="BK301">
        <v>47</v>
      </c>
      <c r="BL301">
        <v>97</v>
      </c>
      <c r="BM301">
        <v>335</v>
      </c>
      <c r="BN301">
        <v>0</v>
      </c>
      <c r="BO301">
        <v>0</v>
      </c>
      <c r="BP301">
        <v>0</v>
      </c>
      <c r="BQ301">
        <v>335</v>
      </c>
      <c r="BR301">
        <f t="shared" si="48"/>
        <v>0</v>
      </c>
      <c r="BS301">
        <f t="shared" si="49"/>
        <v>64</v>
      </c>
    </row>
    <row r="302" spans="1:71" x14ac:dyDescent="0.25">
      <c r="A302" s="5" t="s">
        <v>875</v>
      </c>
      <c r="B302" s="5" t="s">
        <v>207</v>
      </c>
      <c r="C302" s="5" t="s">
        <v>61</v>
      </c>
      <c r="D302" s="1" t="s">
        <v>115</v>
      </c>
      <c r="E302">
        <v>0</v>
      </c>
      <c r="F302">
        <v>35</v>
      </c>
      <c r="G302">
        <v>0</v>
      </c>
      <c r="H302">
        <v>0</v>
      </c>
      <c r="I302">
        <v>24</v>
      </c>
      <c r="J302">
        <v>0</v>
      </c>
      <c r="K302">
        <v>0</v>
      </c>
      <c r="L302">
        <v>0</v>
      </c>
      <c r="M302">
        <v>216</v>
      </c>
      <c r="N302">
        <v>0</v>
      </c>
      <c r="O302">
        <v>0</v>
      </c>
      <c r="P302">
        <v>0</v>
      </c>
      <c r="Q302">
        <v>24</v>
      </c>
      <c r="R302">
        <v>24</v>
      </c>
      <c r="S302" s="18">
        <f t="shared" si="40"/>
        <v>9</v>
      </c>
      <c r="T302" s="17">
        <f t="shared" si="41"/>
        <v>24</v>
      </c>
      <c r="U302" s="17">
        <f t="shared" si="42"/>
        <v>0</v>
      </c>
      <c r="V302" s="17">
        <f t="shared" si="43"/>
        <v>0</v>
      </c>
      <c r="W302" s="17">
        <f t="shared" si="44"/>
        <v>0</v>
      </c>
      <c r="X302" s="17">
        <f t="shared" si="45"/>
        <v>0</v>
      </c>
      <c r="Y302" s="19" t="e">
        <f t="shared" si="46"/>
        <v>#DIV/0!</v>
      </c>
      <c r="Z302">
        <v>35</v>
      </c>
      <c r="AA302">
        <v>0</v>
      </c>
      <c r="AB302">
        <v>0</v>
      </c>
      <c r="AC302">
        <v>0</v>
      </c>
      <c r="AD302">
        <v>24</v>
      </c>
      <c r="AE302">
        <v>0</v>
      </c>
      <c r="AF302">
        <v>0</v>
      </c>
      <c r="AG302">
        <v>0</v>
      </c>
      <c r="AH302">
        <v>24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f t="shared" si="47"/>
        <v>48</v>
      </c>
      <c r="BF302">
        <v>59</v>
      </c>
      <c r="BG302">
        <v>59</v>
      </c>
      <c r="BH302" t="s">
        <v>190</v>
      </c>
      <c r="BI302" t="s">
        <v>990</v>
      </c>
      <c r="BJ302">
        <v>0</v>
      </c>
      <c r="BK302">
        <v>24</v>
      </c>
      <c r="BL302">
        <v>59</v>
      </c>
      <c r="BM302">
        <v>240</v>
      </c>
      <c r="BN302">
        <v>0</v>
      </c>
      <c r="BO302">
        <v>0</v>
      </c>
      <c r="BP302">
        <v>0</v>
      </c>
      <c r="BQ302">
        <v>240</v>
      </c>
      <c r="BR302">
        <f t="shared" si="48"/>
        <v>0</v>
      </c>
      <c r="BS302">
        <f t="shared" si="49"/>
        <v>48</v>
      </c>
    </row>
    <row r="303" spans="1:71" x14ac:dyDescent="0.25">
      <c r="A303" s="5" t="s">
        <v>875</v>
      </c>
      <c r="B303" s="5" t="s">
        <v>207</v>
      </c>
      <c r="C303" s="5" t="s">
        <v>61</v>
      </c>
      <c r="D303" s="1" t="s">
        <v>123</v>
      </c>
      <c r="E303">
        <v>0</v>
      </c>
      <c r="F303">
        <v>110</v>
      </c>
      <c r="G303">
        <v>0</v>
      </c>
      <c r="H303">
        <v>0</v>
      </c>
      <c r="I303">
        <v>50</v>
      </c>
      <c r="J303">
        <v>0</v>
      </c>
      <c r="K303">
        <v>0</v>
      </c>
      <c r="L303">
        <v>0</v>
      </c>
      <c r="M303">
        <v>2862</v>
      </c>
      <c r="N303">
        <v>0</v>
      </c>
      <c r="O303">
        <v>0</v>
      </c>
      <c r="P303">
        <v>0</v>
      </c>
      <c r="Q303">
        <v>318</v>
      </c>
      <c r="R303">
        <v>318</v>
      </c>
      <c r="S303" s="18">
        <f t="shared" si="40"/>
        <v>9</v>
      </c>
      <c r="T303" s="17">
        <f t="shared" si="41"/>
        <v>318</v>
      </c>
      <c r="U303" s="17">
        <f t="shared" si="42"/>
        <v>0</v>
      </c>
      <c r="V303" s="17">
        <f t="shared" si="43"/>
        <v>0</v>
      </c>
      <c r="W303" s="17">
        <f t="shared" si="44"/>
        <v>0</v>
      </c>
      <c r="X303" s="17">
        <f t="shared" si="45"/>
        <v>0</v>
      </c>
      <c r="Y303" s="19" t="e">
        <f t="shared" si="46"/>
        <v>#DIV/0!</v>
      </c>
      <c r="Z303">
        <v>110</v>
      </c>
      <c r="AA303">
        <v>0</v>
      </c>
      <c r="AB303">
        <v>0</v>
      </c>
      <c r="AC303">
        <v>0</v>
      </c>
      <c r="AD303">
        <v>50</v>
      </c>
      <c r="AE303">
        <v>0</v>
      </c>
      <c r="AF303">
        <v>0</v>
      </c>
      <c r="AG303">
        <v>0</v>
      </c>
      <c r="AH303">
        <v>50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f t="shared" si="47"/>
        <v>100</v>
      </c>
      <c r="BF303">
        <v>160</v>
      </c>
      <c r="BG303">
        <v>160</v>
      </c>
      <c r="BH303" t="s">
        <v>199</v>
      </c>
      <c r="BI303" t="s">
        <v>994</v>
      </c>
      <c r="BJ303">
        <v>0</v>
      </c>
      <c r="BK303">
        <v>50</v>
      </c>
      <c r="BL303">
        <v>160</v>
      </c>
      <c r="BM303">
        <v>2912</v>
      </c>
      <c r="BN303">
        <v>0</v>
      </c>
      <c r="BO303">
        <v>0</v>
      </c>
      <c r="BP303">
        <v>0</v>
      </c>
      <c r="BQ303">
        <v>2912</v>
      </c>
      <c r="BR303">
        <f t="shared" si="48"/>
        <v>0</v>
      </c>
      <c r="BS303">
        <f t="shared" si="49"/>
        <v>636</v>
      </c>
    </row>
    <row r="304" spans="1:71" x14ac:dyDescent="0.25">
      <c r="A304" s="5" t="s">
        <v>875</v>
      </c>
      <c r="B304" s="5" t="s">
        <v>207</v>
      </c>
      <c r="C304" s="5" t="s">
        <v>61</v>
      </c>
      <c r="D304" s="1" t="s">
        <v>125</v>
      </c>
      <c r="E304">
        <v>0</v>
      </c>
      <c r="F304">
        <v>35</v>
      </c>
      <c r="G304">
        <v>0</v>
      </c>
      <c r="H304">
        <v>0</v>
      </c>
      <c r="I304">
        <v>102</v>
      </c>
      <c r="J304">
        <v>0</v>
      </c>
      <c r="K304">
        <v>88</v>
      </c>
      <c r="L304">
        <v>0</v>
      </c>
      <c r="M304">
        <v>0</v>
      </c>
      <c r="N304">
        <v>0</v>
      </c>
      <c r="O304">
        <v>0</v>
      </c>
      <c r="P304">
        <v>252</v>
      </c>
      <c r="Q304">
        <v>28</v>
      </c>
      <c r="R304">
        <v>28</v>
      </c>
      <c r="S304" s="18">
        <f t="shared" si="40"/>
        <v>9</v>
      </c>
      <c r="T304" s="17">
        <f t="shared" si="41"/>
        <v>0</v>
      </c>
      <c r="U304" s="17">
        <f t="shared" si="42"/>
        <v>0</v>
      </c>
      <c r="V304" s="17">
        <f t="shared" si="43"/>
        <v>0</v>
      </c>
      <c r="W304" s="17">
        <f t="shared" si="44"/>
        <v>28</v>
      </c>
      <c r="X304" s="17">
        <f t="shared" si="45"/>
        <v>0</v>
      </c>
      <c r="Y304" s="19" t="e">
        <f t="shared" si="46"/>
        <v>#DIV/0!</v>
      </c>
      <c r="Z304">
        <v>35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102</v>
      </c>
      <c r="AH304">
        <v>102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88</v>
      </c>
      <c r="AP304">
        <v>0</v>
      </c>
      <c r="AQ304">
        <v>88</v>
      </c>
      <c r="AR304">
        <v>88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f t="shared" si="47"/>
        <v>468</v>
      </c>
      <c r="BF304">
        <v>225</v>
      </c>
      <c r="BG304">
        <v>225</v>
      </c>
      <c r="BH304" t="s">
        <v>199</v>
      </c>
      <c r="BI304" t="s">
        <v>995</v>
      </c>
      <c r="BJ304">
        <v>0</v>
      </c>
      <c r="BK304">
        <v>190</v>
      </c>
      <c r="BL304">
        <v>225</v>
      </c>
      <c r="BM304">
        <v>0</v>
      </c>
      <c r="BN304">
        <v>0</v>
      </c>
      <c r="BO304">
        <v>0</v>
      </c>
      <c r="BP304">
        <v>442</v>
      </c>
      <c r="BQ304">
        <v>442</v>
      </c>
      <c r="BR304">
        <f t="shared" si="48"/>
        <v>0</v>
      </c>
      <c r="BS304">
        <f t="shared" si="49"/>
        <v>56</v>
      </c>
    </row>
    <row r="305" spans="1:74" x14ac:dyDescent="0.25">
      <c r="A305" s="5" t="s">
        <v>875</v>
      </c>
      <c r="B305" s="5" t="s">
        <v>207</v>
      </c>
      <c r="C305" s="5" t="s">
        <v>61</v>
      </c>
      <c r="D305" s="1" t="s">
        <v>127</v>
      </c>
      <c r="E305">
        <v>0</v>
      </c>
      <c r="F305">
        <v>7</v>
      </c>
      <c r="G305">
        <v>0</v>
      </c>
      <c r="H305">
        <v>0</v>
      </c>
      <c r="I305">
        <v>0</v>
      </c>
      <c r="J305">
        <v>0</v>
      </c>
      <c r="K305">
        <v>181</v>
      </c>
      <c r="L305">
        <v>28</v>
      </c>
      <c r="M305">
        <v>0</v>
      </c>
      <c r="N305">
        <v>0</v>
      </c>
      <c r="O305">
        <v>0</v>
      </c>
      <c r="P305">
        <v>63</v>
      </c>
      <c r="Q305">
        <v>7</v>
      </c>
      <c r="R305">
        <v>7</v>
      </c>
      <c r="S305" s="18">
        <f t="shared" si="40"/>
        <v>9</v>
      </c>
      <c r="T305" s="17">
        <f t="shared" si="41"/>
        <v>0</v>
      </c>
      <c r="U305" s="17">
        <f t="shared" si="42"/>
        <v>0</v>
      </c>
      <c r="V305" s="17">
        <f t="shared" si="43"/>
        <v>0</v>
      </c>
      <c r="W305" s="17">
        <f t="shared" si="44"/>
        <v>7</v>
      </c>
      <c r="X305" s="17">
        <f t="shared" si="45"/>
        <v>0</v>
      </c>
      <c r="Y305" s="19" t="e">
        <f t="shared" si="46"/>
        <v>#DIV/0!</v>
      </c>
      <c r="Z305">
        <v>7</v>
      </c>
      <c r="AA305">
        <v>0</v>
      </c>
      <c r="AB305">
        <v>0</v>
      </c>
      <c r="AC305">
        <v>70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181</v>
      </c>
      <c r="AP305">
        <v>0</v>
      </c>
      <c r="AQ305">
        <v>181</v>
      </c>
      <c r="AR305">
        <v>181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28</v>
      </c>
      <c r="BA305">
        <v>28</v>
      </c>
      <c r="BB305">
        <v>0</v>
      </c>
      <c r="BC305">
        <v>0</v>
      </c>
      <c r="BD305">
        <v>0</v>
      </c>
      <c r="BE305">
        <f t="shared" si="47"/>
        <v>669</v>
      </c>
      <c r="BF305">
        <v>286</v>
      </c>
      <c r="BG305">
        <v>286</v>
      </c>
      <c r="BH305" t="s">
        <v>199</v>
      </c>
      <c r="BI305" t="s">
        <v>996</v>
      </c>
      <c r="BJ305">
        <v>70</v>
      </c>
      <c r="BK305">
        <v>209</v>
      </c>
      <c r="BL305">
        <v>286</v>
      </c>
      <c r="BM305">
        <v>0</v>
      </c>
      <c r="BN305">
        <v>0</v>
      </c>
      <c r="BO305">
        <v>0</v>
      </c>
      <c r="BP305">
        <v>272</v>
      </c>
      <c r="BQ305">
        <v>272</v>
      </c>
      <c r="BR305">
        <f t="shared" si="48"/>
        <v>0</v>
      </c>
      <c r="BS305">
        <f t="shared" si="49"/>
        <v>14</v>
      </c>
    </row>
    <row r="306" spans="1:74" x14ac:dyDescent="0.25">
      <c r="A306" s="5" t="s">
        <v>875</v>
      </c>
      <c r="B306" s="5" t="s">
        <v>207</v>
      </c>
      <c r="C306" s="5" t="s">
        <v>61</v>
      </c>
      <c r="D306" s="1" t="s">
        <v>129</v>
      </c>
      <c r="E306">
        <v>0</v>
      </c>
      <c r="F306">
        <v>2</v>
      </c>
      <c r="G306">
        <v>0</v>
      </c>
      <c r="H306">
        <v>0</v>
      </c>
      <c r="I306">
        <v>29</v>
      </c>
      <c r="J306">
        <v>738</v>
      </c>
      <c r="K306">
        <v>109</v>
      </c>
      <c r="L306">
        <v>278</v>
      </c>
      <c r="M306">
        <v>0</v>
      </c>
      <c r="N306">
        <v>0</v>
      </c>
      <c r="O306">
        <v>0</v>
      </c>
      <c r="P306">
        <v>9</v>
      </c>
      <c r="Q306">
        <v>1</v>
      </c>
      <c r="R306">
        <v>1</v>
      </c>
      <c r="S306" s="18">
        <f t="shared" si="40"/>
        <v>9</v>
      </c>
      <c r="T306" s="17">
        <f t="shared" si="41"/>
        <v>0</v>
      </c>
      <c r="U306" s="17">
        <f t="shared" si="42"/>
        <v>0</v>
      </c>
      <c r="V306" s="17">
        <f t="shared" si="43"/>
        <v>0</v>
      </c>
      <c r="W306" s="17">
        <f t="shared" si="44"/>
        <v>1</v>
      </c>
      <c r="X306" s="17">
        <f t="shared" si="45"/>
        <v>0</v>
      </c>
      <c r="Y306" s="19" t="e">
        <f t="shared" si="46"/>
        <v>#DIV/0!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29</v>
      </c>
      <c r="AH306">
        <v>29</v>
      </c>
      <c r="AI306">
        <v>0</v>
      </c>
      <c r="AJ306">
        <v>0</v>
      </c>
      <c r="AK306">
        <v>738</v>
      </c>
      <c r="AL306">
        <v>738</v>
      </c>
      <c r="AM306">
        <v>0</v>
      </c>
      <c r="AN306">
        <v>0</v>
      </c>
      <c r="AO306">
        <v>109</v>
      </c>
      <c r="AP306">
        <v>8</v>
      </c>
      <c r="AQ306">
        <v>109</v>
      </c>
      <c r="AR306">
        <v>101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278</v>
      </c>
      <c r="BA306">
        <v>278</v>
      </c>
      <c r="BB306">
        <v>0</v>
      </c>
      <c r="BC306">
        <v>0</v>
      </c>
      <c r="BD306">
        <v>0</v>
      </c>
      <c r="BE306">
        <f t="shared" si="47"/>
        <v>2417</v>
      </c>
      <c r="BF306">
        <v>1156</v>
      </c>
      <c r="BG306">
        <v>1156</v>
      </c>
      <c r="BH306" t="s">
        <v>199</v>
      </c>
      <c r="BI306" t="s">
        <v>997</v>
      </c>
      <c r="BJ306">
        <v>0</v>
      </c>
      <c r="BK306">
        <v>1154</v>
      </c>
      <c r="BL306">
        <v>1156</v>
      </c>
      <c r="BM306">
        <v>0</v>
      </c>
      <c r="BN306">
        <v>0</v>
      </c>
      <c r="BO306">
        <v>0</v>
      </c>
      <c r="BP306">
        <v>1163</v>
      </c>
      <c r="BQ306">
        <v>1163</v>
      </c>
      <c r="BR306">
        <f t="shared" si="48"/>
        <v>0</v>
      </c>
      <c r="BS306">
        <f t="shared" si="49"/>
        <v>2</v>
      </c>
    </row>
    <row r="307" spans="1:74" x14ac:dyDescent="0.25">
      <c r="A307" s="5" t="s">
        <v>875</v>
      </c>
      <c r="B307" s="5" t="s">
        <v>207</v>
      </c>
      <c r="C307" s="5" t="s">
        <v>61</v>
      </c>
      <c r="D307" s="1" t="s">
        <v>143</v>
      </c>
      <c r="E307">
        <v>0</v>
      </c>
      <c r="F307">
        <v>621</v>
      </c>
      <c r="G307">
        <v>0</v>
      </c>
      <c r="H307">
        <v>0</v>
      </c>
      <c r="I307">
        <v>155</v>
      </c>
      <c r="J307">
        <v>1163</v>
      </c>
      <c r="K307">
        <v>135</v>
      </c>
      <c r="L307">
        <v>30</v>
      </c>
      <c r="M307">
        <v>0</v>
      </c>
      <c r="N307">
        <v>0</v>
      </c>
      <c r="O307">
        <v>0</v>
      </c>
      <c r="P307">
        <v>2367</v>
      </c>
      <c r="Q307">
        <v>414</v>
      </c>
      <c r="R307">
        <v>414</v>
      </c>
      <c r="S307" s="18">
        <f t="shared" si="40"/>
        <v>5.7173913043478262</v>
      </c>
      <c r="T307" s="17">
        <f t="shared" si="41"/>
        <v>0</v>
      </c>
      <c r="U307" s="17">
        <f t="shared" si="42"/>
        <v>0</v>
      </c>
      <c r="V307" s="17">
        <f t="shared" si="43"/>
        <v>0</v>
      </c>
      <c r="W307" s="17">
        <f t="shared" si="44"/>
        <v>414</v>
      </c>
      <c r="X307" s="17">
        <f t="shared" si="45"/>
        <v>0</v>
      </c>
      <c r="Y307" s="19" t="e">
        <f t="shared" si="46"/>
        <v>#DIV/0!</v>
      </c>
      <c r="Z307">
        <v>621</v>
      </c>
      <c r="AA307">
        <v>0</v>
      </c>
      <c r="AB307">
        <v>0</v>
      </c>
      <c r="AC307">
        <v>1363</v>
      </c>
      <c r="AD307">
        <v>0</v>
      </c>
      <c r="AE307">
        <v>0</v>
      </c>
      <c r="AF307">
        <v>0</v>
      </c>
      <c r="AG307">
        <v>155</v>
      </c>
      <c r="AH307">
        <v>155</v>
      </c>
      <c r="AI307">
        <v>0</v>
      </c>
      <c r="AJ307">
        <v>0</v>
      </c>
      <c r="AK307">
        <v>1163</v>
      </c>
      <c r="AL307">
        <v>1163</v>
      </c>
      <c r="AM307">
        <v>0</v>
      </c>
      <c r="AN307">
        <v>0</v>
      </c>
      <c r="AO307">
        <v>135</v>
      </c>
      <c r="AP307">
        <v>37</v>
      </c>
      <c r="AQ307">
        <v>135</v>
      </c>
      <c r="AR307">
        <v>98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30</v>
      </c>
      <c r="BA307">
        <v>30</v>
      </c>
      <c r="BB307">
        <v>0</v>
      </c>
      <c r="BC307">
        <v>0</v>
      </c>
      <c r="BD307">
        <v>0</v>
      </c>
      <c r="BE307">
        <f t="shared" si="47"/>
        <v>4464</v>
      </c>
      <c r="BF307">
        <v>2367</v>
      </c>
      <c r="BG307">
        <v>2367</v>
      </c>
      <c r="BH307" t="s">
        <v>82</v>
      </c>
      <c r="BI307" t="s">
        <v>1004</v>
      </c>
      <c r="BJ307">
        <v>1363</v>
      </c>
      <c r="BK307">
        <v>1483</v>
      </c>
      <c r="BL307">
        <v>3467</v>
      </c>
      <c r="BM307">
        <v>0</v>
      </c>
      <c r="BN307">
        <v>0</v>
      </c>
      <c r="BO307">
        <v>0</v>
      </c>
      <c r="BP307">
        <v>3850</v>
      </c>
      <c r="BQ307">
        <v>3850</v>
      </c>
      <c r="BR307">
        <f t="shared" si="48"/>
        <v>0</v>
      </c>
      <c r="BS307">
        <f t="shared" si="49"/>
        <v>828</v>
      </c>
    </row>
    <row r="308" spans="1:74" x14ac:dyDescent="0.25">
      <c r="A308" s="5" t="s">
        <v>875</v>
      </c>
      <c r="B308" s="5" t="s">
        <v>207</v>
      </c>
      <c r="C308" s="5" t="s">
        <v>61</v>
      </c>
      <c r="D308" s="1" t="s">
        <v>153</v>
      </c>
      <c r="E308">
        <v>0</v>
      </c>
      <c r="F308">
        <v>14</v>
      </c>
      <c r="G308">
        <v>0</v>
      </c>
      <c r="H308">
        <v>0</v>
      </c>
      <c r="I308">
        <v>50</v>
      </c>
      <c r="J308">
        <v>85</v>
      </c>
      <c r="K308">
        <v>121</v>
      </c>
      <c r="L308">
        <v>0</v>
      </c>
      <c r="M308">
        <v>0</v>
      </c>
      <c r="N308">
        <v>0</v>
      </c>
      <c r="O308">
        <v>0</v>
      </c>
      <c r="P308">
        <v>315</v>
      </c>
      <c r="Q308">
        <v>35</v>
      </c>
      <c r="R308">
        <v>35</v>
      </c>
      <c r="S308" s="18">
        <f t="shared" si="40"/>
        <v>9</v>
      </c>
      <c r="T308" s="17">
        <f t="shared" si="41"/>
        <v>0</v>
      </c>
      <c r="U308" s="17">
        <f t="shared" si="42"/>
        <v>0</v>
      </c>
      <c r="V308" s="17">
        <f t="shared" si="43"/>
        <v>0</v>
      </c>
      <c r="W308" s="17">
        <f t="shared" si="44"/>
        <v>35</v>
      </c>
      <c r="X308" s="17">
        <f t="shared" si="45"/>
        <v>0</v>
      </c>
      <c r="Y308" s="19" t="e">
        <f t="shared" si="46"/>
        <v>#DIV/0!</v>
      </c>
      <c r="Z308">
        <v>14</v>
      </c>
      <c r="AA308">
        <v>0</v>
      </c>
      <c r="AB308">
        <v>0</v>
      </c>
      <c r="AC308">
        <v>600</v>
      </c>
      <c r="AD308">
        <v>0</v>
      </c>
      <c r="AE308">
        <v>0</v>
      </c>
      <c r="AF308">
        <v>0</v>
      </c>
      <c r="AG308">
        <v>50</v>
      </c>
      <c r="AH308">
        <v>50</v>
      </c>
      <c r="AI308">
        <v>0</v>
      </c>
      <c r="AJ308">
        <v>0</v>
      </c>
      <c r="AK308">
        <v>85</v>
      </c>
      <c r="AL308">
        <v>85</v>
      </c>
      <c r="AM308">
        <v>0</v>
      </c>
      <c r="AN308">
        <v>0</v>
      </c>
      <c r="AO308">
        <v>121</v>
      </c>
      <c r="AP308">
        <v>110</v>
      </c>
      <c r="AQ308">
        <v>121</v>
      </c>
      <c r="AR308">
        <v>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f t="shared" si="47"/>
        <v>1233</v>
      </c>
      <c r="BF308">
        <v>870</v>
      </c>
      <c r="BG308">
        <v>870</v>
      </c>
      <c r="BH308" t="s">
        <v>82</v>
      </c>
      <c r="BI308" t="s">
        <v>1009</v>
      </c>
      <c r="BJ308">
        <v>600</v>
      </c>
      <c r="BK308">
        <v>256</v>
      </c>
      <c r="BL308">
        <v>870</v>
      </c>
      <c r="BM308">
        <v>0</v>
      </c>
      <c r="BN308">
        <v>0</v>
      </c>
      <c r="BO308">
        <v>0</v>
      </c>
      <c r="BP308">
        <v>571</v>
      </c>
      <c r="BQ308">
        <v>571</v>
      </c>
      <c r="BR308">
        <f t="shared" si="48"/>
        <v>0</v>
      </c>
      <c r="BS308">
        <f t="shared" si="49"/>
        <v>70</v>
      </c>
    </row>
    <row r="309" spans="1:74" x14ac:dyDescent="0.25">
      <c r="A309" s="5" t="s">
        <v>875</v>
      </c>
      <c r="B309" s="5" t="s">
        <v>207</v>
      </c>
      <c r="C309" s="5" t="s">
        <v>61</v>
      </c>
      <c r="D309" s="1" t="s">
        <v>155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8" t="e">
        <f t="shared" si="40"/>
        <v>#DIV/0!</v>
      </c>
      <c r="T309" s="17" t="e">
        <f t="shared" si="41"/>
        <v>#DIV/0!</v>
      </c>
      <c r="U309" s="17" t="e">
        <f t="shared" si="42"/>
        <v>#DIV/0!</v>
      </c>
      <c r="V309" s="17" t="e">
        <f t="shared" si="43"/>
        <v>#DIV/0!</v>
      </c>
      <c r="W309" s="17" t="e">
        <f t="shared" si="44"/>
        <v>#DIV/0!</v>
      </c>
      <c r="X309" s="17" t="e">
        <f t="shared" si="45"/>
        <v>#DIV/0!</v>
      </c>
      <c r="Y309" s="19" t="e">
        <f t="shared" si="46"/>
        <v>#DIV/0!</v>
      </c>
      <c r="Z309">
        <v>0</v>
      </c>
      <c r="AA309">
        <v>0</v>
      </c>
      <c r="AB309">
        <v>0</v>
      </c>
      <c r="AC309">
        <v>7561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f t="shared" si="47"/>
        <v>7561</v>
      </c>
      <c r="BH309" t="s">
        <v>82</v>
      </c>
      <c r="BI309" t="s">
        <v>1010</v>
      </c>
      <c r="BJ309">
        <v>7561</v>
      </c>
      <c r="BK309">
        <v>0</v>
      </c>
      <c r="BL309">
        <v>7561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f t="shared" si="48"/>
        <v>0</v>
      </c>
      <c r="BS309">
        <f t="shared" si="49"/>
        <v>0</v>
      </c>
    </row>
    <row r="310" spans="1:74" x14ac:dyDescent="0.25">
      <c r="A310" s="5" t="s">
        <v>1337</v>
      </c>
      <c r="B310" s="5" t="s">
        <v>359</v>
      </c>
      <c r="C310" s="5" t="s">
        <v>61</v>
      </c>
      <c r="D310" s="1" t="s">
        <v>67</v>
      </c>
      <c r="E310">
        <v>0</v>
      </c>
      <c r="F310">
        <v>6999</v>
      </c>
      <c r="G310">
        <v>0</v>
      </c>
      <c r="H310">
        <v>0</v>
      </c>
      <c r="I310">
        <v>0</v>
      </c>
      <c r="J310">
        <v>0</v>
      </c>
      <c r="K310">
        <v>72</v>
      </c>
      <c r="L310">
        <v>0</v>
      </c>
      <c r="M310">
        <v>7497</v>
      </c>
      <c r="N310">
        <v>0</v>
      </c>
      <c r="O310">
        <v>0</v>
      </c>
      <c r="P310">
        <v>0</v>
      </c>
      <c r="Q310">
        <v>833</v>
      </c>
      <c r="R310">
        <v>833</v>
      </c>
      <c r="S310" s="18">
        <f t="shared" si="40"/>
        <v>9</v>
      </c>
      <c r="T310" s="17">
        <f t="shared" si="41"/>
        <v>833</v>
      </c>
      <c r="U310" s="17">
        <f t="shared" si="42"/>
        <v>0</v>
      </c>
      <c r="V310" s="17">
        <f t="shared" si="43"/>
        <v>0</v>
      </c>
      <c r="W310" s="17">
        <f t="shared" si="44"/>
        <v>0</v>
      </c>
      <c r="X310" s="17">
        <f t="shared" si="45"/>
        <v>0</v>
      </c>
      <c r="Y310" s="19" t="e">
        <f t="shared" si="46"/>
        <v>#DIV/0!</v>
      </c>
      <c r="Z310">
        <v>6999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72</v>
      </c>
      <c r="AN310">
        <v>0</v>
      </c>
      <c r="AO310">
        <v>0</v>
      </c>
      <c r="AP310">
        <v>72</v>
      </c>
      <c r="AQ310">
        <v>72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f t="shared" si="47"/>
        <v>216</v>
      </c>
      <c r="BF310">
        <v>7071</v>
      </c>
      <c r="BG310">
        <v>7071</v>
      </c>
      <c r="BH310" t="s">
        <v>63</v>
      </c>
      <c r="BI310" t="s">
        <v>1415</v>
      </c>
      <c r="BJ310">
        <v>0</v>
      </c>
      <c r="BK310">
        <v>72</v>
      </c>
      <c r="BL310">
        <v>7071</v>
      </c>
      <c r="BM310">
        <v>7569</v>
      </c>
      <c r="BN310">
        <v>0</v>
      </c>
      <c r="BO310">
        <v>0</v>
      </c>
      <c r="BP310">
        <v>0</v>
      </c>
      <c r="BQ310">
        <v>7569</v>
      </c>
      <c r="BR310">
        <f t="shared" si="48"/>
        <v>0</v>
      </c>
      <c r="BS310">
        <f t="shared" si="49"/>
        <v>1666</v>
      </c>
      <c r="BU310">
        <f>R310*9</f>
        <v>7497</v>
      </c>
      <c r="BV310">
        <f>IF(BU310&gt;BG310, 1, 0)</f>
        <v>1</v>
      </c>
    </row>
    <row r="311" spans="1:74" x14ac:dyDescent="0.25">
      <c r="A311" s="5" t="s">
        <v>1135</v>
      </c>
      <c r="B311" s="5" t="s">
        <v>207</v>
      </c>
      <c r="C311" s="5" t="s">
        <v>207</v>
      </c>
      <c r="D311" s="1" t="s">
        <v>67</v>
      </c>
      <c r="E311">
        <v>0</v>
      </c>
      <c r="F311">
        <v>5740</v>
      </c>
      <c r="G311">
        <v>0</v>
      </c>
      <c r="H311">
        <v>0</v>
      </c>
      <c r="I311">
        <v>4730</v>
      </c>
      <c r="J311">
        <v>120</v>
      </c>
      <c r="K311">
        <v>50</v>
      </c>
      <c r="L311">
        <v>150</v>
      </c>
      <c r="M311">
        <v>0</v>
      </c>
      <c r="N311">
        <v>0</v>
      </c>
      <c r="O311">
        <v>0</v>
      </c>
      <c r="P311">
        <v>7380</v>
      </c>
      <c r="Q311">
        <v>820</v>
      </c>
      <c r="R311">
        <v>820</v>
      </c>
      <c r="S311" s="18">
        <f t="shared" si="40"/>
        <v>9</v>
      </c>
      <c r="T311" s="17">
        <f t="shared" si="41"/>
        <v>0</v>
      </c>
      <c r="U311" s="17">
        <f t="shared" si="42"/>
        <v>0</v>
      </c>
      <c r="V311" s="17">
        <f t="shared" si="43"/>
        <v>0</v>
      </c>
      <c r="W311" s="17">
        <f t="shared" si="44"/>
        <v>820</v>
      </c>
      <c r="X311" s="17">
        <f t="shared" si="45"/>
        <v>0</v>
      </c>
      <c r="Y311" s="19" t="e">
        <f t="shared" si="46"/>
        <v>#DIV/0!</v>
      </c>
      <c r="Z311">
        <v>5740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4730</v>
      </c>
      <c r="AH311">
        <v>4730</v>
      </c>
      <c r="AI311">
        <v>0</v>
      </c>
      <c r="AJ311">
        <v>0</v>
      </c>
      <c r="AK311">
        <v>120</v>
      </c>
      <c r="AL311">
        <v>120</v>
      </c>
      <c r="AM311">
        <v>0</v>
      </c>
      <c r="AN311">
        <v>0</v>
      </c>
      <c r="AO311">
        <v>50</v>
      </c>
      <c r="AP311">
        <v>0</v>
      </c>
      <c r="AQ311">
        <v>50</v>
      </c>
      <c r="AR311">
        <v>50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150</v>
      </c>
      <c r="BA311">
        <v>150</v>
      </c>
      <c r="BB311">
        <v>0</v>
      </c>
      <c r="BC311">
        <v>0</v>
      </c>
      <c r="BD311">
        <v>0</v>
      </c>
      <c r="BE311">
        <f t="shared" si="47"/>
        <v>10150</v>
      </c>
      <c r="BF311">
        <v>10790</v>
      </c>
      <c r="BG311">
        <v>10790</v>
      </c>
      <c r="BH311" t="s">
        <v>63</v>
      </c>
      <c r="BI311" t="s">
        <v>1257</v>
      </c>
      <c r="BJ311">
        <v>0</v>
      </c>
      <c r="BK311">
        <v>5050</v>
      </c>
      <c r="BL311">
        <v>10790</v>
      </c>
      <c r="BM311">
        <v>0</v>
      </c>
      <c r="BN311">
        <v>0</v>
      </c>
      <c r="BO311">
        <v>0</v>
      </c>
      <c r="BP311">
        <v>12430</v>
      </c>
      <c r="BQ311">
        <v>12430</v>
      </c>
      <c r="BR311">
        <f t="shared" si="48"/>
        <v>0</v>
      </c>
      <c r="BS311">
        <f t="shared" si="49"/>
        <v>1640</v>
      </c>
      <c r="BU311">
        <f>R311*9</f>
        <v>7380</v>
      </c>
      <c r="BV311">
        <f>IF(BU311&gt;BG311, 1, 0)</f>
        <v>0</v>
      </c>
    </row>
    <row r="312" spans="1:74" x14ac:dyDescent="0.25">
      <c r="A312" s="5" t="s">
        <v>1017</v>
      </c>
      <c r="B312" s="5" t="s">
        <v>61</v>
      </c>
      <c r="C312" s="5" t="s">
        <v>207</v>
      </c>
      <c r="D312" s="1" t="s">
        <v>84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8" t="e">
        <f t="shared" si="40"/>
        <v>#DIV/0!</v>
      </c>
      <c r="T312" s="17" t="e">
        <f t="shared" si="41"/>
        <v>#DIV/0!</v>
      </c>
      <c r="U312" s="17" t="e">
        <f t="shared" si="42"/>
        <v>#DIV/0!</v>
      </c>
      <c r="V312" s="17" t="e">
        <f t="shared" si="43"/>
        <v>#DIV/0!</v>
      </c>
      <c r="W312" s="17" t="e">
        <f t="shared" si="44"/>
        <v>#DIV/0!</v>
      </c>
      <c r="X312" s="17" t="e">
        <f t="shared" si="45"/>
        <v>#DIV/0!</v>
      </c>
      <c r="Y312" s="19" t="e">
        <f t="shared" si="46"/>
        <v>#DIV/0!</v>
      </c>
      <c r="Z312">
        <v>0</v>
      </c>
      <c r="AA312">
        <v>0</v>
      </c>
      <c r="AB312">
        <v>0</v>
      </c>
      <c r="AC312">
        <v>2436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f t="shared" si="47"/>
        <v>2436</v>
      </c>
      <c r="BH312" t="s">
        <v>190</v>
      </c>
      <c r="BI312" t="s">
        <v>1056</v>
      </c>
      <c r="BJ312">
        <v>2436</v>
      </c>
      <c r="BK312">
        <v>0</v>
      </c>
      <c r="BL312">
        <v>2436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f t="shared" si="48"/>
        <v>0</v>
      </c>
      <c r="BS312">
        <f t="shared" si="49"/>
        <v>0</v>
      </c>
    </row>
    <row r="313" spans="1:74" x14ac:dyDescent="0.25">
      <c r="A313" s="5" t="s">
        <v>2090</v>
      </c>
      <c r="B313" s="5" t="s">
        <v>207</v>
      </c>
      <c r="C313" s="5" t="s">
        <v>61</v>
      </c>
      <c r="D313" s="1" t="s">
        <v>113</v>
      </c>
      <c r="E313">
        <v>0</v>
      </c>
      <c r="F313">
        <v>1288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s="16">
        <v>1288</v>
      </c>
      <c r="P313">
        <v>0</v>
      </c>
      <c r="Q313">
        <v>128</v>
      </c>
      <c r="R313">
        <v>1416</v>
      </c>
      <c r="S313" s="18">
        <f t="shared" si="40"/>
        <v>0.90960451977401124</v>
      </c>
      <c r="T313" s="17">
        <f t="shared" si="41"/>
        <v>0</v>
      </c>
      <c r="U313" s="17">
        <f t="shared" si="42"/>
        <v>0</v>
      </c>
      <c r="V313" s="17">
        <f t="shared" si="43"/>
        <v>1416</v>
      </c>
      <c r="W313" s="17">
        <f t="shared" si="44"/>
        <v>0</v>
      </c>
      <c r="X313" s="17">
        <f t="shared" si="45"/>
        <v>128</v>
      </c>
      <c r="Y313" s="19">
        <f t="shared" si="46"/>
        <v>11.0625</v>
      </c>
      <c r="Z313">
        <v>1288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f t="shared" si="47"/>
        <v>0</v>
      </c>
      <c r="BF313">
        <v>1288</v>
      </c>
      <c r="BG313">
        <v>1288</v>
      </c>
      <c r="BH313" t="s">
        <v>546</v>
      </c>
      <c r="BI313" t="s">
        <v>2235</v>
      </c>
      <c r="BJ313">
        <v>0</v>
      </c>
      <c r="BK313">
        <v>0</v>
      </c>
      <c r="BL313">
        <v>1288</v>
      </c>
      <c r="BM313">
        <v>0</v>
      </c>
      <c r="BN313">
        <v>0</v>
      </c>
      <c r="BO313">
        <v>1288</v>
      </c>
      <c r="BP313">
        <v>0</v>
      </c>
      <c r="BQ313">
        <v>1288</v>
      </c>
      <c r="BR313">
        <f t="shared" si="48"/>
        <v>1288</v>
      </c>
      <c r="BS313">
        <f t="shared" si="49"/>
        <v>1544</v>
      </c>
    </row>
    <row r="314" spans="1:74" x14ac:dyDescent="0.25">
      <c r="A314" s="5" t="s">
        <v>1017</v>
      </c>
      <c r="B314" s="5" t="s">
        <v>61</v>
      </c>
      <c r="C314" s="5" t="s">
        <v>207</v>
      </c>
      <c r="D314" s="1" t="s">
        <v>115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8" t="e">
        <f t="shared" si="40"/>
        <v>#DIV/0!</v>
      </c>
      <c r="T314" s="17" t="e">
        <f t="shared" si="41"/>
        <v>#DIV/0!</v>
      </c>
      <c r="U314" s="17" t="e">
        <f t="shared" si="42"/>
        <v>#DIV/0!</v>
      </c>
      <c r="V314" s="17" t="e">
        <f t="shared" si="43"/>
        <v>#DIV/0!</v>
      </c>
      <c r="W314" s="17" t="e">
        <f t="shared" si="44"/>
        <v>#DIV/0!</v>
      </c>
      <c r="X314" s="17" t="e">
        <f t="shared" si="45"/>
        <v>#DIV/0!</v>
      </c>
      <c r="Y314" s="19" t="e">
        <f t="shared" si="46"/>
        <v>#DIV/0!</v>
      </c>
      <c r="Z314">
        <v>0</v>
      </c>
      <c r="AA314">
        <v>0</v>
      </c>
      <c r="AB314">
        <v>0</v>
      </c>
      <c r="AC314">
        <v>3420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f t="shared" si="47"/>
        <v>3420</v>
      </c>
      <c r="BH314" t="s">
        <v>82</v>
      </c>
      <c r="BI314" t="s">
        <v>1069</v>
      </c>
      <c r="BJ314">
        <v>3420</v>
      </c>
      <c r="BK314">
        <v>0</v>
      </c>
      <c r="BL314">
        <v>3420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f t="shared" si="48"/>
        <v>0</v>
      </c>
      <c r="BS314">
        <f t="shared" si="49"/>
        <v>0</v>
      </c>
    </row>
    <row r="315" spans="1:74" x14ac:dyDescent="0.25">
      <c r="A315" s="5" t="s">
        <v>1661</v>
      </c>
      <c r="B315" s="5" t="s">
        <v>61</v>
      </c>
      <c r="C315" s="5" t="s">
        <v>61</v>
      </c>
      <c r="D315" s="1" t="s">
        <v>73</v>
      </c>
      <c r="E315">
        <v>0</v>
      </c>
      <c r="F315">
        <v>786</v>
      </c>
      <c r="G315">
        <v>0</v>
      </c>
      <c r="H315">
        <v>0</v>
      </c>
      <c r="I315">
        <v>0</v>
      </c>
      <c r="J315">
        <v>5060</v>
      </c>
      <c r="K315">
        <v>20</v>
      </c>
      <c r="L315">
        <v>20</v>
      </c>
      <c r="M315">
        <v>0</v>
      </c>
      <c r="N315">
        <v>0</v>
      </c>
      <c r="O315">
        <v>0</v>
      </c>
      <c r="P315">
        <v>7074</v>
      </c>
      <c r="Q315">
        <v>1075</v>
      </c>
      <c r="R315">
        <v>786</v>
      </c>
      <c r="S315" s="18">
        <f t="shared" si="40"/>
        <v>9</v>
      </c>
      <c r="T315" s="17">
        <f t="shared" si="41"/>
        <v>0</v>
      </c>
      <c r="U315" s="17">
        <f t="shared" si="42"/>
        <v>0</v>
      </c>
      <c r="V315" s="17">
        <f t="shared" si="43"/>
        <v>0</v>
      </c>
      <c r="W315" s="17">
        <f t="shared" si="44"/>
        <v>786</v>
      </c>
      <c r="X315" s="17">
        <f t="shared" si="45"/>
        <v>289</v>
      </c>
      <c r="Y315" s="19">
        <f t="shared" si="46"/>
        <v>0</v>
      </c>
      <c r="Z315">
        <v>786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5060</v>
      </c>
      <c r="AL315">
        <v>5060</v>
      </c>
      <c r="AM315">
        <v>0</v>
      </c>
      <c r="AN315">
        <v>0</v>
      </c>
      <c r="AO315">
        <v>20</v>
      </c>
      <c r="AP315">
        <v>20</v>
      </c>
      <c r="AQ315">
        <v>20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20</v>
      </c>
      <c r="BA315">
        <v>20</v>
      </c>
      <c r="BB315">
        <v>0</v>
      </c>
      <c r="BC315">
        <v>0</v>
      </c>
      <c r="BD315">
        <v>0</v>
      </c>
      <c r="BE315">
        <f t="shared" si="47"/>
        <v>10220</v>
      </c>
      <c r="BF315">
        <v>5886</v>
      </c>
      <c r="BG315">
        <v>5886</v>
      </c>
      <c r="BH315" t="s">
        <v>63</v>
      </c>
      <c r="BI315" t="s">
        <v>1667</v>
      </c>
      <c r="BJ315">
        <v>0</v>
      </c>
      <c r="BK315">
        <v>5100</v>
      </c>
      <c r="BL315">
        <v>5886</v>
      </c>
      <c r="BM315">
        <v>0</v>
      </c>
      <c r="BN315">
        <v>0</v>
      </c>
      <c r="BO315">
        <v>0</v>
      </c>
      <c r="BP315">
        <v>12174</v>
      </c>
      <c r="BQ315">
        <v>12174</v>
      </c>
      <c r="BR315">
        <f t="shared" si="48"/>
        <v>-289</v>
      </c>
      <c r="BS315">
        <f t="shared" si="49"/>
        <v>1861</v>
      </c>
      <c r="BU315">
        <f>R315*9</f>
        <v>7074</v>
      </c>
      <c r="BV315">
        <f>IF(BU315&gt;BG315, 1, 0)</f>
        <v>1</v>
      </c>
    </row>
    <row r="316" spans="1:74" x14ac:dyDescent="0.25">
      <c r="A316" s="5" t="s">
        <v>627</v>
      </c>
      <c r="B316" s="5" t="s">
        <v>359</v>
      </c>
      <c r="C316" s="5" t="s">
        <v>61</v>
      </c>
      <c r="D316" s="1" t="s">
        <v>65</v>
      </c>
      <c r="E316">
        <v>0</v>
      </c>
      <c r="F316">
        <v>3372</v>
      </c>
      <c r="G316">
        <v>0</v>
      </c>
      <c r="H316">
        <v>0</v>
      </c>
      <c r="I316">
        <v>2983</v>
      </c>
      <c r="J316">
        <v>0</v>
      </c>
      <c r="K316">
        <v>68</v>
      </c>
      <c r="L316">
        <v>0</v>
      </c>
      <c r="M316">
        <v>0</v>
      </c>
      <c r="N316">
        <v>0</v>
      </c>
      <c r="O316">
        <v>0</v>
      </c>
      <c r="P316">
        <v>6948</v>
      </c>
      <c r="Q316">
        <v>772</v>
      </c>
      <c r="R316">
        <v>772</v>
      </c>
      <c r="S316" s="18">
        <f t="shared" si="40"/>
        <v>9</v>
      </c>
      <c r="T316" s="17">
        <f t="shared" si="41"/>
        <v>0</v>
      </c>
      <c r="U316" s="17">
        <f t="shared" si="42"/>
        <v>0</v>
      </c>
      <c r="V316" s="17">
        <f t="shared" si="43"/>
        <v>0</v>
      </c>
      <c r="W316" s="17">
        <f t="shared" si="44"/>
        <v>772</v>
      </c>
      <c r="X316" s="17">
        <f t="shared" si="45"/>
        <v>0</v>
      </c>
      <c r="Y316" s="19" t="e">
        <f t="shared" si="46"/>
        <v>#DIV/0!</v>
      </c>
      <c r="Z316">
        <v>3372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2983</v>
      </c>
      <c r="AH316">
        <v>2983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68</v>
      </c>
      <c r="AP316">
        <v>0</v>
      </c>
      <c r="AQ316">
        <v>68</v>
      </c>
      <c r="AR316">
        <v>68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f t="shared" si="47"/>
        <v>6170</v>
      </c>
      <c r="BF316">
        <v>6423</v>
      </c>
      <c r="BG316">
        <v>6423</v>
      </c>
      <c r="BH316" t="s">
        <v>63</v>
      </c>
      <c r="BI316" t="s">
        <v>847</v>
      </c>
      <c r="BJ316">
        <v>0</v>
      </c>
      <c r="BK316">
        <v>3051</v>
      </c>
      <c r="BL316">
        <v>6423</v>
      </c>
      <c r="BM316">
        <v>0</v>
      </c>
      <c r="BN316">
        <v>0</v>
      </c>
      <c r="BO316">
        <v>0</v>
      </c>
      <c r="BP316">
        <v>9999</v>
      </c>
      <c r="BQ316">
        <v>9999</v>
      </c>
      <c r="BR316">
        <f t="shared" si="48"/>
        <v>0</v>
      </c>
      <c r="BS316">
        <f t="shared" si="49"/>
        <v>1544</v>
      </c>
      <c r="BU316">
        <f>R316*9</f>
        <v>6948</v>
      </c>
      <c r="BV316">
        <f>IF(BU316&gt;BG316, 1, 0)</f>
        <v>1</v>
      </c>
    </row>
    <row r="317" spans="1:74" x14ac:dyDescent="0.25">
      <c r="A317" s="5" t="s">
        <v>1017</v>
      </c>
      <c r="B317" s="5" t="s">
        <v>207</v>
      </c>
      <c r="C317" s="5" t="s">
        <v>61</v>
      </c>
      <c r="D317" s="1" t="s">
        <v>79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61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8" t="e">
        <f t="shared" si="40"/>
        <v>#DIV/0!</v>
      </c>
      <c r="T317" s="17" t="e">
        <f t="shared" si="41"/>
        <v>#DIV/0!</v>
      </c>
      <c r="U317" s="17" t="e">
        <f t="shared" si="42"/>
        <v>#DIV/0!</v>
      </c>
      <c r="V317" s="17" t="e">
        <f t="shared" si="43"/>
        <v>#DIV/0!</v>
      </c>
      <c r="W317" s="17" t="e">
        <f t="shared" si="44"/>
        <v>#DIV/0!</v>
      </c>
      <c r="X317" s="17" t="e">
        <f t="shared" si="45"/>
        <v>#DIV/0!</v>
      </c>
      <c r="Y317" s="19" t="e">
        <f t="shared" si="46"/>
        <v>#DIV/0!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61</v>
      </c>
      <c r="AP317">
        <v>61</v>
      </c>
      <c r="AQ317">
        <v>61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f t="shared" si="47"/>
        <v>183</v>
      </c>
      <c r="BF317">
        <v>61</v>
      </c>
      <c r="BG317">
        <v>61</v>
      </c>
      <c r="BH317" t="s">
        <v>190</v>
      </c>
      <c r="BI317" t="s">
        <v>1092</v>
      </c>
      <c r="BJ317">
        <v>0</v>
      </c>
      <c r="BK317">
        <v>61</v>
      </c>
      <c r="BL317">
        <v>61</v>
      </c>
      <c r="BM317">
        <v>0</v>
      </c>
      <c r="BN317">
        <v>0</v>
      </c>
      <c r="BO317">
        <v>0</v>
      </c>
      <c r="BP317">
        <v>61</v>
      </c>
      <c r="BQ317">
        <v>61</v>
      </c>
      <c r="BR317">
        <f t="shared" si="48"/>
        <v>0</v>
      </c>
      <c r="BS317">
        <f t="shared" si="49"/>
        <v>0</v>
      </c>
    </row>
    <row r="318" spans="1:74" x14ac:dyDescent="0.25">
      <c r="A318" s="5" t="s">
        <v>1017</v>
      </c>
      <c r="B318" s="5" t="s">
        <v>207</v>
      </c>
      <c r="C318" s="6" t="s">
        <v>61</v>
      </c>
      <c r="D318" s="1" t="s">
        <v>84</v>
      </c>
      <c r="E318">
        <v>0</v>
      </c>
      <c r="F318">
        <v>3800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8559</v>
      </c>
      <c r="Q318">
        <v>951</v>
      </c>
      <c r="R318">
        <v>951</v>
      </c>
      <c r="S318" s="18">
        <f t="shared" si="40"/>
        <v>9</v>
      </c>
      <c r="T318" s="17">
        <f t="shared" si="41"/>
        <v>0</v>
      </c>
      <c r="U318" s="17">
        <f t="shared" si="42"/>
        <v>0</v>
      </c>
      <c r="V318" s="17">
        <f t="shared" si="43"/>
        <v>0</v>
      </c>
      <c r="W318" s="17">
        <f t="shared" si="44"/>
        <v>951</v>
      </c>
      <c r="X318" s="17">
        <f t="shared" si="45"/>
        <v>0</v>
      </c>
      <c r="Y318" s="19" t="e">
        <f t="shared" si="46"/>
        <v>#DIV/0!</v>
      </c>
      <c r="Z318">
        <v>3800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f t="shared" si="47"/>
        <v>0</v>
      </c>
      <c r="BF318">
        <v>3800</v>
      </c>
      <c r="BG318">
        <v>3800</v>
      </c>
      <c r="BH318" t="s">
        <v>560</v>
      </c>
      <c r="BI318" t="s">
        <v>1094</v>
      </c>
      <c r="BJ318">
        <v>0</v>
      </c>
      <c r="BK318">
        <v>0</v>
      </c>
      <c r="BL318">
        <v>3800</v>
      </c>
      <c r="BM318">
        <v>0</v>
      </c>
      <c r="BN318">
        <v>0</v>
      </c>
      <c r="BO318">
        <v>0</v>
      </c>
      <c r="BP318">
        <v>8559</v>
      </c>
      <c r="BQ318">
        <v>8559</v>
      </c>
      <c r="BR318">
        <f t="shared" si="48"/>
        <v>0</v>
      </c>
      <c r="BS318">
        <f t="shared" si="49"/>
        <v>1902</v>
      </c>
    </row>
    <row r="319" spans="1:74" x14ac:dyDescent="0.25">
      <c r="A319" s="5" t="s">
        <v>1017</v>
      </c>
      <c r="B319" s="5" t="s">
        <v>207</v>
      </c>
      <c r="C319" s="7" t="s">
        <v>61</v>
      </c>
      <c r="D319" s="1" t="s">
        <v>86</v>
      </c>
      <c r="E319">
        <v>0</v>
      </c>
      <c r="F319">
        <v>4200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9459</v>
      </c>
      <c r="Q319">
        <v>1051</v>
      </c>
      <c r="R319">
        <v>1051</v>
      </c>
      <c r="S319" s="18">
        <f t="shared" si="40"/>
        <v>9</v>
      </c>
      <c r="T319" s="17">
        <f t="shared" si="41"/>
        <v>0</v>
      </c>
      <c r="U319" s="17">
        <f t="shared" si="42"/>
        <v>0</v>
      </c>
      <c r="V319" s="17">
        <f t="shared" si="43"/>
        <v>0</v>
      </c>
      <c r="W319" s="17">
        <f t="shared" si="44"/>
        <v>1051</v>
      </c>
      <c r="X319" s="17">
        <f t="shared" si="45"/>
        <v>0</v>
      </c>
      <c r="Y319" s="19" t="e">
        <f t="shared" si="46"/>
        <v>#DIV/0!</v>
      </c>
      <c r="Z319">
        <v>4200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f t="shared" si="47"/>
        <v>0</v>
      </c>
      <c r="BF319">
        <v>4200</v>
      </c>
      <c r="BG319">
        <v>4200</v>
      </c>
      <c r="BH319" t="s">
        <v>560</v>
      </c>
      <c r="BI319" t="s">
        <v>1095</v>
      </c>
      <c r="BJ319">
        <v>0</v>
      </c>
      <c r="BK319">
        <v>0</v>
      </c>
      <c r="BL319">
        <v>4200</v>
      </c>
      <c r="BM319">
        <v>0</v>
      </c>
      <c r="BN319">
        <v>0</v>
      </c>
      <c r="BO319">
        <v>0</v>
      </c>
      <c r="BP319">
        <v>9459</v>
      </c>
      <c r="BQ319">
        <v>9459</v>
      </c>
      <c r="BR319">
        <f t="shared" si="48"/>
        <v>0</v>
      </c>
      <c r="BS319">
        <f t="shared" si="49"/>
        <v>2102</v>
      </c>
    </row>
    <row r="320" spans="1:74" x14ac:dyDescent="0.25">
      <c r="A320" s="5" t="s">
        <v>1017</v>
      </c>
      <c r="B320" s="5" t="s">
        <v>207</v>
      </c>
      <c r="C320" s="5" t="s">
        <v>61</v>
      </c>
      <c r="D320" s="1" t="s">
        <v>88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8" t="e">
        <f t="shared" si="40"/>
        <v>#DIV/0!</v>
      </c>
      <c r="T320" s="17" t="e">
        <f t="shared" si="41"/>
        <v>#DIV/0!</v>
      </c>
      <c r="U320" s="17" t="e">
        <f t="shared" si="42"/>
        <v>#DIV/0!</v>
      </c>
      <c r="V320" s="17" t="e">
        <f t="shared" si="43"/>
        <v>#DIV/0!</v>
      </c>
      <c r="W320" s="17" t="e">
        <f t="shared" si="44"/>
        <v>#DIV/0!</v>
      </c>
      <c r="X320" s="17" t="e">
        <f t="shared" si="45"/>
        <v>#DIV/0!</v>
      </c>
      <c r="Y320" s="19" t="e">
        <f t="shared" si="46"/>
        <v>#DIV/0!</v>
      </c>
      <c r="Z320">
        <v>0</v>
      </c>
      <c r="AA320">
        <v>0</v>
      </c>
      <c r="AB320">
        <v>0</v>
      </c>
      <c r="AC320">
        <v>800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f t="shared" si="47"/>
        <v>800</v>
      </c>
      <c r="BH320" t="s">
        <v>109</v>
      </c>
      <c r="BI320" t="s">
        <v>1096</v>
      </c>
      <c r="BJ320">
        <v>800</v>
      </c>
      <c r="BK320">
        <v>0</v>
      </c>
      <c r="BL320">
        <v>800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f t="shared" si="48"/>
        <v>0</v>
      </c>
      <c r="BS320">
        <f t="shared" si="49"/>
        <v>0</v>
      </c>
    </row>
    <row r="321" spans="1:74" x14ac:dyDescent="0.25">
      <c r="A321" s="5" t="s">
        <v>1017</v>
      </c>
      <c r="B321" s="5" t="s">
        <v>207</v>
      </c>
      <c r="C321" s="5" t="s">
        <v>61</v>
      </c>
      <c r="D321" s="1" t="s">
        <v>92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8" t="e">
        <f t="shared" si="40"/>
        <v>#DIV/0!</v>
      </c>
      <c r="T321" s="17" t="e">
        <f t="shared" si="41"/>
        <v>#DIV/0!</v>
      </c>
      <c r="U321" s="17" t="e">
        <f t="shared" si="42"/>
        <v>#DIV/0!</v>
      </c>
      <c r="V321" s="17" t="e">
        <f t="shared" si="43"/>
        <v>#DIV/0!</v>
      </c>
      <c r="W321" s="17" t="e">
        <f t="shared" si="44"/>
        <v>#DIV/0!</v>
      </c>
      <c r="X321" s="17" t="e">
        <f t="shared" si="45"/>
        <v>#DIV/0!</v>
      </c>
      <c r="Y321" s="19" t="e">
        <f t="shared" si="46"/>
        <v>#DIV/0!</v>
      </c>
      <c r="Z321">
        <v>0</v>
      </c>
      <c r="AA321">
        <v>0</v>
      </c>
      <c r="AB321">
        <v>0</v>
      </c>
      <c r="AC321">
        <v>2773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250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181</v>
      </c>
      <c r="BA321">
        <v>181</v>
      </c>
      <c r="BB321">
        <v>0</v>
      </c>
      <c r="BC321">
        <v>0</v>
      </c>
      <c r="BD321">
        <v>0</v>
      </c>
      <c r="BE321">
        <f t="shared" si="47"/>
        <v>3385</v>
      </c>
      <c r="BF321">
        <v>181</v>
      </c>
      <c r="BG321">
        <v>181</v>
      </c>
      <c r="BH321" t="s">
        <v>190</v>
      </c>
      <c r="BI321" t="s">
        <v>1098</v>
      </c>
      <c r="BJ321">
        <v>2773</v>
      </c>
      <c r="BK321">
        <v>181</v>
      </c>
      <c r="BL321">
        <v>2954</v>
      </c>
      <c r="BM321">
        <v>0</v>
      </c>
      <c r="BN321">
        <v>0</v>
      </c>
      <c r="BO321">
        <v>0</v>
      </c>
      <c r="BP321">
        <v>181</v>
      </c>
      <c r="BQ321">
        <v>181</v>
      </c>
      <c r="BR321">
        <f t="shared" si="48"/>
        <v>0</v>
      </c>
      <c r="BS321">
        <f t="shared" si="49"/>
        <v>0</v>
      </c>
    </row>
    <row r="322" spans="1:74" x14ac:dyDescent="0.25">
      <c r="A322" s="5" t="s">
        <v>1017</v>
      </c>
      <c r="B322" s="5" t="s">
        <v>207</v>
      </c>
      <c r="C322" s="5" t="s">
        <v>61</v>
      </c>
      <c r="D322" s="1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8" t="e">
        <f t="shared" ref="S322:S385" si="50">(M322+N322+O322+P322)/R322</f>
        <v>#DIV/0!</v>
      </c>
      <c r="T322" s="17" t="e">
        <f t="shared" ref="T322:T385" si="51">M322/$S322</f>
        <v>#DIV/0!</v>
      </c>
      <c r="U322" s="17" t="e">
        <f t="shared" ref="U322:U385" si="52">N322/$S322</f>
        <v>#DIV/0!</v>
      </c>
      <c r="V322" s="17" t="e">
        <f t="shared" ref="V322:V385" si="53">O322/$S322</f>
        <v>#DIV/0!</v>
      </c>
      <c r="W322" s="17" t="e">
        <f t="shared" ref="W322:W385" si="54">P322/$S322</f>
        <v>#DIV/0!</v>
      </c>
      <c r="X322" s="17" t="e">
        <f t="shared" ref="X322:X385" si="55">Q322-T322-U322-W322</f>
        <v>#DIV/0!</v>
      </c>
      <c r="Y322" s="19" t="e">
        <f t="shared" ref="Y322:Y385" si="56">V322/X322</f>
        <v>#DIV/0!</v>
      </c>
      <c r="Z322">
        <v>0</v>
      </c>
      <c r="AA322">
        <v>0</v>
      </c>
      <c r="AB322">
        <v>0</v>
      </c>
      <c r="AC322">
        <v>887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f t="shared" ref="BE322:BE385" si="57">SUM(AC322:BD322)</f>
        <v>887</v>
      </c>
      <c r="BH322" t="s">
        <v>82</v>
      </c>
      <c r="BI322" t="s">
        <v>1099</v>
      </c>
      <c r="BJ322">
        <v>887</v>
      </c>
      <c r="BK322">
        <v>0</v>
      </c>
      <c r="BL322">
        <v>887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f t="shared" ref="BR322:BR385" si="58">R322-Q322</f>
        <v>0</v>
      </c>
      <c r="BS322">
        <f t="shared" ref="BS322:BS385" si="59">R322+Q322</f>
        <v>0</v>
      </c>
    </row>
    <row r="323" spans="1:74" x14ac:dyDescent="0.25">
      <c r="A323" s="5" t="s">
        <v>1017</v>
      </c>
      <c r="B323" s="5" t="s">
        <v>207</v>
      </c>
      <c r="C323" s="5" t="s">
        <v>61</v>
      </c>
      <c r="D323" s="1" t="s">
        <v>102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8" t="e">
        <f t="shared" si="50"/>
        <v>#DIV/0!</v>
      </c>
      <c r="T323" s="17" t="e">
        <f t="shared" si="51"/>
        <v>#DIV/0!</v>
      </c>
      <c r="U323" s="17" t="e">
        <f t="shared" si="52"/>
        <v>#DIV/0!</v>
      </c>
      <c r="V323" s="17" t="e">
        <f t="shared" si="53"/>
        <v>#DIV/0!</v>
      </c>
      <c r="W323" s="17" t="e">
        <f t="shared" si="54"/>
        <v>#DIV/0!</v>
      </c>
      <c r="X323" s="17" t="e">
        <f t="shared" si="55"/>
        <v>#DIV/0!</v>
      </c>
      <c r="Y323" s="19" t="e">
        <f t="shared" si="56"/>
        <v>#DIV/0!</v>
      </c>
      <c r="Z323">
        <v>0</v>
      </c>
      <c r="AA323">
        <v>0</v>
      </c>
      <c r="AB323">
        <v>0</v>
      </c>
      <c r="AC323">
        <v>8500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f t="shared" si="57"/>
        <v>8500</v>
      </c>
      <c r="BH323" t="s">
        <v>82</v>
      </c>
      <c r="BI323" t="s">
        <v>1103</v>
      </c>
      <c r="BJ323">
        <v>8500</v>
      </c>
      <c r="BK323">
        <v>0</v>
      </c>
      <c r="BL323">
        <v>8500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f t="shared" si="58"/>
        <v>0</v>
      </c>
      <c r="BS323">
        <f t="shared" si="59"/>
        <v>0</v>
      </c>
    </row>
    <row r="324" spans="1:74" x14ac:dyDescent="0.25">
      <c r="A324" s="5" t="s">
        <v>1017</v>
      </c>
      <c r="B324" s="5" t="s">
        <v>207</v>
      </c>
      <c r="C324" s="5" t="s">
        <v>61</v>
      </c>
      <c r="D324" s="1" t="s">
        <v>104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8" t="e">
        <f t="shared" si="50"/>
        <v>#DIV/0!</v>
      </c>
      <c r="T324" s="17" t="e">
        <f t="shared" si="51"/>
        <v>#DIV/0!</v>
      </c>
      <c r="U324" s="17" t="e">
        <f t="shared" si="52"/>
        <v>#DIV/0!</v>
      </c>
      <c r="V324" s="17" t="e">
        <f t="shared" si="53"/>
        <v>#DIV/0!</v>
      </c>
      <c r="W324" s="17" t="e">
        <f t="shared" si="54"/>
        <v>#DIV/0!</v>
      </c>
      <c r="X324" s="17" t="e">
        <f t="shared" si="55"/>
        <v>#DIV/0!</v>
      </c>
      <c r="Y324" s="19" t="e">
        <f t="shared" si="56"/>
        <v>#DIV/0!</v>
      </c>
      <c r="Z324">
        <v>0</v>
      </c>
      <c r="AA324">
        <v>0</v>
      </c>
      <c r="AB324">
        <v>0</v>
      </c>
      <c r="AC324">
        <v>1163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f t="shared" si="57"/>
        <v>1163</v>
      </c>
      <c r="BH324" t="s">
        <v>82</v>
      </c>
      <c r="BI324" t="s">
        <v>1104</v>
      </c>
      <c r="BJ324">
        <v>1163</v>
      </c>
      <c r="BK324">
        <v>0</v>
      </c>
      <c r="BL324">
        <v>1163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f t="shared" si="58"/>
        <v>0</v>
      </c>
      <c r="BS324">
        <f t="shared" si="59"/>
        <v>0</v>
      </c>
    </row>
    <row r="325" spans="1:74" x14ac:dyDescent="0.25">
      <c r="A325" s="5" t="s">
        <v>2090</v>
      </c>
      <c r="B325" s="5" t="s">
        <v>61</v>
      </c>
      <c r="C325" s="5" t="s">
        <v>61</v>
      </c>
      <c r="D325" s="1" t="s">
        <v>71</v>
      </c>
      <c r="E325">
        <v>0</v>
      </c>
      <c r="F325">
        <v>2694</v>
      </c>
      <c r="G325">
        <v>0</v>
      </c>
      <c r="H325">
        <v>0</v>
      </c>
      <c r="I325">
        <v>5251</v>
      </c>
      <c r="J325">
        <v>0</v>
      </c>
      <c r="K325">
        <v>0</v>
      </c>
      <c r="L325">
        <v>150</v>
      </c>
      <c r="M325">
        <v>0</v>
      </c>
      <c r="N325">
        <v>5949</v>
      </c>
      <c r="O325">
        <v>0</v>
      </c>
      <c r="P325">
        <v>0</v>
      </c>
      <c r="Q325">
        <v>661</v>
      </c>
      <c r="R325">
        <v>661</v>
      </c>
      <c r="S325" s="18">
        <f t="shared" si="50"/>
        <v>9</v>
      </c>
      <c r="T325" s="17">
        <f t="shared" si="51"/>
        <v>0</v>
      </c>
      <c r="U325" s="17">
        <f t="shared" si="52"/>
        <v>661</v>
      </c>
      <c r="V325" s="17">
        <f t="shared" si="53"/>
        <v>0</v>
      </c>
      <c r="W325" s="17">
        <f t="shared" si="54"/>
        <v>0</v>
      </c>
      <c r="X325" s="17">
        <f t="shared" si="55"/>
        <v>0</v>
      </c>
      <c r="Y325" s="19" t="e">
        <f t="shared" si="56"/>
        <v>#DIV/0!</v>
      </c>
      <c r="Z325">
        <v>2694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5251</v>
      </c>
      <c r="AH325">
        <v>5251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150</v>
      </c>
      <c r="BA325">
        <v>150</v>
      </c>
      <c r="BB325">
        <v>0</v>
      </c>
      <c r="BC325">
        <v>0</v>
      </c>
      <c r="BD325">
        <v>0</v>
      </c>
      <c r="BE325">
        <f t="shared" si="57"/>
        <v>10802</v>
      </c>
      <c r="BF325">
        <v>8647</v>
      </c>
      <c r="BG325">
        <v>8647</v>
      </c>
      <c r="BH325" t="s">
        <v>63</v>
      </c>
      <c r="BI325" t="s">
        <v>2095</v>
      </c>
      <c r="BJ325">
        <v>0</v>
      </c>
      <c r="BK325">
        <v>5401</v>
      </c>
      <c r="BL325">
        <v>8095</v>
      </c>
      <c r="BM325">
        <v>0</v>
      </c>
      <c r="BN325">
        <v>5949</v>
      </c>
      <c r="BO325">
        <v>0</v>
      </c>
      <c r="BP325">
        <v>5401</v>
      </c>
      <c r="BQ325">
        <v>11350</v>
      </c>
      <c r="BR325">
        <f t="shared" si="58"/>
        <v>0</v>
      </c>
      <c r="BS325">
        <f t="shared" si="59"/>
        <v>1322</v>
      </c>
      <c r="BU325">
        <f>R325*9</f>
        <v>5949</v>
      </c>
      <c r="BV325">
        <f>IF(BU325&gt;BG325, 1, 0)</f>
        <v>0</v>
      </c>
    </row>
    <row r="326" spans="1:74" x14ac:dyDescent="0.25">
      <c r="A326" s="5" t="s">
        <v>1017</v>
      </c>
      <c r="B326" s="5" t="s">
        <v>207</v>
      </c>
      <c r="C326" s="5" t="s">
        <v>207</v>
      </c>
      <c r="D326" s="1" t="s">
        <v>69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640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8" t="e">
        <f t="shared" si="50"/>
        <v>#DIV/0!</v>
      </c>
      <c r="T326" s="17" t="e">
        <f t="shared" si="51"/>
        <v>#DIV/0!</v>
      </c>
      <c r="U326" s="17" t="e">
        <f t="shared" si="52"/>
        <v>#DIV/0!</v>
      </c>
      <c r="V326" s="17" t="e">
        <f t="shared" si="53"/>
        <v>#DIV/0!</v>
      </c>
      <c r="W326" s="17" t="e">
        <f t="shared" si="54"/>
        <v>#DIV/0!</v>
      </c>
      <c r="X326" s="17" t="e">
        <f t="shared" si="55"/>
        <v>#DIV/0!</v>
      </c>
      <c r="Y326" s="19" t="e">
        <f t="shared" si="56"/>
        <v>#DIV/0!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640</v>
      </c>
      <c r="AL326">
        <v>640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f t="shared" si="57"/>
        <v>1280</v>
      </c>
      <c r="BF326">
        <v>640</v>
      </c>
      <c r="BG326">
        <v>640</v>
      </c>
      <c r="BH326" t="s">
        <v>190</v>
      </c>
      <c r="BI326" t="s">
        <v>1111</v>
      </c>
      <c r="BJ326">
        <v>0</v>
      </c>
      <c r="BK326">
        <v>640</v>
      </c>
      <c r="BL326">
        <v>640</v>
      </c>
      <c r="BM326">
        <v>0</v>
      </c>
      <c r="BN326">
        <v>0</v>
      </c>
      <c r="BO326">
        <v>0</v>
      </c>
      <c r="BP326">
        <v>640</v>
      </c>
      <c r="BQ326">
        <v>640</v>
      </c>
      <c r="BR326">
        <f t="shared" si="58"/>
        <v>0</v>
      </c>
      <c r="BS326">
        <f t="shared" si="59"/>
        <v>0</v>
      </c>
    </row>
    <row r="327" spans="1:74" x14ac:dyDescent="0.25">
      <c r="A327" s="5" t="s">
        <v>1017</v>
      </c>
      <c r="B327" s="5" t="s">
        <v>207</v>
      </c>
      <c r="C327" s="5" t="s">
        <v>207</v>
      </c>
      <c r="D327" s="1" t="s">
        <v>79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235</v>
      </c>
      <c r="K327">
        <v>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8" t="e">
        <f t="shared" si="50"/>
        <v>#DIV/0!</v>
      </c>
      <c r="T327" s="17" t="e">
        <f t="shared" si="51"/>
        <v>#DIV/0!</v>
      </c>
      <c r="U327" s="17" t="e">
        <f t="shared" si="52"/>
        <v>#DIV/0!</v>
      </c>
      <c r="V327" s="17" t="e">
        <f t="shared" si="53"/>
        <v>#DIV/0!</v>
      </c>
      <c r="W327" s="17" t="e">
        <f t="shared" si="54"/>
        <v>#DIV/0!</v>
      </c>
      <c r="X327" s="17" t="e">
        <f t="shared" si="55"/>
        <v>#DIV/0!</v>
      </c>
      <c r="Y327" s="19" t="e">
        <f t="shared" si="56"/>
        <v>#DIV/0!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235</v>
      </c>
      <c r="AL327">
        <v>235</v>
      </c>
      <c r="AM327">
        <v>0</v>
      </c>
      <c r="AN327">
        <v>0</v>
      </c>
      <c r="AO327">
        <v>5</v>
      </c>
      <c r="AP327">
        <v>0</v>
      </c>
      <c r="AQ327">
        <v>5</v>
      </c>
      <c r="AR327">
        <v>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f t="shared" si="57"/>
        <v>485</v>
      </c>
      <c r="BF327">
        <v>240</v>
      </c>
      <c r="BG327">
        <v>240</v>
      </c>
      <c r="BH327" t="s">
        <v>199</v>
      </c>
      <c r="BI327" t="s">
        <v>1116</v>
      </c>
      <c r="BJ327">
        <v>0</v>
      </c>
      <c r="BK327">
        <v>240</v>
      </c>
      <c r="BL327">
        <v>240</v>
      </c>
      <c r="BM327">
        <v>0</v>
      </c>
      <c r="BN327">
        <v>0</v>
      </c>
      <c r="BO327">
        <v>0</v>
      </c>
      <c r="BP327">
        <v>240</v>
      </c>
      <c r="BQ327">
        <v>240</v>
      </c>
      <c r="BR327">
        <f t="shared" si="58"/>
        <v>0</v>
      </c>
      <c r="BS327">
        <f t="shared" si="59"/>
        <v>0</v>
      </c>
    </row>
    <row r="328" spans="1:74" x14ac:dyDescent="0.25">
      <c r="A328" s="5" t="s">
        <v>1017</v>
      </c>
      <c r="B328" s="5" t="s">
        <v>359</v>
      </c>
      <c r="C328" s="5" t="s">
        <v>61</v>
      </c>
      <c r="D328" s="1" t="s">
        <v>65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3195</v>
      </c>
      <c r="Q328">
        <v>355</v>
      </c>
      <c r="R328">
        <v>355</v>
      </c>
      <c r="S328" s="18">
        <f t="shared" si="50"/>
        <v>9</v>
      </c>
      <c r="T328" s="17">
        <f t="shared" si="51"/>
        <v>0</v>
      </c>
      <c r="U328" s="17">
        <f t="shared" si="52"/>
        <v>0</v>
      </c>
      <c r="V328" s="17">
        <f t="shared" si="53"/>
        <v>0</v>
      </c>
      <c r="W328" s="17">
        <f t="shared" si="54"/>
        <v>355</v>
      </c>
      <c r="X328" s="17">
        <f t="shared" si="55"/>
        <v>0</v>
      </c>
      <c r="Y328" s="19" t="e">
        <f t="shared" si="56"/>
        <v>#DIV/0!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f t="shared" si="57"/>
        <v>0</v>
      </c>
      <c r="BH328" t="s">
        <v>109</v>
      </c>
      <c r="BI328" t="s">
        <v>1120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3195</v>
      </c>
      <c r="BQ328">
        <v>3195</v>
      </c>
      <c r="BR328">
        <f t="shared" si="58"/>
        <v>0</v>
      </c>
      <c r="BS328">
        <f t="shared" si="59"/>
        <v>710</v>
      </c>
    </row>
    <row r="329" spans="1:74" x14ac:dyDescent="0.25">
      <c r="A329" s="5" t="s">
        <v>1017</v>
      </c>
      <c r="B329" s="5" t="s">
        <v>359</v>
      </c>
      <c r="C329" s="5" t="s">
        <v>61</v>
      </c>
      <c r="D329" s="1" t="s">
        <v>67</v>
      </c>
      <c r="E329">
        <v>0</v>
      </c>
      <c r="F329">
        <v>519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4671</v>
      </c>
      <c r="Q329">
        <v>519</v>
      </c>
      <c r="R329">
        <v>519</v>
      </c>
      <c r="S329" s="18">
        <f t="shared" si="50"/>
        <v>9</v>
      </c>
      <c r="T329" s="17">
        <f t="shared" si="51"/>
        <v>0</v>
      </c>
      <c r="U329" s="17">
        <f t="shared" si="52"/>
        <v>0</v>
      </c>
      <c r="V329" s="17">
        <f t="shared" si="53"/>
        <v>0</v>
      </c>
      <c r="W329" s="17">
        <f t="shared" si="54"/>
        <v>519</v>
      </c>
      <c r="X329" s="17">
        <f t="shared" si="55"/>
        <v>0</v>
      </c>
      <c r="Y329" s="19" t="e">
        <f t="shared" si="56"/>
        <v>#DIV/0!</v>
      </c>
      <c r="Z329">
        <v>519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320</v>
      </c>
      <c r="AL329">
        <v>320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f t="shared" si="57"/>
        <v>640</v>
      </c>
      <c r="BF329">
        <v>839</v>
      </c>
      <c r="BG329">
        <v>839</v>
      </c>
      <c r="BH329" t="s">
        <v>109</v>
      </c>
      <c r="BI329" t="s">
        <v>1121</v>
      </c>
      <c r="BJ329">
        <v>0</v>
      </c>
      <c r="BK329">
        <v>320</v>
      </c>
      <c r="BL329">
        <v>839</v>
      </c>
      <c r="BM329">
        <v>0</v>
      </c>
      <c r="BN329">
        <v>0</v>
      </c>
      <c r="BO329">
        <v>0</v>
      </c>
      <c r="BP329">
        <v>4991</v>
      </c>
      <c r="BQ329">
        <v>4991</v>
      </c>
      <c r="BR329">
        <f t="shared" si="58"/>
        <v>0</v>
      </c>
      <c r="BS329">
        <f t="shared" si="59"/>
        <v>1038</v>
      </c>
    </row>
    <row r="330" spans="1:74" x14ac:dyDescent="0.25">
      <c r="A330" s="5" t="s">
        <v>1017</v>
      </c>
      <c r="B330" s="5" t="s">
        <v>359</v>
      </c>
      <c r="C330" s="5" t="s">
        <v>61</v>
      </c>
      <c r="D330" s="1" t="s">
        <v>71</v>
      </c>
      <c r="E330">
        <v>0</v>
      </c>
      <c r="F330">
        <v>578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6552</v>
      </c>
      <c r="N330">
        <v>0</v>
      </c>
      <c r="O330">
        <v>0</v>
      </c>
      <c r="P330">
        <v>0</v>
      </c>
      <c r="Q330">
        <v>728</v>
      </c>
      <c r="R330">
        <v>728</v>
      </c>
      <c r="S330" s="18">
        <f t="shared" si="50"/>
        <v>9</v>
      </c>
      <c r="T330" s="17">
        <f t="shared" si="51"/>
        <v>728</v>
      </c>
      <c r="U330" s="17">
        <f t="shared" si="52"/>
        <v>0</v>
      </c>
      <c r="V330" s="17">
        <f t="shared" si="53"/>
        <v>0</v>
      </c>
      <c r="W330" s="17">
        <f t="shared" si="54"/>
        <v>0</v>
      </c>
      <c r="X330" s="17">
        <f t="shared" si="55"/>
        <v>0</v>
      </c>
      <c r="Y330" s="19" t="e">
        <f t="shared" si="56"/>
        <v>#DIV/0!</v>
      </c>
      <c r="Z330">
        <v>728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f t="shared" si="57"/>
        <v>0</v>
      </c>
      <c r="BF330">
        <v>728</v>
      </c>
      <c r="BG330">
        <v>728</v>
      </c>
      <c r="BH330" t="s">
        <v>109</v>
      </c>
      <c r="BI330" t="s">
        <v>1123</v>
      </c>
      <c r="BJ330">
        <v>0</v>
      </c>
      <c r="BK330">
        <v>0</v>
      </c>
      <c r="BL330">
        <v>728</v>
      </c>
      <c r="BM330">
        <v>6552</v>
      </c>
      <c r="BN330">
        <v>0</v>
      </c>
      <c r="BO330">
        <v>0</v>
      </c>
      <c r="BP330">
        <v>0</v>
      </c>
      <c r="BQ330">
        <v>6552</v>
      </c>
      <c r="BR330">
        <f t="shared" si="58"/>
        <v>0</v>
      </c>
      <c r="BS330">
        <f t="shared" si="59"/>
        <v>1456</v>
      </c>
    </row>
    <row r="331" spans="1:74" x14ac:dyDescent="0.25">
      <c r="A331" s="5" t="s">
        <v>1017</v>
      </c>
      <c r="B331" s="5" t="s">
        <v>359</v>
      </c>
      <c r="C331" s="5" t="s">
        <v>61</v>
      </c>
      <c r="D331" s="1" t="s">
        <v>73</v>
      </c>
      <c r="E331">
        <v>0</v>
      </c>
      <c r="F331">
        <v>1500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1710</v>
      </c>
      <c r="N331">
        <v>0</v>
      </c>
      <c r="O331">
        <v>0</v>
      </c>
      <c r="P331">
        <v>0</v>
      </c>
      <c r="Q331">
        <v>190</v>
      </c>
      <c r="R331">
        <v>190</v>
      </c>
      <c r="S331" s="18">
        <f t="shared" si="50"/>
        <v>9</v>
      </c>
      <c r="T331" s="17">
        <f t="shared" si="51"/>
        <v>190</v>
      </c>
      <c r="U331" s="17">
        <f t="shared" si="52"/>
        <v>0</v>
      </c>
      <c r="V331" s="17">
        <f t="shared" si="53"/>
        <v>0</v>
      </c>
      <c r="W331" s="17">
        <f t="shared" si="54"/>
        <v>0</v>
      </c>
      <c r="X331" s="17">
        <f t="shared" si="55"/>
        <v>0</v>
      </c>
      <c r="Y331" s="19" t="e">
        <f t="shared" si="56"/>
        <v>#DIV/0!</v>
      </c>
      <c r="Z331">
        <v>1500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f t="shared" si="57"/>
        <v>0</v>
      </c>
      <c r="BF331">
        <v>1500</v>
      </c>
      <c r="BG331">
        <v>1500</v>
      </c>
      <c r="BH331" t="s">
        <v>109</v>
      </c>
      <c r="BI331" t="s">
        <v>1124</v>
      </c>
      <c r="BJ331">
        <v>0</v>
      </c>
      <c r="BK331">
        <v>0</v>
      </c>
      <c r="BL331">
        <v>1500</v>
      </c>
      <c r="BM331">
        <v>1710</v>
      </c>
      <c r="BN331">
        <v>0</v>
      </c>
      <c r="BO331">
        <v>0</v>
      </c>
      <c r="BP331">
        <v>0</v>
      </c>
      <c r="BQ331">
        <v>1710</v>
      </c>
      <c r="BR331">
        <f t="shared" si="58"/>
        <v>0</v>
      </c>
      <c r="BS331">
        <f t="shared" si="59"/>
        <v>380</v>
      </c>
    </row>
    <row r="332" spans="1:74" x14ac:dyDescent="0.25">
      <c r="A332" s="5" t="s">
        <v>1017</v>
      </c>
      <c r="B332" s="5" t="s">
        <v>359</v>
      </c>
      <c r="C332" s="5" t="s">
        <v>61</v>
      </c>
      <c r="D332" s="1" t="s">
        <v>75</v>
      </c>
      <c r="E332">
        <v>0</v>
      </c>
      <c r="F332">
        <v>373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3357</v>
      </c>
      <c r="N332">
        <v>0</v>
      </c>
      <c r="O332">
        <v>0</v>
      </c>
      <c r="P332">
        <v>0</v>
      </c>
      <c r="Q332">
        <v>373</v>
      </c>
      <c r="R332">
        <v>373</v>
      </c>
      <c r="S332" s="18">
        <f t="shared" si="50"/>
        <v>9</v>
      </c>
      <c r="T332" s="17">
        <f t="shared" si="51"/>
        <v>373</v>
      </c>
      <c r="U332" s="17">
        <f t="shared" si="52"/>
        <v>0</v>
      </c>
      <c r="V332" s="17">
        <f t="shared" si="53"/>
        <v>0</v>
      </c>
      <c r="W332" s="17">
        <f t="shared" si="54"/>
        <v>0</v>
      </c>
      <c r="X332" s="17">
        <f t="shared" si="55"/>
        <v>0</v>
      </c>
      <c r="Y332" s="19" t="e">
        <f t="shared" si="56"/>
        <v>#DIV/0!</v>
      </c>
      <c r="Z332">
        <v>373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f t="shared" si="57"/>
        <v>0</v>
      </c>
      <c r="BF332">
        <v>373</v>
      </c>
      <c r="BG332">
        <v>373</v>
      </c>
      <c r="BH332" t="s">
        <v>109</v>
      </c>
      <c r="BI332" t="s">
        <v>1125</v>
      </c>
      <c r="BJ332">
        <v>0</v>
      </c>
      <c r="BK332">
        <v>0</v>
      </c>
      <c r="BL332">
        <v>373</v>
      </c>
      <c r="BM332">
        <v>3357</v>
      </c>
      <c r="BN332">
        <v>0</v>
      </c>
      <c r="BO332">
        <v>0</v>
      </c>
      <c r="BP332">
        <v>0</v>
      </c>
      <c r="BQ332">
        <v>3357</v>
      </c>
      <c r="BR332">
        <f t="shared" si="58"/>
        <v>0</v>
      </c>
      <c r="BS332">
        <f t="shared" si="59"/>
        <v>746</v>
      </c>
    </row>
    <row r="333" spans="1:74" x14ac:dyDescent="0.25">
      <c r="A333" s="5" t="s">
        <v>1017</v>
      </c>
      <c r="B333" s="5" t="s">
        <v>359</v>
      </c>
      <c r="C333" s="5" t="s">
        <v>61</v>
      </c>
      <c r="D333" s="1" t="s">
        <v>81</v>
      </c>
      <c r="E333">
        <v>0</v>
      </c>
      <c r="F333">
        <v>35</v>
      </c>
      <c r="G333">
        <v>0</v>
      </c>
      <c r="H333">
        <v>0</v>
      </c>
      <c r="I333">
        <v>0</v>
      </c>
      <c r="J333">
        <v>282</v>
      </c>
      <c r="K333">
        <v>102</v>
      </c>
      <c r="L333">
        <v>0</v>
      </c>
      <c r="M333">
        <v>0</v>
      </c>
      <c r="N333">
        <v>0</v>
      </c>
      <c r="O333">
        <v>0</v>
      </c>
      <c r="P333">
        <v>630</v>
      </c>
      <c r="Q333">
        <v>70</v>
      </c>
      <c r="R333">
        <v>70</v>
      </c>
      <c r="S333" s="18">
        <f t="shared" si="50"/>
        <v>9</v>
      </c>
      <c r="T333" s="17">
        <f t="shared" si="51"/>
        <v>0</v>
      </c>
      <c r="U333" s="17">
        <f t="shared" si="52"/>
        <v>0</v>
      </c>
      <c r="V333" s="17">
        <f t="shared" si="53"/>
        <v>0</v>
      </c>
      <c r="W333" s="17">
        <f t="shared" si="54"/>
        <v>70</v>
      </c>
      <c r="X333" s="17">
        <f t="shared" si="55"/>
        <v>0</v>
      </c>
      <c r="Y333" s="19" t="e">
        <f t="shared" si="56"/>
        <v>#DIV/0!</v>
      </c>
      <c r="Z333">
        <v>35</v>
      </c>
      <c r="AA333">
        <v>0</v>
      </c>
      <c r="AB333">
        <v>0</v>
      </c>
      <c r="AC333">
        <v>90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282</v>
      </c>
      <c r="AL333">
        <v>282</v>
      </c>
      <c r="AM333">
        <v>0</v>
      </c>
      <c r="AN333">
        <v>0</v>
      </c>
      <c r="AO333">
        <v>102</v>
      </c>
      <c r="AP333">
        <v>0</v>
      </c>
      <c r="AQ333">
        <v>102</v>
      </c>
      <c r="AR333">
        <v>102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f t="shared" si="57"/>
        <v>960</v>
      </c>
      <c r="BF333">
        <v>509</v>
      </c>
      <c r="BG333">
        <v>509</v>
      </c>
      <c r="BH333" t="s">
        <v>190</v>
      </c>
      <c r="BI333" t="s">
        <v>1127</v>
      </c>
      <c r="BJ333">
        <v>90</v>
      </c>
      <c r="BK333">
        <v>384</v>
      </c>
      <c r="BL333">
        <v>509</v>
      </c>
      <c r="BM333">
        <v>0</v>
      </c>
      <c r="BN333">
        <v>0</v>
      </c>
      <c r="BO333">
        <v>0</v>
      </c>
      <c r="BP333">
        <v>1014</v>
      </c>
      <c r="BQ333">
        <v>1014</v>
      </c>
      <c r="BR333">
        <f t="shared" si="58"/>
        <v>0</v>
      </c>
      <c r="BS333">
        <f t="shared" si="59"/>
        <v>140</v>
      </c>
    </row>
    <row r="334" spans="1:74" x14ac:dyDescent="0.25">
      <c r="A334" s="5" t="s">
        <v>1017</v>
      </c>
      <c r="B334" s="5" t="s">
        <v>359</v>
      </c>
      <c r="C334" s="5" t="s">
        <v>61</v>
      </c>
      <c r="D334" s="1" t="s">
        <v>96</v>
      </c>
      <c r="E334">
        <v>0</v>
      </c>
      <c r="F334">
        <v>217</v>
      </c>
      <c r="G334">
        <v>0</v>
      </c>
      <c r="H334">
        <v>0</v>
      </c>
      <c r="I334">
        <v>146</v>
      </c>
      <c r="J334">
        <v>0</v>
      </c>
      <c r="K334">
        <v>70</v>
      </c>
      <c r="L334">
        <v>0</v>
      </c>
      <c r="M334">
        <v>0</v>
      </c>
      <c r="N334">
        <v>0</v>
      </c>
      <c r="O334">
        <v>0</v>
      </c>
      <c r="P334">
        <v>763</v>
      </c>
      <c r="Q334">
        <v>87</v>
      </c>
      <c r="R334">
        <v>87</v>
      </c>
      <c r="S334" s="18">
        <f t="shared" si="50"/>
        <v>8.7701149425287355</v>
      </c>
      <c r="T334" s="17">
        <f t="shared" si="51"/>
        <v>0</v>
      </c>
      <c r="U334" s="17">
        <f t="shared" si="52"/>
        <v>0</v>
      </c>
      <c r="V334" s="17">
        <f t="shared" si="53"/>
        <v>0</v>
      </c>
      <c r="W334" s="17">
        <f t="shared" si="54"/>
        <v>87</v>
      </c>
      <c r="X334" s="17">
        <f t="shared" si="55"/>
        <v>0</v>
      </c>
      <c r="Y334" s="19" t="e">
        <f t="shared" si="56"/>
        <v>#DIV/0!</v>
      </c>
      <c r="Z334">
        <v>217</v>
      </c>
      <c r="AA334">
        <v>0</v>
      </c>
      <c r="AB334">
        <v>100</v>
      </c>
      <c r="AC334">
        <v>0</v>
      </c>
      <c r="AD334">
        <v>0</v>
      </c>
      <c r="AE334">
        <v>0</v>
      </c>
      <c r="AF334">
        <v>0</v>
      </c>
      <c r="AG334">
        <v>146</v>
      </c>
      <c r="AH334">
        <v>146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70</v>
      </c>
      <c r="AP334">
        <v>0</v>
      </c>
      <c r="AQ334">
        <v>70</v>
      </c>
      <c r="AR334">
        <v>70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f t="shared" si="57"/>
        <v>502</v>
      </c>
      <c r="BF334">
        <v>763</v>
      </c>
      <c r="BG334">
        <v>763</v>
      </c>
      <c r="BH334" t="s">
        <v>82</v>
      </c>
      <c r="BI334" t="s">
        <v>1134</v>
      </c>
      <c r="BJ334">
        <v>100</v>
      </c>
      <c r="BK334">
        <v>216</v>
      </c>
      <c r="BL334">
        <v>533</v>
      </c>
      <c r="BM334">
        <v>0</v>
      </c>
      <c r="BN334">
        <v>0</v>
      </c>
      <c r="BO334">
        <v>0</v>
      </c>
      <c r="BP334">
        <v>979</v>
      </c>
      <c r="BQ334">
        <v>979</v>
      </c>
      <c r="BR334">
        <f t="shared" si="58"/>
        <v>0</v>
      </c>
      <c r="BS334">
        <f t="shared" si="59"/>
        <v>174</v>
      </c>
    </row>
    <row r="335" spans="1:74" x14ac:dyDescent="0.25">
      <c r="A335" s="5" t="s">
        <v>1017</v>
      </c>
      <c r="B335" s="5" t="s">
        <v>207</v>
      </c>
      <c r="C335" s="5" t="s">
        <v>61</v>
      </c>
      <c r="D335" s="1" t="s">
        <v>75</v>
      </c>
      <c r="E335">
        <v>0</v>
      </c>
      <c r="F335">
        <v>3944</v>
      </c>
      <c r="G335">
        <v>0</v>
      </c>
      <c r="H335">
        <v>0</v>
      </c>
      <c r="I335">
        <v>0</v>
      </c>
      <c r="J335">
        <v>0</v>
      </c>
      <c r="K335">
        <v>9251</v>
      </c>
      <c r="L335">
        <v>0</v>
      </c>
      <c r="M335">
        <v>0</v>
      </c>
      <c r="N335">
        <v>2430</v>
      </c>
      <c r="O335">
        <v>0</v>
      </c>
      <c r="P335">
        <v>3510</v>
      </c>
      <c r="Q335">
        <v>660</v>
      </c>
      <c r="R335">
        <v>660</v>
      </c>
      <c r="S335" s="18">
        <f t="shared" si="50"/>
        <v>9</v>
      </c>
      <c r="T335" s="17">
        <f t="shared" si="51"/>
        <v>0</v>
      </c>
      <c r="U335" s="17">
        <f t="shared" si="52"/>
        <v>270</v>
      </c>
      <c r="V335" s="17">
        <f t="shared" si="53"/>
        <v>0</v>
      </c>
      <c r="W335" s="17">
        <f t="shared" si="54"/>
        <v>390</v>
      </c>
      <c r="X335" s="17">
        <f t="shared" si="55"/>
        <v>0</v>
      </c>
      <c r="Y335" s="19" t="e">
        <f t="shared" si="56"/>
        <v>#DIV/0!</v>
      </c>
      <c r="Z335">
        <v>3944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9251</v>
      </c>
      <c r="AP335">
        <v>4000</v>
      </c>
      <c r="AQ335">
        <v>9251</v>
      </c>
      <c r="AR335">
        <v>5251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f t="shared" si="57"/>
        <v>27753</v>
      </c>
      <c r="BF335">
        <v>13195</v>
      </c>
      <c r="BG335">
        <v>13195</v>
      </c>
      <c r="BH335" t="s">
        <v>543</v>
      </c>
      <c r="BI335" t="s">
        <v>1090</v>
      </c>
      <c r="BJ335">
        <v>0</v>
      </c>
      <c r="BK335">
        <v>9251</v>
      </c>
      <c r="BL335">
        <v>13195</v>
      </c>
      <c r="BM335">
        <v>0</v>
      </c>
      <c r="BN335">
        <v>2430</v>
      </c>
      <c r="BO335">
        <v>0</v>
      </c>
      <c r="BP335">
        <v>12761</v>
      </c>
      <c r="BQ335">
        <v>15191</v>
      </c>
      <c r="BR335">
        <f t="shared" si="58"/>
        <v>0</v>
      </c>
      <c r="BS335">
        <f t="shared" si="59"/>
        <v>1320</v>
      </c>
      <c r="BU335">
        <f>R335*9</f>
        <v>5940</v>
      </c>
      <c r="BV335">
        <f>IF(BU335&gt;BG335, 1, 0)</f>
        <v>0</v>
      </c>
    </row>
    <row r="336" spans="1:74" x14ac:dyDescent="0.25">
      <c r="A336" s="5" t="s">
        <v>1451</v>
      </c>
      <c r="B336" s="5" t="s">
        <v>61</v>
      </c>
      <c r="C336" s="5" t="s">
        <v>207</v>
      </c>
      <c r="D336" s="1" t="s">
        <v>67</v>
      </c>
      <c r="E336">
        <v>0</v>
      </c>
      <c r="F336">
        <v>6204</v>
      </c>
      <c r="G336">
        <v>0</v>
      </c>
      <c r="H336">
        <v>0</v>
      </c>
      <c r="I336">
        <v>1368</v>
      </c>
      <c r="J336">
        <v>0</v>
      </c>
      <c r="K336">
        <v>376</v>
      </c>
      <c r="L336">
        <v>0</v>
      </c>
      <c r="M336">
        <v>0</v>
      </c>
      <c r="N336">
        <v>5922</v>
      </c>
      <c r="O336">
        <v>0</v>
      </c>
      <c r="P336">
        <v>0</v>
      </c>
      <c r="Q336">
        <v>658</v>
      </c>
      <c r="R336">
        <v>658</v>
      </c>
      <c r="S336" s="18">
        <f t="shared" si="50"/>
        <v>9</v>
      </c>
      <c r="T336" s="17">
        <f t="shared" si="51"/>
        <v>0</v>
      </c>
      <c r="U336" s="17">
        <f t="shared" si="52"/>
        <v>658</v>
      </c>
      <c r="V336" s="17">
        <f t="shared" si="53"/>
        <v>0</v>
      </c>
      <c r="W336" s="17">
        <f t="shared" si="54"/>
        <v>0</v>
      </c>
      <c r="X336" s="17">
        <f t="shared" si="55"/>
        <v>0</v>
      </c>
      <c r="Y336" s="19" t="e">
        <f t="shared" si="56"/>
        <v>#DIV/0!</v>
      </c>
      <c r="Z336">
        <v>6204</v>
      </c>
      <c r="AA336">
        <v>0</v>
      </c>
      <c r="AB336">
        <v>0</v>
      </c>
      <c r="AC336">
        <v>0</v>
      </c>
      <c r="AD336">
        <v>0</v>
      </c>
      <c r="AE336">
        <v>1368</v>
      </c>
      <c r="AF336">
        <v>0</v>
      </c>
      <c r="AG336">
        <v>0</v>
      </c>
      <c r="AH336">
        <v>1368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376</v>
      </c>
      <c r="AP336">
        <v>333</v>
      </c>
      <c r="AQ336">
        <v>376</v>
      </c>
      <c r="AR336">
        <v>43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f t="shared" si="57"/>
        <v>3864</v>
      </c>
      <c r="BF336">
        <v>8928</v>
      </c>
      <c r="BG336">
        <v>8928</v>
      </c>
      <c r="BH336" t="s">
        <v>63</v>
      </c>
      <c r="BI336" t="s">
        <v>1472</v>
      </c>
      <c r="BJ336">
        <v>0</v>
      </c>
      <c r="BK336">
        <v>1744</v>
      </c>
      <c r="BL336">
        <v>7948</v>
      </c>
      <c r="BM336">
        <v>0</v>
      </c>
      <c r="BN336">
        <v>7290</v>
      </c>
      <c r="BO336">
        <v>0</v>
      </c>
      <c r="BP336">
        <v>376</v>
      </c>
      <c r="BQ336">
        <v>7666</v>
      </c>
      <c r="BR336">
        <f t="shared" si="58"/>
        <v>0</v>
      </c>
      <c r="BS336">
        <f t="shared" si="59"/>
        <v>1316</v>
      </c>
      <c r="BU336">
        <f>R336*9</f>
        <v>5922</v>
      </c>
      <c r="BV336">
        <f>IF(BU336&gt;BG336, 1, 0)</f>
        <v>0</v>
      </c>
    </row>
    <row r="337" spans="1:74" x14ac:dyDescent="0.25">
      <c r="A337" s="5" t="s">
        <v>1135</v>
      </c>
      <c r="B337" s="5" t="s">
        <v>207</v>
      </c>
      <c r="C337" s="5" t="s">
        <v>61</v>
      </c>
      <c r="D337" s="1" t="s">
        <v>88</v>
      </c>
      <c r="E337">
        <v>0</v>
      </c>
      <c r="F337">
        <v>9000</v>
      </c>
      <c r="G337">
        <v>2042</v>
      </c>
      <c r="H337">
        <v>620</v>
      </c>
      <c r="I337">
        <v>0</v>
      </c>
      <c r="J337">
        <v>11521</v>
      </c>
      <c r="K337">
        <v>150</v>
      </c>
      <c r="L337">
        <v>750</v>
      </c>
      <c r="M337">
        <v>0</v>
      </c>
      <c r="N337">
        <v>0</v>
      </c>
      <c r="O337">
        <v>0</v>
      </c>
      <c r="P337">
        <v>5850</v>
      </c>
      <c r="Q337">
        <v>820</v>
      </c>
      <c r="R337">
        <v>650</v>
      </c>
      <c r="S337" s="18">
        <f t="shared" si="50"/>
        <v>9</v>
      </c>
      <c r="T337" s="17">
        <f t="shared" si="51"/>
        <v>0</v>
      </c>
      <c r="U337" s="17">
        <f t="shared" si="52"/>
        <v>0</v>
      </c>
      <c r="V337" s="17">
        <f t="shared" si="53"/>
        <v>0</v>
      </c>
      <c r="W337" s="17">
        <f t="shared" si="54"/>
        <v>650</v>
      </c>
      <c r="X337" s="17">
        <f t="shared" si="55"/>
        <v>170</v>
      </c>
      <c r="Y337" s="19">
        <f t="shared" si="56"/>
        <v>0</v>
      </c>
      <c r="Z337">
        <v>9000</v>
      </c>
      <c r="AA337">
        <v>0</v>
      </c>
      <c r="AB337">
        <v>0</v>
      </c>
      <c r="AC337">
        <v>400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11521</v>
      </c>
      <c r="AK337">
        <v>0</v>
      </c>
      <c r="AL337">
        <v>11521</v>
      </c>
      <c r="AM337">
        <v>0</v>
      </c>
      <c r="AN337">
        <v>150</v>
      </c>
      <c r="AO337">
        <v>0</v>
      </c>
      <c r="AP337">
        <v>100</v>
      </c>
      <c r="AQ337">
        <v>150</v>
      </c>
      <c r="AR337">
        <v>50</v>
      </c>
      <c r="AS337">
        <v>2042</v>
      </c>
      <c r="AT337">
        <v>0</v>
      </c>
      <c r="AU337">
        <v>2042</v>
      </c>
      <c r="AV337">
        <v>2042</v>
      </c>
      <c r="AW337">
        <v>0</v>
      </c>
      <c r="AX337">
        <v>0</v>
      </c>
      <c r="AY337">
        <v>750</v>
      </c>
      <c r="AZ337">
        <v>0</v>
      </c>
      <c r="BA337">
        <v>750</v>
      </c>
      <c r="BB337">
        <v>620</v>
      </c>
      <c r="BC337">
        <v>0</v>
      </c>
      <c r="BD337">
        <v>620</v>
      </c>
      <c r="BE337">
        <f t="shared" si="57"/>
        <v>32758</v>
      </c>
      <c r="BF337">
        <v>24483</v>
      </c>
      <c r="BG337">
        <v>24483</v>
      </c>
      <c r="BH337" t="s">
        <v>543</v>
      </c>
      <c r="BI337" t="s">
        <v>1208</v>
      </c>
      <c r="BJ337">
        <v>400</v>
      </c>
      <c r="BK337">
        <v>15083</v>
      </c>
      <c r="BL337">
        <v>24483</v>
      </c>
      <c r="BM337">
        <v>0</v>
      </c>
      <c r="BN337">
        <v>15083</v>
      </c>
      <c r="BO337">
        <v>0</v>
      </c>
      <c r="BP337">
        <v>5850</v>
      </c>
      <c r="BQ337">
        <v>20933</v>
      </c>
      <c r="BR337">
        <f t="shared" si="58"/>
        <v>-170</v>
      </c>
      <c r="BS337">
        <f t="shared" si="59"/>
        <v>1470</v>
      </c>
      <c r="BU337">
        <f>R337*9</f>
        <v>5850</v>
      </c>
      <c r="BV337">
        <f>IF(BU337&gt;BG337, 1, 0)</f>
        <v>0</v>
      </c>
    </row>
    <row r="338" spans="1:74" x14ac:dyDescent="0.25">
      <c r="A338" s="5" t="s">
        <v>1135</v>
      </c>
      <c r="B338" s="5" t="s">
        <v>207</v>
      </c>
      <c r="C338" s="5" t="s">
        <v>207</v>
      </c>
      <c r="D338" s="1" t="s">
        <v>69</v>
      </c>
      <c r="E338">
        <v>0</v>
      </c>
      <c r="F338">
        <v>1620</v>
      </c>
      <c r="G338">
        <v>0</v>
      </c>
      <c r="H338">
        <v>0</v>
      </c>
      <c r="I338">
        <v>4224</v>
      </c>
      <c r="J338">
        <v>0</v>
      </c>
      <c r="K338">
        <v>1040</v>
      </c>
      <c r="L338">
        <v>0</v>
      </c>
      <c r="M338">
        <v>0</v>
      </c>
      <c r="N338">
        <v>5391</v>
      </c>
      <c r="O338">
        <v>0</v>
      </c>
      <c r="P338">
        <v>0</v>
      </c>
      <c r="Q338">
        <v>599</v>
      </c>
      <c r="R338">
        <v>599</v>
      </c>
      <c r="S338" s="18">
        <f t="shared" si="50"/>
        <v>9</v>
      </c>
      <c r="T338" s="17">
        <f t="shared" si="51"/>
        <v>0</v>
      </c>
      <c r="U338" s="17">
        <f t="shared" si="52"/>
        <v>599</v>
      </c>
      <c r="V338" s="17">
        <f t="shared" si="53"/>
        <v>0</v>
      </c>
      <c r="W338" s="17">
        <f t="shared" si="54"/>
        <v>0</v>
      </c>
      <c r="X338" s="17">
        <f t="shared" si="55"/>
        <v>0</v>
      </c>
      <c r="Y338" s="19" t="e">
        <f t="shared" si="56"/>
        <v>#DIV/0!</v>
      </c>
      <c r="Z338">
        <v>1620</v>
      </c>
      <c r="AA338">
        <v>0</v>
      </c>
      <c r="AB338">
        <v>0</v>
      </c>
      <c r="AC338">
        <v>0</v>
      </c>
      <c r="AD338">
        <v>0</v>
      </c>
      <c r="AE338">
        <v>4224</v>
      </c>
      <c r="AF338">
        <v>0</v>
      </c>
      <c r="AG338">
        <v>0</v>
      </c>
      <c r="AH338">
        <v>4224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1040</v>
      </c>
      <c r="AO338">
        <v>0</v>
      </c>
      <c r="AP338">
        <v>1040</v>
      </c>
      <c r="AQ338">
        <v>1040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f t="shared" si="57"/>
        <v>11568</v>
      </c>
      <c r="BF338">
        <v>6884</v>
      </c>
      <c r="BG338">
        <v>6884</v>
      </c>
      <c r="BH338" t="s">
        <v>543</v>
      </c>
      <c r="BI338" t="s">
        <v>1258</v>
      </c>
      <c r="BJ338">
        <v>0</v>
      </c>
      <c r="BK338">
        <v>5264</v>
      </c>
      <c r="BL338">
        <v>6884</v>
      </c>
      <c r="BM338">
        <v>0</v>
      </c>
      <c r="BN338">
        <v>10655</v>
      </c>
      <c r="BO338">
        <v>0</v>
      </c>
      <c r="BP338">
        <v>0</v>
      </c>
      <c r="BQ338">
        <v>10655</v>
      </c>
      <c r="BR338">
        <f t="shared" si="58"/>
        <v>0</v>
      </c>
      <c r="BS338">
        <f t="shared" si="59"/>
        <v>1198</v>
      </c>
      <c r="BU338">
        <f>R338*9</f>
        <v>5391</v>
      </c>
      <c r="BV338">
        <f>IF(BU338&gt;BG338, 1, 0)</f>
        <v>0</v>
      </c>
    </row>
    <row r="339" spans="1:74" x14ac:dyDescent="0.25">
      <c r="A339" s="5" t="s">
        <v>1135</v>
      </c>
      <c r="B339" s="5" t="s">
        <v>61</v>
      </c>
      <c r="C339" s="5" t="s">
        <v>61</v>
      </c>
      <c r="D339" s="1" t="s">
        <v>86</v>
      </c>
      <c r="E339">
        <v>0</v>
      </c>
      <c r="F339">
        <v>577</v>
      </c>
      <c r="G339">
        <v>0</v>
      </c>
      <c r="H339">
        <v>0</v>
      </c>
      <c r="I339">
        <v>670</v>
      </c>
      <c r="J339">
        <v>0</v>
      </c>
      <c r="K339">
        <v>0</v>
      </c>
      <c r="L339">
        <v>0</v>
      </c>
      <c r="M339">
        <v>5193</v>
      </c>
      <c r="N339">
        <v>0</v>
      </c>
      <c r="O339">
        <v>0</v>
      </c>
      <c r="P339">
        <v>0</v>
      </c>
      <c r="Q339">
        <v>577</v>
      </c>
      <c r="R339">
        <v>577</v>
      </c>
      <c r="S339" s="18">
        <f t="shared" si="50"/>
        <v>9</v>
      </c>
      <c r="T339" s="17">
        <f t="shared" si="51"/>
        <v>577</v>
      </c>
      <c r="U339" s="17">
        <f t="shared" si="52"/>
        <v>0</v>
      </c>
      <c r="V339" s="17">
        <f t="shared" si="53"/>
        <v>0</v>
      </c>
      <c r="W339" s="17">
        <f t="shared" si="54"/>
        <v>0</v>
      </c>
      <c r="X339" s="17">
        <f t="shared" si="55"/>
        <v>0</v>
      </c>
      <c r="Y339" s="19" t="e">
        <f t="shared" si="56"/>
        <v>#DIV/0!</v>
      </c>
      <c r="Z339">
        <v>577</v>
      </c>
      <c r="AA339">
        <v>0</v>
      </c>
      <c r="AB339">
        <v>0</v>
      </c>
      <c r="AC339">
        <v>0</v>
      </c>
      <c r="AD339">
        <v>670</v>
      </c>
      <c r="AE339">
        <v>0</v>
      </c>
      <c r="AF339">
        <v>0</v>
      </c>
      <c r="AG339">
        <v>0</v>
      </c>
      <c r="AH339">
        <v>670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f t="shared" si="57"/>
        <v>1340</v>
      </c>
      <c r="BF339">
        <v>1247</v>
      </c>
      <c r="BG339">
        <v>1247</v>
      </c>
      <c r="BH339" t="s">
        <v>109</v>
      </c>
      <c r="BI339" t="s">
        <v>1024</v>
      </c>
      <c r="BJ339">
        <v>0</v>
      </c>
      <c r="BK339">
        <v>670</v>
      </c>
      <c r="BL339">
        <v>1247</v>
      </c>
      <c r="BM339">
        <v>5863</v>
      </c>
      <c r="BN339">
        <v>0</v>
      </c>
      <c r="BO339">
        <v>0</v>
      </c>
      <c r="BP339">
        <v>0</v>
      </c>
      <c r="BQ339">
        <v>5863</v>
      </c>
      <c r="BR339">
        <f t="shared" si="58"/>
        <v>0</v>
      </c>
      <c r="BS339">
        <f t="shared" si="59"/>
        <v>1154</v>
      </c>
    </row>
    <row r="340" spans="1:74" x14ac:dyDescent="0.25">
      <c r="A340" s="5" t="s">
        <v>1135</v>
      </c>
      <c r="B340" s="5" t="s">
        <v>61</v>
      </c>
      <c r="C340" s="5" t="s">
        <v>61</v>
      </c>
      <c r="D340" s="1" t="s">
        <v>127</v>
      </c>
      <c r="E340">
        <v>0</v>
      </c>
      <c r="F340">
        <v>12398</v>
      </c>
      <c r="G340">
        <v>0</v>
      </c>
      <c r="H340">
        <v>0</v>
      </c>
      <c r="I340">
        <v>1103</v>
      </c>
      <c r="J340">
        <v>1300</v>
      </c>
      <c r="K340">
        <v>425</v>
      </c>
      <c r="L340">
        <v>0</v>
      </c>
      <c r="M340">
        <v>0</v>
      </c>
      <c r="N340">
        <v>0</v>
      </c>
      <c r="O340">
        <v>0</v>
      </c>
      <c r="P340">
        <v>8649</v>
      </c>
      <c r="Q340">
        <v>961</v>
      </c>
      <c r="R340">
        <v>961</v>
      </c>
      <c r="S340" s="18">
        <f t="shared" si="50"/>
        <v>9</v>
      </c>
      <c r="T340" s="17">
        <f t="shared" si="51"/>
        <v>0</v>
      </c>
      <c r="U340" s="17">
        <f t="shared" si="52"/>
        <v>0</v>
      </c>
      <c r="V340" s="17">
        <f t="shared" si="53"/>
        <v>0</v>
      </c>
      <c r="W340" s="17">
        <f t="shared" si="54"/>
        <v>961</v>
      </c>
      <c r="X340" s="17">
        <f t="shared" si="55"/>
        <v>0</v>
      </c>
      <c r="Y340" s="19" t="e">
        <f t="shared" si="56"/>
        <v>#DIV/0!</v>
      </c>
      <c r="Z340">
        <v>12398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1103</v>
      </c>
      <c r="AH340">
        <v>1103</v>
      </c>
      <c r="AI340">
        <v>0</v>
      </c>
      <c r="AJ340">
        <v>0</v>
      </c>
      <c r="AK340">
        <v>1300</v>
      </c>
      <c r="AL340">
        <v>1300</v>
      </c>
      <c r="AM340">
        <v>0</v>
      </c>
      <c r="AN340">
        <v>0</v>
      </c>
      <c r="AO340">
        <v>425</v>
      </c>
      <c r="AP340">
        <v>425</v>
      </c>
      <c r="AQ340">
        <v>425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f t="shared" si="57"/>
        <v>6081</v>
      </c>
      <c r="BF340">
        <v>15226</v>
      </c>
      <c r="BG340">
        <v>15226</v>
      </c>
      <c r="BH340" t="s">
        <v>560</v>
      </c>
      <c r="BI340" t="s">
        <v>1162</v>
      </c>
      <c r="BJ340">
        <v>0</v>
      </c>
      <c r="BK340">
        <v>2828</v>
      </c>
      <c r="BL340">
        <v>15226</v>
      </c>
      <c r="BM340">
        <v>0</v>
      </c>
      <c r="BN340">
        <v>0</v>
      </c>
      <c r="BO340">
        <v>0</v>
      </c>
      <c r="BP340">
        <v>11477</v>
      </c>
      <c r="BQ340">
        <v>11477</v>
      </c>
      <c r="BR340">
        <f t="shared" si="58"/>
        <v>0</v>
      </c>
      <c r="BS340">
        <f t="shared" si="59"/>
        <v>1922</v>
      </c>
    </row>
    <row r="341" spans="1:74" x14ac:dyDescent="0.25">
      <c r="A341" s="5" t="s">
        <v>1135</v>
      </c>
      <c r="B341" s="5" t="s">
        <v>61</v>
      </c>
      <c r="C341" s="5" t="s">
        <v>61</v>
      </c>
      <c r="D341" s="1" t="s">
        <v>131</v>
      </c>
      <c r="E341">
        <v>0</v>
      </c>
      <c r="F341">
        <v>1460</v>
      </c>
      <c r="G341">
        <v>0</v>
      </c>
      <c r="H341">
        <v>0</v>
      </c>
      <c r="I341">
        <v>675</v>
      </c>
      <c r="J341">
        <v>0</v>
      </c>
      <c r="K341">
        <v>20</v>
      </c>
      <c r="L341">
        <v>0</v>
      </c>
      <c r="M341">
        <v>0</v>
      </c>
      <c r="N341">
        <v>2745</v>
      </c>
      <c r="O341">
        <v>0</v>
      </c>
      <c r="P341">
        <v>0</v>
      </c>
      <c r="Q341">
        <v>305</v>
      </c>
      <c r="R341">
        <v>305</v>
      </c>
      <c r="S341" s="18">
        <f t="shared" si="50"/>
        <v>9</v>
      </c>
      <c r="T341" s="17">
        <f t="shared" si="51"/>
        <v>0</v>
      </c>
      <c r="U341" s="17">
        <f t="shared" si="52"/>
        <v>305</v>
      </c>
      <c r="V341" s="17">
        <f t="shared" si="53"/>
        <v>0</v>
      </c>
      <c r="W341" s="17">
        <f t="shared" si="54"/>
        <v>0</v>
      </c>
      <c r="X341" s="17">
        <f t="shared" si="55"/>
        <v>0</v>
      </c>
      <c r="Y341" s="19" t="e">
        <f t="shared" si="56"/>
        <v>#DIV/0!</v>
      </c>
      <c r="Z341">
        <v>1460</v>
      </c>
      <c r="AA341">
        <v>0</v>
      </c>
      <c r="AB341">
        <v>0</v>
      </c>
      <c r="AC341">
        <v>142</v>
      </c>
      <c r="AD341">
        <v>0</v>
      </c>
      <c r="AE341">
        <v>0</v>
      </c>
      <c r="AF341">
        <v>0</v>
      </c>
      <c r="AG341">
        <v>675</v>
      </c>
      <c r="AH341">
        <v>675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20</v>
      </c>
      <c r="AP341">
        <v>20</v>
      </c>
      <c r="AQ341">
        <v>20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f t="shared" si="57"/>
        <v>1552</v>
      </c>
      <c r="BF341">
        <v>2297</v>
      </c>
      <c r="BG341">
        <v>2297</v>
      </c>
      <c r="BH341" t="s">
        <v>109</v>
      </c>
      <c r="BI341" t="s">
        <v>1164</v>
      </c>
      <c r="BJ341">
        <v>142</v>
      </c>
      <c r="BK341">
        <v>695</v>
      </c>
      <c r="BL341">
        <v>2297</v>
      </c>
      <c r="BM341">
        <v>0</v>
      </c>
      <c r="BN341">
        <v>2745</v>
      </c>
      <c r="BO341">
        <v>0</v>
      </c>
      <c r="BP341">
        <v>695</v>
      </c>
      <c r="BQ341">
        <v>3440</v>
      </c>
      <c r="BR341">
        <f t="shared" si="58"/>
        <v>0</v>
      </c>
      <c r="BS341">
        <f t="shared" si="59"/>
        <v>610</v>
      </c>
    </row>
    <row r="342" spans="1:74" x14ac:dyDescent="0.25">
      <c r="A342" s="5" t="s">
        <v>1135</v>
      </c>
      <c r="B342" s="5" t="s">
        <v>61</v>
      </c>
      <c r="C342" s="5" t="s">
        <v>61</v>
      </c>
      <c r="D342" s="1" t="s">
        <v>135</v>
      </c>
      <c r="E342">
        <v>0</v>
      </c>
      <c r="F342">
        <v>1732</v>
      </c>
      <c r="G342">
        <v>0</v>
      </c>
      <c r="H342">
        <v>0</v>
      </c>
      <c r="I342">
        <v>45</v>
      </c>
      <c r="J342">
        <v>0</v>
      </c>
      <c r="K342">
        <v>0</v>
      </c>
      <c r="L342">
        <v>0</v>
      </c>
      <c r="M342">
        <v>0</v>
      </c>
      <c r="N342">
        <v>2322</v>
      </c>
      <c r="O342">
        <v>0</v>
      </c>
      <c r="P342">
        <v>0</v>
      </c>
      <c r="Q342">
        <v>258</v>
      </c>
      <c r="R342">
        <v>258</v>
      </c>
      <c r="S342" s="18">
        <f t="shared" si="50"/>
        <v>9</v>
      </c>
      <c r="T342" s="17">
        <f t="shared" si="51"/>
        <v>0</v>
      </c>
      <c r="U342" s="17">
        <f t="shared" si="52"/>
        <v>258</v>
      </c>
      <c r="V342" s="17">
        <f t="shared" si="53"/>
        <v>0</v>
      </c>
      <c r="W342" s="17">
        <f t="shared" si="54"/>
        <v>0</v>
      </c>
      <c r="X342" s="17">
        <f t="shared" si="55"/>
        <v>0</v>
      </c>
      <c r="Y342" s="19" t="e">
        <f t="shared" si="56"/>
        <v>#DIV/0!</v>
      </c>
      <c r="Z342">
        <v>1732</v>
      </c>
      <c r="AA342">
        <v>0</v>
      </c>
      <c r="AB342">
        <v>0</v>
      </c>
      <c r="AC342">
        <v>0</v>
      </c>
      <c r="AD342">
        <v>45</v>
      </c>
      <c r="AE342">
        <v>0</v>
      </c>
      <c r="AF342">
        <v>0</v>
      </c>
      <c r="AG342">
        <v>0</v>
      </c>
      <c r="AH342">
        <v>45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f t="shared" si="57"/>
        <v>90</v>
      </c>
      <c r="BF342">
        <v>1777</v>
      </c>
      <c r="BG342">
        <v>1777</v>
      </c>
      <c r="BH342" t="s">
        <v>109</v>
      </c>
      <c r="BI342" t="s">
        <v>1166</v>
      </c>
      <c r="BJ342">
        <v>0</v>
      </c>
      <c r="BK342">
        <v>45</v>
      </c>
      <c r="BL342">
        <v>1777</v>
      </c>
      <c r="BM342">
        <v>45</v>
      </c>
      <c r="BN342">
        <v>2322</v>
      </c>
      <c r="BO342">
        <v>0</v>
      </c>
      <c r="BP342">
        <v>0</v>
      </c>
      <c r="BQ342">
        <v>2367</v>
      </c>
      <c r="BR342">
        <f t="shared" si="58"/>
        <v>0</v>
      </c>
      <c r="BS342">
        <f t="shared" si="59"/>
        <v>516</v>
      </c>
    </row>
    <row r="343" spans="1:74" x14ac:dyDescent="0.25">
      <c r="A343" s="5" t="s">
        <v>1135</v>
      </c>
      <c r="B343" s="5" t="s">
        <v>61</v>
      </c>
      <c r="C343" s="5" t="s">
        <v>61</v>
      </c>
      <c r="D343" s="1" t="s">
        <v>139</v>
      </c>
      <c r="E343">
        <v>0</v>
      </c>
      <c r="F343">
        <v>402</v>
      </c>
      <c r="G343">
        <v>0</v>
      </c>
      <c r="H343">
        <v>0</v>
      </c>
      <c r="I343">
        <v>70</v>
      </c>
      <c r="J343">
        <v>0</v>
      </c>
      <c r="K343">
        <v>0</v>
      </c>
      <c r="L343">
        <v>0</v>
      </c>
      <c r="M343">
        <v>0</v>
      </c>
      <c r="N343">
        <v>603</v>
      </c>
      <c r="O343">
        <v>0</v>
      </c>
      <c r="P343">
        <v>0</v>
      </c>
      <c r="Q343">
        <v>67</v>
      </c>
      <c r="R343">
        <v>67</v>
      </c>
      <c r="S343" s="18">
        <f t="shared" si="50"/>
        <v>9</v>
      </c>
      <c r="T343" s="17">
        <f t="shared" si="51"/>
        <v>0</v>
      </c>
      <c r="U343" s="17">
        <f t="shared" si="52"/>
        <v>67</v>
      </c>
      <c r="V343" s="17">
        <f t="shared" si="53"/>
        <v>0</v>
      </c>
      <c r="W343" s="17">
        <f t="shared" si="54"/>
        <v>0</v>
      </c>
      <c r="X343" s="17">
        <f t="shared" si="55"/>
        <v>0</v>
      </c>
      <c r="Y343" s="19" t="e">
        <f t="shared" si="56"/>
        <v>#DIV/0!</v>
      </c>
      <c r="Z343">
        <v>402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70</v>
      </c>
      <c r="AH343">
        <v>70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f t="shared" si="57"/>
        <v>140</v>
      </c>
      <c r="BF343">
        <v>472</v>
      </c>
      <c r="BG343">
        <v>472</v>
      </c>
      <c r="BH343" t="s">
        <v>109</v>
      </c>
      <c r="BI343" t="s">
        <v>1168</v>
      </c>
      <c r="BJ343">
        <v>0</v>
      </c>
      <c r="BK343">
        <v>70</v>
      </c>
      <c r="BL343">
        <v>472</v>
      </c>
      <c r="BM343">
        <v>0</v>
      </c>
      <c r="BN343">
        <v>603</v>
      </c>
      <c r="BO343">
        <v>0</v>
      </c>
      <c r="BP343">
        <v>70</v>
      </c>
      <c r="BQ343">
        <v>673</v>
      </c>
      <c r="BR343">
        <f t="shared" si="58"/>
        <v>0</v>
      </c>
      <c r="BS343">
        <f t="shared" si="59"/>
        <v>134</v>
      </c>
    </row>
    <row r="344" spans="1:74" x14ac:dyDescent="0.25">
      <c r="A344" s="5" t="s">
        <v>1135</v>
      </c>
      <c r="B344" s="5" t="s">
        <v>61</v>
      </c>
      <c r="C344" s="5" t="s">
        <v>61</v>
      </c>
      <c r="D344" s="1" t="s">
        <v>151</v>
      </c>
      <c r="E344">
        <v>0</v>
      </c>
      <c r="F344">
        <v>84</v>
      </c>
      <c r="G344">
        <v>0</v>
      </c>
      <c r="H344">
        <v>0</v>
      </c>
      <c r="I344">
        <v>115</v>
      </c>
      <c r="J344">
        <v>0</v>
      </c>
      <c r="K344">
        <v>20</v>
      </c>
      <c r="L344">
        <v>0</v>
      </c>
      <c r="M344">
        <v>0</v>
      </c>
      <c r="N344">
        <v>0</v>
      </c>
      <c r="O344">
        <v>0</v>
      </c>
      <c r="P344">
        <v>756</v>
      </c>
      <c r="Q344">
        <v>84</v>
      </c>
      <c r="R344">
        <v>84</v>
      </c>
      <c r="S344" s="18">
        <f t="shared" si="50"/>
        <v>9</v>
      </c>
      <c r="T344" s="17">
        <f t="shared" si="51"/>
        <v>0</v>
      </c>
      <c r="U344" s="17">
        <f t="shared" si="52"/>
        <v>0</v>
      </c>
      <c r="V344" s="17">
        <f t="shared" si="53"/>
        <v>0</v>
      </c>
      <c r="W344" s="17">
        <f t="shared" si="54"/>
        <v>84</v>
      </c>
      <c r="X344" s="17">
        <f t="shared" si="55"/>
        <v>0</v>
      </c>
      <c r="Y344" s="19" t="e">
        <f t="shared" si="56"/>
        <v>#DIV/0!</v>
      </c>
      <c r="Z344">
        <v>84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45</v>
      </c>
      <c r="AG344">
        <v>70</v>
      </c>
      <c r="AH344">
        <v>115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20</v>
      </c>
      <c r="AP344">
        <v>0</v>
      </c>
      <c r="AQ344">
        <v>20</v>
      </c>
      <c r="AR344">
        <v>20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f t="shared" si="57"/>
        <v>290</v>
      </c>
      <c r="BF344">
        <v>219</v>
      </c>
      <c r="BG344">
        <v>219</v>
      </c>
      <c r="BH344" t="s">
        <v>109</v>
      </c>
      <c r="BI344" t="s">
        <v>1174</v>
      </c>
      <c r="BJ344">
        <v>0</v>
      </c>
      <c r="BK344">
        <v>135</v>
      </c>
      <c r="BL344">
        <v>219</v>
      </c>
      <c r="BM344">
        <v>0</v>
      </c>
      <c r="BN344">
        <v>0</v>
      </c>
      <c r="BO344">
        <v>45</v>
      </c>
      <c r="BP344">
        <v>846</v>
      </c>
      <c r="BQ344">
        <v>891</v>
      </c>
      <c r="BR344">
        <f t="shared" si="58"/>
        <v>0</v>
      </c>
      <c r="BS344">
        <f t="shared" si="59"/>
        <v>168</v>
      </c>
    </row>
    <row r="345" spans="1:74" x14ac:dyDescent="0.25">
      <c r="A345" s="5" t="s">
        <v>1135</v>
      </c>
      <c r="B345" s="5" t="s">
        <v>61</v>
      </c>
      <c r="C345" s="5" t="s">
        <v>61</v>
      </c>
      <c r="D345" s="1" t="s">
        <v>155</v>
      </c>
      <c r="E345">
        <v>0</v>
      </c>
      <c r="F345">
        <v>0</v>
      </c>
      <c r="G345">
        <v>0</v>
      </c>
      <c r="H345">
        <v>0</v>
      </c>
      <c r="I345">
        <v>40</v>
      </c>
      <c r="J345">
        <v>73</v>
      </c>
      <c r="K345">
        <v>45</v>
      </c>
      <c r="L345">
        <v>40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8" t="e">
        <f t="shared" si="50"/>
        <v>#DIV/0!</v>
      </c>
      <c r="T345" s="17" t="e">
        <f t="shared" si="51"/>
        <v>#DIV/0!</v>
      </c>
      <c r="U345" s="17" t="e">
        <f t="shared" si="52"/>
        <v>#DIV/0!</v>
      </c>
      <c r="V345" s="17" t="e">
        <f t="shared" si="53"/>
        <v>#DIV/0!</v>
      </c>
      <c r="W345" s="17" t="e">
        <f t="shared" si="54"/>
        <v>#DIV/0!</v>
      </c>
      <c r="X345" s="17" t="e">
        <f t="shared" si="55"/>
        <v>#DIV/0!</v>
      </c>
      <c r="Y345" s="19" t="e">
        <f t="shared" si="56"/>
        <v>#DIV/0!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40</v>
      </c>
      <c r="AH345">
        <v>40</v>
      </c>
      <c r="AI345">
        <v>0</v>
      </c>
      <c r="AJ345">
        <v>0</v>
      </c>
      <c r="AK345">
        <v>73</v>
      </c>
      <c r="AL345">
        <v>73</v>
      </c>
      <c r="AM345">
        <v>0</v>
      </c>
      <c r="AN345">
        <v>0</v>
      </c>
      <c r="AO345">
        <v>45</v>
      </c>
      <c r="AP345">
        <v>45</v>
      </c>
      <c r="AQ345">
        <v>45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40</v>
      </c>
      <c r="BA345">
        <v>40</v>
      </c>
      <c r="BB345">
        <v>0</v>
      </c>
      <c r="BC345">
        <v>0</v>
      </c>
      <c r="BD345">
        <v>0</v>
      </c>
      <c r="BE345">
        <f t="shared" si="57"/>
        <v>441</v>
      </c>
      <c r="BF345">
        <v>198</v>
      </c>
      <c r="BG345">
        <v>198</v>
      </c>
      <c r="BH345" t="s">
        <v>190</v>
      </c>
      <c r="BI345" t="s">
        <v>1176</v>
      </c>
      <c r="BJ345">
        <v>0</v>
      </c>
      <c r="BK345">
        <v>198</v>
      </c>
      <c r="BL345">
        <v>198</v>
      </c>
      <c r="BM345">
        <v>0</v>
      </c>
      <c r="BN345">
        <v>0</v>
      </c>
      <c r="BO345">
        <v>0</v>
      </c>
      <c r="BP345">
        <v>198</v>
      </c>
      <c r="BQ345">
        <v>198</v>
      </c>
      <c r="BR345">
        <f t="shared" si="58"/>
        <v>0</v>
      </c>
      <c r="BS345">
        <f t="shared" si="59"/>
        <v>0</v>
      </c>
    </row>
    <row r="346" spans="1:74" x14ac:dyDescent="0.25">
      <c r="A346" s="5" t="s">
        <v>1135</v>
      </c>
      <c r="B346" s="5" t="s">
        <v>61</v>
      </c>
      <c r="C346" s="5" t="s">
        <v>61</v>
      </c>
      <c r="D346" s="1" t="s">
        <v>157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400</v>
      </c>
      <c r="K346">
        <v>150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8" t="e">
        <f t="shared" si="50"/>
        <v>#DIV/0!</v>
      </c>
      <c r="T346" s="17" t="e">
        <f t="shared" si="51"/>
        <v>#DIV/0!</v>
      </c>
      <c r="U346" s="17" t="e">
        <f t="shared" si="52"/>
        <v>#DIV/0!</v>
      </c>
      <c r="V346" s="17" t="e">
        <f t="shared" si="53"/>
        <v>#DIV/0!</v>
      </c>
      <c r="W346" s="17" t="e">
        <f t="shared" si="54"/>
        <v>#DIV/0!</v>
      </c>
      <c r="X346" s="17" t="e">
        <f t="shared" si="55"/>
        <v>#DIV/0!</v>
      </c>
      <c r="Y346" s="19" t="e">
        <f t="shared" si="56"/>
        <v>#DIV/0!</v>
      </c>
      <c r="Z346">
        <v>0</v>
      </c>
      <c r="AA346">
        <v>0</v>
      </c>
      <c r="AB346">
        <v>0</v>
      </c>
      <c r="AC346">
        <v>200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400</v>
      </c>
      <c r="AL346">
        <v>400</v>
      </c>
      <c r="AM346">
        <v>0</v>
      </c>
      <c r="AN346">
        <v>0</v>
      </c>
      <c r="AO346">
        <v>150</v>
      </c>
      <c r="AP346">
        <v>50</v>
      </c>
      <c r="AQ346">
        <v>150</v>
      </c>
      <c r="AR346">
        <v>100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f t="shared" si="57"/>
        <v>1450</v>
      </c>
      <c r="BF346">
        <v>750</v>
      </c>
      <c r="BG346">
        <v>750</v>
      </c>
      <c r="BH346" t="s">
        <v>190</v>
      </c>
      <c r="BI346" t="s">
        <v>1177</v>
      </c>
      <c r="BJ346">
        <v>200</v>
      </c>
      <c r="BK346">
        <v>550</v>
      </c>
      <c r="BL346">
        <v>750</v>
      </c>
      <c r="BM346">
        <v>0</v>
      </c>
      <c r="BN346">
        <v>0</v>
      </c>
      <c r="BO346">
        <v>0</v>
      </c>
      <c r="BP346">
        <v>550</v>
      </c>
      <c r="BQ346">
        <v>550</v>
      </c>
      <c r="BR346">
        <f t="shared" si="58"/>
        <v>0</v>
      </c>
      <c r="BS346">
        <f t="shared" si="59"/>
        <v>0</v>
      </c>
    </row>
    <row r="347" spans="1:74" x14ac:dyDescent="0.25">
      <c r="A347" s="5" t="s">
        <v>1135</v>
      </c>
      <c r="B347" s="5" t="s">
        <v>61</v>
      </c>
      <c r="C347" s="5" t="s">
        <v>61</v>
      </c>
      <c r="D347" s="1" t="s">
        <v>159</v>
      </c>
      <c r="E347">
        <v>0</v>
      </c>
      <c r="F347">
        <v>0</v>
      </c>
      <c r="G347">
        <v>0</v>
      </c>
      <c r="H347">
        <v>0</v>
      </c>
      <c r="I347">
        <v>40</v>
      </c>
      <c r="J347">
        <v>310</v>
      </c>
      <c r="K347">
        <v>20</v>
      </c>
      <c r="L347">
        <v>25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8" t="e">
        <f t="shared" si="50"/>
        <v>#DIV/0!</v>
      </c>
      <c r="T347" s="17" t="e">
        <f t="shared" si="51"/>
        <v>#DIV/0!</v>
      </c>
      <c r="U347" s="17" t="e">
        <f t="shared" si="52"/>
        <v>#DIV/0!</v>
      </c>
      <c r="V347" s="17" t="e">
        <f t="shared" si="53"/>
        <v>#DIV/0!</v>
      </c>
      <c r="W347" s="17" t="e">
        <f t="shared" si="54"/>
        <v>#DIV/0!</v>
      </c>
      <c r="X347" s="17" t="e">
        <f t="shared" si="55"/>
        <v>#DIV/0!</v>
      </c>
      <c r="Y347" s="19" t="e">
        <f t="shared" si="56"/>
        <v>#DIV/0!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40</v>
      </c>
      <c r="AH347">
        <v>40</v>
      </c>
      <c r="AI347">
        <v>0</v>
      </c>
      <c r="AJ347">
        <v>0</v>
      </c>
      <c r="AK347">
        <v>310</v>
      </c>
      <c r="AL347">
        <v>310</v>
      </c>
      <c r="AM347">
        <v>0</v>
      </c>
      <c r="AN347">
        <v>0</v>
      </c>
      <c r="AO347">
        <v>20</v>
      </c>
      <c r="AP347">
        <v>20</v>
      </c>
      <c r="AQ347">
        <v>20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25</v>
      </c>
      <c r="BA347">
        <v>25</v>
      </c>
      <c r="BB347">
        <v>0</v>
      </c>
      <c r="BC347">
        <v>0</v>
      </c>
      <c r="BD347">
        <v>0</v>
      </c>
      <c r="BE347">
        <f t="shared" si="57"/>
        <v>810</v>
      </c>
      <c r="BF347">
        <v>395</v>
      </c>
      <c r="BG347">
        <v>395</v>
      </c>
      <c r="BH347" t="s">
        <v>190</v>
      </c>
      <c r="BI347" t="s">
        <v>1178</v>
      </c>
      <c r="BJ347">
        <v>0</v>
      </c>
      <c r="BK347">
        <v>395</v>
      </c>
      <c r="BL347">
        <v>395</v>
      </c>
      <c r="BM347">
        <v>0</v>
      </c>
      <c r="BN347">
        <v>0</v>
      </c>
      <c r="BO347">
        <v>0</v>
      </c>
      <c r="BP347">
        <v>395</v>
      </c>
      <c r="BQ347">
        <v>395</v>
      </c>
      <c r="BR347">
        <f t="shared" si="58"/>
        <v>0</v>
      </c>
      <c r="BS347">
        <f t="shared" si="59"/>
        <v>0</v>
      </c>
    </row>
    <row r="348" spans="1:74" x14ac:dyDescent="0.25">
      <c r="A348" s="5" t="s">
        <v>1135</v>
      </c>
      <c r="B348" s="5" t="s">
        <v>61</v>
      </c>
      <c r="C348" s="5" t="s">
        <v>61</v>
      </c>
      <c r="D348" s="1" t="s">
        <v>161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120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8" t="e">
        <f t="shared" si="50"/>
        <v>#DIV/0!</v>
      </c>
      <c r="T348" s="17" t="e">
        <f t="shared" si="51"/>
        <v>#DIV/0!</v>
      </c>
      <c r="U348" s="17" t="e">
        <f t="shared" si="52"/>
        <v>#DIV/0!</v>
      </c>
      <c r="V348" s="17" t="e">
        <f t="shared" si="53"/>
        <v>#DIV/0!</v>
      </c>
      <c r="W348" s="17" t="e">
        <f t="shared" si="54"/>
        <v>#DIV/0!</v>
      </c>
      <c r="X348" s="17" t="e">
        <f t="shared" si="55"/>
        <v>#DIV/0!</v>
      </c>
      <c r="Y348" s="19" t="e">
        <f t="shared" si="56"/>
        <v>#DIV/0!</v>
      </c>
      <c r="Z348">
        <v>0</v>
      </c>
      <c r="AA348">
        <v>0</v>
      </c>
      <c r="AB348">
        <v>0</v>
      </c>
      <c r="AC348">
        <v>60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120</v>
      </c>
      <c r="AL348">
        <v>120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5</v>
      </c>
      <c r="BA348">
        <v>5</v>
      </c>
      <c r="BB348">
        <v>0</v>
      </c>
      <c r="BC348">
        <v>0</v>
      </c>
      <c r="BD348">
        <v>0</v>
      </c>
      <c r="BE348">
        <f t="shared" si="57"/>
        <v>310</v>
      </c>
      <c r="BF348">
        <v>185</v>
      </c>
      <c r="BG348">
        <v>185</v>
      </c>
      <c r="BH348" t="s">
        <v>190</v>
      </c>
      <c r="BI348" t="s">
        <v>1179</v>
      </c>
      <c r="BJ348">
        <v>60</v>
      </c>
      <c r="BK348">
        <v>125</v>
      </c>
      <c r="BL348">
        <v>185</v>
      </c>
      <c r="BM348">
        <v>0</v>
      </c>
      <c r="BN348">
        <v>0</v>
      </c>
      <c r="BO348">
        <v>0</v>
      </c>
      <c r="BP348">
        <v>125</v>
      </c>
      <c r="BQ348">
        <v>125</v>
      </c>
      <c r="BR348">
        <f t="shared" si="58"/>
        <v>0</v>
      </c>
      <c r="BS348">
        <f t="shared" si="59"/>
        <v>0</v>
      </c>
    </row>
    <row r="349" spans="1:74" x14ac:dyDescent="0.25">
      <c r="A349" s="5" t="s">
        <v>1135</v>
      </c>
      <c r="B349" s="5" t="s">
        <v>61</v>
      </c>
      <c r="C349" s="5" t="s">
        <v>61</v>
      </c>
      <c r="D349" s="1" t="s">
        <v>165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2610</v>
      </c>
      <c r="N349">
        <v>0</v>
      </c>
      <c r="O349">
        <v>0</v>
      </c>
      <c r="P349">
        <v>0</v>
      </c>
      <c r="Q349">
        <v>290</v>
      </c>
      <c r="R349">
        <v>290</v>
      </c>
      <c r="S349" s="18">
        <f t="shared" si="50"/>
        <v>9</v>
      </c>
      <c r="T349" s="17">
        <f t="shared" si="51"/>
        <v>290</v>
      </c>
      <c r="U349" s="17">
        <f t="shared" si="52"/>
        <v>0</v>
      </c>
      <c r="V349" s="17">
        <f t="shared" si="53"/>
        <v>0</v>
      </c>
      <c r="W349" s="17">
        <f t="shared" si="54"/>
        <v>0</v>
      </c>
      <c r="X349" s="17">
        <f t="shared" si="55"/>
        <v>0</v>
      </c>
      <c r="Y349" s="19" t="e">
        <f t="shared" si="56"/>
        <v>#DIV/0!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80</v>
      </c>
      <c r="AQ349">
        <v>0</v>
      </c>
      <c r="AR349">
        <v>30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f t="shared" si="57"/>
        <v>110</v>
      </c>
      <c r="BH349" t="s">
        <v>190</v>
      </c>
      <c r="BI349" t="s">
        <v>1181</v>
      </c>
      <c r="BJ349">
        <v>0</v>
      </c>
      <c r="BK349">
        <v>0</v>
      </c>
      <c r="BL349">
        <v>0</v>
      </c>
      <c r="BM349">
        <v>2610</v>
      </c>
      <c r="BN349">
        <v>0</v>
      </c>
      <c r="BO349">
        <v>0</v>
      </c>
      <c r="BP349">
        <v>0</v>
      </c>
      <c r="BQ349">
        <v>2610</v>
      </c>
      <c r="BR349">
        <f t="shared" si="58"/>
        <v>0</v>
      </c>
      <c r="BS349">
        <f t="shared" si="59"/>
        <v>580</v>
      </c>
    </row>
    <row r="350" spans="1:74" x14ac:dyDescent="0.25">
      <c r="A350" s="5" t="s">
        <v>1135</v>
      </c>
      <c r="B350" s="5" t="s">
        <v>61</v>
      </c>
      <c r="C350" s="5" t="s">
        <v>61</v>
      </c>
      <c r="D350" s="1" t="s">
        <v>173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180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8" t="e">
        <f t="shared" si="50"/>
        <v>#DIV/0!</v>
      </c>
      <c r="T350" s="17" t="e">
        <f t="shared" si="51"/>
        <v>#DIV/0!</v>
      </c>
      <c r="U350" s="17" t="e">
        <f t="shared" si="52"/>
        <v>#DIV/0!</v>
      </c>
      <c r="V350" s="17" t="e">
        <f t="shared" si="53"/>
        <v>#DIV/0!</v>
      </c>
      <c r="W350" s="17" t="e">
        <f t="shared" si="54"/>
        <v>#DIV/0!</v>
      </c>
      <c r="X350" s="17" t="e">
        <f t="shared" si="55"/>
        <v>#DIV/0!</v>
      </c>
      <c r="Y350" s="19" t="e">
        <f t="shared" si="56"/>
        <v>#DIV/0!</v>
      </c>
      <c r="Z350">
        <v>0</v>
      </c>
      <c r="AA350">
        <v>0</v>
      </c>
      <c r="AB350">
        <v>0</v>
      </c>
      <c r="AC350">
        <v>300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180</v>
      </c>
      <c r="BA350">
        <v>180</v>
      </c>
      <c r="BB350">
        <v>0</v>
      </c>
      <c r="BC350">
        <v>0</v>
      </c>
      <c r="BD350">
        <v>0</v>
      </c>
      <c r="BE350">
        <f t="shared" si="57"/>
        <v>660</v>
      </c>
      <c r="BF350">
        <v>480</v>
      </c>
      <c r="BG350">
        <v>480</v>
      </c>
      <c r="BH350" t="s">
        <v>190</v>
      </c>
      <c r="BI350" t="s">
        <v>1185</v>
      </c>
      <c r="BJ350">
        <v>300</v>
      </c>
      <c r="BK350">
        <v>180</v>
      </c>
      <c r="BL350">
        <v>480</v>
      </c>
      <c r="BM350">
        <v>0</v>
      </c>
      <c r="BN350">
        <v>0</v>
      </c>
      <c r="BO350">
        <v>0</v>
      </c>
      <c r="BP350">
        <v>180</v>
      </c>
      <c r="BQ350">
        <v>180</v>
      </c>
      <c r="BR350">
        <f t="shared" si="58"/>
        <v>0</v>
      </c>
      <c r="BS350">
        <f t="shared" si="59"/>
        <v>0</v>
      </c>
    </row>
    <row r="351" spans="1:74" x14ac:dyDescent="0.25">
      <c r="A351" s="5" t="s">
        <v>1135</v>
      </c>
      <c r="B351" s="5" t="s">
        <v>61</v>
      </c>
      <c r="C351" s="5" t="s">
        <v>61</v>
      </c>
      <c r="D351" s="1" t="s">
        <v>175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1024</v>
      </c>
      <c r="K351">
        <v>0</v>
      </c>
      <c r="L351">
        <v>150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8" t="e">
        <f t="shared" si="50"/>
        <v>#DIV/0!</v>
      </c>
      <c r="T351" s="17" t="e">
        <f t="shared" si="51"/>
        <v>#DIV/0!</v>
      </c>
      <c r="U351" s="17" t="e">
        <f t="shared" si="52"/>
        <v>#DIV/0!</v>
      </c>
      <c r="V351" s="17" t="e">
        <f t="shared" si="53"/>
        <v>#DIV/0!</v>
      </c>
      <c r="W351" s="17" t="e">
        <f t="shared" si="54"/>
        <v>#DIV/0!</v>
      </c>
      <c r="X351" s="17" t="e">
        <f t="shared" si="55"/>
        <v>#DIV/0!</v>
      </c>
      <c r="Y351" s="19" t="e">
        <f t="shared" si="56"/>
        <v>#DIV/0!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1024</v>
      </c>
      <c r="AK351">
        <v>0</v>
      </c>
      <c r="AL351">
        <v>1024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150</v>
      </c>
      <c r="BA351">
        <v>150</v>
      </c>
      <c r="BB351">
        <v>0</v>
      </c>
      <c r="BC351">
        <v>0</v>
      </c>
      <c r="BD351">
        <v>0</v>
      </c>
      <c r="BE351">
        <f t="shared" si="57"/>
        <v>2348</v>
      </c>
      <c r="BF351">
        <v>1174</v>
      </c>
      <c r="BG351">
        <v>1174</v>
      </c>
      <c r="BH351" t="s">
        <v>190</v>
      </c>
      <c r="BI351" t="s">
        <v>1186</v>
      </c>
      <c r="BJ351">
        <v>0</v>
      </c>
      <c r="BK351">
        <v>1174</v>
      </c>
      <c r="BL351">
        <v>1174</v>
      </c>
      <c r="BM351">
        <v>0</v>
      </c>
      <c r="BN351">
        <v>1024</v>
      </c>
      <c r="BO351">
        <v>0</v>
      </c>
      <c r="BP351">
        <v>150</v>
      </c>
      <c r="BQ351">
        <v>1174</v>
      </c>
      <c r="BR351">
        <f t="shared" si="58"/>
        <v>0</v>
      </c>
      <c r="BS351">
        <f t="shared" si="59"/>
        <v>0</v>
      </c>
    </row>
    <row r="352" spans="1:74" x14ac:dyDescent="0.25">
      <c r="A352" s="5" t="s">
        <v>1135</v>
      </c>
      <c r="B352" s="5" t="s">
        <v>61</v>
      </c>
      <c r="C352" s="5" t="s">
        <v>61</v>
      </c>
      <c r="D352" s="1" t="s">
        <v>179</v>
      </c>
      <c r="E352">
        <v>95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80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8" t="e">
        <f t="shared" si="50"/>
        <v>#DIV/0!</v>
      </c>
      <c r="T352" s="17" t="e">
        <f t="shared" si="51"/>
        <v>#DIV/0!</v>
      </c>
      <c r="U352" s="17" t="e">
        <f t="shared" si="52"/>
        <v>#DIV/0!</v>
      </c>
      <c r="V352" s="17" t="e">
        <f t="shared" si="53"/>
        <v>#DIV/0!</v>
      </c>
      <c r="W352" s="17" t="e">
        <f t="shared" si="54"/>
        <v>#DIV/0!</v>
      </c>
      <c r="X352" s="17" t="e">
        <f t="shared" si="55"/>
        <v>#DIV/0!</v>
      </c>
      <c r="Y352" s="19" t="e">
        <f t="shared" si="56"/>
        <v>#DIV/0!</v>
      </c>
      <c r="Z352">
        <v>0</v>
      </c>
      <c r="AA352">
        <v>0</v>
      </c>
      <c r="AB352">
        <v>0</v>
      </c>
      <c r="AC352">
        <v>140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80</v>
      </c>
      <c r="BA352">
        <v>80</v>
      </c>
      <c r="BB352">
        <v>0</v>
      </c>
      <c r="BC352">
        <v>0</v>
      </c>
      <c r="BD352">
        <v>0</v>
      </c>
      <c r="BE352">
        <f t="shared" si="57"/>
        <v>300</v>
      </c>
      <c r="BF352">
        <v>315</v>
      </c>
      <c r="BG352">
        <v>315</v>
      </c>
      <c r="BH352" t="s">
        <v>190</v>
      </c>
      <c r="BI352" t="s">
        <v>1188</v>
      </c>
      <c r="BJ352">
        <v>235</v>
      </c>
      <c r="BK352">
        <v>80</v>
      </c>
      <c r="BL352">
        <v>315</v>
      </c>
      <c r="BM352">
        <v>0</v>
      </c>
      <c r="BN352">
        <v>0</v>
      </c>
      <c r="BO352">
        <v>0</v>
      </c>
      <c r="BP352">
        <v>80</v>
      </c>
      <c r="BQ352">
        <v>80</v>
      </c>
      <c r="BR352">
        <f t="shared" si="58"/>
        <v>0</v>
      </c>
      <c r="BS352">
        <f t="shared" si="59"/>
        <v>0</v>
      </c>
    </row>
    <row r="353" spans="1:74" x14ac:dyDescent="0.25">
      <c r="A353" s="5" t="s">
        <v>1135</v>
      </c>
      <c r="B353" s="5" t="s">
        <v>61</v>
      </c>
      <c r="C353" s="5" t="s">
        <v>61</v>
      </c>
      <c r="D353" s="1" t="s">
        <v>181</v>
      </c>
      <c r="E353">
        <v>15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8" t="e">
        <f t="shared" si="50"/>
        <v>#DIV/0!</v>
      </c>
      <c r="T353" s="17" t="e">
        <f t="shared" si="51"/>
        <v>#DIV/0!</v>
      </c>
      <c r="U353" s="17" t="e">
        <f t="shared" si="52"/>
        <v>#DIV/0!</v>
      </c>
      <c r="V353" s="17" t="e">
        <f t="shared" si="53"/>
        <v>#DIV/0!</v>
      </c>
      <c r="W353" s="17" t="e">
        <f t="shared" si="54"/>
        <v>#DIV/0!</v>
      </c>
      <c r="X353" s="17" t="e">
        <f t="shared" si="55"/>
        <v>#DIV/0!</v>
      </c>
      <c r="Y353" s="19" t="e">
        <f t="shared" si="56"/>
        <v>#DIV/0!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f t="shared" si="57"/>
        <v>0</v>
      </c>
      <c r="BF353">
        <v>15</v>
      </c>
      <c r="BG353">
        <v>0</v>
      </c>
      <c r="BH353" t="s">
        <v>190</v>
      </c>
      <c r="BI353" t="s">
        <v>1189</v>
      </c>
      <c r="BJ353">
        <v>15</v>
      </c>
      <c r="BK353">
        <v>0</v>
      </c>
      <c r="BL353">
        <v>15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f t="shared" si="58"/>
        <v>0</v>
      </c>
      <c r="BS353">
        <f t="shared" si="59"/>
        <v>0</v>
      </c>
    </row>
    <row r="354" spans="1:74" x14ac:dyDescent="0.25">
      <c r="A354" s="5" t="s">
        <v>1135</v>
      </c>
      <c r="B354" s="5" t="s">
        <v>61</v>
      </c>
      <c r="C354" s="5" t="s">
        <v>61</v>
      </c>
      <c r="D354" s="1" t="s">
        <v>183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470</v>
      </c>
      <c r="K354">
        <v>0</v>
      </c>
      <c r="L354">
        <v>75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8" t="e">
        <f t="shared" si="50"/>
        <v>#DIV/0!</v>
      </c>
      <c r="T354" s="17" t="e">
        <f t="shared" si="51"/>
        <v>#DIV/0!</v>
      </c>
      <c r="U354" s="17" t="e">
        <f t="shared" si="52"/>
        <v>#DIV/0!</v>
      </c>
      <c r="V354" s="17" t="e">
        <f t="shared" si="53"/>
        <v>#DIV/0!</v>
      </c>
      <c r="W354" s="17" t="e">
        <f t="shared" si="54"/>
        <v>#DIV/0!</v>
      </c>
      <c r="X354" s="17" t="e">
        <f t="shared" si="55"/>
        <v>#DIV/0!</v>
      </c>
      <c r="Y354" s="19" t="e">
        <f t="shared" si="56"/>
        <v>#DIV/0!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470</v>
      </c>
      <c r="AL354">
        <v>470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75</v>
      </c>
      <c r="BA354">
        <v>75</v>
      </c>
      <c r="BB354">
        <v>0</v>
      </c>
      <c r="BC354">
        <v>0</v>
      </c>
      <c r="BD354">
        <v>0</v>
      </c>
      <c r="BE354">
        <f t="shared" si="57"/>
        <v>1090</v>
      </c>
      <c r="BF354">
        <v>545</v>
      </c>
      <c r="BG354">
        <v>545</v>
      </c>
      <c r="BH354" t="s">
        <v>190</v>
      </c>
      <c r="BI354" t="s">
        <v>1190</v>
      </c>
      <c r="BJ354">
        <v>0</v>
      </c>
      <c r="BK354">
        <v>545</v>
      </c>
      <c r="BL354">
        <v>545</v>
      </c>
      <c r="BM354">
        <v>0</v>
      </c>
      <c r="BN354">
        <v>0</v>
      </c>
      <c r="BO354">
        <v>0</v>
      </c>
      <c r="BP354">
        <v>545</v>
      </c>
      <c r="BQ354">
        <v>545</v>
      </c>
      <c r="BR354">
        <f t="shared" si="58"/>
        <v>0</v>
      </c>
      <c r="BS354">
        <f t="shared" si="59"/>
        <v>0</v>
      </c>
    </row>
    <row r="355" spans="1:74" x14ac:dyDescent="0.25">
      <c r="A355" s="5" t="s">
        <v>1451</v>
      </c>
      <c r="B355" s="5" t="s">
        <v>359</v>
      </c>
      <c r="C355" s="5" t="s">
        <v>61</v>
      </c>
      <c r="D355" s="1" t="s">
        <v>84</v>
      </c>
      <c r="E355">
        <v>45</v>
      </c>
      <c r="F355">
        <v>670</v>
      </c>
      <c r="G355">
        <v>0</v>
      </c>
      <c r="H355">
        <v>0</v>
      </c>
      <c r="I355">
        <v>4100</v>
      </c>
      <c r="J355">
        <v>4850</v>
      </c>
      <c r="K355">
        <v>404</v>
      </c>
      <c r="L355">
        <v>50</v>
      </c>
      <c r="M355">
        <v>0</v>
      </c>
      <c r="N355">
        <v>0</v>
      </c>
      <c r="O355">
        <v>0</v>
      </c>
      <c r="P355">
        <v>5175</v>
      </c>
      <c r="Q355">
        <v>675</v>
      </c>
      <c r="R355">
        <v>575</v>
      </c>
      <c r="S355" s="18">
        <f t="shared" si="50"/>
        <v>9</v>
      </c>
      <c r="T355" s="17">
        <f t="shared" si="51"/>
        <v>0</v>
      </c>
      <c r="U355" s="17">
        <f t="shared" si="52"/>
        <v>0</v>
      </c>
      <c r="V355" s="17">
        <f t="shared" si="53"/>
        <v>0</v>
      </c>
      <c r="W355" s="17">
        <f t="shared" si="54"/>
        <v>575</v>
      </c>
      <c r="X355" s="17">
        <f t="shared" si="55"/>
        <v>100</v>
      </c>
      <c r="Y355" s="19">
        <f t="shared" si="56"/>
        <v>0</v>
      </c>
      <c r="Z355">
        <v>670</v>
      </c>
      <c r="AA355">
        <v>0</v>
      </c>
      <c r="AB355">
        <v>0</v>
      </c>
      <c r="AC355">
        <v>1230</v>
      </c>
      <c r="AD355">
        <v>0</v>
      </c>
      <c r="AE355">
        <v>0</v>
      </c>
      <c r="AF355">
        <v>0</v>
      </c>
      <c r="AG355">
        <v>4100</v>
      </c>
      <c r="AH355">
        <v>4100</v>
      </c>
      <c r="AI355">
        <v>0</v>
      </c>
      <c r="AJ355">
        <v>0</v>
      </c>
      <c r="AK355">
        <v>4850</v>
      </c>
      <c r="AL355">
        <v>4850</v>
      </c>
      <c r="AM355">
        <v>0</v>
      </c>
      <c r="AN355">
        <v>0</v>
      </c>
      <c r="AO355">
        <v>404</v>
      </c>
      <c r="AP355">
        <v>0</v>
      </c>
      <c r="AQ355">
        <v>404</v>
      </c>
      <c r="AR355">
        <v>404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50</v>
      </c>
      <c r="BA355">
        <v>50</v>
      </c>
      <c r="BB355">
        <v>0</v>
      </c>
      <c r="BC355">
        <v>0</v>
      </c>
      <c r="BD355">
        <v>0</v>
      </c>
      <c r="BE355">
        <f t="shared" si="57"/>
        <v>20442</v>
      </c>
      <c r="BF355">
        <v>11349</v>
      </c>
      <c r="BG355">
        <v>11349</v>
      </c>
      <c r="BH355" t="s">
        <v>63</v>
      </c>
      <c r="BI355" t="s">
        <v>1474</v>
      </c>
      <c r="BJ355">
        <v>1275</v>
      </c>
      <c r="BK355">
        <v>9404</v>
      </c>
      <c r="BL355">
        <v>11349</v>
      </c>
      <c r="BM355">
        <v>0</v>
      </c>
      <c r="BN355">
        <v>0</v>
      </c>
      <c r="BO355">
        <v>0</v>
      </c>
      <c r="BP355">
        <v>14579</v>
      </c>
      <c r="BQ355">
        <v>14579</v>
      </c>
      <c r="BR355">
        <f t="shared" si="58"/>
        <v>-100</v>
      </c>
      <c r="BS355">
        <f t="shared" si="59"/>
        <v>1250</v>
      </c>
      <c r="BU355">
        <f t="shared" ref="BU355:BU363" si="60">R355*9</f>
        <v>5175</v>
      </c>
      <c r="BV355">
        <f t="shared" ref="BV355:BV363" si="61">IF(BU355&gt;BG355, 1, 0)</f>
        <v>0</v>
      </c>
    </row>
    <row r="356" spans="1:74" x14ac:dyDescent="0.25">
      <c r="A356" s="5" t="s">
        <v>359</v>
      </c>
      <c r="B356" s="5" t="s">
        <v>627</v>
      </c>
      <c r="C356" s="5" t="s">
        <v>61</v>
      </c>
      <c r="D356" s="1" t="s">
        <v>62</v>
      </c>
      <c r="E356">
        <v>0</v>
      </c>
      <c r="F356">
        <v>2575</v>
      </c>
      <c r="G356">
        <v>0</v>
      </c>
      <c r="H356">
        <v>0</v>
      </c>
      <c r="I356">
        <v>2400</v>
      </c>
      <c r="J356">
        <v>0</v>
      </c>
      <c r="K356">
        <v>60</v>
      </c>
      <c r="L356">
        <v>0</v>
      </c>
      <c r="M356">
        <v>0</v>
      </c>
      <c r="N356">
        <v>0</v>
      </c>
      <c r="O356">
        <v>0</v>
      </c>
      <c r="P356">
        <v>5130</v>
      </c>
      <c r="Q356">
        <v>570</v>
      </c>
      <c r="R356">
        <v>570</v>
      </c>
      <c r="S356" s="18">
        <f t="shared" si="50"/>
        <v>9</v>
      </c>
      <c r="T356" s="17">
        <f t="shared" si="51"/>
        <v>0</v>
      </c>
      <c r="U356" s="17">
        <f t="shared" si="52"/>
        <v>0</v>
      </c>
      <c r="V356" s="17">
        <f t="shared" si="53"/>
        <v>0</v>
      </c>
      <c r="W356" s="17">
        <f t="shared" si="54"/>
        <v>570</v>
      </c>
      <c r="X356" s="17">
        <f t="shared" si="55"/>
        <v>0</v>
      </c>
      <c r="Y356" s="19" t="e">
        <f t="shared" si="56"/>
        <v>#DIV/0!</v>
      </c>
      <c r="Z356">
        <v>2575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2400</v>
      </c>
      <c r="AH356">
        <v>2400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60</v>
      </c>
      <c r="AP356">
        <v>30</v>
      </c>
      <c r="AQ356">
        <v>60</v>
      </c>
      <c r="AR356">
        <v>30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f t="shared" si="57"/>
        <v>4980</v>
      </c>
      <c r="BF356">
        <v>5035</v>
      </c>
      <c r="BG356">
        <v>5035</v>
      </c>
      <c r="BH356" t="s">
        <v>63</v>
      </c>
      <c r="BI356" t="s">
        <v>792</v>
      </c>
      <c r="BJ356">
        <v>0</v>
      </c>
      <c r="BK356">
        <v>2460</v>
      </c>
      <c r="BL356">
        <v>5035</v>
      </c>
      <c r="BM356">
        <v>0</v>
      </c>
      <c r="BN356">
        <v>0</v>
      </c>
      <c r="BO356">
        <v>0</v>
      </c>
      <c r="BP356">
        <v>7590</v>
      </c>
      <c r="BQ356">
        <v>7590</v>
      </c>
      <c r="BR356">
        <f t="shared" si="58"/>
        <v>0</v>
      </c>
      <c r="BS356">
        <f t="shared" si="59"/>
        <v>1140</v>
      </c>
      <c r="BU356">
        <f t="shared" si="60"/>
        <v>5130</v>
      </c>
      <c r="BV356">
        <f t="shared" si="61"/>
        <v>1</v>
      </c>
    </row>
    <row r="357" spans="1:74" x14ac:dyDescent="0.25">
      <c r="A357" s="5" t="s">
        <v>1017</v>
      </c>
      <c r="B357" s="5" t="s">
        <v>359</v>
      </c>
      <c r="C357" s="5" t="s">
        <v>61</v>
      </c>
      <c r="D357" s="1" t="s">
        <v>62</v>
      </c>
      <c r="E357">
        <v>0</v>
      </c>
      <c r="F357">
        <v>546</v>
      </c>
      <c r="G357">
        <v>0</v>
      </c>
      <c r="H357">
        <v>0</v>
      </c>
      <c r="I357">
        <v>1692</v>
      </c>
      <c r="J357">
        <v>3780</v>
      </c>
      <c r="K357">
        <v>368</v>
      </c>
      <c r="L357">
        <v>45</v>
      </c>
      <c r="M357">
        <v>0</v>
      </c>
      <c r="N357">
        <v>0</v>
      </c>
      <c r="O357">
        <v>0</v>
      </c>
      <c r="P357">
        <v>5076</v>
      </c>
      <c r="Q357">
        <v>814</v>
      </c>
      <c r="R357">
        <v>564</v>
      </c>
      <c r="S357" s="18">
        <f t="shared" si="50"/>
        <v>9</v>
      </c>
      <c r="T357" s="17">
        <f t="shared" si="51"/>
        <v>0</v>
      </c>
      <c r="U357" s="17">
        <f t="shared" si="52"/>
        <v>0</v>
      </c>
      <c r="V357" s="17">
        <f t="shared" si="53"/>
        <v>0</v>
      </c>
      <c r="W357" s="17">
        <f t="shared" si="54"/>
        <v>564</v>
      </c>
      <c r="X357" s="17">
        <f t="shared" si="55"/>
        <v>250</v>
      </c>
      <c r="Y357" s="19">
        <f t="shared" si="56"/>
        <v>0</v>
      </c>
      <c r="Z357">
        <v>546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1692</v>
      </c>
      <c r="AH357">
        <v>1692</v>
      </c>
      <c r="AI357">
        <v>0</v>
      </c>
      <c r="AJ357">
        <v>0</v>
      </c>
      <c r="AK357">
        <v>3780</v>
      </c>
      <c r="AL357">
        <v>3780</v>
      </c>
      <c r="AM357">
        <v>0</v>
      </c>
      <c r="AN357">
        <v>0</v>
      </c>
      <c r="AO357">
        <v>368</v>
      </c>
      <c r="AP357">
        <v>120</v>
      </c>
      <c r="AQ357">
        <v>368</v>
      </c>
      <c r="AR357">
        <v>248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45</v>
      </c>
      <c r="BA357">
        <v>45</v>
      </c>
      <c r="BB357">
        <v>0</v>
      </c>
      <c r="BC357">
        <v>0</v>
      </c>
      <c r="BD357">
        <v>0</v>
      </c>
      <c r="BE357">
        <f t="shared" si="57"/>
        <v>12138</v>
      </c>
      <c r="BF357">
        <v>6431</v>
      </c>
      <c r="BG357">
        <v>6431</v>
      </c>
      <c r="BH357" t="s">
        <v>63</v>
      </c>
      <c r="BI357" t="s">
        <v>1119</v>
      </c>
      <c r="BJ357">
        <v>0</v>
      </c>
      <c r="BK357">
        <v>5885</v>
      </c>
      <c r="BL357">
        <v>6431</v>
      </c>
      <c r="BM357">
        <v>0</v>
      </c>
      <c r="BN357">
        <v>0</v>
      </c>
      <c r="BO357">
        <v>0</v>
      </c>
      <c r="BP357">
        <v>10961</v>
      </c>
      <c r="BQ357">
        <v>10961</v>
      </c>
      <c r="BR357">
        <f t="shared" si="58"/>
        <v>-250</v>
      </c>
      <c r="BS357">
        <f t="shared" si="59"/>
        <v>1378</v>
      </c>
      <c r="BU357">
        <f t="shared" si="60"/>
        <v>5076</v>
      </c>
      <c r="BV357">
        <f t="shared" si="61"/>
        <v>0</v>
      </c>
    </row>
    <row r="358" spans="1:74" x14ac:dyDescent="0.25">
      <c r="A358" s="5" t="s">
        <v>1135</v>
      </c>
      <c r="B358" s="5" t="s">
        <v>207</v>
      </c>
      <c r="C358" s="6" t="s">
        <v>61</v>
      </c>
      <c r="D358" s="1" t="s">
        <v>86</v>
      </c>
      <c r="E358">
        <v>0</v>
      </c>
      <c r="F358">
        <v>7000</v>
      </c>
      <c r="G358">
        <v>0</v>
      </c>
      <c r="H358">
        <v>0</v>
      </c>
      <c r="I358">
        <v>0</v>
      </c>
      <c r="J358">
        <v>11350</v>
      </c>
      <c r="K358">
        <v>180</v>
      </c>
      <c r="L358">
        <v>378</v>
      </c>
      <c r="M358">
        <v>0</v>
      </c>
      <c r="N358">
        <v>0</v>
      </c>
      <c r="O358">
        <v>0</v>
      </c>
      <c r="P358">
        <v>4905</v>
      </c>
      <c r="Q358">
        <v>654</v>
      </c>
      <c r="R358">
        <v>545</v>
      </c>
      <c r="S358" s="18">
        <f t="shared" si="50"/>
        <v>9</v>
      </c>
      <c r="T358" s="17">
        <f t="shared" si="51"/>
        <v>0</v>
      </c>
      <c r="U358" s="17">
        <f t="shared" si="52"/>
        <v>0</v>
      </c>
      <c r="V358" s="17">
        <f t="shared" si="53"/>
        <v>0</v>
      </c>
      <c r="W358" s="17">
        <f t="shared" si="54"/>
        <v>545</v>
      </c>
      <c r="X358" s="17">
        <f t="shared" si="55"/>
        <v>109</v>
      </c>
      <c r="Y358" s="19">
        <f t="shared" si="56"/>
        <v>0</v>
      </c>
      <c r="Z358">
        <v>7000</v>
      </c>
      <c r="AA358">
        <v>0</v>
      </c>
      <c r="AB358">
        <v>0</v>
      </c>
      <c r="AC358">
        <v>420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11350</v>
      </c>
      <c r="AK358">
        <v>0</v>
      </c>
      <c r="AL358">
        <v>11350</v>
      </c>
      <c r="AM358">
        <v>0</v>
      </c>
      <c r="AN358">
        <v>180</v>
      </c>
      <c r="AO358">
        <v>0</v>
      </c>
      <c r="AP358">
        <v>100</v>
      </c>
      <c r="AQ358">
        <v>180</v>
      </c>
      <c r="AR358">
        <v>80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378</v>
      </c>
      <c r="AZ358">
        <v>0</v>
      </c>
      <c r="BA358">
        <v>378</v>
      </c>
      <c r="BB358">
        <v>0</v>
      </c>
      <c r="BC358">
        <v>0</v>
      </c>
      <c r="BD358">
        <v>0</v>
      </c>
      <c r="BE358">
        <f t="shared" si="57"/>
        <v>24416</v>
      </c>
      <c r="BF358">
        <v>19328</v>
      </c>
      <c r="BG358">
        <v>19328</v>
      </c>
      <c r="BH358" t="s">
        <v>543</v>
      </c>
      <c r="BI358" t="s">
        <v>1207</v>
      </c>
      <c r="BJ358">
        <v>420</v>
      </c>
      <c r="BK358">
        <v>11908</v>
      </c>
      <c r="BL358">
        <v>19328</v>
      </c>
      <c r="BM358">
        <v>0</v>
      </c>
      <c r="BN358">
        <v>11908</v>
      </c>
      <c r="BO358">
        <v>0</v>
      </c>
      <c r="BP358">
        <v>4905</v>
      </c>
      <c r="BQ358">
        <v>16813</v>
      </c>
      <c r="BR358">
        <f t="shared" si="58"/>
        <v>-109</v>
      </c>
      <c r="BS358">
        <f t="shared" si="59"/>
        <v>1199</v>
      </c>
      <c r="BU358">
        <f t="shared" si="60"/>
        <v>4905</v>
      </c>
      <c r="BV358">
        <f t="shared" si="61"/>
        <v>0</v>
      </c>
    </row>
    <row r="359" spans="1:74" x14ac:dyDescent="0.25">
      <c r="A359" s="5" t="s">
        <v>1135</v>
      </c>
      <c r="B359" s="5" t="s">
        <v>207</v>
      </c>
      <c r="C359" s="7" t="s">
        <v>61</v>
      </c>
      <c r="D359" s="1" t="s">
        <v>73</v>
      </c>
      <c r="E359">
        <v>0</v>
      </c>
      <c r="F359">
        <v>6200</v>
      </c>
      <c r="G359">
        <v>0</v>
      </c>
      <c r="H359">
        <v>0</v>
      </c>
      <c r="I359">
        <v>1700</v>
      </c>
      <c r="J359">
        <v>0</v>
      </c>
      <c r="K359">
        <v>150</v>
      </c>
      <c r="L359">
        <v>0</v>
      </c>
      <c r="M359">
        <v>0</v>
      </c>
      <c r="N359">
        <v>0</v>
      </c>
      <c r="O359">
        <v>0</v>
      </c>
      <c r="P359">
        <v>4860</v>
      </c>
      <c r="Q359">
        <v>540</v>
      </c>
      <c r="R359">
        <v>540</v>
      </c>
      <c r="S359" s="18">
        <f t="shared" si="50"/>
        <v>9</v>
      </c>
      <c r="T359" s="17">
        <f t="shared" si="51"/>
        <v>0</v>
      </c>
      <c r="U359" s="17">
        <f t="shared" si="52"/>
        <v>0</v>
      </c>
      <c r="V359" s="17">
        <f t="shared" si="53"/>
        <v>0</v>
      </c>
      <c r="W359" s="17">
        <f t="shared" si="54"/>
        <v>540</v>
      </c>
      <c r="X359" s="17">
        <f t="shared" si="55"/>
        <v>0</v>
      </c>
      <c r="Y359" s="19" t="e">
        <f t="shared" si="56"/>
        <v>#DIV/0!</v>
      </c>
      <c r="Z359">
        <v>6200</v>
      </c>
      <c r="AA359">
        <v>0</v>
      </c>
      <c r="AB359">
        <v>0</v>
      </c>
      <c r="AC359">
        <v>300</v>
      </c>
      <c r="AD359">
        <v>0</v>
      </c>
      <c r="AE359">
        <v>0</v>
      </c>
      <c r="AF359">
        <v>0</v>
      </c>
      <c r="AG359">
        <v>1700</v>
      </c>
      <c r="AH359">
        <v>1700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150</v>
      </c>
      <c r="AP359">
        <v>80</v>
      </c>
      <c r="AQ359">
        <v>150</v>
      </c>
      <c r="AR359">
        <v>70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f t="shared" si="57"/>
        <v>4150</v>
      </c>
      <c r="BF359">
        <v>8350</v>
      </c>
      <c r="BG359">
        <v>8350</v>
      </c>
      <c r="BH359" t="s">
        <v>63</v>
      </c>
      <c r="BI359" t="s">
        <v>1202</v>
      </c>
      <c r="BJ359">
        <v>300</v>
      </c>
      <c r="BK359">
        <v>1850</v>
      </c>
      <c r="BL359">
        <v>8350</v>
      </c>
      <c r="BM359">
        <v>0</v>
      </c>
      <c r="BN359">
        <v>0</v>
      </c>
      <c r="BO359">
        <v>0</v>
      </c>
      <c r="BP359">
        <v>6710</v>
      </c>
      <c r="BQ359">
        <v>6710</v>
      </c>
      <c r="BR359">
        <f t="shared" si="58"/>
        <v>0</v>
      </c>
      <c r="BS359">
        <f t="shared" si="59"/>
        <v>1080</v>
      </c>
      <c r="BU359">
        <f t="shared" si="60"/>
        <v>4860</v>
      </c>
      <c r="BV359">
        <f t="shared" si="61"/>
        <v>0</v>
      </c>
    </row>
    <row r="360" spans="1:74" x14ac:dyDescent="0.25">
      <c r="A360" s="5" t="s">
        <v>1661</v>
      </c>
      <c r="B360" s="5" t="s">
        <v>207</v>
      </c>
      <c r="C360" s="5" t="s">
        <v>207</v>
      </c>
      <c r="D360" s="1" t="s">
        <v>69</v>
      </c>
      <c r="E360">
        <v>0</v>
      </c>
      <c r="F360">
        <v>1500</v>
      </c>
      <c r="G360">
        <v>0</v>
      </c>
      <c r="H360">
        <v>0</v>
      </c>
      <c r="I360">
        <v>693</v>
      </c>
      <c r="J360">
        <v>2330</v>
      </c>
      <c r="K360">
        <v>750</v>
      </c>
      <c r="L360">
        <v>47</v>
      </c>
      <c r="M360">
        <v>0</v>
      </c>
      <c r="N360">
        <v>0</v>
      </c>
      <c r="O360">
        <v>0</v>
      </c>
      <c r="P360">
        <v>4680</v>
      </c>
      <c r="Q360">
        <v>801</v>
      </c>
      <c r="R360">
        <v>520</v>
      </c>
      <c r="S360" s="18">
        <f t="shared" si="50"/>
        <v>9</v>
      </c>
      <c r="T360" s="17">
        <f t="shared" si="51"/>
        <v>0</v>
      </c>
      <c r="U360" s="17">
        <f t="shared" si="52"/>
        <v>0</v>
      </c>
      <c r="V360" s="17">
        <f t="shared" si="53"/>
        <v>0</v>
      </c>
      <c r="W360" s="17">
        <f t="shared" si="54"/>
        <v>520</v>
      </c>
      <c r="X360" s="17">
        <f t="shared" si="55"/>
        <v>281</v>
      </c>
      <c r="Y360" s="19">
        <f t="shared" si="56"/>
        <v>0</v>
      </c>
      <c r="Z360">
        <v>1500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693</v>
      </c>
      <c r="AH360">
        <v>693</v>
      </c>
      <c r="AI360">
        <v>0</v>
      </c>
      <c r="AJ360">
        <v>0</v>
      </c>
      <c r="AK360">
        <v>2330</v>
      </c>
      <c r="AL360">
        <v>2330</v>
      </c>
      <c r="AM360">
        <v>0</v>
      </c>
      <c r="AN360">
        <v>0</v>
      </c>
      <c r="AO360">
        <v>750</v>
      </c>
      <c r="AP360">
        <v>750</v>
      </c>
      <c r="AQ360">
        <v>750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47</v>
      </c>
      <c r="BA360">
        <v>47</v>
      </c>
      <c r="BB360">
        <v>0</v>
      </c>
      <c r="BC360">
        <v>0</v>
      </c>
      <c r="BD360">
        <v>0</v>
      </c>
      <c r="BE360">
        <f t="shared" si="57"/>
        <v>8390</v>
      </c>
      <c r="BF360">
        <v>5320</v>
      </c>
      <c r="BG360">
        <v>5320</v>
      </c>
      <c r="BH360" t="s">
        <v>63</v>
      </c>
      <c r="BI360" t="s">
        <v>1762</v>
      </c>
      <c r="BJ360">
        <v>0</v>
      </c>
      <c r="BK360">
        <v>3820</v>
      </c>
      <c r="BL360">
        <v>5320</v>
      </c>
      <c r="BM360">
        <v>0</v>
      </c>
      <c r="BN360">
        <v>0</v>
      </c>
      <c r="BO360">
        <v>0</v>
      </c>
      <c r="BP360">
        <v>8500</v>
      </c>
      <c r="BQ360">
        <v>8500</v>
      </c>
      <c r="BR360">
        <f t="shared" si="58"/>
        <v>-281</v>
      </c>
      <c r="BS360">
        <f t="shared" si="59"/>
        <v>1321</v>
      </c>
      <c r="BU360">
        <f t="shared" si="60"/>
        <v>4680</v>
      </c>
      <c r="BV360">
        <f t="shared" si="61"/>
        <v>0</v>
      </c>
    </row>
    <row r="361" spans="1:74" x14ac:dyDescent="0.25">
      <c r="A361" s="5" t="s">
        <v>627</v>
      </c>
      <c r="B361" s="5" t="s">
        <v>359</v>
      </c>
      <c r="C361" s="5" t="s">
        <v>61</v>
      </c>
      <c r="D361" s="1" t="s">
        <v>69</v>
      </c>
      <c r="E361">
        <v>0</v>
      </c>
      <c r="F361">
        <v>782</v>
      </c>
      <c r="G361">
        <v>0</v>
      </c>
      <c r="H361">
        <v>0</v>
      </c>
      <c r="I361">
        <v>3560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4581</v>
      </c>
      <c r="Q361">
        <v>509</v>
      </c>
      <c r="R361">
        <v>509</v>
      </c>
      <c r="S361" s="18">
        <f t="shared" si="50"/>
        <v>9</v>
      </c>
      <c r="T361" s="17">
        <f t="shared" si="51"/>
        <v>0</v>
      </c>
      <c r="U361" s="17">
        <f t="shared" si="52"/>
        <v>0</v>
      </c>
      <c r="V361" s="17">
        <f t="shared" si="53"/>
        <v>0</v>
      </c>
      <c r="W361" s="17">
        <f t="shared" si="54"/>
        <v>509</v>
      </c>
      <c r="X361" s="17">
        <f t="shared" si="55"/>
        <v>0</v>
      </c>
      <c r="Y361" s="19" t="e">
        <f t="shared" si="56"/>
        <v>#DIV/0!</v>
      </c>
      <c r="Z361">
        <v>782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3560</v>
      </c>
      <c r="AH361">
        <v>3560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f t="shared" si="57"/>
        <v>7120</v>
      </c>
      <c r="BF361">
        <v>4342</v>
      </c>
      <c r="BG361">
        <v>4342</v>
      </c>
      <c r="BH361" t="s">
        <v>63</v>
      </c>
      <c r="BI361" t="s">
        <v>849</v>
      </c>
      <c r="BJ361">
        <v>0</v>
      </c>
      <c r="BK361">
        <v>3560</v>
      </c>
      <c r="BL361">
        <v>4342</v>
      </c>
      <c r="BM361">
        <v>0</v>
      </c>
      <c r="BN361">
        <v>0</v>
      </c>
      <c r="BO361">
        <v>0</v>
      </c>
      <c r="BP361">
        <v>8141</v>
      </c>
      <c r="BQ361">
        <v>8141</v>
      </c>
      <c r="BR361">
        <f t="shared" si="58"/>
        <v>0</v>
      </c>
      <c r="BS361">
        <f t="shared" si="59"/>
        <v>1018</v>
      </c>
      <c r="BU361">
        <f t="shared" si="60"/>
        <v>4581</v>
      </c>
      <c r="BV361">
        <f t="shared" si="61"/>
        <v>1</v>
      </c>
    </row>
    <row r="362" spans="1:74" x14ac:dyDescent="0.25">
      <c r="A362" s="5" t="s">
        <v>1451</v>
      </c>
      <c r="B362" s="5" t="s">
        <v>61</v>
      </c>
      <c r="C362" s="5" t="s">
        <v>627</v>
      </c>
      <c r="D362" s="1" t="s">
        <v>65</v>
      </c>
      <c r="E362">
        <v>0</v>
      </c>
      <c r="F362">
        <v>3750</v>
      </c>
      <c r="G362">
        <v>0</v>
      </c>
      <c r="H362">
        <v>0</v>
      </c>
      <c r="I362">
        <v>597</v>
      </c>
      <c r="J362">
        <v>630</v>
      </c>
      <c r="K362">
        <v>72</v>
      </c>
      <c r="L362">
        <v>0</v>
      </c>
      <c r="M362">
        <v>0</v>
      </c>
      <c r="N362">
        <v>0</v>
      </c>
      <c r="O362">
        <v>0</v>
      </c>
      <c r="P362">
        <v>4185</v>
      </c>
      <c r="Q362">
        <v>542</v>
      </c>
      <c r="R362">
        <v>465</v>
      </c>
      <c r="S362" s="18">
        <f t="shared" si="50"/>
        <v>9</v>
      </c>
      <c r="T362" s="17">
        <f t="shared" si="51"/>
        <v>0</v>
      </c>
      <c r="U362" s="17">
        <f t="shared" si="52"/>
        <v>0</v>
      </c>
      <c r="V362" s="17">
        <f t="shared" si="53"/>
        <v>0</v>
      </c>
      <c r="W362" s="17">
        <f t="shared" si="54"/>
        <v>465</v>
      </c>
      <c r="X362" s="17">
        <f t="shared" si="55"/>
        <v>77</v>
      </c>
      <c r="Y362" s="19">
        <f t="shared" si="56"/>
        <v>0</v>
      </c>
      <c r="Z362">
        <v>3750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597</v>
      </c>
      <c r="AH362">
        <v>597</v>
      </c>
      <c r="AI362">
        <v>0</v>
      </c>
      <c r="AJ362">
        <v>0</v>
      </c>
      <c r="AK362">
        <v>630</v>
      </c>
      <c r="AL362">
        <v>630</v>
      </c>
      <c r="AM362">
        <v>0</v>
      </c>
      <c r="AN362">
        <v>0</v>
      </c>
      <c r="AO362">
        <v>72</v>
      </c>
      <c r="AP362">
        <v>72</v>
      </c>
      <c r="AQ362">
        <v>72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f t="shared" si="57"/>
        <v>2670</v>
      </c>
      <c r="BF362">
        <v>5049</v>
      </c>
      <c r="BG362">
        <v>5049</v>
      </c>
      <c r="BH362" t="s">
        <v>63</v>
      </c>
      <c r="BI362" t="s">
        <v>1510</v>
      </c>
      <c r="BJ362">
        <v>0</v>
      </c>
      <c r="BK362">
        <v>1299</v>
      </c>
      <c r="BL362">
        <v>5049</v>
      </c>
      <c r="BM362">
        <v>0</v>
      </c>
      <c r="BN362">
        <v>0</v>
      </c>
      <c r="BO362">
        <v>0</v>
      </c>
      <c r="BP362">
        <v>5484</v>
      </c>
      <c r="BQ362">
        <v>5484</v>
      </c>
      <c r="BR362">
        <f t="shared" si="58"/>
        <v>-77</v>
      </c>
      <c r="BS362">
        <f t="shared" si="59"/>
        <v>1007</v>
      </c>
      <c r="BU362">
        <f t="shared" si="60"/>
        <v>4185</v>
      </c>
      <c r="BV362">
        <f t="shared" si="61"/>
        <v>0</v>
      </c>
    </row>
    <row r="363" spans="1:74" x14ac:dyDescent="0.25">
      <c r="A363" s="5" t="s">
        <v>2090</v>
      </c>
      <c r="B363" s="5" t="s">
        <v>61</v>
      </c>
      <c r="C363" s="5" t="s">
        <v>61</v>
      </c>
      <c r="D363" s="1" t="s">
        <v>75</v>
      </c>
      <c r="E363">
        <v>0</v>
      </c>
      <c r="F363">
        <v>2548</v>
      </c>
      <c r="G363">
        <v>0</v>
      </c>
      <c r="H363">
        <v>0</v>
      </c>
      <c r="I363">
        <v>2000</v>
      </c>
      <c r="J363">
        <v>0</v>
      </c>
      <c r="K363">
        <v>0</v>
      </c>
      <c r="L363">
        <v>0</v>
      </c>
      <c r="M363">
        <v>0</v>
      </c>
      <c r="N363">
        <v>4158</v>
      </c>
      <c r="O363">
        <v>0</v>
      </c>
      <c r="P363">
        <v>0</v>
      </c>
      <c r="Q363">
        <v>611</v>
      </c>
      <c r="R363">
        <v>462</v>
      </c>
      <c r="S363" s="18">
        <f t="shared" si="50"/>
        <v>9</v>
      </c>
      <c r="T363" s="17">
        <f t="shared" si="51"/>
        <v>0</v>
      </c>
      <c r="U363" s="17">
        <f t="shared" si="52"/>
        <v>462</v>
      </c>
      <c r="V363" s="17">
        <f t="shared" si="53"/>
        <v>0</v>
      </c>
      <c r="W363" s="17">
        <f t="shared" si="54"/>
        <v>0</v>
      </c>
      <c r="X363" s="17">
        <f t="shared" si="55"/>
        <v>149</v>
      </c>
      <c r="Y363" s="19">
        <f t="shared" si="56"/>
        <v>0</v>
      </c>
      <c r="Z363">
        <v>2548</v>
      </c>
      <c r="AA363">
        <v>0</v>
      </c>
      <c r="AB363">
        <v>0</v>
      </c>
      <c r="AC363">
        <v>0</v>
      </c>
      <c r="AD363">
        <v>0</v>
      </c>
      <c r="AE363">
        <v>2000</v>
      </c>
      <c r="AF363">
        <v>0</v>
      </c>
      <c r="AG363">
        <v>0</v>
      </c>
      <c r="AH363">
        <v>2000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f t="shared" si="57"/>
        <v>4000</v>
      </c>
      <c r="BF363">
        <v>4548</v>
      </c>
      <c r="BG363">
        <v>4548</v>
      </c>
      <c r="BH363" t="s">
        <v>63</v>
      </c>
      <c r="BI363" t="s">
        <v>2097</v>
      </c>
      <c r="BJ363">
        <v>0</v>
      </c>
      <c r="BK363">
        <v>2000</v>
      </c>
      <c r="BL363">
        <v>4548</v>
      </c>
      <c r="BM363">
        <v>0</v>
      </c>
      <c r="BN363">
        <v>6158</v>
      </c>
      <c r="BO363">
        <v>0</v>
      </c>
      <c r="BP363">
        <v>0</v>
      </c>
      <c r="BQ363">
        <v>6158</v>
      </c>
      <c r="BR363">
        <f t="shared" si="58"/>
        <v>-149</v>
      </c>
      <c r="BS363">
        <f t="shared" si="59"/>
        <v>1073</v>
      </c>
      <c r="BU363">
        <f t="shared" si="60"/>
        <v>4158</v>
      </c>
      <c r="BV363">
        <f t="shared" si="61"/>
        <v>0</v>
      </c>
    </row>
    <row r="364" spans="1:74" x14ac:dyDescent="0.25">
      <c r="A364" s="5" t="s">
        <v>1135</v>
      </c>
      <c r="B364" s="5" t="s">
        <v>207</v>
      </c>
      <c r="C364" s="5" t="s">
        <v>61</v>
      </c>
      <c r="D364" s="1" t="s">
        <v>98</v>
      </c>
      <c r="E364">
        <v>0</v>
      </c>
      <c r="F364">
        <v>32000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20520</v>
      </c>
      <c r="Q364">
        <v>2280</v>
      </c>
      <c r="R364">
        <v>2280</v>
      </c>
      <c r="S364" s="18">
        <f t="shared" si="50"/>
        <v>9</v>
      </c>
      <c r="T364" s="17">
        <f t="shared" si="51"/>
        <v>0</v>
      </c>
      <c r="U364" s="17">
        <f t="shared" si="52"/>
        <v>0</v>
      </c>
      <c r="V364" s="17">
        <f t="shared" si="53"/>
        <v>0</v>
      </c>
      <c r="W364" s="17">
        <f t="shared" si="54"/>
        <v>2280</v>
      </c>
      <c r="X364" s="17">
        <f t="shared" si="55"/>
        <v>0</v>
      </c>
      <c r="Y364" s="19" t="e">
        <f t="shared" si="56"/>
        <v>#DIV/0!</v>
      </c>
      <c r="Z364">
        <v>32000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f t="shared" si="57"/>
        <v>0</v>
      </c>
      <c r="BF364">
        <v>32000</v>
      </c>
      <c r="BG364">
        <v>32000</v>
      </c>
      <c r="BH364" t="s">
        <v>82</v>
      </c>
      <c r="BI364" t="s">
        <v>1213</v>
      </c>
      <c r="BJ364">
        <v>0</v>
      </c>
      <c r="BK364">
        <v>0</v>
      </c>
      <c r="BL364">
        <v>32000</v>
      </c>
      <c r="BM364">
        <v>0</v>
      </c>
      <c r="BN364">
        <v>0</v>
      </c>
      <c r="BO364">
        <v>0</v>
      </c>
      <c r="BP364">
        <v>20520</v>
      </c>
      <c r="BQ364">
        <v>20520</v>
      </c>
      <c r="BR364">
        <f t="shared" si="58"/>
        <v>0</v>
      </c>
      <c r="BS364">
        <f t="shared" si="59"/>
        <v>4560</v>
      </c>
    </row>
    <row r="365" spans="1:74" x14ac:dyDescent="0.25">
      <c r="A365" s="5" t="s">
        <v>1135</v>
      </c>
      <c r="B365" s="5" t="s">
        <v>207</v>
      </c>
      <c r="C365" s="5" t="s">
        <v>61</v>
      </c>
      <c r="D365" s="1" t="s">
        <v>100</v>
      </c>
      <c r="E365">
        <v>0</v>
      </c>
      <c r="F365">
        <v>27270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24543</v>
      </c>
      <c r="Q365">
        <v>2727</v>
      </c>
      <c r="R365">
        <v>2727</v>
      </c>
      <c r="S365" s="18">
        <f t="shared" si="50"/>
        <v>9</v>
      </c>
      <c r="T365" s="17">
        <f t="shared" si="51"/>
        <v>0</v>
      </c>
      <c r="U365" s="17">
        <f t="shared" si="52"/>
        <v>0</v>
      </c>
      <c r="V365" s="17">
        <f t="shared" si="53"/>
        <v>0</v>
      </c>
      <c r="W365" s="17">
        <f t="shared" si="54"/>
        <v>2727</v>
      </c>
      <c r="X365" s="17">
        <f t="shared" si="55"/>
        <v>0</v>
      </c>
      <c r="Y365" s="19" t="e">
        <f t="shared" si="56"/>
        <v>#DIV/0!</v>
      </c>
      <c r="Z365">
        <v>27270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f t="shared" si="57"/>
        <v>0</v>
      </c>
      <c r="BF365">
        <v>27270</v>
      </c>
      <c r="BG365">
        <v>27270</v>
      </c>
      <c r="BH365" t="s">
        <v>1214</v>
      </c>
      <c r="BI365" t="s">
        <v>1215</v>
      </c>
      <c r="BJ365">
        <v>0</v>
      </c>
      <c r="BK365">
        <v>0</v>
      </c>
      <c r="BL365">
        <v>27270</v>
      </c>
      <c r="BM365">
        <v>0</v>
      </c>
      <c r="BN365">
        <v>0</v>
      </c>
      <c r="BO365">
        <v>0</v>
      </c>
      <c r="BP365">
        <v>24543</v>
      </c>
      <c r="BQ365">
        <v>24543</v>
      </c>
      <c r="BR365">
        <f t="shared" si="58"/>
        <v>0</v>
      </c>
      <c r="BS365">
        <f t="shared" si="59"/>
        <v>5454</v>
      </c>
    </row>
    <row r="366" spans="1:74" x14ac:dyDescent="0.25">
      <c r="A366" s="5" t="s">
        <v>1135</v>
      </c>
      <c r="B366" s="5" t="s">
        <v>207</v>
      </c>
      <c r="C366" s="5" t="s">
        <v>61</v>
      </c>
      <c r="D366" s="1" t="s">
        <v>102</v>
      </c>
      <c r="E366">
        <v>0</v>
      </c>
      <c r="F366">
        <v>2440</v>
      </c>
      <c r="G366">
        <v>0</v>
      </c>
      <c r="H366">
        <v>0</v>
      </c>
      <c r="I366">
        <v>849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5175</v>
      </c>
      <c r="Q366">
        <v>575</v>
      </c>
      <c r="R366">
        <v>575</v>
      </c>
      <c r="S366" s="18">
        <f t="shared" si="50"/>
        <v>9</v>
      </c>
      <c r="T366" s="17">
        <f t="shared" si="51"/>
        <v>0</v>
      </c>
      <c r="U366" s="17">
        <f t="shared" si="52"/>
        <v>0</v>
      </c>
      <c r="V366" s="17">
        <f t="shared" si="53"/>
        <v>0</v>
      </c>
      <c r="W366" s="17">
        <f t="shared" si="54"/>
        <v>575</v>
      </c>
      <c r="X366" s="17">
        <f t="shared" si="55"/>
        <v>0</v>
      </c>
      <c r="Y366" s="19" t="e">
        <f t="shared" si="56"/>
        <v>#DIV/0!</v>
      </c>
      <c r="Z366">
        <v>2440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849</v>
      </c>
      <c r="AH366">
        <v>849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f t="shared" si="57"/>
        <v>1698</v>
      </c>
      <c r="BF366">
        <v>3289</v>
      </c>
      <c r="BG366">
        <v>3289</v>
      </c>
      <c r="BH366" t="s">
        <v>109</v>
      </c>
      <c r="BI366" t="s">
        <v>1216</v>
      </c>
      <c r="BJ366">
        <v>0</v>
      </c>
      <c r="BK366">
        <v>849</v>
      </c>
      <c r="BL366">
        <v>3289</v>
      </c>
      <c r="BM366">
        <v>0</v>
      </c>
      <c r="BN366">
        <v>0</v>
      </c>
      <c r="BO366">
        <v>0</v>
      </c>
      <c r="BP366">
        <v>6024</v>
      </c>
      <c r="BQ366">
        <v>6024</v>
      </c>
      <c r="BR366">
        <f t="shared" si="58"/>
        <v>0</v>
      </c>
      <c r="BS366">
        <f t="shared" si="59"/>
        <v>1150</v>
      </c>
    </row>
    <row r="367" spans="1:74" x14ac:dyDescent="0.25">
      <c r="A367" s="5" t="s">
        <v>1135</v>
      </c>
      <c r="B367" s="5" t="s">
        <v>207</v>
      </c>
      <c r="C367" s="5" t="s">
        <v>61</v>
      </c>
      <c r="D367" s="1" t="s">
        <v>104</v>
      </c>
      <c r="E367">
        <v>0</v>
      </c>
      <c r="F367">
        <v>1450</v>
      </c>
      <c r="G367">
        <v>0</v>
      </c>
      <c r="H367">
        <v>0</v>
      </c>
      <c r="I367">
        <v>20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2925</v>
      </c>
      <c r="Q367">
        <v>325</v>
      </c>
      <c r="R367">
        <v>325</v>
      </c>
      <c r="S367" s="18">
        <f t="shared" si="50"/>
        <v>9</v>
      </c>
      <c r="T367" s="17">
        <f t="shared" si="51"/>
        <v>0</v>
      </c>
      <c r="U367" s="17">
        <f t="shared" si="52"/>
        <v>0</v>
      </c>
      <c r="V367" s="17">
        <f t="shared" si="53"/>
        <v>0</v>
      </c>
      <c r="W367" s="17">
        <f t="shared" si="54"/>
        <v>325</v>
      </c>
      <c r="X367" s="17">
        <f t="shared" si="55"/>
        <v>0</v>
      </c>
      <c r="Y367" s="19" t="e">
        <f t="shared" si="56"/>
        <v>#DIV/0!</v>
      </c>
      <c r="Z367">
        <v>1450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</v>
      </c>
      <c r="AH367">
        <v>20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f t="shared" si="57"/>
        <v>40</v>
      </c>
      <c r="BF367">
        <v>1470</v>
      </c>
      <c r="BG367">
        <v>1470</v>
      </c>
      <c r="BH367" t="s">
        <v>109</v>
      </c>
      <c r="BI367" t="s">
        <v>1217</v>
      </c>
      <c r="BJ367">
        <v>0</v>
      </c>
      <c r="BK367">
        <v>20</v>
      </c>
      <c r="BL367">
        <v>1470</v>
      </c>
      <c r="BM367">
        <v>0</v>
      </c>
      <c r="BN367">
        <v>0</v>
      </c>
      <c r="BO367">
        <v>0</v>
      </c>
      <c r="BP367">
        <v>2945</v>
      </c>
      <c r="BQ367">
        <v>2945</v>
      </c>
      <c r="BR367">
        <f t="shared" si="58"/>
        <v>0</v>
      </c>
      <c r="BS367">
        <f t="shared" si="59"/>
        <v>650</v>
      </c>
    </row>
    <row r="368" spans="1:74" x14ac:dyDescent="0.25">
      <c r="A368" s="5" t="s">
        <v>1135</v>
      </c>
      <c r="B368" s="5" t="s">
        <v>207</v>
      </c>
      <c r="C368" s="5" t="s">
        <v>61</v>
      </c>
      <c r="D368" s="1" t="s">
        <v>106</v>
      </c>
      <c r="E368">
        <v>0</v>
      </c>
      <c r="F368">
        <v>2900</v>
      </c>
      <c r="G368">
        <v>0</v>
      </c>
      <c r="H368">
        <v>0</v>
      </c>
      <c r="I368">
        <v>40</v>
      </c>
      <c r="J368">
        <v>0</v>
      </c>
      <c r="K368">
        <v>0</v>
      </c>
      <c r="L368">
        <v>0</v>
      </c>
      <c r="M368">
        <v>4140</v>
      </c>
      <c r="N368">
        <v>0</v>
      </c>
      <c r="O368">
        <v>0</v>
      </c>
      <c r="P368">
        <v>1080</v>
      </c>
      <c r="Q368">
        <v>580</v>
      </c>
      <c r="R368">
        <v>580</v>
      </c>
      <c r="S368" s="18">
        <f t="shared" si="50"/>
        <v>9</v>
      </c>
      <c r="T368" s="17">
        <f t="shared" si="51"/>
        <v>460</v>
      </c>
      <c r="U368" s="17">
        <f t="shared" si="52"/>
        <v>0</v>
      </c>
      <c r="V368" s="17">
        <f t="shared" si="53"/>
        <v>0</v>
      </c>
      <c r="W368" s="17">
        <f t="shared" si="54"/>
        <v>120</v>
      </c>
      <c r="X368" s="17">
        <f t="shared" si="55"/>
        <v>0</v>
      </c>
      <c r="Y368" s="19" t="e">
        <f t="shared" si="56"/>
        <v>#DIV/0!</v>
      </c>
      <c r="Z368">
        <v>2900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40</v>
      </c>
      <c r="AH368">
        <v>40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f t="shared" si="57"/>
        <v>80</v>
      </c>
      <c r="BF368">
        <v>2940</v>
      </c>
      <c r="BG368">
        <v>2940</v>
      </c>
      <c r="BH368" t="s">
        <v>109</v>
      </c>
      <c r="BI368" t="s">
        <v>1218</v>
      </c>
      <c r="BJ368">
        <v>0</v>
      </c>
      <c r="BK368">
        <v>40</v>
      </c>
      <c r="BL368">
        <v>2940</v>
      </c>
      <c r="BM368">
        <v>4140</v>
      </c>
      <c r="BN368">
        <v>0</v>
      </c>
      <c r="BO368">
        <v>0</v>
      </c>
      <c r="BP368">
        <v>1120</v>
      </c>
      <c r="BQ368">
        <v>5260</v>
      </c>
      <c r="BR368">
        <f t="shared" si="58"/>
        <v>0</v>
      </c>
      <c r="BS368">
        <f t="shared" si="59"/>
        <v>1160</v>
      </c>
    </row>
    <row r="369" spans="1:71" x14ac:dyDescent="0.25">
      <c r="A369" s="5" t="s">
        <v>1135</v>
      </c>
      <c r="B369" s="5" t="s">
        <v>207</v>
      </c>
      <c r="C369" s="5" t="s">
        <v>61</v>
      </c>
      <c r="D369" s="1" t="s">
        <v>108</v>
      </c>
      <c r="E369">
        <v>0</v>
      </c>
      <c r="F369">
        <v>3600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2835</v>
      </c>
      <c r="N369">
        <v>0</v>
      </c>
      <c r="O369">
        <v>0</v>
      </c>
      <c r="P369">
        <v>0</v>
      </c>
      <c r="Q369">
        <v>315</v>
      </c>
      <c r="R369">
        <v>315</v>
      </c>
      <c r="S369" s="18">
        <f t="shared" si="50"/>
        <v>9</v>
      </c>
      <c r="T369" s="17">
        <f t="shared" si="51"/>
        <v>315</v>
      </c>
      <c r="U369" s="17">
        <f t="shared" si="52"/>
        <v>0</v>
      </c>
      <c r="V369" s="17">
        <f t="shared" si="53"/>
        <v>0</v>
      </c>
      <c r="W369" s="17">
        <f t="shared" si="54"/>
        <v>0</v>
      </c>
      <c r="X369" s="17">
        <f t="shared" si="55"/>
        <v>0</v>
      </c>
      <c r="Y369" s="19" t="e">
        <f t="shared" si="56"/>
        <v>#DIV/0!</v>
      </c>
      <c r="Z369">
        <v>3600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f t="shared" si="57"/>
        <v>0</v>
      </c>
      <c r="BF369">
        <v>3600</v>
      </c>
      <c r="BG369">
        <v>3600</v>
      </c>
      <c r="BH369" t="s">
        <v>109</v>
      </c>
      <c r="BI369" t="s">
        <v>1219</v>
      </c>
      <c r="BJ369">
        <v>0</v>
      </c>
      <c r="BK369">
        <v>0</v>
      </c>
      <c r="BL369">
        <v>3600</v>
      </c>
      <c r="BM369">
        <v>2835</v>
      </c>
      <c r="BN369">
        <v>0</v>
      </c>
      <c r="BO369">
        <v>0</v>
      </c>
      <c r="BP369">
        <v>0</v>
      </c>
      <c r="BQ369">
        <v>2835</v>
      </c>
      <c r="BR369">
        <f t="shared" si="58"/>
        <v>0</v>
      </c>
      <c r="BS369">
        <f t="shared" si="59"/>
        <v>630</v>
      </c>
    </row>
    <row r="370" spans="1:71" x14ac:dyDescent="0.25">
      <c r="A370" s="5" t="s">
        <v>1135</v>
      </c>
      <c r="B370" s="5" t="s">
        <v>207</v>
      </c>
      <c r="C370" s="5" t="s">
        <v>61</v>
      </c>
      <c r="D370" s="1" t="s">
        <v>111</v>
      </c>
      <c r="E370">
        <v>0</v>
      </c>
      <c r="F370">
        <v>220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486</v>
      </c>
      <c r="N370">
        <v>0</v>
      </c>
      <c r="O370">
        <v>0</v>
      </c>
      <c r="P370">
        <v>0</v>
      </c>
      <c r="Q370">
        <v>54</v>
      </c>
      <c r="R370">
        <v>54</v>
      </c>
      <c r="S370" s="18">
        <f t="shared" si="50"/>
        <v>9</v>
      </c>
      <c r="T370" s="17">
        <f t="shared" si="51"/>
        <v>54</v>
      </c>
      <c r="U370" s="17">
        <f t="shared" si="52"/>
        <v>0</v>
      </c>
      <c r="V370" s="17">
        <f t="shared" si="53"/>
        <v>0</v>
      </c>
      <c r="W370" s="17">
        <f t="shared" si="54"/>
        <v>0</v>
      </c>
      <c r="X370" s="17">
        <f t="shared" si="55"/>
        <v>0</v>
      </c>
      <c r="Y370" s="19" t="e">
        <f t="shared" si="56"/>
        <v>#DIV/0!</v>
      </c>
      <c r="Z370">
        <v>220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f t="shared" si="57"/>
        <v>0</v>
      </c>
      <c r="BF370">
        <v>220</v>
      </c>
      <c r="BG370">
        <v>220</v>
      </c>
      <c r="BH370" t="s">
        <v>109</v>
      </c>
      <c r="BI370" t="s">
        <v>1220</v>
      </c>
      <c r="BJ370">
        <v>0</v>
      </c>
      <c r="BK370">
        <v>0</v>
      </c>
      <c r="BL370">
        <v>220</v>
      </c>
      <c r="BM370">
        <v>486</v>
      </c>
      <c r="BN370">
        <v>0</v>
      </c>
      <c r="BO370">
        <v>0</v>
      </c>
      <c r="BP370">
        <v>0</v>
      </c>
      <c r="BQ370">
        <v>486</v>
      </c>
      <c r="BR370">
        <f t="shared" si="58"/>
        <v>0</v>
      </c>
      <c r="BS370">
        <f t="shared" si="59"/>
        <v>108</v>
      </c>
    </row>
    <row r="371" spans="1:71" x14ac:dyDescent="0.25">
      <c r="A371" s="5" t="s">
        <v>1135</v>
      </c>
      <c r="B371" s="5" t="s">
        <v>207</v>
      </c>
      <c r="C371" s="5" t="s">
        <v>61</v>
      </c>
      <c r="D371" s="1" t="s">
        <v>113</v>
      </c>
      <c r="E371">
        <v>0</v>
      </c>
      <c r="F371">
        <v>1640</v>
      </c>
      <c r="G371">
        <v>0</v>
      </c>
      <c r="H371">
        <v>0</v>
      </c>
      <c r="I371">
        <v>110</v>
      </c>
      <c r="J371">
        <v>0</v>
      </c>
      <c r="K371">
        <v>0</v>
      </c>
      <c r="L371">
        <v>0</v>
      </c>
      <c r="M371">
        <v>2952</v>
      </c>
      <c r="N371">
        <v>0</v>
      </c>
      <c r="O371">
        <v>0</v>
      </c>
      <c r="P371">
        <v>0</v>
      </c>
      <c r="Q371">
        <v>328</v>
      </c>
      <c r="R371">
        <v>328</v>
      </c>
      <c r="S371" s="18">
        <f t="shared" si="50"/>
        <v>9</v>
      </c>
      <c r="T371" s="17">
        <f t="shared" si="51"/>
        <v>328</v>
      </c>
      <c r="U371" s="17">
        <f t="shared" si="52"/>
        <v>0</v>
      </c>
      <c r="V371" s="17">
        <f t="shared" si="53"/>
        <v>0</v>
      </c>
      <c r="W371" s="17">
        <f t="shared" si="54"/>
        <v>0</v>
      </c>
      <c r="X371" s="17">
        <f t="shared" si="55"/>
        <v>0</v>
      </c>
      <c r="Y371" s="19" t="e">
        <f t="shared" si="56"/>
        <v>#DIV/0!</v>
      </c>
      <c r="Z371">
        <v>1640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110</v>
      </c>
      <c r="AH371">
        <v>110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f t="shared" si="57"/>
        <v>220</v>
      </c>
      <c r="BF371">
        <v>1750</v>
      </c>
      <c r="BG371">
        <v>1750</v>
      </c>
      <c r="BH371" t="s">
        <v>109</v>
      </c>
      <c r="BI371" t="s">
        <v>1221</v>
      </c>
      <c r="BJ371">
        <v>0</v>
      </c>
      <c r="BK371">
        <v>110</v>
      </c>
      <c r="BL371">
        <v>1750</v>
      </c>
      <c r="BM371">
        <v>2952</v>
      </c>
      <c r="BN371">
        <v>0</v>
      </c>
      <c r="BO371">
        <v>0</v>
      </c>
      <c r="BP371">
        <v>110</v>
      </c>
      <c r="BQ371">
        <v>3062</v>
      </c>
      <c r="BR371">
        <f t="shared" si="58"/>
        <v>0</v>
      </c>
      <c r="BS371">
        <f t="shared" si="59"/>
        <v>656</v>
      </c>
    </row>
    <row r="372" spans="1:71" x14ac:dyDescent="0.25">
      <c r="A372" s="5" t="s">
        <v>1135</v>
      </c>
      <c r="B372" s="5" t="s">
        <v>207</v>
      </c>
      <c r="C372" s="5" t="s">
        <v>61</v>
      </c>
      <c r="D372" s="1" t="s">
        <v>115</v>
      </c>
      <c r="E372">
        <v>0</v>
      </c>
      <c r="F372">
        <v>2540</v>
      </c>
      <c r="G372">
        <v>0</v>
      </c>
      <c r="H372">
        <v>0</v>
      </c>
      <c r="I372">
        <v>95</v>
      </c>
      <c r="J372">
        <v>0</v>
      </c>
      <c r="K372">
        <v>0</v>
      </c>
      <c r="L372">
        <v>0</v>
      </c>
      <c r="M372">
        <v>3060</v>
      </c>
      <c r="N372">
        <v>0</v>
      </c>
      <c r="O372">
        <v>0</v>
      </c>
      <c r="P372">
        <v>0</v>
      </c>
      <c r="Q372">
        <v>340</v>
      </c>
      <c r="R372">
        <v>340</v>
      </c>
      <c r="S372" s="18">
        <f t="shared" si="50"/>
        <v>9</v>
      </c>
      <c r="T372" s="17">
        <f t="shared" si="51"/>
        <v>340</v>
      </c>
      <c r="U372" s="17">
        <f t="shared" si="52"/>
        <v>0</v>
      </c>
      <c r="V372" s="17">
        <f t="shared" si="53"/>
        <v>0</v>
      </c>
      <c r="W372" s="17">
        <f t="shared" si="54"/>
        <v>0</v>
      </c>
      <c r="X372" s="17">
        <f t="shared" si="55"/>
        <v>0</v>
      </c>
      <c r="Y372" s="19" t="e">
        <f t="shared" si="56"/>
        <v>#DIV/0!</v>
      </c>
      <c r="Z372">
        <v>2540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95</v>
      </c>
      <c r="AH372">
        <v>95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f t="shared" si="57"/>
        <v>190</v>
      </c>
      <c r="BF372">
        <v>2635</v>
      </c>
      <c r="BG372">
        <v>2635</v>
      </c>
      <c r="BH372" t="s">
        <v>109</v>
      </c>
      <c r="BI372" t="s">
        <v>1222</v>
      </c>
      <c r="BJ372">
        <v>0</v>
      </c>
      <c r="BK372">
        <v>95</v>
      </c>
      <c r="BL372">
        <v>2635</v>
      </c>
      <c r="BM372">
        <v>3060</v>
      </c>
      <c r="BN372">
        <v>0</v>
      </c>
      <c r="BO372">
        <v>0</v>
      </c>
      <c r="BP372">
        <v>95</v>
      </c>
      <c r="BQ372">
        <v>3155</v>
      </c>
      <c r="BR372">
        <f t="shared" si="58"/>
        <v>0</v>
      </c>
      <c r="BS372">
        <f t="shared" si="59"/>
        <v>680</v>
      </c>
    </row>
    <row r="373" spans="1:71" x14ac:dyDescent="0.25">
      <c r="A373" s="5" t="s">
        <v>1135</v>
      </c>
      <c r="B373" s="5" t="s">
        <v>207</v>
      </c>
      <c r="C373" s="5" t="s">
        <v>61</v>
      </c>
      <c r="D373" s="1" t="s">
        <v>117</v>
      </c>
      <c r="E373">
        <v>0</v>
      </c>
      <c r="F373">
        <v>330</v>
      </c>
      <c r="G373">
        <v>0</v>
      </c>
      <c r="H373">
        <v>0</v>
      </c>
      <c r="I373">
        <v>360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495</v>
      </c>
      <c r="Q373">
        <v>55</v>
      </c>
      <c r="R373">
        <v>55</v>
      </c>
      <c r="S373" s="18">
        <f t="shared" si="50"/>
        <v>9</v>
      </c>
      <c r="T373" s="17">
        <f t="shared" si="51"/>
        <v>0</v>
      </c>
      <c r="U373" s="17">
        <f t="shared" si="52"/>
        <v>0</v>
      </c>
      <c r="V373" s="17">
        <f t="shared" si="53"/>
        <v>0</v>
      </c>
      <c r="W373" s="17">
        <f t="shared" si="54"/>
        <v>55</v>
      </c>
      <c r="X373" s="17">
        <f t="shared" si="55"/>
        <v>0</v>
      </c>
      <c r="Y373" s="19" t="e">
        <f t="shared" si="56"/>
        <v>#DIV/0!</v>
      </c>
      <c r="Z373">
        <v>330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360</v>
      </c>
      <c r="AH373">
        <v>360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f t="shared" si="57"/>
        <v>720</v>
      </c>
      <c r="BF373">
        <v>690</v>
      </c>
      <c r="BG373">
        <v>690</v>
      </c>
      <c r="BH373" t="s">
        <v>109</v>
      </c>
      <c r="BI373" t="s">
        <v>1223</v>
      </c>
      <c r="BJ373">
        <v>0</v>
      </c>
      <c r="BK373">
        <v>360</v>
      </c>
      <c r="BL373">
        <v>690</v>
      </c>
      <c r="BM373">
        <v>0</v>
      </c>
      <c r="BN373">
        <v>0</v>
      </c>
      <c r="BO373">
        <v>0</v>
      </c>
      <c r="BP373">
        <v>855</v>
      </c>
      <c r="BQ373">
        <v>855</v>
      </c>
      <c r="BR373">
        <f t="shared" si="58"/>
        <v>0</v>
      </c>
      <c r="BS373">
        <f t="shared" si="59"/>
        <v>110</v>
      </c>
    </row>
    <row r="374" spans="1:71" x14ac:dyDescent="0.25">
      <c r="A374" s="5" t="s">
        <v>1135</v>
      </c>
      <c r="B374" s="5" t="s">
        <v>207</v>
      </c>
      <c r="C374" s="5" t="s">
        <v>61</v>
      </c>
      <c r="D374" s="1" t="s">
        <v>119</v>
      </c>
      <c r="E374">
        <v>0</v>
      </c>
      <c r="F374">
        <v>390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585</v>
      </c>
      <c r="N374">
        <v>0</v>
      </c>
      <c r="O374">
        <v>0</v>
      </c>
      <c r="P374">
        <v>0</v>
      </c>
      <c r="Q374">
        <v>65</v>
      </c>
      <c r="R374">
        <v>65</v>
      </c>
      <c r="S374" s="18">
        <f t="shared" si="50"/>
        <v>9</v>
      </c>
      <c r="T374" s="17">
        <f t="shared" si="51"/>
        <v>65</v>
      </c>
      <c r="U374" s="17">
        <f t="shared" si="52"/>
        <v>0</v>
      </c>
      <c r="V374" s="17">
        <f t="shared" si="53"/>
        <v>0</v>
      </c>
      <c r="W374" s="17">
        <f t="shared" si="54"/>
        <v>0</v>
      </c>
      <c r="X374" s="17">
        <f t="shared" si="55"/>
        <v>0</v>
      </c>
      <c r="Y374" s="19" t="e">
        <f t="shared" si="56"/>
        <v>#DIV/0!</v>
      </c>
      <c r="Z374">
        <v>390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f t="shared" si="57"/>
        <v>0</v>
      </c>
      <c r="BF374">
        <v>390</v>
      </c>
      <c r="BG374">
        <v>390</v>
      </c>
      <c r="BH374" t="s">
        <v>109</v>
      </c>
      <c r="BI374" t="s">
        <v>1224</v>
      </c>
      <c r="BJ374">
        <v>0</v>
      </c>
      <c r="BK374">
        <v>0</v>
      </c>
      <c r="BL374">
        <v>390</v>
      </c>
      <c r="BM374">
        <v>585</v>
      </c>
      <c r="BN374">
        <v>0</v>
      </c>
      <c r="BO374">
        <v>0</v>
      </c>
      <c r="BP374">
        <v>0</v>
      </c>
      <c r="BQ374">
        <v>585</v>
      </c>
      <c r="BR374">
        <f t="shared" si="58"/>
        <v>0</v>
      </c>
      <c r="BS374">
        <f t="shared" si="59"/>
        <v>130</v>
      </c>
    </row>
    <row r="375" spans="1:71" x14ac:dyDescent="0.25">
      <c r="A375" s="5" t="s">
        <v>1135</v>
      </c>
      <c r="B375" s="5" t="s">
        <v>207</v>
      </c>
      <c r="C375" s="5" t="s">
        <v>61</v>
      </c>
      <c r="D375" s="1" t="s">
        <v>121</v>
      </c>
      <c r="E375">
        <v>0</v>
      </c>
      <c r="F375">
        <v>1200</v>
      </c>
      <c r="G375">
        <v>0</v>
      </c>
      <c r="H375">
        <v>0</v>
      </c>
      <c r="I375">
        <v>186</v>
      </c>
      <c r="J375">
        <v>0</v>
      </c>
      <c r="K375">
        <v>0</v>
      </c>
      <c r="L375">
        <v>0</v>
      </c>
      <c r="M375">
        <v>2790</v>
      </c>
      <c r="N375">
        <v>0</v>
      </c>
      <c r="O375">
        <v>0</v>
      </c>
      <c r="P375">
        <v>0</v>
      </c>
      <c r="Q375">
        <v>310</v>
      </c>
      <c r="R375">
        <v>310</v>
      </c>
      <c r="S375" s="18">
        <f t="shared" si="50"/>
        <v>9</v>
      </c>
      <c r="T375" s="17">
        <f t="shared" si="51"/>
        <v>310</v>
      </c>
      <c r="U375" s="17">
        <f t="shared" si="52"/>
        <v>0</v>
      </c>
      <c r="V375" s="17">
        <f t="shared" si="53"/>
        <v>0</v>
      </c>
      <c r="W375" s="17">
        <f t="shared" si="54"/>
        <v>0</v>
      </c>
      <c r="X375" s="17">
        <f t="shared" si="55"/>
        <v>0</v>
      </c>
      <c r="Y375" s="19" t="e">
        <f t="shared" si="56"/>
        <v>#DIV/0!</v>
      </c>
      <c r="Z375">
        <v>1200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186</v>
      </c>
      <c r="AH375">
        <v>186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f t="shared" si="57"/>
        <v>372</v>
      </c>
      <c r="BF375">
        <v>1386</v>
      </c>
      <c r="BG375">
        <v>1386</v>
      </c>
      <c r="BH375" t="s">
        <v>109</v>
      </c>
      <c r="BI375" t="s">
        <v>1150</v>
      </c>
      <c r="BJ375">
        <v>0</v>
      </c>
      <c r="BK375">
        <v>186</v>
      </c>
      <c r="BL375">
        <v>1386</v>
      </c>
      <c r="BM375">
        <v>2790</v>
      </c>
      <c r="BN375">
        <v>0</v>
      </c>
      <c r="BO375">
        <v>0</v>
      </c>
      <c r="BP375">
        <v>186</v>
      </c>
      <c r="BQ375">
        <v>2976</v>
      </c>
      <c r="BR375">
        <f t="shared" si="58"/>
        <v>0</v>
      </c>
      <c r="BS375">
        <f t="shared" si="59"/>
        <v>620</v>
      </c>
    </row>
    <row r="376" spans="1:71" x14ac:dyDescent="0.25">
      <c r="A376" s="5" t="s">
        <v>1135</v>
      </c>
      <c r="B376" s="5" t="s">
        <v>207</v>
      </c>
      <c r="C376" s="5" t="s">
        <v>61</v>
      </c>
      <c r="D376" s="1" t="s">
        <v>125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8" t="e">
        <f t="shared" si="50"/>
        <v>#DIV/0!</v>
      </c>
      <c r="T376" s="17" t="e">
        <f t="shared" si="51"/>
        <v>#DIV/0!</v>
      </c>
      <c r="U376" s="17" t="e">
        <f t="shared" si="52"/>
        <v>#DIV/0!</v>
      </c>
      <c r="V376" s="17" t="e">
        <f t="shared" si="53"/>
        <v>#DIV/0!</v>
      </c>
      <c r="W376" s="17" t="e">
        <f t="shared" si="54"/>
        <v>#DIV/0!</v>
      </c>
      <c r="X376" s="17" t="e">
        <f t="shared" si="55"/>
        <v>#DIV/0!</v>
      </c>
      <c r="Y376" s="19" t="e">
        <f t="shared" si="56"/>
        <v>#DIV/0!</v>
      </c>
      <c r="Z376">
        <v>0</v>
      </c>
      <c r="AA376">
        <v>0</v>
      </c>
      <c r="AB376">
        <v>0</v>
      </c>
      <c r="AC376">
        <v>450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f t="shared" si="57"/>
        <v>450</v>
      </c>
      <c r="BH376" t="s">
        <v>82</v>
      </c>
      <c r="BI376" t="s">
        <v>1226</v>
      </c>
      <c r="BJ376">
        <v>450</v>
      </c>
      <c r="BK376">
        <v>0</v>
      </c>
      <c r="BL376">
        <v>450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f t="shared" si="58"/>
        <v>0</v>
      </c>
      <c r="BS376">
        <f t="shared" si="59"/>
        <v>0</v>
      </c>
    </row>
    <row r="377" spans="1:71" x14ac:dyDescent="0.25">
      <c r="A377" s="5" t="s">
        <v>1135</v>
      </c>
      <c r="B377" s="5" t="s">
        <v>207</v>
      </c>
      <c r="C377" s="5" t="s">
        <v>61</v>
      </c>
      <c r="D377" s="1" t="s">
        <v>143</v>
      </c>
      <c r="E377">
        <v>0</v>
      </c>
      <c r="F377">
        <v>2200</v>
      </c>
      <c r="G377">
        <v>0</v>
      </c>
      <c r="H377">
        <v>0</v>
      </c>
      <c r="I377">
        <v>25</v>
      </c>
      <c r="J377">
        <v>0</v>
      </c>
      <c r="K377">
        <v>120</v>
      </c>
      <c r="L377">
        <v>50</v>
      </c>
      <c r="M377">
        <v>0</v>
      </c>
      <c r="N377">
        <v>0</v>
      </c>
      <c r="O377">
        <v>0</v>
      </c>
      <c r="P377">
        <v>3150</v>
      </c>
      <c r="Q377">
        <v>350</v>
      </c>
      <c r="R377">
        <v>350</v>
      </c>
      <c r="S377" s="18">
        <f t="shared" si="50"/>
        <v>9</v>
      </c>
      <c r="T377" s="17">
        <f t="shared" si="51"/>
        <v>0</v>
      </c>
      <c r="U377" s="17">
        <f t="shared" si="52"/>
        <v>0</v>
      </c>
      <c r="V377" s="17">
        <f t="shared" si="53"/>
        <v>0</v>
      </c>
      <c r="W377" s="17">
        <f t="shared" si="54"/>
        <v>350</v>
      </c>
      <c r="X377" s="17">
        <f t="shared" si="55"/>
        <v>0</v>
      </c>
      <c r="Y377" s="19" t="e">
        <f t="shared" si="56"/>
        <v>#DIV/0!</v>
      </c>
      <c r="Z377">
        <v>2200</v>
      </c>
      <c r="AA377">
        <v>0</v>
      </c>
      <c r="AB377">
        <v>0</v>
      </c>
      <c r="AC377">
        <v>900</v>
      </c>
      <c r="AD377">
        <v>0</v>
      </c>
      <c r="AE377">
        <v>0</v>
      </c>
      <c r="AF377">
        <v>0</v>
      </c>
      <c r="AG377">
        <v>25</v>
      </c>
      <c r="AH377">
        <v>25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120</v>
      </c>
      <c r="AP377">
        <v>40</v>
      </c>
      <c r="AQ377">
        <v>120</v>
      </c>
      <c r="AR377">
        <v>80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50</v>
      </c>
      <c r="BA377">
        <v>50</v>
      </c>
      <c r="BB377">
        <v>0</v>
      </c>
      <c r="BC377">
        <v>0</v>
      </c>
      <c r="BD377">
        <v>0</v>
      </c>
      <c r="BE377">
        <f t="shared" si="57"/>
        <v>1410</v>
      </c>
      <c r="BF377">
        <v>3295</v>
      </c>
      <c r="BG377">
        <v>3295</v>
      </c>
      <c r="BH377" t="s">
        <v>82</v>
      </c>
      <c r="BI377" t="s">
        <v>1235</v>
      </c>
      <c r="BJ377">
        <v>900</v>
      </c>
      <c r="BK377">
        <v>195</v>
      </c>
      <c r="BL377">
        <v>3295</v>
      </c>
      <c r="BM377">
        <v>0</v>
      </c>
      <c r="BN377">
        <v>0</v>
      </c>
      <c r="BO377">
        <v>0</v>
      </c>
      <c r="BP377">
        <v>3345</v>
      </c>
      <c r="BQ377">
        <v>3345</v>
      </c>
      <c r="BR377">
        <f t="shared" si="58"/>
        <v>0</v>
      </c>
      <c r="BS377">
        <f t="shared" si="59"/>
        <v>700</v>
      </c>
    </row>
    <row r="378" spans="1:71" x14ac:dyDescent="0.25">
      <c r="A378" s="5" t="s">
        <v>1135</v>
      </c>
      <c r="B378" s="5" t="s">
        <v>207</v>
      </c>
      <c r="C378" s="5" t="s">
        <v>61</v>
      </c>
      <c r="D378" s="1" t="s">
        <v>151</v>
      </c>
      <c r="E378">
        <v>0</v>
      </c>
      <c r="F378">
        <v>12100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5085</v>
      </c>
      <c r="N378">
        <v>0</v>
      </c>
      <c r="O378">
        <v>0</v>
      </c>
      <c r="P378">
        <v>0</v>
      </c>
      <c r="Q378">
        <v>565</v>
      </c>
      <c r="R378">
        <v>565</v>
      </c>
      <c r="S378" s="18">
        <f t="shared" si="50"/>
        <v>9</v>
      </c>
      <c r="T378" s="17">
        <f t="shared" si="51"/>
        <v>565</v>
      </c>
      <c r="U378" s="17">
        <f t="shared" si="52"/>
        <v>0</v>
      </c>
      <c r="V378" s="17">
        <f t="shared" si="53"/>
        <v>0</v>
      </c>
      <c r="W378" s="17">
        <f t="shared" si="54"/>
        <v>0</v>
      </c>
      <c r="X378" s="17">
        <f t="shared" si="55"/>
        <v>0</v>
      </c>
      <c r="Y378" s="19" t="e">
        <f t="shared" si="56"/>
        <v>#DIV/0!</v>
      </c>
      <c r="Z378">
        <v>12100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f t="shared" si="57"/>
        <v>0</v>
      </c>
      <c r="BF378">
        <v>12100</v>
      </c>
      <c r="BG378">
        <v>12100</v>
      </c>
      <c r="BH378" t="s">
        <v>546</v>
      </c>
      <c r="BI378" t="s">
        <v>1238</v>
      </c>
      <c r="BJ378">
        <v>0</v>
      </c>
      <c r="BK378">
        <v>0</v>
      </c>
      <c r="BL378">
        <v>12100</v>
      </c>
      <c r="BM378">
        <v>5085</v>
      </c>
      <c r="BN378">
        <v>0</v>
      </c>
      <c r="BO378">
        <v>0</v>
      </c>
      <c r="BP378">
        <v>0</v>
      </c>
      <c r="BQ378">
        <v>5085</v>
      </c>
      <c r="BR378">
        <f t="shared" si="58"/>
        <v>0</v>
      </c>
      <c r="BS378">
        <f t="shared" si="59"/>
        <v>1130</v>
      </c>
    </row>
    <row r="379" spans="1:71" x14ac:dyDescent="0.25">
      <c r="A379" s="5" t="s">
        <v>1135</v>
      </c>
      <c r="B379" s="5" t="s">
        <v>207</v>
      </c>
      <c r="C379" s="5" t="s">
        <v>61</v>
      </c>
      <c r="D379" s="1" t="s">
        <v>153</v>
      </c>
      <c r="E379">
        <v>0</v>
      </c>
      <c r="F379">
        <v>4270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7650</v>
      </c>
      <c r="N379">
        <v>0</v>
      </c>
      <c r="O379">
        <v>0</v>
      </c>
      <c r="P379">
        <v>0</v>
      </c>
      <c r="Q379">
        <v>850</v>
      </c>
      <c r="R379">
        <v>850</v>
      </c>
      <c r="S379" s="18">
        <f t="shared" si="50"/>
        <v>9</v>
      </c>
      <c r="T379" s="17">
        <f t="shared" si="51"/>
        <v>850</v>
      </c>
      <c r="U379" s="17">
        <f t="shared" si="52"/>
        <v>0</v>
      </c>
      <c r="V379" s="17">
        <f t="shared" si="53"/>
        <v>0</v>
      </c>
      <c r="W379" s="17">
        <f t="shared" si="54"/>
        <v>0</v>
      </c>
      <c r="X379" s="17">
        <f t="shared" si="55"/>
        <v>0</v>
      </c>
      <c r="Y379" s="19" t="e">
        <f t="shared" si="56"/>
        <v>#DIV/0!</v>
      </c>
      <c r="Z379">
        <v>4270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f t="shared" si="57"/>
        <v>0</v>
      </c>
      <c r="BF379">
        <v>4270</v>
      </c>
      <c r="BG379">
        <v>4270</v>
      </c>
      <c r="BH379" t="s">
        <v>109</v>
      </c>
      <c r="BI379" t="s">
        <v>1239</v>
      </c>
      <c r="BJ379">
        <v>0</v>
      </c>
      <c r="BK379">
        <v>0</v>
      </c>
      <c r="BL379">
        <v>4270</v>
      </c>
      <c r="BM379">
        <v>7650</v>
      </c>
      <c r="BN379">
        <v>0</v>
      </c>
      <c r="BO379">
        <v>0</v>
      </c>
      <c r="BP379">
        <v>0</v>
      </c>
      <c r="BQ379">
        <v>7650</v>
      </c>
      <c r="BR379">
        <f t="shared" si="58"/>
        <v>0</v>
      </c>
      <c r="BS379">
        <f t="shared" si="59"/>
        <v>1700</v>
      </c>
    </row>
    <row r="380" spans="1:71" x14ac:dyDescent="0.25">
      <c r="A380" s="5" t="s">
        <v>1135</v>
      </c>
      <c r="B380" s="5" t="s">
        <v>207</v>
      </c>
      <c r="C380" s="5" t="s">
        <v>61</v>
      </c>
      <c r="D380" s="1" t="s">
        <v>155</v>
      </c>
      <c r="E380">
        <v>0</v>
      </c>
      <c r="F380">
        <v>1100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1980</v>
      </c>
      <c r="N380">
        <v>0</v>
      </c>
      <c r="O380">
        <v>0</v>
      </c>
      <c r="P380">
        <v>0</v>
      </c>
      <c r="Q380">
        <v>220</v>
      </c>
      <c r="R380">
        <v>220</v>
      </c>
      <c r="S380" s="18">
        <f t="shared" si="50"/>
        <v>9</v>
      </c>
      <c r="T380" s="17">
        <f t="shared" si="51"/>
        <v>220</v>
      </c>
      <c r="U380" s="17">
        <f t="shared" si="52"/>
        <v>0</v>
      </c>
      <c r="V380" s="17">
        <f t="shared" si="53"/>
        <v>0</v>
      </c>
      <c r="W380" s="17">
        <f t="shared" si="54"/>
        <v>0</v>
      </c>
      <c r="X380" s="17">
        <f t="shared" si="55"/>
        <v>0</v>
      </c>
      <c r="Y380" s="19" t="e">
        <f t="shared" si="56"/>
        <v>#DIV/0!</v>
      </c>
      <c r="Z380">
        <v>1100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f t="shared" si="57"/>
        <v>0</v>
      </c>
      <c r="BF380">
        <v>1100</v>
      </c>
      <c r="BG380">
        <v>1100</v>
      </c>
      <c r="BH380" t="s">
        <v>109</v>
      </c>
      <c r="BI380" t="s">
        <v>1240</v>
      </c>
      <c r="BJ380">
        <v>0</v>
      </c>
      <c r="BK380">
        <v>0</v>
      </c>
      <c r="BL380">
        <v>1100</v>
      </c>
      <c r="BM380">
        <v>1980</v>
      </c>
      <c r="BN380">
        <v>0</v>
      </c>
      <c r="BO380">
        <v>0</v>
      </c>
      <c r="BP380">
        <v>0</v>
      </c>
      <c r="BQ380">
        <v>1980</v>
      </c>
      <c r="BR380">
        <f t="shared" si="58"/>
        <v>0</v>
      </c>
      <c r="BS380">
        <f t="shared" si="59"/>
        <v>440</v>
      </c>
    </row>
    <row r="381" spans="1:71" x14ac:dyDescent="0.25">
      <c r="A381" s="5" t="s">
        <v>1135</v>
      </c>
      <c r="B381" s="5" t="s">
        <v>207</v>
      </c>
      <c r="C381" s="5" t="s">
        <v>61</v>
      </c>
      <c r="D381" s="1" t="s">
        <v>157</v>
      </c>
      <c r="E381">
        <v>0</v>
      </c>
      <c r="F381">
        <v>2270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4086</v>
      </c>
      <c r="N381">
        <v>0</v>
      </c>
      <c r="O381">
        <v>0</v>
      </c>
      <c r="P381">
        <v>0</v>
      </c>
      <c r="Q381">
        <v>454</v>
      </c>
      <c r="R381">
        <v>454</v>
      </c>
      <c r="S381" s="18">
        <f t="shared" si="50"/>
        <v>9</v>
      </c>
      <c r="T381" s="17">
        <f t="shared" si="51"/>
        <v>454</v>
      </c>
      <c r="U381" s="17">
        <f t="shared" si="52"/>
        <v>0</v>
      </c>
      <c r="V381" s="17">
        <f t="shared" si="53"/>
        <v>0</v>
      </c>
      <c r="W381" s="17">
        <f t="shared" si="54"/>
        <v>0</v>
      </c>
      <c r="X381" s="17">
        <f t="shared" si="55"/>
        <v>0</v>
      </c>
      <c r="Y381" s="19" t="e">
        <f t="shared" si="56"/>
        <v>#DIV/0!</v>
      </c>
      <c r="Z381">
        <v>2270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f t="shared" si="57"/>
        <v>0</v>
      </c>
      <c r="BF381">
        <v>2270</v>
      </c>
      <c r="BG381">
        <v>2270</v>
      </c>
      <c r="BH381" t="s">
        <v>109</v>
      </c>
      <c r="BI381" t="s">
        <v>1241</v>
      </c>
      <c r="BJ381">
        <v>0</v>
      </c>
      <c r="BK381">
        <v>0</v>
      </c>
      <c r="BL381">
        <v>2270</v>
      </c>
      <c r="BM381">
        <v>4086</v>
      </c>
      <c r="BN381">
        <v>0</v>
      </c>
      <c r="BO381">
        <v>0</v>
      </c>
      <c r="BP381">
        <v>0</v>
      </c>
      <c r="BQ381">
        <v>4086</v>
      </c>
      <c r="BR381">
        <f t="shared" si="58"/>
        <v>0</v>
      </c>
      <c r="BS381">
        <f t="shared" si="59"/>
        <v>908</v>
      </c>
    </row>
    <row r="382" spans="1:71" x14ac:dyDescent="0.25">
      <c r="A382" s="5" t="s">
        <v>1135</v>
      </c>
      <c r="B382" s="5" t="s">
        <v>207</v>
      </c>
      <c r="C382" s="5" t="s">
        <v>61</v>
      </c>
      <c r="D382" s="1" t="s">
        <v>159</v>
      </c>
      <c r="E382">
        <v>0</v>
      </c>
      <c r="F382">
        <v>1370</v>
      </c>
      <c r="G382">
        <v>0</v>
      </c>
      <c r="H382">
        <v>0</v>
      </c>
      <c r="I382">
        <v>45</v>
      </c>
      <c r="J382">
        <v>0</v>
      </c>
      <c r="K382">
        <v>0</v>
      </c>
      <c r="L382">
        <v>0</v>
      </c>
      <c r="M382">
        <v>2466</v>
      </c>
      <c r="N382">
        <v>0</v>
      </c>
      <c r="O382">
        <v>0</v>
      </c>
      <c r="P382">
        <v>0</v>
      </c>
      <c r="Q382">
        <v>274</v>
      </c>
      <c r="R382">
        <v>274</v>
      </c>
      <c r="S382" s="18">
        <f t="shared" si="50"/>
        <v>9</v>
      </c>
      <c r="T382" s="17">
        <f t="shared" si="51"/>
        <v>274</v>
      </c>
      <c r="U382" s="17">
        <f t="shared" si="52"/>
        <v>0</v>
      </c>
      <c r="V382" s="17">
        <f t="shared" si="53"/>
        <v>0</v>
      </c>
      <c r="W382" s="17">
        <f t="shared" si="54"/>
        <v>0</v>
      </c>
      <c r="X382" s="17">
        <f t="shared" si="55"/>
        <v>0</v>
      </c>
      <c r="Y382" s="19" t="e">
        <f t="shared" si="56"/>
        <v>#DIV/0!</v>
      </c>
      <c r="Z382">
        <v>1370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45</v>
      </c>
      <c r="AH382">
        <v>45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f t="shared" si="57"/>
        <v>90</v>
      </c>
      <c r="BF382">
        <v>1415</v>
      </c>
      <c r="BG382">
        <v>1415</v>
      </c>
      <c r="BH382" t="s">
        <v>109</v>
      </c>
      <c r="BI382" t="s">
        <v>1242</v>
      </c>
      <c r="BJ382">
        <v>0</v>
      </c>
      <c r="BK382">
        <v>45</v>
      </c>
      <c r="BL382">
        <v>1415</v>
      </c>
      <c r="BM382">
        <v>2466</v>
      </c>
      <c r="BN382">
        <v>0</v>
      </c>
      <c r="BO382">
        <v>0</v>
      </c>
      <c r="BP382">
        <v>45</v>
      </c>
      <c r="BQ382">
        <v>2511</v>
      </c>
      <c r="BR382">
        <f t="shared" si="58"/>
        <v>0</v>
      </c>
      <c r="BS382">
        <f t="shared" si="59"/>
        <v>548</v>
      </c>
    </row>
    <row r="383" spans="1:71" x14ac:dyDescent="0.25">
      <c r="A383" s="5" t="s">
        <v>1135</v>
      </c>
      <c r="B383" s="5" t="s">
        <v>207</v>
      </c>
      <c r="C383" s="5" t="s">
        <v>61</v>
      </c>
      <c r="D383" s="1" t="s">
        <v>161</v>
      </c>
      <c r="E383">
        <v>0</v>
      </c>
      <c r="F383">
        <v>3496</v>
      </c>
      <c r="G383">
        <v>0</v>
      </c>
      <c r="H383">
        <v>0</v>
      </c>
      <c r="I383">
        <v>835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7866</v>
      </c>
      <c r="Q383">
        <v>874</v>
      </c>
      <c r="R383">
        <v>874</v>
      </c>
      <c r="S383" s="18">
        <f t="shared" si="50"/>
        <v>9</v>
      </c>
      <c r="T383" s="17">
        <f t="shared" si="51"/>
        <v>0</v>
      </c>
      <c r="U383" s="17">
        <f t="shared" si="52"/>
        <v>0</v>
      </c>
      <c r="V383" s="17">
        <f t="shared" si="53"/>
        <v>0</v>
      </c>
      <c r="W383" s="17">
        <f t="shared" si="54"/>
        <v>874</v>
      </c>
      <c r="X383" s="17">
        <f t="shared" si="55"/>
        <v>0</v>
      </c>
      <c r="Y383" s="19" t="e">
        <f t="shared" si="56"/>
        <v>#DIV/0!</v>
      </c>
      <c r="Z383">
        <v>3496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835</v>
      </c>
      <c r="AH383">
        <v>835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f t="shared" si="57"/>
        <v>1670</v>
      </c>
      <c r="BF383">
        <v>4331</v>
      </c>
      <c r="BG383">
        <v>4331</v>
      </c>
      <c r="BH383" t="s">
        <v>109</v>
      </c>
      <c r="BI383" t="s">
        <v>1243</v>
      </c>
      <c r="BJ383">
        <v>0</v>
      </c>
      <c r="BK383">
        <v>835</v>
      </c>
      <c r="BL383">
        <v>4331</v>
      </c>
      <c r="BM383">
        <v>0</v>
      </c>
      <c r="BN383">
        <v>0</v>
      </c>
      <c r="BO383">
        <v>0</v>
      </c>
      <c r="BP383">
        <v>8701</v>
      </c>
      <c r="BQ383">
        <v>8701</v>
      </c>
      <c r="BR383">
        <f t="shared" si="58"/>
        <v>0</v>
      </c>
      <c r="BS383">
        <f t="shared" si="59"/>
        <v>1748</v>
      </c>
    </row>
    <row r="384" spans="1:71" x14ac:dyDescent="0.25">
      <c r="A384" s="5" t="s">
        <v>1135</v>
      </c>
      <c r="B384" s="5" t="s">
        <v>207</v>
      </c>
      <c r="C384" s="5" t="s">
        <v>61</v>
      </c>
      <c r="D384" s="1" t="s">
        <v>163</v>
      </c>
      <c r="E384">
        <v>0</v>
      </c>
      <c r="F384">
        <v>2280</v>
      </c>
      <c r="G384">
        <v>0</v>
      </c>
      <c r="H384">
        <v>0</v>
      </c>
      <c r="I384">
        <v>40</v>
      </c>
      <c r="J384">
        <v>0</v>
      </c>
      <c r="K384">
        <v>0</v>
      </c>
      <c r="L384">
        <v>0</v>
      </c>
      <c r="M384">
        <v>3420</v>
      </c>
      <c r="N384">
        <v>0</v>
      </c>
      <c r="O384">
        <v>0</v>
      </c>
      <c r="P384">
        <v>0</v>
      </c>
      <c r="Q384">
        <v>380</v>
      </c>
      <c r="R384">
        <v>380</v>
      </c>
      <c r="S384" s="18">
        <f t="shared" si="50"/>
        <v>9</v>
      </c>
      <c r="T384" s="17">
        <f t="shared" si="51"/>
        <v>380</v>
      </c>
      <c r="U384" s="17">
        <f t="shared" si="52"/>
        <v>0</v>
      </c>
      <c r="V384" s="17">
        <f t="shared" si="53"/>
        <v>0</v>
      </c>
      <c r="W384" s="17">
        <f t="shared" si="54"/>
        <v>0</v>
      </c>
      <c r="X384" s="17">
        <f t="shared" si="55"/>
        <v>0</v>
      </c>
      <c r="Y384" s="19" t="e">
        <f t="shared" si="56"/>
        <v>#DIV/0!</v>
      </c>
      <c r="Z384">
        <v>2280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40</v>
      </c>
      <c r="AH384">
        <v>40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f t="shared" si="57"/>
        <v>80</v>
      </c>
      <c r="BF384">
        <v>2320</v>
      </c>
      <c r="BG384">
        <v>2320</v>
      </c>
      <c r="BH384" t="s">
        <v>109</v>
      </c>
      <c r="BI384" t="s">
        <v>1244</v>
      </c>
      <c r="BJ384">
        <v>0</v>
      </c>
      <c r="BK384">
        <v>40</v>
      </c>
      <c r="BL384">
        <v>2320</v>
      </c>
      <c r="BM384">
        <v>3420</v>
      </c>
      <c r="BN384">
        <v>0</v>
      </c>
      <c r="BO384">
        <v>0</v>
      </c>
      <c r="BP384">
        <v>40</v>
      </c>
      <c r="BQ384">
        <v>3460</v>
      </c>
      <c r="BR384">
        <f t="shared" si="58"/>
        <v>0</v>
      </c>
      <c r="BS384">
        <f t="shared" si="59"/>
        <v>760</v>
      </c>
    </row>
    <row r="385" spans="1:74" x14ac:dyDescent="0.25">
      <c r="A385" s="5" t="s">
        <v>1135</v>
      </c>
      <c r="B385" s="5" t="s">
        <v>207</v>
      </c>
      <c r="C385" s="5" t="s">
        <v>61</v>
      </c>
      <c r="D385" s="1" t="s">
        <v>173</v>
      </c>
      <c r="E385">
        <v>0</v>
      </c>
      <c r="F385">
        <v>1500</v>
      </c>
      <c r="G385">
        <v>0</v>
      </c>
      <c r="H385">
        <v>0</v>
      </c>
      <c r="I385">
        <v>754</v>
      </c>
      <c r="J385">
        <v>0</v>
      </c>
      <c r="K385">
        <v>256</v>
      </c>
      <c r="L385">
        <v>40</v>
      </c>
      <c r="M385">
        <v>0</v>
      </c>
      <c r="N385">
        <v>0</v>
      </c>
      <c r="O385">
        <v>0</v>
      </c>
      <c r="P385">
        <v>4014</v>
      </c>
      <c r="Q385">
        <v>446</v>
      </c>
      <c r="R385">
        <v>446</v>
      </c>
      <c r="S385" s="18">
        <f t="shared" si="50"/>
        <v>9</v>
      </c>
      <c r="T385" s="17">
        <f t="shared" si="51"/>
        <v>0</v>
      </c>
      <c r="U385" s="17">
        <f t="shared" si="52"/>
        <v>0</v>
      </c>
      <c r="V385" s="17">
        <f t="shared" si="53"/>
        <v>0</v>
      </c>
      <c r="W385" s="17">
        <f t="shared" si="54"/>
        <v>446</v>
      </c>
      <c r="X385" s="17">
        <f t="shared" si="55"/>
        <v>0</v>
      </c>
      <c r="Y385" s="19" t="e">
        <f t="shared" si="56"/>
        <v>#DIV/0!</v>
      </c>
      <c r="Z385">
        <v>1500</v>
      </c>
      <c r="AA385">
        <v>0</v>
      </c>
      <c r="AB385">
        <v>0</v>
      </c>
      <c r="AC385">
        <v>400</v>
      </c>
      <c r="AD385">
        <v>0</v>
      </c>
      <c r="AE385">
        <v>0</v>
      </c>
      <c r="AF385">
        <v>0</v>
      </c>
      <c r="AG385">
        <v>754</v>
      </c>
      <c r="AH385">
        <v>754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256</v>
      </c>
      <c r="AP385">
        <v>180</v>
      </c>
      <c r="AQ385">
        <v>256</v>
      </c>
      <c r="AR385">
        <v>76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40</v>
      </c>
      <c r="BA385">
        <v>40</v>
      </c>
      <c r="BB385">
        <v>0</v>
      </c>
      <c r="BC385">
        <v>0</v>
      </c>
      <c r="BD385">
        <v>0</v>
      </c>
      <c r="BE385">
        <f t="shared" si="57"/>
        <v>2756</v>
      </c>
      <c r="BF385">
        <v>2950</v>
      </c>
      <c r="BG385">
        <v>2950</v>
      </c>
      <c r="BH385" t="s">
        <v>190</v>
      </c>
      <c r="BI385" t="s">
        <v>1249</v>
      </c>
      <c r="BJ385">
        <v>400</v>
      </c>
      <c r="BK385">
        <v>1050</v>
      </c>
      <c r="BL385">
        <v>2950</v>
      </c>
      <c r="BM385">
        <v>0</v>
      </c>
      <c r="BN385">
        <v>0</v>
      </c>
      <c r="BO385">
        <v>0</v>
      </c>
      <c r="BP385">
        <v>5064</v>
      </c>
      <c r="BQ385">
        <v>5064</v>
      </c>
      <c r="BR385">
        <f t="shared" si="58"/>
        <v>0</v>
      </c>
      <c r="BS385">
        <f t="shared" si="59"/>
        <v>892</v>
      </c>
    </row>
    <row r="386" spans="1:74" x14ac:dyDescent="0.25">
      <c r="A386" s="5" t="s">
        <v>1135</v>
      </c>
      <c r="B386" s="5" t="s">
        <v>207</v>
      </c>
      <c r="C386" s="5" t="s">
        <v>61</v>
      </c>
      <c r="D386" s="1" t="s">
        <v>177</v>
      </c>
      <c r="E386">
        <v>0</v>
      </c>
      <c r="F386">
        <v>2500</v>
      </c>
      <c r="G386">
        <v>0</v>
      </c>
      <c r="H386">
        <v>0</v>
      </c>
      <c r="I386">
        <v>40</v>
      </c>
      <c r="J386">
        <v>0</v>
      </c>
      <c r="K386">
        <v>0</v>
      </c>
      <c r="L386">
        <v>0</v>
      </c>
      <c r="M386">
        <v>2286</v>
      </c>
      <c r="N386">
        <v>0</v>
      </c>
      <c r="O386">
        <v>0</v>
      </c>
      <c r="P386">
        <v>0</v>
      </c>
      <c r="Q386">
        <v>254</v>
      </c>
      <c r="R386">
        <v>254</v>
      </c>
      <c r="S386" s="18">
        <f t="shared" ref="S386:S449" si="62">(M386+N386+O386+P386)/R386</f>
        <v>9</v>
      </c>
      <c r="T386" s="17">
        <f t="shared" ref="T386:T449" si="63">M386/$S386</f>
        <v>254</v>
      </c>
      <c r="U386" s="17">
        <f t="shared" ref="U386:U449" si="64">N386/$S386</f>
        <v>0</v>
      </c>
      <c r="V386" s="17">
        <f t="shared" ref="V386:V449" si="65">O386/$S386</f>
        <v>0</v>
      </c>
      <c r="W386" s="17">
        <f t="shared" ref="W386:W449" si="66">P386/$S386</f>
        <v>0</v>
      </c>
      <c r="X386" s="17">
        <f t="shared" ref="X386:X449" si="67">Q386-T386-U386-W386</f>
        <v>0</v>
      </c>
      <c r="Y386" s="19" t="e">
        <f t="shared" ref="Y386:Y449" si="68">V386/X386</f>
        <v>#DIV/0!</v>
      </c>
      <c r="Z386">
        <v>2500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40</v>
      </c>
      <c r="AH386">
        <v>40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f t="shared" ref="BE386:BE449" si="69">SUM(AC386:BD386)</f>
        <v>80</v>
      </c>
      <c r="BF386">
        <v>2540</v>
      </c>
      <c r="BG386">
        <v>2540</v>
      </c>
      <c r="BH386" t="s">
        <v>190</v>
      </c>
      <c r="BI386" t="s">
        <v>1251</v>
      </c>
      <c r="BJ386">
        <v>0</v>
      </c>
      <c r="BK386">
        <v>40</v>
      </c>
      <c r="BL386">
        <v>2540</v>
      </c>
      <c r="BM386">
        <v>2286</v>
      </c>
      <c r="BN386">
        <v>0</v>
      </c>
      <c r="BO386">
        <v>0</v>
      </c>
      <c r="BP386">
        <v>40</v>
      </c>
      <c r="BQ386">
        <v>2326</v>
      </c>
      <c r="BR386">
        <f t="shared" ref="BR386:BR449" si="70">R386-Q386</f>
        <v>0</v>
      </c>
      <c r="BS386">
        <f t="shared" ref="BS386:BS449" si="71">R386+Q386</f>
        <v>508</v>
      </c>
    </row>
    <row r="387" spans="1:74" x14ac:dyDescent="0.25">
      <c r="A387" s="5" t="s">
        <v>1135</v>
      </c>
      <c r="B387" s="5" t="s">
        <v>207</v>
      </c>
      <c r="C387" s="5" t="s">
        <v>61</v>
      </c>
      <c r="D387" s="1" t="s">
        <v>179</v>
      </c>
      <c r="E387">
        <v>0</v>
      </c>
      <c r="F387">
        <v>420</v>
      </c>
      <c r="G387">
        <v>0</v>
      </c>
      <c r="H387">
        <v>0</v>
      </c>
      <c r="I387">
        <v>145</v>
      </c>
      <c r="J387">
        <v>0</v>
      </c>
      <c r="K387">
        <v>150</v>
      </c>
      <c r="L387">
        <v>35</v>
      </c>
      <c r="M387">
        <v>0</v>
      </c>
      <c r="N387">
        <v>0</v>
      </c>
      <c r="O387">
        <v>0</v>
      </c>
      <c r="P387">
        <v>810</v>
      </c>
      <c r="Q387">
        <v>90</v>
      </c>
      <c r="R387">
        <v>90</v>
      </c>
      <c r="S387" s="18">
        <f t="shared" si="62"/>
        <v>9</v>
      </c>
      <c r="T387" s="17">
        <f t="shared" si="63"/>
        <v>0</v>
      </c>
      <c r="U387" s="17">
        <f t="shared" si="64"/>
        <v>0</v>
      </c>
      <c r="V387" s="17">
        <f t="shared" si="65"/>
        <v>0</v>
      </c>
      <c r="W387" s="17">
        <f t="shared" si="66"/>
        <v>90</v>
      </c>
      <c r="X387" s="17">
        <f t="shared" si="67"/>
        <v>0</v>
      </c>
      <c r="Y387" s="19" t="e">
        <f t="shared" si="68"/>
        <v>#DIV/0!</v>
      </c>
      <c r="Z387">
        <v>420</v>
      </c>
      <c r="AA387">
        <v>0</v>
      </c>
      <c r="AB387">
        <v>0</v>
      </c>
      <c r="AC387">
        <v>180</v>
      </c>
      <c r="AD387">
        <v>0</v>
      </c>
      <c r="AE387">
        <v>0</v>
      </c>
      <c r="AF387">
        <v>0</v>
      </c>
      <c r="AG387">
        <v>145</v>
      </c>
      <c r="AH387">
        <v>145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150</v>
      </c>
      <c r="AP387">
        <v>100</v>
      </c>
      <c r="AQ387">
        <v>150</v>
      </c>
      <c r="AR387">
        <v>50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35</v>
      </c>
      <c r="BA387">
        <v>35</v>
      </c>
      <c r="BB387">
        <v>0</v>
      </c>
      <c r="BC387">
        <v>0</v>
      </c>
      <c r="BD387">
        <v>0</v>
      </c>
      <c r="BE387">
        <f t="shared" si="69"/>
        <v>990</v>
      </c>
      <c r="BF387">
        <v>930</v>
      </c>
      <c r="BG387">
        <v>930</v>
      </c>
      <c r="BH387" t="s">
        <v>190</v>
      </c>
      <c r="BI387" t="s">
        <v>1252</v>
      </c>
      <c r="BJ387">
        <v>180</v>
      </c>
      <c r="BK387">
        <v>330</v>
      </c>
      <c r="BL387">
        <v>930</v>
      </c>
      <c r="BM387">
        <v>0</v>
      </c>
      <c r="BN387">
        <v>0</v>
      </c>
      <c r="BO387">
        <v>0</v>
      </c>
      <c r="BP387">
        <v>1140</v>
      </c>
      <c r="BQ387">
        <v>1140</v>
      </c>
      <c r="BR387">
        <f t="shared" si="70"/>
        <v>0</v>
      </c>
      <c r="BS387">
        <f t="shared" si="71"/>
        <v>180</v>
      </c>
    </row>
    <row r="388" spans="1:74" x14ac:dyDescent="0.25">
      <c r="A388" s="5" t="s">
        <v>1451</v>
      </c>
      <c r="B388" s="5" t="s">
        <v>61</v>
      </c>
      <c r="C388" s="5" t="s">
        <v>627</v>
      </c>
      <c r="D388" s="1" t="s">
        <v>67</v>
      </c>
      <c r="E388">
        <v>0</v>
      </c>
      <c r="F388">
        <v>2150</v>
      </c>
      <c r="G388">
        <v>0</v>
      </c>
      <c r="H388">
        <v>0</v>
      </c>
      <c r="I388">
        <v>350</v>
      </c>
      <c r="J388">
        <v>5500</v>
      </c>
      <c r="K388">
        <v>350</v>
      </c>
      <c r="L388">
        <v>0</v>
      </c>
      <c r="M388">
        <v>0</v>
      </c>
      <c r="N388">
        <v>0</v>
      </c>
      <c r="O388">
        <v>0</v>
      </c>
      <c r="P388">
        <v>4140</v>
      </c>
      <c r="Q388">
        <v>927</v>
      </c>
      <c r="R388">
        <v>460</v>
      </c>
      <c r="S388" s="18">
        <f t="shared" si="62"/>
        <v>9</v>
      </c>
      <c r="T388" s="17">
        <f t="shared" si="63"/>
        <v>0</v>
      </c>
      <c r="U388" s="17">
        <f t="shared" si="64"/>
        <v>0</v>
      </c>
      <c r="V388" s="17">
        <f t="shared" si="65"/>
        <v>0</v>
      </c>
      <c r="W388" s="17">
        <f t="shared" si="66"/>
        <v>460</v>
      </c>
      <c r="X388" s="17">
        <f t="shared" si="67"/>
        <v>467</v>
      </c>
      <c r="Y388" s="19">
        <f t="shared" si="68"/>
        <v>0</v>
      </c>
      <c r="Z388">
        <v>2150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350</v>
      </c>
      <c r="AH388">
        <v>350</v>
      </c>
      <c r="AI388">
        <v>0</v>
      </c>
      <c r="AJ388">
        <v>0</v>
      </c>
      <c r="AK388">
        <v>5500</v>
      </c>
      <c r="AL388">
        <v>5500</v>
      </c>
      <c r="AM388">
        <v>0</v>
      </c>
      <c r="AN388">
        <v>0</v>
      </c>
      <c r="AO388">
        <v>350</v>
      </c>
      <c r="AP388">
        <v>0</v>
      </c>
      <c r="AQ388">
        <v>350</v>
      </c>
      <c r="AR388">
        <v>350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f t="shared" si="69"/>
        <v>12750</v>
      </c>
      <c r="BF388">
        <v>8350</v>
      </c>
      <c r="BG388">
        <v>8350</v>
      </c>
      <c r="BH388" t="s">
        <v>63</v>
      </c>
      <c r="BI388" t="s">
        <v>1511</v>
      </c>
      <c r="BJ388">
        <v>0</v>
      </c>
      <c r="BK388">
        <v>6200</v>
      </c>
      <c r="BL388">
        <v>8350</v>
      </c>
      <c r="BM388">
        <v>0</v>
      </c>
      <c r="BN388">
        <v>0</v>
      </c>
      <c r="BO388">
        <v>0</v>
      </c>
      <c r="BP388">
        <v>10340</v>
      </c>
      <c r="BQ388">
        <v>10340</v>
      </c>
      <c r="BR388">
        <f t="shared" si="70"/>
        <v>-467</v>
      </c>
      <c r="BS388">
        <f t="shared" si="71"/>
        <v>1387</v>
      </c>
      <c r="BU388">
        <f>R388*9</f>
        <v>4140</v>
      </c>
      <c r="BV388">
        <f>IF(BU388&gt;BG388, 1, 0)</f>
        <v>0</v>
      </c>
    </row>
    <row r="389" spans="1:74" x14ac:dyDescent="0.25">
      <c r="A389" s="5" t="s">
        <v>2090</v>
      </c>
      <c r="B389" s="5" t="s">
        <v>207</v>
      </c>
      <c r="C389" s="5" t="s">
        <v>61</v>
      </c>
      <c r="D389" s="1" t="s">
        <v>125</v>
      </c>
      <c r="E389">
        <v>0</v>
      </c>
      <c r="F389">
        <v>1288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16">
        <v>1288</v>
      </c>
      <c r="P389">
        <v>0</v>
      </c>
      <c r="Q389">
        <v>111</v>
      </c>
      <c r="R389">
        <v>1399</v>
      </c>
      <c r="S389" s="18">
        <f t="shared" si="62"/>
        <v>0.92065761258041456</v>
      </c>
      <c r="T389" s="17">
        <f t="shared" si="63"/>
        <v>0</v>
      </c>
      <c r="U389" s="17">
        <f t="shared" si="64"/>
        <v>0</v>
      </c>
      <c r="V389" s="17">
        <f t="shared" si="65"/>
        <v>1399</v>
      </c>
      <c r="W389" s="17">
        <f t="shared" si="66"/>
        <v>0</v>
      </c>
      <c r="X389" s="17">
        <f t="shared" si="67"/>
        <v>111</v>
      </c>
      <c r="Y389" s="19">
        <f t="shared" si="68"/>
        <v>12.603603603603604</v>
      </c>
      <c r="Z389">
        <v>1288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f t="shared" si="69"/>
        <v>0</v>
      </c>
      <c r="BF389">
        <v>1288</v>
      </c>
      <c r="BG389">
        <v>1288</v>
      </c>
      <c r="BH389" t="s">
        <v>546</v>
      </c>
      <c r="BI389" t="s">
        <v>2241</v>
      </c>
      <c r="BJ389">
        <v>0</v>
      </c>
      <c r="BK389">
        <v>0</v>
      </c>
      <c r="BL389">
        <v>1288</v>
      </c>
      <c r="BM389">
        <v>0</v>
      </c>
      <c r="BN389">
        <v>0</v>
      </c>
      <c r="BO389">
        <v>1288</v>
      </c>
      <c r="BP389">
        <v>0</v>
      </c>
      <c r="BQ389">
        <v>1288</v>
      </c>
      <c r="BR389">
        <f t="shared" si="70"/>
        <v>1288</v>
      </c>
      <c r="BS389">
        <f t="shared" si="71"/>
        <v>1510</v>
      </c>
    </row>
    <row r="390" spans="1:74" x14ac:dyDescent="0.25">
      <c r="A390" s="5" t="s">
        <v>1337</v>
      </c>
      <c r="B390" s="5" t="s">
        <v>207</v>
      </c>
      <c r="C390" s="5" t="s">
        <v>61</v>
      </c>
      <c r="D390" s="1" t="s">
        <v>62</v>
      </c>
      <c r="E390">
        <v>0</v>
      </c>
      <c r="F390">
        <v>1600</v>
      </c>
      <c r="G390">
        <v>0</v>
      </c>
      <c r="H390">
        <v>0</v>
      </c>
      <c r="I390">
        <v>0</v>
      </c>
      <c r="J390">
        <v>0</v>
      </c>
      <c r="K390">
        <v>15</v>
      </c>
      <c r="L390">
        <v>0</v>
      </c>
      <c r="M390">
        <v>0</v>
      </c>
      <c r="N390">
        <v>0</v>
      </c>
      <c r="O390">
        <v>0</v>
      </c>
      <c r="P390">
        <v>4086</v>
      </c>
      <c r="Q390">
        <v>924</v>
      </c>
      <c r="R390">
        <v>454</v>
      </c>
      <c r="S390" s="18">
        <f t="shared" si="62"/>
        <v>9</v>
      </c>
      <c r="T390" s="17">
        <f t="shared" si="63"/>
        <v>0</v>
      </c>
      <c r="U390" s="17">
        <f t="shared" si="64"/>
        <v>0</v>
      </c>
      <c r="V390" s="17">
        <f t="shared" si="65"/>
        <v>0</v>
      </c>
      <c r="W390" s="17">
        <f t="shared" si="66"/>
        <v>454</v>
      </c>
      <c r="X390" s="17">
        <f t="shared" si="67"/>
        <v>470</v>
      </c>
      <c r="Y390" s="19">
        <f t="shared" si="68"/>
        <v>0</v>
      </c>
      <c r="Z390">
        <v>1600</v>
      </c>
      <c r="AA390">
        <v>0</v>
      </c>
      <c r="AB390">
        <v>0</v>
      </c>
      <c r="AC390">
        <v>0</v>
      </c>
      <c r="AD390">
        <v>0</v>
      </c>
      <c r="AE390">
        <v>4950</v>
      </c>
      <c r="AF390">
        <v>0</v>
      </c>
      <c r="AG390">
        <v>0</v>
      </c>
      <c r="AH390">
        <v>4950</v>
      </c>
      <c r="AI390">
        <v>0</v>
      </c>
      <c r="AJ390">
        <v>0</v>
      </c>
      <c r="AK390">
        <v>0</v>
      </c>
      <c r="AL390">
        <v>0</v>
      </c>
      <c r="AM390">
        <v>15</v>
      </c>
      <c r="AN390">
        <v>0</v>
      </c>
      <c r="AO390">
        <v>0</v>
      </c>
      <c r="AP390">
        <v>15</v>
      </c>
      <c r="AQ390">
        <v>15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f t="shared" si="69"/>
        <v>9945</v>
      </c>
      <c r="BF390">
        <v>6565</v>
      </c>
      <c r="BG390">
        <v>6565</v>
      </c>
      <c r="BH390" t="s">
        <v>63</v>
      </c>
      <c r="BI390" t="s">
        <v>1371</v>
      </c>
      <c r="BJ390">
        <v>0</v>
      </c>
      <c r="BK390">
        <v>4965</v>
      </c>
      <c r="BL390">
        <v>6565</v>
      </c>
      <c r="BM390">
        <v>15</v>
      </c>
      <c r="BN390">
        <v>4950</v>
      </c>
      <c r="BO390">
        <v>0</v>
      </c>
      <c r="BP390">
        <v>4086</v>
      </c>
      <c r="BQ390">
        <v>9051</v>
      </c>
      <c r="BR390">
        <f t="shared" si="70"/>
        <v>-470</v>
      </c>
      <c r="BS390">
        <f t="shared" si="71"/>
        <v>1378</v>
      </c>
      <c r="BU390">
        <f>R390*9</f>
        <v>4086</v>
      </c>
      <c r="BV390">
        <f>IF(BU390&gt;BG390, 1, 0)</f>
        <v>0</v>
      </c>
    </row>
    <row r="391" spans="1:74" x14ac:dyDescent="0.25">
      <c r="A391" s="5" t="s">
        <v>1135</v>
      </c>
      <c r="B391" s="5" t="s">
        <v>207</v>
      </c>
      <c r="C391" s="5" t="s">
        <v>207</v>
      </c>
      <c r="D391" s="1" t="s">
        <v>73</v>
      </c>
      <c r="E391">
        <v>0</v>
      </c>
      <c r="F391">
        <v>3182</v>
      </c>
      <c r="G391">
        <v>0</v>
      </c>
      <c r="H391">
        <v>0</v>
      </c>
      <c r="I391">
        <v>547</v>
      </c>
      <c r="J391">
        <v>0</v>
      </c>
      <c r="K391">
        <v>0</v>
      </c>
      <c r="L391">
        <v>1340</v>
      </c>
      <c r="M391">
        <v>4905</v>
      </c>
      <c r="N391">
        <v>0</v>
      </c>
      <c r="O391">
        <v>0</v>
      </c>
      <c r="P391">
        <v>5922</v>
      </c>
      <c r="Q391">
        <v>1203</v>
      </c>
      <c r="R391">
        <v>1203</v>
      </c>
      <c r="S391" s="18">
        <f t="shared" si="62"/>
        <v>9</v>
      </c>
      <c r="T391" s="17">
        <f t="shared" si="63"/>
        <v>545</v>
      </c>
      <c r="U391" s="17">
        <f t="shared" si="64"/>
        <v>0</v>
      </c>
      <c r="V391" s="17">
        <f t="shared" si="65"/>
        <v>0</v>
      </c>
      <c r="W391" s="17">
        <f t="shared" si="66"/>
        <v>658</v>
      </c>
      <c r="X391" s="17">
        <f t="shared" si="67"/>
        <v>0</v>
      </c>
      <c r="Y391" s="19" t="e">
        <f t="shared" si="68"/>
        <v>#DIV/0!</v>
      </c>
      <c r="Z391">
        <v>3182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547</v>
      </c>
      <c r="AH391">
        <v>547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1340</v>
      </c>
      <c r="BA391">
        <v>1340</v>
      </c>
      <c r="BB391">
        <v>0</v>
      </c>
      <c r="BC391">
        <v>0</v>
      </c>
      <c r="BD391">
        <v>0</v>
      </c>
      <c r="BE391">
        <f t="shared" si="69"/>
        <v>3774</v>
      </c>
      <c r="BF391">
        <v>5069</v>
      </c>
      <c r="BG391">
        <v>5069</v>
      </c>
      <c r="BH391" t="s">
        <v>109</v>
      </c>
      <c r="BI391" t="s">
        <v>1260</v>
      </c>
      <c r="BJ391">
        <v>0</v>
      </c>
      <c r="BK391">
        <v>1887</v>
      </c>
      <c r="BL391">
        <v>5069</v>
      </c>
      <c r="BM391">
        <v>4905</v>
      </c>
      <c r="BN391">
        <v>0</v>
      </c>
      <c r="BO391">
        <v>0</v>
      </c>
      <c r="BP391">
        <v>7809</v>
      </c>
      <c r="BQ391">
        <v>12714</v>
      </c>
      <c r="BR391">
        <f t="shared" si="70"/>
        <v>0</v>
      </c>
      <c r="BS391">
        <f t="shared" si="71"/>
        <v>2406</v>
      </c>
    </row>
    <row r="392" spans="1:74" x14ac:dyDescent="0.25">
      <c r="A392" s="5" t="s">
        <v>1135</v>
      </c>
      <c r="B392" s="5" t="s">
        <v>207</v>
      </c>
      <c r="C392" s="5" t="s">
        <v>207</v>
      </c>
      <c r="D392" s="1" t="s">
        <v>96</v>
      </c>
      <c r="E392">
        <v>50</v>
      </c>
      <c r="F392">
        <v>1404</v>
      </c>
      <c r="G392">
        <v>0</v>
      </c>
      <c r="H392">
        <v>0</v>
      </c>
      <c r="I392">
        <v>472</v>
      </c>
      <c r="J392">
        <v>872</v>
      </c>
      <c r="K392">
        <v>83</v>
      </c>
      <c r="L392">
        <v>42</v>
      </c>
      <c r="M392">
        <v>0</v>
      </c>
      <c r="N392">
        <v>0</v>
      </c>
      <c r="O392">
        <v>0</v>
      </c>
      <c r="P392">
        <v>2142</v>
      </c>
      <c r="Q392">
        <v>238</v>
      </c>
      <c r="R392">
        <v>238</v>
      </c>
      <c r="S392" s="18">
        <f t="shared" si="62"/>
        <v>9</v>
      </c>
      <c r="T392" s="17">
        <f t="shared" si="63"/>
        <v>0</v>
      </c>
      <c r="U392" s="17">
        <f t="shared" si="64"/>
        <v>0</v>
      </c>
      <c r="V392" s="17">
        <f t="shared" si="65"/>
        <v>0</v>
      </c>
      <c r="W392" s="17">
        <f t="shared" si="66"/>
        <v>238</v>
      </c>
      <c r="X392" s="17">
        <f t="shared" si="67"/>
        <v>0</v>
      </c>
      <c r="Y392" s="19" t="e">
        <f t="shared" si="68"/>
        <v>#DIV/0!</v>
      </c>
      <c r="Z392">
        <v>1404</v>
      </c>
      <c r="AA392">
        <v>6</v>
      </c>
      <c r="AB392">
        <v>194</v>
      </c>
      <c r="AC392">
        <v>2415</v>
      </c>
      <c r="AD392">
        <v>0</v>
      </c>
      <c r="AE392">
        <v>0</v>
      </c>
      <c r="AF392">
        <v>0</v>
      </c>
      <c r="AG392">
        <v>472</v>
      </c>
      <c r="AH392">
        <v>472</v>
      </c>
      <c r="AI392">
        <v>0</v>
      </c>
      <c r="AJ392">
        <v>0</v>
      </c>
      <c r="AK392">
        <v>872</v>
      </c>
      <c r="AL392">
        <v>872</v>
      </c>
      <c r="AM392">
        <v>0</v>
      </c>
      <c r="AN392">
        <v>0</v>
      </c>
      <c r="AO392">
        <v>83</v>
      </c>
      <c r="AP392">
        <v>62</v>
      </c>
      <c r="AQ392">
        <v>83</v>
      </c>
      <c r="AR392">
        <v>21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42</v>
      </c>
      <c r="BA392">
        <v>42</v>
      </c>
      <c r="BB392">
        <v>0</v>
      </c>
      <c r="BC392">
        <v>0</v>
      </c>
      <c r="BD392">
        <v>0</v>
      </c>
      <c r="BE392">
        <f t="shared" si="69"/>
        <v>5436</v>
      </c>
      <c r="BF392">
        <v>5538</v>
      </c>
      <c r="BG392">
        <v>5538</v>
      </c>
      <c r="BH392" t="s">
        <v>82</v>
      </c>
      <c r="BI392" t="s">
        <v>1271</v>
      </c>
      <c r="BJ392">
        <v>2665</v>
      </c>
      <c r="BK392">
        <v>1469</v>
      </c>
      <c r="BL392">
        <v>5538</v>
      </c>
      <c r="BM392">
        <v>0</v>
      </c>
      <c r="BN392">
        <v>0</v>
      </c>
      <c r="BO392">
        <v>0</v>
      </c>
      <c r="BP392">
        <v>3611</v>
      </c>
      <c r="BQ392">
        <v>3611</v>
      </c>
      <c r="BR392">
        <f t="shared" si="70"/>
        <v>0</v>
      </c>
      <c r="BS392">
        <f t="shared" si="71"/>
        <v>476</v>
      </c>
    </row>
    <row r="393" spans="1:74" x14ac:dyDescent="0.25">
      <c r="A393" s="5" t="s">
        <v>1135</v>
      </c>
      <c r="B393" s="5" t="s">
        <v>207</v>
      </c>
      <c r="C393" s="5" t="s">
        <v>207</v>
      </c>
      <c r="D393" s="1" t="s">
        <v>98</v>
      </c>
      <c r="E393">
        <v>0</v>
      </c>
      <c r="F393">
        <v>1588</v>
      </c>
      <c r="G393">
        <v>0</v>
      </c>
      <c r="H393">
        <v>0</v>
      </c>
      <c r="I393">
        <v>1293</v>
      </c>
      <c r="J393">
        <v>0</v>
      </c>
      <c r="K393">
        <v>0</v>
      </c>
      <c r="L393">
        <v>0</v>
      </c>
      <c r="M393">
        <v>2673</v>
      </c>
      <c r="N393">
        <v>0</v>
      </c>
      <c r="O393">
        <v>0</v>
      </c>
      <c r="P393">
        <v>0</v>
      </c>
      <c r="Q393">
        <v>297</v>
      </c>
      <c r="R393">
        <v>297</v>
      </c>
      <c r="S393" s="18">
        <f t="shared" si="62"/>
        <v>9</v>
      </c>
      <c r="T393" s="17">
        <f t="shared" si="63"/>
        <v>297</v>
      </c>
      <c r="U393" s="17">
        <f t="shared" si="64"/>
        <v>0</v>
      </c>
      <c r="V393" s="17">
        <f t="shared" si="65"/>
        <v>0</v>
      </c>
      <c r="W393" s="17">
        <f t="shared" si="66"/>
        <v>0</v>
      </c>
      <c r="X393" s="17">
        <f t="shared" si="67"/>
        <v>0</v>
      </c>
      <c r="Y393" s="19" t="e">
        <f t="shared" si="68"/>
        <v>#DIV/0!</v>
      </c>
      <c r="Z393">
        <v>1588</v>
      </c>
      <c r="AA393">
        <v>0</v>
      </c>
      <c r="AB393">
        <v>0</v>
      </c>
      <c r="AC393">
        <v>0</v>
      </c>
      <c r="AD393">
        <v>1293</v>
      </c>
      <c r="AE393">
        <v>0</v>
      </c>
      <c r="AF393">
        <v>0</v>
      </c>
      <c r="AG393">
        <v>0</v>
      </c>
      <c r="AH393">
        <v>1293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f t="shared" si="69"/>
        <v>2586</v>
      </c>
      <c r="BF393">
        <v>2881</v>
      </c>
      <c r="BG393">
        <v>2881</v>
      </c>
      <c r="BH393" t="s">
        <v>109</v>
      </c>
      <c r="BI393" t="s">
        <v>1272</v>
      </c>
      <c r="BJ393">
        <v>0</v>
      </c>
      <c r="BK393">
        <v>1293</v>
      </c>
      <c r="BL393">
        <v>2881</v>
      </c>
      <c r="BM393">
        <v>3966</v>
      </c>
      <c r="BN393">
        <v>0</v>
      </c>
      <c r="BO393">
        <v>0</v>
      </c>
      <c r="BP393">
        <v>0</v>
      </c>
      <c r="BQ393">
        <v>3966</v>
      </c>
      <c r="BR393">
        <f t="shared" si="70"/>
        <v>0</v>
      </c>
      <c r="BS393">
        <f t="shared" si="71"/>
        <v>594</v>
      </c>
    </row>
    <row r="394" spans="1:74" x14ac:dyDescent="0.25">
      <c r="A394" s="5" t="s">
        <v>1135</v>
      </c>
      <c r="B394" s="5" t="s">
        <v>207</v>
      </c>
      <c r="C394" s="5" t="s">
        <v>207</v>
      </c>
      <c r="D394" s="1" t="s">
        <v>100</v>
      </c>
      <c r="E394">
        <v>0</v>
      </c>
      <c r="F394">
        <v>968</v>
      </c>
      <c r="G394">
        <v>0</v>
      </c>
      <c r="H394">
        <v>0</v>
      </c>
      <c r="I394">
        <v>125</v>
      </c>
      <c r="J394">
        <v>381</v>
      </c>
      <c r="K394">
        <v>97</v>
      </c>
      <c r="L394">
        <v>20</v>
      </c>
      <c r="M394">
        <v>4311</v>
      </c>
      <c r="N394">
        <v>0</v>
      </c>
      <c r="O394">
        <v>0</v>
      </c>
      <c r="P394">
        <v>0</v>
      </c>
      <c r="Q394">
        <v>479</v>
      </c>
      <c r="R394">
        <v>479</v>
      </c>
      <c r="S394" s="18">
        <f t="shared" si="62"/>
        <v>9</v>
      </c>
      <c r="T394" s="17">
        <f t="shared" si="63"/>
        <v>479</v>
      </c>
      <c r="U394" s="17">
        <f t="shared" si="64"/>
        <v>0</v>
      </c>
      <c r="V394" s="17">
        <f t="shared" si="65"/>
        <v>0</v>
      </c>
      <c r="W394" s="17">
        <f t="shared" si="66"/>
        <v>0</v>
      </c>
      <c r="X394" s="17">
        <f t="shared" si="67"/>
        <v>0</v>
      </c>
      <c r="Y394" s="19" t="e">
        <f t="shared" si="68"/>
        <v>#DIV/0!</v>
      </c>
      <c r="Z394">
        <v>968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125</v>
      </c>
      <c r="AH394">
        <v>125</v>
      </c>
      <c r="AI394">
        <v>0</v>
      </c>
      <c r="AJ394">
        <v>0</v>
      </c>
      <c r="AK394">
        <v>381</v>
      </c>
      <c r="AL394">
        <v>381</v>
      </c>
      <c r="AM394">
        <v>0</v>
      </c>
      <c r="AN394">
        <v>0</v>
      </c>
      <c r="AO394">
        <v>97</v>
      </c>
      <c r="AP394">
        <v>0</v>
      </c>
      <c r="AQ394">
        <v>97</v>
      </c>
      <c r="AR394">
        <v>97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20</v>
      </c>
      <c r="BA394">
        <v>20</v>
      </c>
      <c r="BB394">
        <v>0</v>
      </c>
      <c r="BC394">
        <v>0</v>
      </c>
      <c r="BD394">
        <v>0</v>
      </c>
      <c r="BE394">
        <f t="shared" si="69"/>
        <v>1343</v>
      </c>
      <c r="BF394">
        <v>1591</v>
      </c>
      <c r="BG394">
        <v>1591</v>
      </c>
      <c r="BH394" t="s">
        <v>109</v>
      </c>
      <c r="BI394" t="s">
        <v>1273</v>
      </c>
      <c r="BJ394">
        <v>0</v>
      </c>
      <c r="BK394">
        <v>623</v>
      </c>
      <c r="BL394">
        <v>1591</v>
      </c>
      <c r="BM394">
        <v>4311</v>
      </c>
      <c r="BN394">
        <v>0</v>
      </c>
      <c r="BO394">
        <v>0</v>
      </c>
      <c r="BP394">
        <v>623</v>
      </c>
      <c r="BQ394">
        <v>4934</v>
      </c>
      <c r="BR394">
        <f t="shared" si="70"/>
        <v>0</v>
      </c>
      <c r="BS394">
        <f t="shared" si="71"/>
        <v>958</v>
      </c>
    </row>
    <row r="395" spans="1:74" x14ac:dyDescent="0.25">
      <c r="A395" s="5" t="s">
        <v>1135</v>
      </c>
      <c r="B395" s="5" t="s">
        <v>207</v>
      </c>
      <c r="C395" s="5" t="s">
        <v>207</v>
      </c>
      <c r="D395" s="1" t="s">
        <v>102</v>
      </c>
      <c r="E395">
        <v>0</v>
      </c>
      <c r="F395">
        <v>3230</v>
      </c>
      <c r="G395">
        <v>0</v>
      </c>
      <c r="H395">
        <v>0</v>
      </c>
      <c r="I395">
        <v>2277</v>
      </c>
      <c r="J395">
        <v>0</v>
      </c>
      <c r="K395">
        <v>222</v>
      </c>
      <c r="L395">
        <v>0</v>
      </c>
      <c r="M395">
        <v>3420</v>
      </c>
      <c r="N395">
        <v>0</v>
      </c>
      <c r="O395">
        <v>0</v>
      </c>
      <c r="P395">
        <v>4779</v>
      </c>
      <c r="Q395">
        <v>911</v>
      </c>
      <c r="R395">
        <v>911</v>
      </c>
      <c r="S395" s="18">
        <f t="shared" si="62"/>
        <v>9</v>
      </c>
      <c r="T395" s="17">
        <f t="shared" si="63"/>
        <v>380</v>
      </c>
      <c r="U395" s="17">
        <f t="shared" si="64"/>
        <v>0</v>
      </c>
      <c r="V395" s="17">
        <f t="shared" si="65"/>
        <v>0</v>
      </c>
      <c r="W395" s="17">
        <f t="shared" si="66"/>
        <v>531</v>
      </c>
      <c r="X395" s="17">
        <f t="shared" si="67"/>
        <v>0</v>
      </c>
      <c r="Y395" s="19" t="e">
        <f t="shared" si="68"/>
        <v>#DIV/0!</v>
      </c>
      <c r="Z395">
        <v>3230</v>
      </c>
      <c r="AA395">
        <v>0</v>
      </c>
      <c r="AB395">
        <v>0</v>
      </c>
      <c r="AC395">
        <v>2750</v>
      </c>
      <c r="AD395">
        <v>656</v>
      </c>
      <c r="AE395">
        <v>0</v>
      </c>
      <c r="AF395">
        <v>0</v>
      </c>
      <c r="AG395">
        <v>1621</v>
      </c>
      <c r="AH395">
        <v>2277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222</v>
      </c>
      <c r="AP395">
        <v>64</v>
      </c>
      <c r="AQ395">
        <v>222</v>
      </c>
      <c r="AR395">
        <v>158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f t="shared" si="69"/>
        <v>7970</v>
      </c>
      <c r="BF395">
        <v>8479</v>
      </c>
      <c r="BG395">
        <v>8479</v>
      </c>
      <c r="BH395" t="s">
        <v>109</v>
      </c>
      <c r="BI395" t="s">
        <v>1274</v>
      </c>
      <c r="BJ395">
        <v>2750</v>
      </c>
      <c r="BK395">
        <v>2499</v>
      </c>
      <c r="BL395">
        <v>8479</v>
      </c>
      <c r="BM395">
        <v>4076</v>
      </c>
      <c r="BN395">
        <v>0</v>
      </c>
      <c r="BO395">
        <v>0</v>
      </c>
      <c r="BP395">
        <v>6622</v>
      </c>
      <c r="BQ395">
        <v>10698</v>
      </c>
      <c r="BR395">
        <f t="shared" si="70"/>
        <v>0</v>
      </c>
      <c r="BS395">
        <f t="shared" si="71"/>
        <v>1822</v>
      </c>
    </row>
    <row r="396" spans="1:74" x14ac:dyDescent="0.25">
      <c r="A396" s="5" t="s">
        <v>2090</v>
      </c>
      <c r="B396" s="5" t="s">
        <v>61</v>
      </c>
      <c r="C396" s="5" t="s">
        <v>61</v>
      </c>
      <c r="D396" s="1" t="s">
        <v>77</v>
      </c>
      <c r="E396">
        <v>0</v>
      </c>
      <c r="F396">
        <v>1712</v>
      </c>
      <c r="G396">
        <v>0</v>
      </c>
      <c r="H396">
        <v>0</v>
      </c>
      <c r="I396">
        <v>1180</v>
      </c>
      <c r="J396">
        <v>1440</v>
      </c>
      <c r="K396">
        <v>588</v>
      </c>
      <c r="L396">
        <v>0</v>
      </c>
      <c r="M396">
        <v>0</v>
      </c>
      <c r="N396">
        <v>2502</v>
      </c>
      <c r="O396">
        <v>0</v>
      </c>
      <c r="P396">
        <v>1332</v>
      </c>
      <c r="Q396">
        <v>426</v>
      </c>
      <c r="R396">
        <v>426</v>
      </c>
      <c r="S396" s="18">
        <f t="shared" si="62"/>
        <v>9</v>
      </c>
      <c r="T396" s="17">
        <f t="shared" si="63"/>
        <v>0</v>
      </c>
      <c r="U396" s="17">
        <f t="shared" si="64"/>
        <v>278</v>
      </c>
      <c r="V396" s="17">
        <f t="shared" si="65"/>
        <v>0</v>
      </c>
      <c r="W396" s="17">
        <f t="shared" si="66"/>
        <v>148</v>
      </c>
      <c r="X396" s="17">
        <f t="shared" si="67"/>
        <v>0</v>
      </c>
      <c r="Y396" s="19" t="e">
        <f t="shared" si="68"/>
        <v>#DIV/0!</v>
      </c>
      <c r="Z396">
        <v>1712</v>
      </c>
      <c r="AA396">
        <v>0</v>
      </c>
      <c r="AB396">
        <v>0</v>
      </c>
      <c r="AC396">
        <v>0</v>
      </c>
      <c r="AD396">
        <v>0</v>
      </c>
      <c r="AE396">
        <v>960</v>
      </c>
      <c r="AF396">
        <v>0</v>
      </c>
      <c r="AG396">
        <v>220</v>
      </c>
      <c r="AH396">
        <v>1180</v>
      </c>
      <c r="AI396">
        <v>0</v>
      </c>
      <c r="AJ396">
        <v>1440</v>
      </c>
      <c r="AK396">
        <v>0</v>
      </c>
      <c r="AL396">
        <v>1440</v>
      </c>
      <c r="AM396">
        <v>0</v>
      </c>
      <c r="AN396">
        <v>480</v>
      </c>
      <c r="AO396">
        <v>108</v>
      </c>
      <c r="AP396">
        <v>86</v>
      </c>
      <c r="AQ396">
        <v>588</v>
      </c>
      <c r="AR396">
        <v>502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f t="shared" si="69"/>
        <v>7004</v>
      </c>
      <c r="BF396">
        <v>4920</v>
      </c>
      <c r="BG396">
        <v>4920</v>
      </c>
      <c r="BH396" t="s">
        <v>63</v>
      </c>
      <c r="BI396" t="s">
        <v>2098</v>
      </c>
      <c r="BJ396">
        <v>0</v>
      </c>
      <c r="BK396">
        <v>3208</v>
      </c>
      <c r="BL396">
        <v>4920</v>
      </c>
      <c r="BM396">
        <v>0</v>
      </c>
      <c r="BN396">
        <v>5382</v>
      </c>
      <c r="BO396">
        <v>0</v>
      </c>
      <c r="BP396">
        <v>1660</v>
      </c>
      <c r="BQ396">
        <v>7042</v>
      </c>
      <c r="BR396">
        <f t="shared" si="70"/>
        <v>0</v>
      </c>
      <c r="BS396">
        <f t="shared" si="71"/>
        <v>852</v>
      </c>
      <c r="BU396">
        <f>R396*9</f>
        <v>3834</v>
      </c>
      <c r="BV396">
        <f>IF(BU396&gt;BG396, 1, 0)</f>
        <v>0</v>
      </c>
    </row>
    <row r="397" spans="1:74" x14ac:dyDescent="0.25">
      <c r="A397" s="5" t="s">
        <v>1451</v>
      </c>
      <c r="B397" s="5" t="s">
        <v>359</v>
      </c>
      <c r="C397" s="5" t="s">
        <v>61</v>
      </c>
      <c r="D397" s="1" t="s">
        <v>86</v>
      </c>
      <c r="E397">
        <v>0</v>
      </c>
      <c r="F397">
        <v>980</v>
      </c>
      <c r="G397">
        <v>0</v>
      </c>
      <c r="H397">
        <v>0</v>
      </c>
      <c r="I397">
        <v>0</v>
      </c>
      <c r="J397">
        <v>0</v>
      </c>
      <c r="K397">
        <v>70</v>
      </c>
      <c r="L397">
        <v>0</v>
      </c>
      <c r="M397">
        <v>3735</v>
      </c>
      <c r="N397">
        <v>0</v>
      </c>
      <c r="O397">
        <v>0</v>
      </c>
      <c r="P397">
        <v>0</v>
      </c>
      <c r="Q397">
        <v>425</v>
      </c>
      <c r="R397">
        <v>415</v>
      </c>
      <c r="S397" s="18">
        <f t="shared" si="62"/>
        <v>9</v>
      </c>
      <c r="T397" s="17">
        <f t="shared" si="63"/>
        <v>415</v>
      </c>
      <c r="U397" s="17">
        <f t="shared" si="64"/>
        <v>0</v>
      </c>
      <c r="V397" s="17">
        <f t="shared" si="65"/>
        <v>0</v>
      </c>
      <c r="W397" s="17">
        <f t="shared" si="66"/>
        <v>0</v>
      </c>
      <c r="X397" s="17">
        <f t="shared" si="67"/>
        <v>10</v>
      </c>
      <c r="Y397" s="19">
        <f t="shared" si="68"/>
        <v>0</v>
      </c>
      <c r="Z397">
        <v>980</v>
      </c>
      <c r="AA397">
        <v>0</v>
      </c>
      <c r="AB397">
        <v>0</v>
      </c>
      <c r="AC397">
        <v>80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40</v>
      </c>
      <c r="AN397">
        <v>0</v>
      </c>
      <c r="AO397">
        <v>30</v>
      </c>
      <c r="AP397">
        <v>40</v>
      </c>
      <c r="AQ397">
        <v>70</v>
      </c>
      <c r="AR397">
        <v>30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f t="shared" si="69"/>
        <v>290</v>
      </c>
      <c r="BF397">
        <v>1130</v>
      </c>
      <c r="BG397">
        <v>1130</v>
      </c>
      <c r="BH397" t="s">
        <v>63</v>
      </c>
      <c r="BI397" t="s">
        <v>1611</v>
      </c>
      <c r="BJ397">
        <v>80</v>
      </c>
      <c r="BK397">
        <v>70</v>
      </c>
      <c r="BL397">
        <v>1130</v>
      </c>
      <c r="BM397">
        <v>3775</v>
      </c>
      <c r="BN397">
        <v>0</v>
      </c>
      <c r="BO397">
        <v>0</v>
      </c>
      <c r="BP397">
        <v>30</v>
      </c>
      <c r="BQ397">
        <v>3805</v>
      </c>
      <c r="BR397">
        <f t="shared" si="70"/>
        <v>-10</v>
      </c>
      <c r="BS397">
        <f t="shared" si="71"/>
        <v>840</v>
      </c>
      <c r="BU397">
        <f>R397*9</f>
        <v>3735</v>
      </c>
      <c r="BV397">
        <f>IF(BU397&gt;BG397, 1, 0)</f>
        <v>1</v>
      </c>
    </row>
    <row r="398" spans="1:74" x14ac:dyDescent="0.25">
      <c r="A398" s="5" t="s">
        <v>1135</v>
      </c>
      <c r="B398" s="5" t="s">
        <v>359</v>
      </c>
      <c r="C398" s="5" t="s">
        <v>61</v>
      </c>
      <c r="D398" s="1" t="s">
        <v>62</v>
      </c>
      <c r="E398">
        <v>0</v>
      </c>
      <c r="F398">
        <v>5012</v>
      </c>
      <c r="G398">
        <v>0</v>
      </c>
      <c r="H398">
        <v>0</v>
      </c>
      <c r="I398">
        <v>3600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3627</v>
      </c>
      <c r="Q398">
        <v>403</v>
      </c>
      <c r="R398">
        <v>403</v>
      </c>
      <c r="S398" s="18">
        <f t="shared" si="62"/>
        <v>9</v>
      </c>
      <c r="T398" s="17">
        <f t="shared" si="63"/>
        <v>0</v>
      </c>
      <c r="U398" s="17">
        <f t="shared" si="64"/>
        <v>0</v>
      </c>
      <c r="V398" s="17">
        <f t="shared" si="65"/>
        <v>0</v>
      </c>
      <c r="W398" s="17">
        <f t="shared" si="66"/>
        <v>403</v>
      </c>
      <c r="X398" s="17">
        <f t="shared" si="67"/>
        <v>0</v>
      </c>
      <c r="Y398" s="19" t="e">
        <f t="shared" si="68"/>
        <v>#DIV/0!</v>
      </c>
      <c r="Z398">
        <v>5012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3600</v>
      </c>
      <c r="AH398">
        <v>3600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f t="shared" si="69"/>
        <v>7200</v>
      </c>
      <c r="BF398">
        <v>8612</v>
      </c>
      <c r="BG398">
        <v>8612</v>
      </c>
      <c r="BH398" t="s">
        <v>63</v>
      </c>
      <c r="BI398" t="s">
        <v>1309</v>
      </c>
      <c r="BJ398">
        <v>0</v>
      </c>
      <c r="BK398">
        <v>3600</v>
      </c>
      <c r="BL398">
        <v>8612</v>
      </c>
      <c r="BM398">
        <v>0</v>
      </c>
      <c r="BN398">
        <v>0</v>
      </c>
      <c r="BO398">
        <v>0</v>
      </c>
      <c r="BP398">
        <v>7227</v>
      </c>
      <c r="BQ398">
        <v>7227</v>
      </c>
      <c r="BR398">
        <f t="shared" si="70"/>
        <v>0</v>
      </c>
      <c r="BS398">
        <f t="shared" si="71"/>
        <v>806</v>
      </c>
      <c r="BU398">
        <f>R398*9</f>
        <v>3627</v>
      </c>
      <c r="BV398">
        <f>IF(BU398&gt;BG398, 1, 0)</f>
        <v>0</v>
      </c>
    </row>
    <row r="399" spans="1:74" x14ac:dyDescent="0.25">
      <c r="A399" s="5" t="s">
        <v>1661</v>
      </c>
      <c r="B399" s="5" t="s">
        <v>359</v>
      </c>
      <c r="C399" s="5" t="s">
        <v>61</v>
      </c>
      <c r="D399" s="1" t="s">
        <v>65</v>
      </c>
      <c r="E399">
        <v>0</v>
      </c>
      <c r="F399">
        <v>1100</v>
      </c>
      <c r="G399">
        <v>0</v>
      </c>
      <c r="H399">
        <v>0</v>
      </c>
      <c r="I399">
        <v>2900</v>
      </c>
      <c r="J399">
        <v>1445</v>
      </c>
      <c r="K399">
        <v>0</v>
      </c>
      <c r="L399">
        <v>55</v>
      </c>
      <c r="M399">
        <v>0</v>
      </c>
      <c r="N399">
        <v>0</v>
      </c>
      <c r="O399">
        <v>0</v>
      </c>
      <c r="P399">
        <v>3375</v>
      </c>
      <c r="Q399">
        <v>495</v>
      </c>
      <c r="R399">
        <v>375</v>
      </c>
      <c r="S399" s="18">
        <f t="shared" si="62"/>
        <v>9</v>
      </c>
      <c r="T399" s="17">
        <f t="shared" si="63"/>
        <v>0</v>
      </c>
      <c r="U399" s="17">
        <f t="shared" si="64"/>
        <v>0</v>
      </c>
      <c r="V399" s="17">
        <f t="shared" si="65"/>
        <v>0</v>
      </c>
      <c r="W399" s="17">
        <f t="shared" si="66"/>
        <v>375</v>
      </c>
      <c r="X399" s="17">
        <f t="shared" si="67"/>
        <v>120</v>
      </c>
      <c r="Y399" s="19">
        <f t="shared" si="68"/>
        <v>0</v>
      </c>
      <c r="Z399">
        <v>1100</v>
      </c>
      <c r="AA399">
        <v>0</v>
      </c>
      <c r="AB399">
        <v>0</v>
      </c>
      <c r="AC399">
        <v>0</v>
      </c>
      <c r="AD399">
        <v>0</v>
      </c>
      <c r="AE399">
        <v>2900</v>
      </c>
      <c r="AF399">
        <v>0</v>
      </c>
      <c r="AG399">
        <v>0</v>
      </c>
      <c r="AH399">
        <v>2900</v>
      </c>
      <c r="AI399">
        <v>0</v>
      </c>
      <c r="AJ399">
        <v>0</v>
      </c>
      <c r="AK399">
        <v>1445</v>
      </c>
      <c r="AL399">
        <v>1445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55</v>
      </c>
      <c r="BA399">
        <v>55</v>
      </c>
      <c r="BB399">
        <v>0</v>
      </c>
      <c r="BC399">
        <v>0</v>
      </c>
      <c r="BD399">
        <v>0</v>
      </c>
      <c r="BE399">
        <f t="shared" si="69"/>
        <v>8800</v>
      </c>
      <c r="BF399">
        <v>5500</v>
      </c>
      <c r="BG399">
        <v>5500</v>
      </c>
      <c r="BH399" t="s">
        <v>63</v>
      </c>
      <c r="BI399" t="s">
        <v>1855</v>
      </c>
      <c r="BJ399">
        <v>0</v>
      </c>
      <c r="BK399">
        <v>4400</v>
      </c>
      <c r="BL399">
        <v>5500</v>
      </c>
      <c r="BM399">
        <v>0</v>
      </c>
      <c r="BN399">
        <v>2900</v>
      </c>
      <c r="BO399">
        <v>0</v>
      </c>
      <c r="BP399">
        <v>4875</v>
      </c>
      <c r="BQ399">
        <v>7775</v>
      </c>
      <c r="BR399">
        <f t="shared" si="70"/>
        <v>-120</v>
      </c>
      <c r="BS399">
        <f t="shared" si="71"/>
        <v>870</v>
      </c>
      <c r="BU399">
        <f>R399*9</f>
        <v>3375</v>
      </c>
      <c r="BV399">
        <f>IF(BU399&gt;BG399, 1, 0)</f>
        <v>0</v>
      </c>
    </row>
    <row r="400" spans="1:74" x14ac:dyDescent="0.25">
      <c r="A400" s="5" t="s">
        <v>1017</v>
      </c>
      <c r="B400" s="6" t="s">
        <v>207</v>
      </c>
      <c r="C400" s="6" t="s">
        <v>207</v>
      </c>
      <c r="D400" s="1" t="s">
        <v>65</v>
      </c>
      <c r="E400">
        <v>20</v>
      </c>
      <c r="F400">
        <v>497</v>
      </c>
      <c r="G400">
        <v>0</v>
      </c>
      <c r="H400">
        <v>0</v>
      </c>
      <c r="I400">
        <v>873</v>
      </c>
      <c r="J400">
        <v>0</v>
      </c>
      <c r="K400">
        <v>701</v>
      </c>
      <c r="L400">
        <v>22</v>
      </c>
      <c r="M400">
        <v>0</v>
      </c>
      <c r="N400">
        <v>0</v>
      </c>
      <c r="O400">
        <v>0</v>
      </c>
      <c r="P400">
        <v>3303</v>
      </c>
      <c r="Q400">
        <v>367</v>
      </c>
      <c r="R400">
        <v>367</v>
      </c>
      <c r="S400" s="18">
        <f t="shared" si="62"/>
        <v>9</v>
      </c>
      <c r="T400" s="17">
        <f t="shared" si="63"/>
        <v>0</v>
      </c>
      <c r="U400" s="17">
        <f t="shared" si="64"/>
        <v>0</v>
      </c>
      <c r="V400" s="17">
        <f t="shared" si="65"/>
        <v>0</v>
      </c>
      <c r="W400" s="17">
        <f t="shared" si="66"/>
        <v>367</v>
      </c>
      <c r="X400" s="17">
        <f t="shared" si="67"/>
        <v>0</v>
      </c>
      <c r="Y400" s="19" t="e">
        <f t="shared" si="68"/>
        <v>#DIV/0!</v>
      </c>
      <c r="Z400">
        <v>497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873</v>
      </c>
      <c r="AH400">
        <v>873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701</v>
      </c>
      <c r="AP400">
        <v>34</v>
      </c>
      <c r="AQ400">
        <v>701</v>
      </c>
      <c r="AR400">
        <v>667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22</v>
      </c>
      <c r="BA400">
        <v>22</v>
      </c>
      <c r="BB400">
        <v>0</v>
      </c>
      <c r="BC400">
        <v>0</v>
      </c>
      <c r="BD400">
        <v>0</v>
      </c>
      <c r="BE400">
        <f t="shared" si="69"/>
        <v>3893</v>
      </c>
      <c r="BF400">
        <v>2113</v>
      </c>
      <c r="BG400">
        <v>2113</v>
      </c>
      <c r="BH400" t="s">
        <v>63</v>
      </c>
      <c r="BI400" t="s">
        <v>1109</v>
      </c>
      <c r="BJ400">
        <v>20</v>
      </c>
      <c r="BK400">
        <v>1596</v>
      </c>
      <c r="BL400">
        <v>2113</v>
      </c>
      <c r="BM400">
        <v>0</v>
      </c>
      <c r="BN400">
        <v>0</v>
      </c>
      <c r="BO400">
        <v>0</v>
      </c>
      <c r="BP400">
        <v>4899</v>
      </c>
      <c r="BQ400">
        <v>4899</v>
      </c>
      <c r="BR400">
        <f t="shared" si="70"/>
        <v>0</v>
      </c>
      <c r="BS400">
        <f t="shared" si="71"/>
        <v>734</v>
      </c>
      <c r="BU400">
        <f>R400*9</f>
        <v>3303</v>
      </c>
      <c r="BV400">
        <f>IF(BU400&gt;BG400, 1, 0)</f>
        <v>1</v>
      </c>
    </row>
    <row r="401" spans="1:74" x14ac:dyDescent="0.25">
      <c r="A401" s="5" t="s">
        <v>1135</v>
      </c>
      <c r="B401" s="7" t="s">
        <v>207</v>
      </c>
      <c r="C401" s="7" t="s">
        <v>359</v>
      </c>
      <c r="D401" s="1" t="s">
        <v>88</v>
      </c>
      <c r="E401">
        <v>0</v>
      </c>
      <c r="F401">
        <v>43230</v>
      </c>
      <c r="G401">
        <v>0</v>
      </c>
      <c r="H401">
        <v>0</v>
      </c>
      <c r="I401">
        <v>6780</v>
      </c>
      <c r="J401">
        <v>0</v>
      </c>
      <c r="K401">
        <v>0</v>
      </c>
      <c r="L401">
        <v>0</v>
      </c>
      <c r="M401">
        <v>0</v>
      </c>
      <c r="N401">
        <v>38520</v>
      </c>
      <c r="O401">
        <v>0</v>
      </c>
      <c r="P401">
        <v>0</v>
      </c>
      <c r="Q401">
        <v>4280</v>
      </c>
      <c r="R401">
        <v>4280</v>
      </c>
      <c r="S401" s="18">
        <f t="shared" si="62"/>
        <v>9</v>
      </c>
      <c r="T401" s="17">
        <f t="shared" si="63"/>
        <v>0</v>
      </c>
      <c r="U401" s="17">
        <f t="shared" si="64"/>
        <v>4280</v>
      </c>
      <c r="V401" s="17">
        <f t="shared" si="65"/>
        <v>0</v>
      </c>
      <c r="W401" s="17">
        <f t="shared" si="66"/>
        <v>0</v>
      </c>
      <c r="X401" s="17">
        <f t="shared" si="67"/>
        <v>0</v>
      </c>
      <c r="Y401" s="19" t="e">
        <f t="shared" si="68"/>
        <v>#DIV/0!</v>
      </c>
      <c r="Z401">
        <v>43230</v>
      </c>
      <c r="AA401">
        <v>0</v>
      </c>
      <c r="AB401">
        <v>0</v>
      </c>
      <c r="AC401">
        <v>0</v>
      </c>
      <c r="AD401">
        <v>0</v>
      </c>
      <c r="AE401">
        <v>6780</v>
      </c>
      <c r="AF401">
        <v>0</v>
      </c>
      <c r="AG401">
        <v>0</v>
      </c>
      <c r="AH401">
        <v>6780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f t="shared" si="69"/>
        <v>13560</v>
      </c>
      <c r="BF401">
        <v>50010</v>
      </c>
      <c r="BG401">
        <v>50010</v>
      </c>
      <c r="BH401" t="s">
        <v>560</v>
      </c>
      <c r="BI401" t="s">
        <v>1295</v>
      </c>
      <c r="BJ401">
        <v>0</v>
      </c>
      <c r="BK401">
        <v>6780</v>
      </c>
      <c r="BL401">
        <v>50010</v>
      </c>
      <c r="BM401">
        <v>0</v>
      </c>
      <c r="BN401">
        <v>45300</v>
      </c>
      <c r="BO401">
        <v>0</v>
      </c>
      <c r="BP401">
        <v>0</v>
      </c>
      <c r="BQ401">
        <v>45300</v>
      </c>
      <c r="BR401">
        <f t="shared" si="70"/>
        <v>0</v>
      </c>
      <c r="BS401">
        <f t="shared" si="71"/>
        <v>8560</v>
      </c>
    </row>
    <row r="402" spans="1:74" x14ac:dyDescent="0.25">
      <c r="A402" s="5" t="s">
        <v>1135</v>
      </c>
      <c r="B402" s="5" t="s">
        <v>207</v>
      </c>
      <c r="C402" s="5" t="s">
        <v>359</v>
      </c>
      <c r="D402" s="1" t="s">
        <v>90</v>
      </c>
      <c r="E402">
        <v>0</v>
      </c>
      <c r="F402">
        <v>1528</v>
      </c>
      <c r="G402">
        <v>0</v>
      </c>
      <c r="H402">
        <v>0</v>
      </c>
      <c r="I402">
        <v>840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1719</v>
      </c>
      <c r="Q402">
        <v>191</v>
      </c>
      <c r="R402">
        <v>191</v>
      </c>
      <c r="S402" s="18">
        <f t="shared" si="62"/>
        <v>9</v>
      </c>
      <c r="T402" s="17">
        <f t="shared" si="63"/>
        <v>0</v>
      </c>
      <c r="U402" s="17">
        <f t="shared" si="64"/>
        <v>0</v>
      </c>
      <c r="V402" s="17">
        <f t="shared" si="65"/>
        <v>0</v>
      </c>
      <c r="W402" s="17">
        <f t="shared" si="66"/>
        <v>191</v>
      </c>
      <c r="X402" s="17">
        <f t="shared" si="67"/>
        <v>0</v>
      </c>
      <c r="Y402" s="19" t="e">
        <f t="shared" si="68"/>
        <v>#DIV/0!</v>
      </c>
      <c r="Z402">
        <v>1528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840</v>
      </c>
      <c r="AH402">
        <v>840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f t="shared" si="69"/>
        <v>1680</v>
      </c>
      <c r="BF402">
        <v>2368</v>
      </c>
      <c r="BG402">
        <v>2368</v>
      </c>
      <c r="BH402" t="s">
        <v>109</v>
      </c>
      <c r="BI402" t="s">
        <v>1296</v>
      </c>
      <c r="BJ402">
        <v>0</v>
      </c>
      <c r="BK402">
        <v>840</v>
      </c>
      <c r="BL402">
        <v>2368</v>
      </c>
      <c r="BM402">
        <v>0</v>
      </c>
      <c r="BN402">
        <v>0</v>
      </c>
      <c r="BO402">
        <v>0</v>
      </c>
      <c r="BP402">
        <v>2559</v>
      </c>
      <c r="BQ402">
        <v>2559</v>
      </c>
      <c r="BR402">
        <f t="shared" si="70"/>
        <v>0</v>
      </c>
      <c r="BS402">
        <f t="shared" si="71"/>
        <v>382</v>
      </c>
    </row>
    <row r="403" spans="1:74" x14ac:dyDescent="0.25">
      <c r="A403" s="5" t="s">
        <v>1135</v>
      </c>
      <c r="B403" s="5" t="s">
        <v>207</v>
      </c>
      <c r="C403" s="5" t="s">
        <v>359</v>
      </c>
      <c r="D403" s="1" t="s">
        <v>92</v>
      </c>
      <c r="E403">
        <v>0</v>
      </c>
      <c r="F403">
        <v>2072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3987</v>
      </c>
      <c r="N403">
        <v>0</v>
      </c>
      <c r="O403">
        <v>0</v>
      </c>
      <c r="P403">
        <v>0</v>
      </c>
      <c r="Q403">
        <v>443</v>
      </c>
      <c r="R403">
        <v>443</v>
      </c>
      <c r="S403" s="18">
        <f t="shared" si="62"/>
        <v>9</v>
      </c>
      <c r="T403" s="17">
        <f t="shared" si="63"/>
        <v>443</v>
      </c>
      <c r="U403" s="17">
        <f t="shared" si="64"/>
        <v>0</v>
      </c>
      <c r="V403" s="17">
        <f t="shared" si="65"/>
        <v>0</v>
      </c>
      <c r="W403" s="17">
        <f t="shared" si="66"/>
        <v>0</v>
      </c>
      <c r="X403" s="17">
        <f t="shared" si="67"/>
        <v>0</v>
      </c>
      <c r="Y403" s="19" t="e">
        <f t="shared" si="68"/>
        <v>#DIV/0!</v>
      </c>
      <c r="Z403">
        <v>2072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f t="shared" si="69"/>
        <v>0</v>
      </c>
      <c r="BF403">
        <v>2072</v>
      </c>
      <c r="BG403">
        <v>2072</v>
      </c>
      <c r="BH403" t="s">
        <v>109</v>
      </c>
      <c r="BI403" t="s">
        <v>1297</v>
      </c>
      <c r="BJ403">
        <v>0</v>
      </c>
      <c r="BK403">
        <v>0</v>
      </c>
      <c r="BL403">
        <v>2072</v>
      </c>
      <c r="BM403">
        <v>3987</v>
      </c>
      <c r="BN403">
        <v>0</v>
      </c>
      <c r="BO403">
        <v>0</v>
      </c>
      <c r="BP403">
        <v>0</v>
      </c>
      <c r="BQ403">
        <v>3987</v>
      </c>
      <c r="BR403">
        <f t="shared" si="70"/>
        <v>0</v>
      </c>
      <c r="BS403">
        <f t="shared" si="71"/>
        <v>886</v>
      </c>
    </row>
    <row r="404" spans="1:74" x14ac:dyDescent="0.25">
      <c r="A404" s="5" t="s">
        <v>1135</v>
      </c>
      <c r="B404" s="5" t="s">
        <v>207</v>
      </c>
      <c r="C404" s="5" t="s">
        <v>359</v>
      </c>
      <c r="D404" s="1" t="s">
        <v>100</v>
      </c>
      <c r="E404">
        <v>0</v>
      </c>
      <c r="F404">
        <v>22680</v>
      </c>
      <c r="G404">
        <v>0</v>
      </c>
      <c r="H404">
        <v>0</v>
      </c>
      <c r="I404">
        <v>6300</v>
      </c>
      <c r="J404">
        <v>0</v>
      </c>
      <c r="K404">
        <v>0</v>
      </c>
      <c r="L404">
        <v>0</v>
      </c>
      <c r="M404">
        <v>51030</v>
      </c>
      <c r="N404">
        <v>0</v>
      </c>
      <c r="O404">
        <v>0</v>
      </c>
      <c r="P404">
        <v>0</v>
      </c>
      <c r="Q404">
        <v>5670</v>
      </c>
      <c r="R404">
        <v>5670</v>
      </c>
      <c r="S404" s="18">
        <f t="shared" si="62"/>
        <v>9</v>
      </c>
      <c r="T404" s="17">
        <f t="shared" si="63"/>
        <v>5670</v>
      </c>
      <c r="U404" s="17">
        <f t="shared" si="64"/>
        <v>0</v>
      </c>
      <c r="V404" s="17">
        <f t="shared" si="65"/>
        <v>0</v>
      </c>
      <c r="W404" s="17">
        <f t="shared" si="66"/>
        <v>0</v>
      </c>
      <c r="X404" s="17">
        <f t="shared" si="67"/>
        <v>0</v>
      </c>
      <c r="Y404" s="19" t="e">
        <f t="shared" si="68"/>
        <v>#DIV/0!</v>
      </c>
      <c r="Z404">
        <v>22680</v>
      </c>
      <c r="AA404">
        <v>0</v>
      </c>
      <c r="AB404">
        <v>0</v>
      </c>
      <c r="AC404">
        <v>0</v>
      </c>
      <c r="AD404">
        <v>6300</v>
      </c>
      <c r="AE404">
        <v>0</v>
      </c>
      <c r="AF404">
        <v>0</v>
      </c>
      <c r="AG404">
        <v>0</v>
      </c>
      <c r="AH404">
        <v>6300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f t="shared" si="69"/>
        <v>12600</v>
      </c>
      <c r="BF404">
        <v>28980</v>
      </c>
      <c r="BG404">
        <v>28980</v>
      </c>
      <c r="BH404" t="s">
        <v>109</v>
      </c>
      <c r="BI404" t="s">
        <v>1301</v>
      </c>
      <c r="BJ404">
        <v>0</v>
      </c>
      <c r="BK404">
        <v>6300</v>
      </c>
      <c r="BL404">
        <v>28980</v>
      </c>
      <c r="BM404">
        <v>57330</v>
      </c>
      <c r="BN404">
        <v>0</v>
      </c>
      <c r="BO404">
        <v>0</v>
      </c>
      <c r="BP404">
        <v>0</v>
      </c>
      <c r="BQ404">
        <v>57330</v>
      </c>
      <c r="BR404">
        <f t="shared" si="70"/>
        <v>0</v>
      </c>
      <c r="BS404">
        <f t="shared" si="71"/>
        <v>11340</v>
      </c>
    </row>
    <row r="405" spans="1:74" x14ac:dyDescent="0.25">
      <c r="A405" s="5" t="s">
        <v>875</v>
      </c>
      <c r="B405" s="5" t="s">
        <v>61</v>
      </c>
      <c r="C405" s="5" t="s">
        <v>207</v>
      </c>
      <c r="D405" s="1" t="s">
        <v>86</v>
      </c>
      <c r="E405">
        <v>0</v>
      </c>
      <c r="F405">
        <v>1440</v>
      </c>
      <c r="G405">
        <v>0</v>
      </c>
      <c r="H405">
        <v>0</v>
      </c>
      <c r="I405">
        <v>1250</v>
      </c>
      <c r="J405">
        <v>0</v>
      </c>
      <c r="K405">
        <v>123</v>
      </c>
      <c r="L405">
        <v>0</v>
      </c>
      <c r="M405">
        <v>0</v>
      </c>
      <c r="N405">
        <v>0</v>
      </c>
      <c r="O405">
        <v>0</v>
      </c>
      <c r="P405">
        <v>3240</v>
      </c>
      <c r="Q405">
        <v>360</v>
      </c>
      <c r="R405">
        <v>360</v>
      </c>
      <c r="S405" s="18">
        <f t="shared" si="62"/>
        <v>9</v>
      </c>
      <c r="T405" s="17">
        <f t="shared" si="63"/>
        <v>0</v>
      </c>
      <c r="U405" s="17">
        <f t="shared" si="64"/>
        <v>0</v>
      </c>
      <c r="V405" s="17">
        <f t="shared" si="65"/>
        <v>0</v>
      </c>
      <c r="W405" s="17">
        <f t="shared" si="66"/>
        <v>360</v>
      </c>
      <c r="X405" s="17">
        <f t="shared" si="67"/>
        <v>0</v>
      </c>
      <c r="Y405" s="19" t="e">
        <f t="shared" si="68"/>
        <v>#DIV/0!</v>
      </c>
      <c r="Z405">
        <v>1440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1250</v>
      </c>
      <c r="AH405">
        <v>1250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123</v>
      </c>
      <c r="AP405">
        <v>8</v>
      </c>
      <c r="AQ405">
        <v>123</v>
      </c>
      <c r="AR405">
        <v>115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f t="shared" si="69"/>
        <v>2869</v>
      </c>
      <c r="BF405">
        <v>2813</v>
      </c>
      <c r="BG405">
        <v>2813</v>
      </c>
      <c r="BH405" t="s">
        <v>63</v>
      </c>
      <c r="BI405" t="s">
        <v>886</v>
      </c>
      <c r="BJ405">
        <v>0</v>
      </c>
      <c r="BK405">
        <v>1373</v>
      </c>
      <c r="BL405">
        <v>2813</v>
      </c>
      <c r="BM405">
        <v>0</v>
      </c>
      <c r="BN405">
        <v>0</v>
      </c>
      <c r="BO405">
        <v>0</v>
      </c>
      <c r="BP405">
        <v>4613</v>
      </c>
      <c r="BQ405">
        <v>4613</v>
      </c>
      <c r="BR405">
        <f t="shared" si="70"/>
        <v>0</v>
      </c>
      <c r="BS405">
        <f t="shared" si="71"/>
        <v>720</v>
      </c>
      <c r="BU405">
        <f>R405*9</f>
        <v>3240</v>
      </c>
      <c r="BV405">
        <f>IF(BU405&gt;BG405, 1, 0)</f>
        <v>1</v>
      </c>
    </row>
    <row r="406" spans="1:74" x14ac:dyDescent="0.25">
      <c r="A406" s="5" t="s">
        <v>1451</v>
      </c>
      <c r="B406" s="5" t="s">
        <v>61</v>
      </c>
      <c r="C406" s="5" t="s">
        <v>627</v>
      </c>
      <c r="D406" s="1" t="s">
        <v>69</v>
      </c>
      <c r="E406">
        <v>0</v>
      </c>
      <c r="F406">
        <v>4030</v>
      </c>
      <c r="G406">
        <v>0</v>
      </c>
      <c r="H406">
        <v>0</v>
      </c>
      <c r="I406">
        <v>1217</v>
      </c>
      <c r="J406">
        <v>850</v>
      </c>
      <c r="K406">
        <v>523</v>
      </c>
      <c r="L406">
        <v>0</v>
      </c>
      <c r="M406">
        <v>3186</v>
      </c>
      <c r="N406">
        <v>0</v>
      </c>
      <c r="O406">
        <v>0</v>
      </c>
      <c r="P406">
        <v>0</v>
      </c>
      <c r="Q406">
        <v>476</v>
      </c>
      <c r="R406">
        <v>354</v>
      </c>
      <c r="S406" s="18">
        <f t="shared" si="62"/>
        <v>9</v>
      </c>
      <c r="T406" s="17">
        <f t="shared" si="63"/>
        <v>354</v>
      </c>
      <c r="U406" s="17">
        <f t="shared" si="64"/>
        <v>0</v>
      </c>
      <c r="V406" s="17">
        <f t="shared" si="65"/>
        <v>0</v>
      </c>
      <c r="W406" s="17">
        <f t="shared" si="66"/>
        <v>0</v>
      </c>
      <c r="X406" s="17">
        <f t="shared" si="67"/>
        <v>122</v>
      </c>
      <c r="Y406" s="19">
        <f t="shared" si="68"/>
        <v>0</v>
      </c>
      <c r="Z406">
        <v>4030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1217</v>
      </c>
      <c r="AH406">
        <v>1217</v>
      </c>
      <c r="AI406">
        <v>0</v>
      </c>
      <c r="AJ406">
        <v>0</v>
      </c>
      <c r="AK406">
        <v>850</v>
      </c>
      <c r="AL406">
        <v>850</v>
      </c>
      <c r="AM406">
        <v>0</v>
      </c>
      <c r="AN406">
        <v>0</v>
      </c>
      <c r="AO406">
        <v>523</v>
      </c>
      <c r="AP406">
        <v>523</v>
      </c>
      <c r="AQ406">
        <v>523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f t="shared" si="69"/>
        <v>5703</v>
      </c>
      <c r="BF406">
        <v>6620</v>
      </c>
      <c r="BG406">
        <v>6620</v>
      </c>
      <c r="BH406" t="s">
        <v>63</v>
      </c>
      <c r="BI406" t="s">
        <v>1512</v>
      </c>
      <c r="BJ406">
        <v>0</v>
      </c>
      <c r="BK406">
        <v>2590</v>
      </c>
      <c r="BL406">
        <v>6620</v>
      </c>
      <c r="BM406">
        <v>3186</v>
      </c>
      <c r="BN406">
        <v>0</v>
      </c>
      <c r="BO406">
        <v>0</v>
      </c>
      <c r="BP406">
        <v>2590</v>
      </c>
      <c r="BQ406">
        <v>5776</v>
      </c>
      <c r="BR406">
        <f t="shared" si="70"/>
        <v>-122</v>
      </c>
      <c r="BS406">
        <f t="shared" si="71"/>
        <v>830</v>
      </c>
      <c r="BU406">
        <f>R406*9</f>
        <v>3186</v>
      </c>
      <c r="BV406">
        <f>IF(BU406&gt;BG406, 1, 0)</f>
        <v>0</v>
      </c>
    </row>
    <row r="407" spans="1:74" x14ac:dyDescent="0.25">
      <c r="A407" s="5" t="s">
        <v>875</v>
      </c>
      <c r="B407" s="5" t="s">
        <v>207</v>
      </c>
      <c r="C407" s="5" t="s">
        <v>61</v>
      </c>
      <c r="D407" s="1" t="s">
        <v>67</v>
      </c>
      <c r="E407">
        <v>0</v>
      </c>
      <c r="F407">
        <v>450</v>
      </c>
      <c r="G407">
        <v>0</v>
      </c>
      <c r="H407">
        <v>0</v>
      </c>
      <c r="I407">
        <v>1933</v>
      </c>
      <c r="J407">
        <v>0</v>
      </c>
      <c r="K407">
        <v>5545</v>
      </c>
      <c r="L407">
        <v>0</v>
      </c>
      <c r="M407">
        <v>0</v>
      </c>
      <c r="N407">
        <v>0</v>
      </c>
      <c r="O407">
        <v>0</v>
      </c>
      <c r="P407">
        <v>3168</v>
      </c>
      <c r="Q407">
        <v>352</v>
      </c>
      <c r="R407">
        <v>352</v>
      </c>
      <c r="S407" s="18">
        <f t="shared" si="62"/>
        <v>9</v>
      </c>
      <c r="T407" s="17">
        <f t="shared" si="63"/>
        <v>0</v>
      </c>
      <c r="U407" s="17">
        <f t="shared" si="64"/>
        <v>0</v>
      </c>
      <c r="V407" s="17">
        <f t="shared" si="65"/>
        <v>0</v>
      </c>
      <c r="W407" s="17">
        <f t="shared" si="66"/>
        <v>352</v>
      </c>
      <c r="X407" s="17">
        <f t="shared" si="67"/>
        <v>0</v>
      </c>
      <c r="Y407" s="19" t="e">
        <f t="shared" si="68"/>
        <v>#DIV/0!</v>
      </c>
      <c r="Z407">
        <v>450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1933</v>
      </c>
      <c r="AH407">
        <v>1933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5388</v>
      </c>
      <c r="AO407">
        <v>157</v>
      </c>
      <c r="AP407">
        <v>5018</v>
      </c>
      <c r="AQ407">
        <v>5545</v>
      </c>
      <c r="AR407">
        <v>527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f t="shared" si="69"/>
        <v>20501</v>
      </c>
      <c r="BF407">
        <v>7928</v>
      </c>
      <c r="BG407">
        <v>7928</v>
      </c>
      <c r="BH407" t="s">
        <v>63</v>
      </c>
      <c r="BI407" t="s">
        <v>968</v>
      </c>
      <c r="BJ407">
        <v>0</v>
      </c>
      <c r="BK407">
        <v>7478</v>
      </c>
      <c r="BL407">
        <v>7928</v>
      </c>
      <c r="BM407">
        <v>0</v>
      </c>
      <c r="BN407">
        <v>5388</v>
      </c>
      <c r="BO407">
        <v>0</v>
      </c>
      <c r="BP407">
        <v>5258</v>
      </c>
      <c r="BQ407">
        <v>10646</v>
      </c>
      <c r="BR407">
        <f t="shared" si="70"/>
        <v>0</v>
      </c>
      <c r="BS407">
        <f t="shared" si="71"/>
        <v>704</v>
      </c>
      <c r="BU407">
        <f>R407*9</f>
        <v>3168</v>
      </c>
      <c r="BV407">
        <f>IF(BU407&gt;BG407, 1, 0)</f>
        <v>0</v>
      </c>
    </row>
    <row r="408" spans="1:74" x14ac:dyDescent="0.25">
      <c r="A408" s="5" t="s">
        <v>1135</v>
      </c>
      <c r="B408" s="5" t="s">
        <v>207</v>
      </c>
      <c r="C408" s="5" t="s">
        <v>207</v>
      </c>
      <c r="D408" s="1" t="s">
        <v>62</v>
      </c>
      <c r="E408">
        <v>0</v>
      </c>
      <c r="F408">
        <v>1050</v>
      </c>
      <c r="G408">
        <v>0</v>
      </c>
      <c r="H408">
        <v>0</v>
      </c>
      <c r="I408">
        <v>3340</v>
      </c>
      <c r="J408">
        <v>0</v>
      </c>
      <c r="K408">
        <v>12</v>
      </c>
      <c r="L408">
        <v>0</v>
      </c>
      <c r="M408">
        <v>0</v>
      </c>
      <c r="N408">
        <v>0</v>
      </c>
      <c r="O408">
        <v>0</v>
      </c>
      <c r="P408">
        <v>3150</v>
      </c>
      <c r="Q408">
        <v>350</v>
      </c>
      <c r="R408">
        <v>350</v>
      </c>
      <c r="S408" s="18">
        <f t="shared" si="62"/>
        <v>9</v>
      </c>
      <c r="T408" s="17">
        <f t="shared" si="63"/>
        <v>0</v>
      </c>
      <c r="U408" s="17">
        <f t="shared" si="64"/>
        <v>0</v>
      </c>
      <c r="V408" s="17">
        <f t="shared" si="65"/>
        <v>0</v>
      </c>
      <c r="W408" s="17">
        <f t="shared" si="66"/>
        <v>350</v>
      </c>
      <c r="X408" s="17">
        <f t="shared" si="67"/>
        <v>0</v>
      </c>
      <c r="Y408" s="19" t="e">
        <f t="shared" si="68"/>
        <v>#DIV/0!</v>
      </c>
      <c r="Z408">
        <v>1050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3340</v>
      </c>
      <c r="AH408">
        <v>3340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12</v>
      </c>
      <c r="AP408">
        <v>7</v>
      </c>
      <c r="AQ408">
        <v>12</v>
      </c>
      <c r="AR408">
        <v>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f t="shared" si="69"/>
        <v>6716</v>
      </c>
      <c r="BF408">
        <v>4402</v>
      </c>
      <c r="BG408">
        <v>4402</v>
      </c>
      <c r="BH408" t="s">
        <v>63</v>
      </c>
      <c r="BI408" t="s">
        <v>1255</v>
      </c>
      <c r="BJ408">
        <v>0</v>
      </c>
      <c r="BK408">
        <v>3352</v>
      </c>
      <c r="BL408">
        <v>4402</v>
      </c>
      <c r="BM408">
        <v>0</v>
      </c>
      <c r="BN408">
        <v>0</v>
      </c>
      <c r="BO408">
        <v>0</v>
      </c>
      <c r="BP408">
        <v>6502</v>
      </c>
      <c r="BQ408">
        <v>6502</v>
      </c>
      <c r="BR408">
        <f t="shared" si="70"/>
        <v>0</v>
      </c>
      <c r="BS408">
        <f t="shared" si="71"/>
        <v>700</v>
      </c>
      <c r="BU408">
        <f>R408*9</f>
        <v>3150</v>
      </c>
      <c r="BV408">
        <f>IF(BU408&gt;BG408, 1, 0)</f>
        <v>0</v>
      </c>
    </row>
    <row r="409" spans="1:74" x14ac:dyDescent="0.25">
      <c r="A409" s="5" t="s">
        <v>1135</v>
      </c>
      <c r="B409" s="5" t="s">
        <v>359</v>
      </c>
      <c r="C409" s="5" t="s">
        <v>61</v>
      </c>
      <c r="D409" s="1" t="s">
        <v>84</v>
      </c>
      <c r="E409">
        <v>0</v>
      </c>
      <c r="F409">
        <v>1920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1458</v>
      </c>
      <c r="N409">
        <v>0</v>
      </c>
      <c r="O409">
        <v>0</v>
      </c>
      <c r="P409">
        <v>0</v>
      </c>
      <c r="Q409">
        <v>162</v>
      </c>
      <c r="R409">
        <v>162</v>
      </c>
      <c r="S409" s="18">
        <f t="shared" si="62"/>
        <v>9</v>
      </c>
      <c r="T409" s="17">
        <f t="shared" si="63"/>
        <v>162</v>
      </c>
      <c r="U409" s="17">
        <f t="shared" si="64"/>
        <v>0</v>
      </c>
      <c r="V409" s="17">
        <f t="shared" si="65"/>
        <v>0</v>
      </c>
      <c r="W409" s="17">
        <f t="shared" si="66"/>
        <v>0</v>
      </c>
      <c r="X409" s="17">
        <f t="shared" si="67"/>
        <v>0</v>
      </c>
      <c r="Y409" s="19" t="e">
        <f t="shared" si="68"/>
        <v>#DIV/0!</v>
      </c>
      <c r="Z409">
        <v>1920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f t="shared" si="69"/>
        <v>0</v>
      </c>
      <c r="BF409">
        <v>1920</v>
      </c>
      <c r="BG409">
        <v>1920</v>
      </c>
      <c r="BH409" t="s">
        <v>109</v>
      </c>
      <c r="BI409" t="s">
        <v>1318</v>
      </c>
      <c r="BJ409">
        <v>0</v>
      </c>
      <c r="BK409">
        <v>0</v>
      </c>
      <c r="BL409">
        <v>1920</v>
      </c>
      <c r="BM409">
        <v>1458</v>
      </c>
      <c r="BN409">
        <v>0</v>
      </c>
      <c r="BO409">
        <v>0</v>
      </c>
      <c r="BP409">
        <v>0</v>
      </c>
      <c r="BQ409">
        <v>1458</v>
      </c>
      <c r="BR409">
        <f t="shared" si="70"/>
        <v>0</v>
      </c>
      <c r="BS409">
        <f t="shared" si="71"/>
        <v>324</v>
      </c>
    </row>
    <row r="410" spans="1:74" x14ac:dyDescent="0.25">
      <c r="A410" s="5" t="s">
        <v>1135</v>
      </c>
      <c r="B410" s="5" t="s">
        <v>359</v>
      </c>
      <c r="C410" s="5" t="s">
        <v>61</v>
      </c>
      <c r="D410" s="1" t="s">
        <v>86</v>
      </c>
      <c r="E410">
        <v>0</v>
      </c>
      <c r="F410">
        <v>2330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3474</v>
      </c>
      <c r="N410">
        <v>0</v>
      </c>
      <c r="O410">
        <v>0</v>
      </c>
      <c r="P410">
        <v>0</v>
      </c>
      <c r="Q410">
        <v>386</v>
      </c>
      <c r="R410">
        <v>386</v>
      </c>
      <c r="S410" s="18">
        <f t="shared" si="62"/>
        <v>9</v>
      </c>
      <c r="T410" s="17">
        <f t="shared" si="63"/>
        <v>386</v>
      </c>
      <c r="U410" s="17">
        <f t="shared" si="64"/>
        <v>0</v>
      </c>
      <c r="V410" s="17">
        <f t="shared" si="65"/>
        <v>0</v>
      </c>
      <c r="W410" s="17">
        <f t="shared" si="66"/>
        <v>0</v>
      </c>
      <c r="X410" s="17">
        <f t="shared" si="67"/>
        <v>0</v>
      </c>
      <c r="Y410" s="19" t="e">
        <f t="shared" si="68"/>
        <v>#DIV/0!</v>
      </c>
      <c r="Z410">
        <v>2330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f t="shared" si="69"/>
        <v>0</v>
      </c>
      <c r="BF410">
        <v>2330</v>
      </c>
      <c r="BG410">
        <v>2330</v>
      </c>
      <c r="BH410" t="s">
        <v>109</v>
      </c>
      <c r="BI410" t="s">
        <v>1319</v>
      </c>
      <c r="BJ410">
        <v>0</v>
      </c>
      <c r="BK410">
        <v>0</v>
      </c>
      <c r="BL410">
        <v>2330</v>
      </c>
      <c r="BM410">
        <v>3474</v>
      </c>
      <c r="BN410">
        <v>0</v>
      </c>
      <c r="BO410">
        <v>0</v>
      </c>
      <c r="BP410">
        <v>0</v>
      </c>
      <c r="BQ410">
        <v>3474</v>
      </c>
      <c r="BR410">
        <f t="shared" si="70"/>
        <v>0</v>
      </c>
      <c r="BS410">
        <f t="shared" si="71"/>
        <v>772</v>
      </c>
    </row>
    <row r="411" spans="1:74" x14ac:dyDescent="0.25">
      <c r="A411" s="5" t="s">
        <v>1135</v>
      </c>
      <c r="B411" s="5" t="s">
        <v>359</v>
      </c>
      <c r="C411" s="5" t="s">
        <v>61</v>
      </c>
      <c r="D411" s="1" t="s">
        <v>88</v>
      </c>
      <c r="E411">
        <v>0</v>
      </c>
      <c r="F411">
        <v>1640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1638</v>
      </c>
      <c r="N411">
        <v>0</v>
      </c>
      <c r="O411">
        <v>0</v>
      </c>
      <c r="P411">
        <v>0</v>
      </c>
      <c r="Q411">
        <v>182</v>
      </c>
      <c r="R411">
        <v>182</v>
      </c>
      <c r="S411" s="18">
        <f t="shared" si="62"/>
        <v>9</v>
      </c>
      <c r="T411" s="17">
        <f t="shared" si="63"/>
        <v>182</v>
      </c>
      <c r="U411" s="17">
        <f t="shared" si="64"/>
        <v>0</v>
      </c>
      <c r="V411" s="17">
        <f t="shared" si="65"/>
        <v>0</v>
      </c>
      <c r="W411" s="17">
        <f t="shared" si="66"/>
        <v>0</v>
      </c>
      <c r="X411" s="17">
        <f t="shared" si="67"/>
        <v>0</v>
      </c>
      <c r="Y411" s="19" t="e">
        <f t="shared" si="68"/>
        <v>#DIV/0!</v>
      </c>
      <c r="Z411">
        <v>1640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f t="shared" si="69"/>
        <v>0</v>
      </c>
      <c r="BF411">
        <v>1640</v>
      </c>
      <c r="BG411">
        <v>1640</v>
      </c>
      <c r="BH411" t="s">
        <v>109</v>
      </c>
      <c r="BI411" t="s">
        <v>1320</v>
      </c>
      <c r="BJ411">
        <v>0</v>
      </c>
      <c r="BK411">
        <v>0</v>
      </c>
      <c r="BL411">
        <v>1640</v>
      </c>
      <c r="BM411">
        <v>1638</v>
      </c>
      <c r="BN411">
        <v>0</v>
      </c>
      <c r="BO411">
        <v>0</v>
      </c>
      <c r="BP411">
        <v>0</v>
      </c>
      <c r="BQ411">
        <v>1638</v>
      </c>
      <c r="BR411">
        <f t="shared" si="70"/>
        <v>0</v>
      </c>
      <c r="BS411">
        <f t="shared" si="71"/>
        <v>364</v>
      </c>
    </row>
    <row r="412" spans="1:74" x14ac:dyDescent="0.25">
      <c r="A412" s="5" t="s">
        <v>1135</v>
      </c>
      <c r="B412" s="5" t="s">
        <v>359</v>
      </c>
      <c r="C412" s="5" t="s">
        <v>61</v>
      </c>
      <c r="D412" s="1" t="s">
        <v>90</v>
      </c>
      <c r="E412">
        <v>0</v>
      </c>
      <c r="F412">
        <v>5700</v>
      </c>
      <c r="G412">
        <v>0</v>
      </c>
      <c r="H412">
        <v>0</v>
      </c>
      <c r="I412">
        <v>120</v>
      </c>
      <c r="J412">
        <v>0</v>
      </c>
      <c r="K412">
        <v>0</v>
      </c>
      <c r="L412">
        <v>0</v>
      </c>
      <c r="M412">
        <v>8550</v>
      </c>
      <c r="N412">
        <v>0</v>
      </c>
      <c r="O412">
        <v>0</v>
      </c>
      <c r="P412">
        <v>0</v>
      </c>
      <c r="Q412">
        <v>950</v>
      </c>
      <c r="R412">
        <v>950</v>
      </c>
      <c r="S412" s="18">
        <f t="shared" si="62"/>
        <v>9</v>
      </c>
      <c r="T412" s="17">
        <f t="shared" si="63"/>
        <v>950</v>
      </c>
      <c r="U412" s="17">
        <f t="shared" si="64"/>
        <v>0</v>
      </c>
      <c r="V412" s="17">
        <f t="shared" si="65"/>
        <v>0</v>
      </c>
      <c r="W412" s="17">
        <f t="shared" si="66"/>
        <v>0</v>
      </c>
      <c r="X412" s="17">
        <f t="shared" si="67"/>
        <v>0</v>
      </c>
      <c r="Y412" s="19" t="e">
        <f t="shared" si="68"/>
        <v>#DIV/0!</v>
      </c>
      <c r="Z412">
        <v>5700</v>
      </c>
      <c r="AA412">
        <v>0</v>
      </c>
      <c r="AB412">
        <v>0</v>
      </c>
      <c r="AC412">
        <v>0</v>
      </c>
      <c r="AD412">
        <v>120</v>
      </c>
      <c r="AE412">
        <v>0</v>
      </c>
      <c r="AF412">
        <v>0</v>
      </c>
      <c r="AG412">
        <v>0</v>
      </c>
      <c r="AH412">
        <v>120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f t="shared" si="69"/>
        <v>240</v>
      </c>
      <c r="BF412">
        <v>5820</v>
      </c>
      <c r="BG412">
        <v>5820</v>
      </c>
      <c r="BH412" t="s">
        <v>109</v>
      </c>
      <c r="BI412" t="s">
        <v>1321</v>
      </c>
      <c r="BJ412">
        <v>0</v>
      </c>
      <c r="BK412">
        <v>120</v>
      </c>
      <c r="BL412">
        <v>5820</v>
      </c>
      <c r="BM412">
        <v>8670</v>
      </c>
      <c r="BN412">
        <v>0</v>
      </c>
      <c r="BO412">
        <v>0</v>
      </c>
      <c r="BP412">
        <v>0</v>
      </c>
      <c r="BQ412">
        <v>8670</v>
      </c>
      <c r="BR412">
        <f t="shared" si="70"/>
        <v>0</v>
      </c>
      <c r="BS412">
        <f t="shared" si="71"/>
        <v>1900</v>
      </c>
    </row>
    <row r="413" spans="1:74" x14ac:dyDescent="0.25">
      <c r="A413" s="5" t="s">
        <v>1135</v>
      </c>
      <c r="B413" s="5" t="s">
        <v>359</v>
      </c>
      <c r="C413" s="5" t="s">
        <v>61</v>
      </c>
      <c r="D413" s="1" t="s">
        <v>92</v>
      </c>
      <c r="E413">
        <v>0</v>
      </c>
      <c r="F413">
        <v>345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774</v>
      </c>
      <c r="N413">
        <v>0</v>
      </c>
      <c r="O413">
        <v>0</v>
      </c>
      <c r="P413">
        <v>0</v>
      </c>
      <c r="Q413">
        <v>86</v>
      </c>
      <c r="R413">
        <v>86</v>
      </c>
      <c r="S413" s="18">
        <f t="shared" si="62"/>
        <v>9</v>
      </c>
      <c r="T413" s="17">
        <f t="shared" si="63"/>
        <v>86</v>
      </c>
      <c r="U413" s="17">
        <f t="shared" si="64"/>
        <v>0</v>
      </c>
      <c r="V413" s="17">
        <f t="shared" si="65"/>
        <v>0</v>
      </c>
      <c r="W413" s="17">
        <f t="shared" si="66"/>
        <v>0</v>
      </c>
      <c r="X413" s="17">
        <f t="shared" si="67"/>
        <v>0</v>
      </c>
      <c r="Y413" s="19" t="e">
        <f t="shared" si="68"/>
        <v>#DIV/0!</v>
      </c>
      <c r="Z413">
        <v>345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f t="shared" si="69"/>
        <v>0</v>
      </c>
      <c r="BF413">
        <v>345</v>
      </c>
      <c r="BG413">
        <v>345</v>
      </c>
      <c r="BH413" t="s">
        <v>109</v>
      </c>
      <c r="BI413" t="s">
        <v>1322</v>
      </c>
      <c r="BJ413">
        <v>0</v>
      </c>
      <c r="BK413">
        <v>0</v>
      </c>
      <c r="BL413">
        <v>345</v>
      </c>
      <c r="BM413">
        <v>774</v>
      </c>
      <c r="BN413">
        <v>0</v>
      </c>
      <c r="BO413">
        <v>0</v>
      </c>
      <c r="BP413">
        <v>0</v>
      </c>
      <c r="BQ413">
        <v>774</v>
      </c>
      <c r="BR413">
        <f t="shared" si="70"/>
        <v>0</v>
      </c>
      <c r="BS413">
        <f t="shared" si="71"/>
        <v>172</v>
      </c>
    </row>
    <row r="414" spans="1:74" x14ac:dyDescent="0.25">
      <c r="A414" s="5" t="s">
        <v>1135</v>
      </c>
      <c r="B414" s="5" t="s">
        <v>359</v>
      </c>
      <c r="C414" s="5" t="s">
        <v>61</v>
      </c>
      <c r="D414" s="1" t="s">
        <v>94</v>
      </c>
      <c r="E414">
        <v>0</v>
      </c>
      <c r="F414">
        <v>504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1908</v>
      </c>
      <c r="N414">
        <v>0</v>
      </c>
      <c r="O414">
        <v>0</v>
      </c>
      <c r="P414">
        <v>0</v>
      </c>
      <c r="Q414">
        <v>212</v>
      </c>
      <c r="R414">
        <v>212</v>
      </c>
      <c r="S414" s="18">
        <f t="shared" si="62"/>
        <v>9</v>
      </c>
      <c r="T414" s="17">
        <f t="shared" si="63"/>
        <v>212</v>
      </c>
      <c r="U414" s="17">
        <f t="shared" si="64"/>
        <v>0</v>
      </c>
      <c r="V414" s="17">
        <f t="shared" si="65"/>
        <v>0</v>
      </c>
      <c r="W414" s="17">
        <f t="shared" si="66"/>
        <v>0</v>
      </c>
      <c r="X414" s="17">
        <f t="shared" si="67"/>
        <v>0</v>
      </c>
      <c r="Y414" s="19" t="e">
        <f t="shared" si="68"/>
        <v>#DIV/0!</v>
      </c>
      <c r="Z414">
        <v>504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f t="shared" si="69"/>
        <v>0</v>
      </c>
      <c r="BF414">
        <v>504</v>
      </c>
      <c r="BG414">
        <v>504</v>
      </c>
      <c r="BH414" t="s">
        <v>109</v>
      </c>
      <c r="BI414" t="s">
        <v>1323</v>
      </c>
      <c r="BJ414">
        <v>0</v>
      </c>
      <c r="BK414">
        <v>0</v>
      </c>
      <c r="BL414">
        <v>504</v>
      </c>
      <c r="BM414">
        <v>1908</v>
      </c>
      <c r="BN414">
        <v>0</v>
      </c>
      <c r="BO414">
        <v>0</v>
      </c>
      <c r="BP414">
        <v>0</v>
      </c>
      <c r="BQ414">
        <v>1908</v>
      </c>
      <c r="BR414">
        <f t="shared" si="70"/>
        <v>0</v>
      </c>
      <c r="BS414">
        <f t="shared" si="71"/>
        <v>424</v>
      </c>
    </row>
    <row r="415" spans="1:74" x14ac:dyDescent="0.25">
      <c r="A415" s="5" t="s">
        <v>1135</v>
      </c>
      <c r="B415" s="5" t="s">
        <v>359</v>
      </c>
      <c r="C415" s="5" t="s">
        <v>61</v>
      </c>
      <c r="D415" s="1" t="s">
        <v>96</v>
      </c>
      <c r="E415">
        <v>0</v>
      </c>
      <c r="F415">
        <v>166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1494</v>
      </c>
      <c r="N415">
        <v>0</v>
      </c>
      <c r="O415">
        <v>0</v>
      </c>
      <c r="P415">
        <v>0</v>
      </c>
      <c r="Q415">
        <v>166</v>
      </c>
      <c r="R415">
        <v>166</v>
      </c>
      <c r="S415" s="18">
        <f t="shared" si="62"/>
        <v>9</v>
      </c>
      <c r="T415" s="17">
        <f t="shared" si="63"/>
        <v>166</v>
      </c>
      <c r="U415" s="17">
        <f t="shared" si="64"/>
        <v>0</v>
      </c>
      <c r="V415" s="17">
        <f t="shared" si="65"/>
        <v>0</v>
      </c>
      <c r="W415" s="17">
        <f t="shared" si="66"/>
        <v>0</v>
      </c>
      <c r="X415" s="17">
        <f t="shared" si="67"/>
        <v>0</v>
      </c>
      <c r="Y415" s="19" t="e">
        <f t="shared" si="68"/>
        <v>#DIV/0!</v>
      </c>
      <c r="Z415">
        <v>166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f t="shared" si="69"/>
        <v>0</v>
      </c>
      <c r="BF415">
        <v>166</v>
      </c>
      <c r="BG415">
        <v>166</v>
      </c>
      <c r="BH415" t="s">
        <v>109</v>
      </c>
      <c r="BI415" t="s">
        <v>1324</v>
      </c>
      <c r="BJ415">
        <v>0</v>
      </c>
      <c r="BK415">
        <v>0</v>
      </c>
      <c r="BL415">
        <v>166</v>
      </c>
      <c r="BM415">
        <v>1494</v>
      </c>
      <c r="BN415">
        <v>0</v>
      </c>
      <c r="BO415">
        <v>0</v>
      </c>
      <c r="BP415">
        <v>0</v>
      </c>
      <c r="BQ415">
        <v>1494</v>
      </c>
      <c r="BR415">
        <f t="shared" si="70"/>
        <v>0</v>
      </c>
      <c r="BS415">
        <f t="shared" si="71"/>
        <v>332</v>
      </c>
    </row>
    <row r="416" spans="1:74" x14ac:dyDescent="0.25">
      <c r="A416" s="5" t="s">
        <v>1135</v>
      </c>
      <c r="B416" s="5" t="s">
        <v>359</v>
      </c>
      <c r="C416" s="5" t="s">
        <v>61</v>
      </c>
      <c r="D416" s="1" t="s">
        <v>98</v>
      </c>
      <c r="E416">
        <v>0</v>
      </c>
      <c r="F416">
        <v>167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1503</v>
      </c>
      <c r="N416">
        <v>0</v>
      </c>
      <c r="O416">
        <v>0</v>
      </c>
      <c r="P416">
        <v>0</v>
      </c>
      <c r="Q416">
        <v>167</v>
      </c>
      <c r="R416">
        <v>167</v>
      </c>
      <c r="S416" s="18">
        <f t="shared" si="62"/>
        <v>9</v>
      </c>
      <c r="T416" s="17">
        <f t="shared" si="63"/>
        <v>167</v>
      </c>
      <c r="U416" s="17">
        <f t="shared" si="64"/>
        <v>0</v>
      </c>
      <c r="V416" s="17">
        <f t="shared" si="65"/>
        <v>0</v>
      </c>
      <c r="W416" s="17">
        <f t="shared" si="66"/>
        <v>0</v>
      </c>
      <c r="X416" s="17">
        <f t="shared" si="67"/>
        <v>0</v>
      </c>
      <c r="Y416" s="19" t="e">
        <f t="shared" si="68"/>
        <v>#DIV/0!</v>
      </c>
      <c r="Z416">
        <v>167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f t="shared" si="69"/>
        <v>0</v>
      </c>
      <c r="BF416">
        <v>167</v>
      </c>
      <c r="BG416">
        <v>167</v>
      </c>
      <c r="BH416" t="s">
        <v>109</v>
      </c>
      <c r="BI416" t="s">
        <v>1325</v>
      </c>
      <c r="BJ416">
        <v>0</v>
      </c>
      <c r="BK416">
        <v>0</v>
      </c>
      <c r="BL416">
        <v>167</v>
      </c>
      <c r="BM416">
        <v>1503</v>
      </c>
      <c r="BN416">
        <v>0</v>
      </c>
      <c r="BO416">
        <v>0</v>
      </c>
      <c r="BP416">
        <v>0</v>
      </c>
      <c r="BQ416">
        <v>1503</v>
      </c>
      <c r="BR416">
        <f t="shared" si="70"/>
        <v>0</v>
      </c>
      <c r="BS416">
        <f t="shared" si="71"/>
        <v>334</v>
      </c>
    </row>
    <row r="417" spans="1:74" x14ac:dyDescent="0.25">
      <c r="A417" s="5" t="s">
        <v>1135</v>
      </c>
      <c r="B417" s="5" t="s">
        <v>359</v>
      </c>
      <c r="C417" s="5" t="s">
        <v>61</v>
      </c>
      <c r="D417" s="1" t="s">
        <v>100</v>
      </c>
      <c r="E417">
        <v>0</v>
      </c>
      <c r="F417">
        <v>600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1395</v>
      </c>
      <c r="N417">
        <v>0</v>
      </c>
      <c r="O417">
        <v>0</v>
      </c>
      <c r="P417">
        <v>0</v>
      </c>
      <c r="Q417">
        <v>155</v>
      </c>
      <c r="R417">
        <v>155</v>
      </c>
      <c r="S417" s="18">
        <f t="shared" si="62"/>
        <v>9</v>
      </c>
      <c r="T417" s="17">
        <f t="shared" si="63"/>
        <v>155</v>
      </c>
      <c r="U417" s="17">
        <f t="shared" si="64"/>
        <v>0</v>
      </c>
      <c r="V417" s="17">
        <f t="shared" si="65"/>
        <v>0</v>
      </c>
      <c r="W417" s="17">
        <f t="shared" si="66"/>
        <v>0</v>
      </c>
      <c r="X417" s="17">
        <f t="shared" si="67"/>
        <v>0</v>
      </c>
      <c r="Y417" s="19" t="e">
        <f t="shared" si="68"/>
        <v>#DIV/0!</v>
      </c>
      <c r="Z417">
        <v>600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f t="shared" si="69"/>
        <v>0</v>
      </c>
      <c r="BF417">
        <v>600</v>
      </c>
      <c r="BG417">
        <v>600</v>
      </c>
      <c r="BH417" t="s">
        <v>109</v>
      </c>
      <c r="BI417" t="s">
        <v>1326</v>
      </c>
      <c r="BJ417">
        <v>0</v>
      </c>
      <c r="BK417">
        <v>0</v>
      </c>
      <c r="BL417">
        <v>600</v>
      </c>
      <c r="BM417">
        <v>1395</v>
      </c>
      <c r="BN417">
        <v>0</v>
      </c>
      <c r="BO417">
        <v>0</v>
      </c>
      <c r="BP417">
        <v>0</v>
      </c>
      <c r="BQ417">
        <v>1395</v>
      </c>
      <c r="BR417">
        <f t="shared" si="70"/>
        <v>0</v>
      </c>
      <c r="BS417">
        <f t="shared" si="71"/>
        <v>310</v>
      </c>
    </row>
    <row r="418" spans="1:74" x14ac:dyDescent="0.25">
      <c r="A418" s="5" t="s">
        <v>1135</v>
      </c>
      <c r="B418" s="5" t="s">
        <v>359</v>
      </c>
      <c r="C418" s="5" t="s">
        <v>61</v>
      </c>
      <c r="D418" s="1" t="s">
        <v>102</v>
      </c>
      <c r="E418">
        <v>0</v>
      </c>
      <c r="F418">
        <v>1700</v>
      </c>
      <c r="G418">
        <v>0</v>
      </c>
      <c r="H418">
        <v>0</v>
      </c>
      <c r="I418">
        <v>250</v>
      </c>
      <c r="J418">
        <v>0</v>
      </c>
      <c r="K418">
        <v>0</v>
      </c>
      <c r="L418">
        <v>0</v>
      </c>
      <c r="M418">
        <v>2547</v>
      </c>
      <c r="N418">
        <v>0</v>
      </c>
      <c r="O418">
        <v>0</v>
      </c>
      <c r="P418">
        <v>0</v>
      </c>
      <c r="Q418">
        <v>283</v>
      </c>
      <c r="R418">
        <v>283</v>
      </c>
      <c r="S418" s="18">
        <f t="shared" si="62"/>
        <v>9</v>
      </c>
      <c r="T418" s="17">
        <f t="shared" si="63"/>
        <v>283</v>
      </c>
      <c r="U418" s="17">
        <f t="shared" si="64"/>
        <v>0</v>
      </c>
      <c r="V418" s="17">
        <f t="shared" si="65"/>
        <v>0</v>
      </c>
      <c r="W418" s="17">
        <f t="shared" si="66"/>
        <v>0</v>
      </c>
      <c r="X418" s="17">
        <f t="shared" si="67"/>
        <v>0</v>
      </c>
      <c r="Y418" s="19" t="e">
        <f t="shared" si="68"/>
        <v>#DIV/0!</v>
      </c>
      <c r="Z418">
        <v>1700</v>
      </c>
      <c r="AA418">
        <v>0</v>
      </c>
      <c r="AB418">
        <v>0</v>
      </c>
      <c r="AC418">
        <v>0</v>
      </c>
      <c r="AD418">
        <v>250</v>
      </c>
      <c r="AE418">
        <v>0</v>
      </c>
      <c r="AF418">
        <v>0</v>
      </c>
      <c r="AG418">
        <v>0</v>
      </c>
      <c r="AH418">
        <v>250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f t="shared" si="69"/>
        <v>500</v>
      </c>
      <c r="BF418">
        <v>1950</v>
      </c>
      <c r="BG418">
        <v>1950</v>
      </c>
      <c r="BH418" t="s">
        <v>109</v>
      </c>
      <c r="BI418" t="s">
        <v>1327</v>
      </c>
      <c r="BJ418">
        <v>0</v>
      </c>
      <c r="BK418">
        <v>250</v>
      </c>
      <c r="BL418">
        <v>1950</v>
      </c>
      <c r="BM418">
        <v>2797</v>
      </c>
      <c r="BN418">
        <v>0</v>
      </c>
      <c r="BO418">
        <v>0</v>
      </c>
      <c r="BP418">
        <v>0</v>
      </c>
      <c r="BQ418">
        <v>2797</v>
      </c>
      <c r="BR418">
        <f t="shared" si="70"/>
        <v>0</v>
      </c>
      <c r="BS418">
        <f t="shared" si="71"/>
        <v>566</v>
      </c>
    </row>
    <row r="419" spans="1:74" x14ac:dyDescent="0.25">
      <c r="A419" s="5" t="s">
        <v>1135</v>
      </c>
      <c r="B419" s="5" t="s">
        <v>359</v>
      </c>
      <c r="C419" s="5" t="s">
        <v>61</v>
      </c>
      <c r="D419" s="1" t="s">
        <v>104</v>
      </c>
      <c r="E419">
        <v>0</v>
      </c>
      <c r="F419">
        <v>653</v>
      </c>
      <c r="G419">
        <v>0</v>
      </c>
      <c r="H419">
        <v>0</v>
      </c>
      <c r="I419">
        <v>110</v>
      </c>
      <c r="J419">
        <v>0</v>
      </c>
      <c r="K419">
        <v>30</v>
      </c>
      <c r="L419">
        <v>0</v>
      </c>
      <c r="M419">
        <v>1359</v>
      </c>
      <c r="N419">
        <v>0</v>
      </c>
      <c r="O419">
        <v>0</v>
      </c>
      <c r="P419">
        <v>0</v>
      </c>
      <c r="Q419">
        <v>151</v>
      </c>
      <c r="R419">
        <v>151</v>
      </c>
      <c r="S419" s="18">
        <f t="shared" si="62"/>
        <v>9</v>
      </c>
      <c r="T419" s="17">
        <f t="shared" si="63"/>
        <v>151</v>
      </c>
      <c r="U419" s="17">
        <f t="shared" si="64"/>
        <v>0</v>
      </c>
      <c r="V419" s="17">
        <f t="shared" si="65"/>
        <v>0</v>
      </c>
      <c r="W419" s="17">
        <f t="shared" si="66"/>
        <v>0</v>
      </c>
      <c r="X419" s="17">
        <f t="shared" si="67"/>
        <v>0</v>
      </c>
      <c r="Y419" s="19" t="e">
        <f t="shared" si="68"/>
        <v>#DIV/0!</v>
      </c>
      <c r="Z419">
        <v>653</v>
      </c>
      <c r="AA419">
        <v>0</v>
      </c>
      <c r="AB419">
        <v>0</v>
      </c>
      <c r="AC419">
        <v>0</v>
      </c>
      <c r="AD419">
        <v>110</v>
      </c>
      <c r="AE419">
        <v>0</v>
      </c>
      <c r="AF419">
        <v>0</v>
      </c>
      <c r="AG419">
        <v>0</v>
      </c>
      <c r="AH419">
        <v>110</v>
      </c>
      <c r="AI419">
        <v>0</v>
      </c>
      <c r="AJ419">
        <v>0</v>
      </c>
      <c r="AK419">
        <v>0</v>
      </c>
      <c r="AL419">
        <v>0</v>
      </c>
      <c r="AM419">
        <v>30</v>
      </c>
      <c r="AN419">
        <v>0</v>
      </c>
      <c r="AO419">
        <v>0</v>
      </c>
      <c r="AP419">
        <v>0</v>
      </c>
      <c r="AQ419">
        <v>30</v>
      </c>
      <c r="AR419">
        <v>30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f t="shared" si="69"/>
        <v>310</v>
      </c>
      <c r="BF419">
        <v>793</v>
      </c>
      <c r="BG419">
        <v>793</v>
      </c>
      <c r="BH419" t="s">
        <v>109</v>
      </c>
      <c r="BI419" t="s">
        <v>1328</v>
      </c>
      <c r="BJ419">
        <v>0</v>
      </c>
      <c r="BK419">
        <v>140</v>
      </c>
      <c r="BL419">
        <v>793</v>
      </c>
      <c r="BM419">
        <v>1499</v>
      </c>
      <c r="BN419">
        <v>0</v>
      </c>
      <c r="BO419">
        <v>0</v>
      </c>
      <c r="BP419">
        <v>0</v>
      </c>
      <c r="BQ419">
        <v>1499</v>
      </c>
      <c r="BR419">
        <f t="shared" si="70"/>
        <v>0</v>
      </c>
      <c r="BS419">
        <f t="shared" si="71"/>
        <v>302</v>
      </c>
    </row>
    <row r="420" spans="1:74" x14ac:dyDescent="0.25">
      <c r="A420" s="5" t="s">
        <v>1135</v>
      </c>
      <c r="B420" s="5" t="s">
        <v>359</v>
      </c>
      <c r="C420" s="5" t="s">
        <v>61</v>
      </c>
      <c r="D420" s="1" t="s">
        <v>106</v>
      </c>
      <c r="E420">
        <v>0</v>
      </c>
      <c r="F420">
        <v>9720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10935</v>
      </c>
      <c r="N420">
        <v>0</v>
      </c>
      <c r="O420">
        <v>0</v>
      </c>
      <c r="P420">
        <v>0</v>
      </c>
      <c r="Q420">
        <v>1215</v>
      </c>
      <c r="R420">
        <v>1215</v>
      </c>
      <c r="S420" s="18">
        <f t="shared" si="62"/>
        <v>9</v>
      </c>
      <c r="T420" s="17">
        <f t="shared" si="63"/>
        <v>1215</v>
      </c>
      <c r="U420" s="17">
        <f t="shared" si="64"/>
        <v>0</v>
      </c>
      <c r="V420" s="17">
        <f t="shared" si="65"/>
        <v>0</v>
      </c>
      <c r="W420" s="17">
        <f t="shared" si="66"/>
        <v>0</v>
      </c>
      <c r="X420" s="17">
        <f t="shared" si="67"/>
        <v>0</v>
      </c>
      <c r="Y420" s="19" t="e">
        <f t="shared" si="68"/>
        <v>#DIV/0!</v>
      </c>
      <c r="Z420">
        <v>9720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f t="shared" si="69"/>
        <v>0</v>
      </c>
      <c r="BF420">
        <v>9720</v>
      </c>
      <c r="BG420">
        <v>9720</v>
      </c>
      <c r="BH420" t="s">
        <v>109</v>
      </c>
      <c r="BI420" t="s">
        <v>1329</v>
      </c>
      <c r="BJ420">
        <v>0</v>
      </c>
      <c r="BK420">
        <v>0</v>
      </c>
      <c r="BL420">
        <v>9720</v>
      </c>
      <c r="BM420">
        <v>10935</v>
      </c>
      <c r="BN420">
        <v>0</v>
      </c>
      <c r="BO420">
        <v>0</v>
      </c>
      <c r="BP420">
        <v>0</v>
      </c>
      <c r="BQ420">
        <v>10935</v>
      </c>
      <c r="BR420">
        <f t="shared" si="70"/>
        <v>0</v>
      </c>
      <c r="BS420">
        <f t="shared" si="71"/>
        <v>2430</v>
      </c>
    </row>
    <row r="421" spans="1:74" x14ac:dyDescent="0.25">
      <c r="A421" s="5" t="s">
        <v>1135</v>
      </c>
      <c r="B421" s="5" t="s">
        <v>359</v>
      </c>
      <c r="C421" s="5" t="s">
        <v>61</v>
      </c>
      <c r="D421" s="1" t="s">
        <v>108</v>
      </c>
      <c r="E421">
        <v>0</v>
      </c>
      <c r="F421">
        <v>8920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9144</v>
      </c>
      <c r="Q421">
        <v>1016</v>
      </c>
      <c r="R421">
        <v>1016</v>
      </c>
      <c r="S421" s="18">
        <f t="shared" si="62"/>
        <v>9</v>
      </c>
      <c r="T421" s="17">
        <f t="shared" si="63"/>
        <v>0</v>
      </c>
      <c r="U421" s="17">
        <f t="shared" si="64"/>
        <v>0</v>
      </c>
      <c r="V421" s="17">
        <f t="shared" si="65"/>
        <v>0</v>
      </c>
      <c r="W421" s="17">
        <f t="shared" si="66"/>
        <v>1016</v>
      </c>
      <c r="X421" s="17">
        <f t="shared" si="67"/>
        <v>0</v>
      </c>
      <c r="Y421" s="19" t="e">
        <f t="shared" si="68"/>
        <v>#DIV/0!</v>
      </c>
      <c r="Z421">
        <v>8920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f t="shared" si="69"/>
        <v>0</v>
      </c>
      <c r="BF421">
        <v>8920</v>
      </c>
      <c r="BG421">
        <v>8920</v>
      </c>
      <c r="BH421" t="s">
        <v>190</v>
      </c>
      <c r="BI421" t="s">
        <v>1330</v>
      </c>
      <c r="BJ421">
        <v>0</v>
      </c>
      <c r="BK421">
        <v>0</v>
      </c>
      <c r="BL421">
        <v>8920</v>
      </c>
      <c r="BM421">
        <v>0</v>
      </c>
      <c r="BN421">
        <v>0</v>
      </c>
      <c r="BO421">
        <v>0</v>
      </c>
      <c r="BP421">
        <v>9144</v>
      </c>
      <c r="BQ421">
        <v>9144</v>
      </c>
      <c r="BR421">
        <f t="shared" si="70"/>
        <v>0</v>
      </c>
      <c r="BS421">
        <f t="shared" si="71"/>
        <v>2032</v>
      </c>
    </row>
    <row r="422" spans="1:74" x14ac:dyDescent="0.25">
      <c r="A422" s="5" t="s">
        <v>1135</v>
      </c>
      <c r="B422" s="5" t="s">
        <v>359</v>
      </c>
      <c r="C422" s="5" t="s">
        <v>61</v>
      </c>
      <c r="D422" s="1" t="s">
        <v>111</v>
      </c>
      <c r="E422">
        <v>0</v>
      </c>
      <c r="F422">
        <v>716</v>
      </c>
      <c r="G422">
        <v>0</v>
      </c>
      <c r="H422">
        <v>0</v>
      </c>
      <c r="I422">
        <v>0</v>
      </c>
      <c r="J422">
        <v>1800</v>
      </c>
      <c r="K422">
        <v>280</v>
      </c>
      <c r="L422">
        <v>90</v>
      </c>
      <c r="M422">
        <v>0</v>
      </c>
      <c r="N422">
        <v>0</v>
      </c>
      <c r="O422">
        <v>0</v>
      </c>
      <c r="P422">
        <v>1611</v>
      </c>
      <c r="Q422">
        <v>179</v>
      </c>
      <c r="R422">
        <v>179</v>
      </c>
      <c r="S422" s="18">
        <f t="shared" si="62"/>
        <v>9</v>
      </c>
      <c r="T422" s="17">
        <f t="shared" si="63"/>
        <v>0</v>
      </c>
      <c r="U422" s="17">
        <f t="shared" si="64"/>
        <v>0</v>
      </c>
      <c r="V422" s="17">
        <f t="shared" si="65"/>
        <v>0</v>
      </c>
      <c r="W422" s="17">
        <f t="shared" si="66"/>
        <v>179</v>
      </c>
      <c r="X422" s="17">
        <f t="shared" si="67"/>
        <v>0</v>
      </c>
      <c r="Y422" s="19" t="e">
        <f t="shared" si="68"/>
        <v>#DIV/0!</v>
      </c>
      <c r="Z422">
        <v>716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1800</v>
      </c>
      <c r="AL422">
        <v>1800</v>
      </c>
      <c r="AM422">
        <v>0</v>
      </c>
      <c r="AN422">
        <v>0</v>
      </c>
      <c r="AO422">
        <v>280</v>
      </c>
      <c r="AP422">
        <v>150</v>
      </c>
      <c r="AQ422">
        <v>280</v>
      </c>
      <c r="AR422">
        <v>130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90</v>
      </c>
      <c r="BA422">
        <v>90</v>
      </c>
      <c r="BB422">
        <v>0</v>
      </c>
      <c r="BC422">
        <v>0</v>
      </c>
      <c r="BD422">
        <v>0</v>
      </c>
      <c r="BE422">
        <f t="shared" si="69"/>
        <v>4620</v>
      </c>
      <c r="BF422">
        <v>2886</v>
      </c>
      <c r="BG422">
        <v>2886</v>
      </c>
      <c r="BH422" t="s">
        <v>199</v>
      </c>
      <c r="BI422" t="s">
        <v>1331</v>
      </c>
      <c r="BJ422">
        <v>0</v>
      </c>
      <c r="BK422">
        <v>2170</v>
      </c>
      <c r="BL422">
        <v>2886</v>
      </c>
      <c r="BM422">
        <v>0</v>
      </c>
      <c r="BN422">
        <v>0</v>
      </c>
      <c r="BO422">
        <v>0</v>
      </c>
      <c r="BP422">
        <v>3781</v>
      </c>
      <c r="BQ422">
        <v>3781</v>
      </c>
      <c r="BR422">
        <f t="shared" si="70"/>
        <v>0</v>
      </c>
      <c r="BS422">
        <f t="shared" si="71"/>
        <v>358</v>
      </c>
    </row>
    <row r="423" spans="1:74" x14ac:dyDescent="0.25">
      <c r="A423" s="5" t="s">
        <v>1135</v>
      </c>
      <c r="B423" s="5" t="s">
        <v>359</v>
      </c>
      <c r="C423" s="5" t="s">
        <v>207</v>
      </c>
      <c r="D423" s="1" t="s">
        <v>62</v>
      </c>
      <c r="E423">
        <v>45</v>
      </c>
      <c r="F423">
        <v>98845</v>
      </c>
      <c r="G423">
        <v>0</v>
      </c>
      <c r="H423">
        <v>0</v>
      </c>
      <c r="I423">
        <v>3051</v>
      </c>
      <c r="J423">
        <v>490</v>
      </c>
      <c r="K423">
        <v>232</v>
      </c>
      <c r="L423">
        <v>630</v>
      </c>
      <c r="M423">
        <v>0</v>
      </c>
      <c r="N423">
        <v>45171</v>
      </c>
      <c r="O423">
        <v>0</v>
      </c>
      <c r="P423">
        <v>45216</v>
      </c>
      <c r="Q423">
        <v>10043</v>
      </c>
      <c r="R423">
        <v>10043</v>
      </c>
      <c r="S423" s="18">
        <f t="shared" si="62"/>
        <v>9</v>
      </c>
      <c r="T423" s="17">
        <f t="shared" si="63"/>
        <v>0</v>
      </c>
      <c r="U423" s="17">
        <f t="shared" si="64"/>
        <v>5019</v>
      </c>
      <c r="V423" s="17">
        <f t="shared" si="65"/>
        <v>0</v>
      </c>
      <c r="W423" s="17">
        <f t="shared" si="66"/>
        <v>5024</v>
      </c>
      <c r="X423" s="17">
        <f t="shared" si="67"/>
        <v>0</v>
      </c>
      <c r="Y423" s="19" t="e">
        <f t="shared" si="68"/>
        <v>#DIV/0!</v>
      </c>
      <c r="Z423">
        <v>98845</v>
      </c>
      <c r="AA423">
        <v>200</v>
      </c>
      <c r="AB423">
        <v>850</v>
      </c>
      <c r="AC423">
        <v>5500</v>
      </c>
      <c r="AD423">
        <v>0</v>
      </c>
      <c r="AE423">
        <v>1540</v>
      </c>
      <c r="AF423">
        <v>0</v>
      </c>
      <c r="AG423">
        <v>1511</v>
      </c>
      <c r="AH423">
        <v>3051</v>
      </c>
      <c r="AI423">
        <v>0</v>
      </c>
      <c r="AJ423">
        <v>0</v>
      </c>
      <c r="AK423">
        <v>490</v>
      </c>
      <c r="AL423">
        <v>490</v>
      </c>
      <c r="AM423">
        <v>0</v>
      </c>
      <c r="AN423">
        <v>0</v>
      </c>
      <c r="AO423">
        <v>232</v>
      </c>
      <c r="AP423">
        <v>50</v>
      </c>
      <c r="AQ423">
        <v>232</v>
      </c>
      <c r="AR423">
        <v>182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630</v>
      </c>
      <c r="BA423">
        <v>630</v>
      </c>
      <c r="BB423">
        <v>0</v>
      </c>
      <c r="BC423">
        <v>0</v>
      </c>
      <c r="BD423">
        <v>0</v>
      </c>
      <c r="BE423">
        <f t="shared" si="69"/>
        <v>14538</v>
      </c>
      <c r="BF423">
        <v>109843</v>
      </c>
      <c r="BG423">
        <v>109843</v>
      </c>
      <c r="BH423" t="s">
        <v>226</v>
      </c>
      <c r="BI423" t="s">
        <v>1332</v>
      </c>
      <c r="BJ423">
        <v>6595</v>
      </c>
      <c r="BK423">
        <v>4403</v>
      </c>
      <c r="BL423">
        <v>109843</v>
      </c>
      <c r="BM423">
        <v>0</v>
      </c>
      <c r="BN423">
        <v>46711</v>
      </c>
      <c r="BO423">
        <v>0</v>
      </c>
      <c r="BP423">
        <v>48079</v>
      </c>
      <c r="BQ423">
        <v>94790</v>
      </c>
      <c r="BR423">
        <f t="shared" si="70"/>
        <v>0</v>
      </c>
      <c r="BS423">
        <f t="shared" si="71"/>
        <v>20086</v>
      </c>
    </row>
    <row r="424" spans="1:74" x14ac:dyDescent="0.25">
      <c r="A424" s="5" t="s">
        <v>1135</v>
      </c>
      <c r="B424" s="5" t="s">
        <v>359</v>
      </c>
      <c r="C424" s="5" t="s">
        <v>207</v>
      </c>
      <c r="D424" s="1" t="s">
        <v>67</v>
      </c>
      <c r="E424">
        <v>0</v>
      </c>
      <c r="F424">
        <v>540180</v>
      </c>
      <c r="G424">
        <v>0</v>
      </c>
      <c r="H424">
        <v>0</v>
      </c>
      <c r="I424">
        <v>730</v>
      </c>
      <c r="J424">
        <v>1585</v>
      </c>
      <c r="K424">
        <v>516</v>
      </c>
      <c r="L424">
        <v>210</v>
      </c>
      <c r="M424">
        <v>261</v>
      </c>
      <c r="N424">
        <v>167688</v>
      </c>
      <c r="O424">
        <v>0</v>
      </c>
      <c r="P424">
        <v>0</v>
      </c>
      <c r="Q424">
        <v>18661</v>
      </c>
      <c r="R424">
        <v>18661</v>
      </c>
      <c r="S424" s="18">
        <f t="shared" si="62"/>
        <v>9</v>
      </c>
      <c r="T424" s="17">
        <f t="shared" si="63"/>
        <v>29</v>
      </c>
      <c r="U424" s="17">
        <f t="shared" si="64"/>
        <v>18632</v>
      </c>
      <c r="V424" s="17">
        <f t="shared" si="65"/>
        <v>0</v>
      </c>
      <c r="W424" s="17">
        <f t="shared" si="66"/>
        <v>0</v>
      </c>
      <c r="X424" s="17">
        <f t="shared" si="67"/>
        <v>0</v>
      </c>
      <c r="Y424" s="19" t="e">
        <f t="shared" si="68"/>
        <v>#DIV/0!</v>
      </c>
      <c r="Z424">
        <v>540180</v>
      </c>
      <c r="AA424">
        <v>20</v>
      </c>
      <c r="AB424">
        <v>0</v>
      </c>
      <c r="AC424">
        <v>0</v>
      </c>
      <c r="AD424">
        <v>350</v>
      </c>
      <c r="AE424">
        <v>0</v>
      </c>
      <c r="AF424">
        <v>0</v>
      </c>
      <c r="AG424">
        <v>380</v>
      </c>
      <c r="AH424">
        <v>730</v>
      </c>
      <c r="AI424">
        <v>0</v>
      </c>
      <c r="AJ424">
        <v>1585</v>
      </c>
      <c r="AK424">
        <v>0</v>
      </c>
      <c r="AL424">
        <v>1585</v>
      </c>
      <c r="AM424">
        <v>516</v>
      </c>
      <c r="AN424">
        <v>0</v>
      </c>
      <c r="AO424">
        <v>0</v>
      </c>
      <c r="AP424">
        <v>105</v>
      </c>
      <c r="AQ424">
        <v>516</v>
      </c>
      <c r="AR424">
        <v>411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150</v>
      </c>
      <c r="AY424">
        <v>60</v>
      </c>
      <c r="AZ424">
        <v>0</v>
      </c>
      <c r="BA424">
        <v>210</v>
      </c>
      <c r="BB424">
        <v>0</v>
      </c>
      <c r="BC424">
        <v>0</v>
      </c>
      <c r="BD424">
        <v>0</v>
      </c>
      <c r="BE424">
        <f t="shared" si="69"/>
        <v>6598</v>
      </c>
      <c r="BF424">
        <v>543241</v>
      </c>
      <c r="BG424">
        <v>543241</v>
      </c>
      <c r="BH424" t="s">
        <v>546</v>
      </c>
      <c r="BI424" t="s">
        <v>1334</v>
      </c>
      <c r="BJ424">
        <v>20</v>
      </c>
      <c r="BK424">
        <v>3041</v>
      </c>
      <c r="BL424">
        <v>543241</v>
      </c>
      <c r="BM424">
        <v>1277</v>
      </c>
      <c r="BN424">
        <v>169333</v>
      </c>
      <c r="BO424">
        <v>0</v>
      </c>
      <c r="BP424">
        <v>380</v>
      </c>
      <c r="BQ424">
        <v>170990</v>
      </c>
      <c r="BR424">
        <f t="shared" si="70"/>
        <v>0</v>
      </c>
      <c r="BS424">
        <f t="shared" si="71"/>
        <v>37322</v>
      </c>
    </row>
    <row r="425" spans="1:74" x14ac:dyDescent="0.25">
      <c r="A425" s="5" t="s">
        <v>1135</v>
      </c>
      <c r="B425" s="5" t="s">
        <v>359</v>
      </c>
      <c r="C425" s="5" t="s">
        <v>207</v>
      </c>
      <c r="D425" s="1" t="s">
        <v>69</v>
      </c>
      <c r="E425">
        <v>0</v>
      </c>
      <c r="F425">
        <v>612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1836</v>
      </c>
      <c r="Q425">
        <v>204</v>
      </c>
      <c r="R425">
        <v>204</v>
      </c>
      <c r="S425" s="18">
        <f t="shared" si="62"/>
        <v>9</v>
      </c>
      <c r="T425" s="17">
        <f t="shared" si="63"/>
        <v>0</v>
      </c>
      <c r="U425" s="17">
        <f t="shared" si="64"/>
        <v>0</v>
      </c>
      <c r="V425" s="17">
        <f t="shared" si="65"/>
        <v>0</v>
      </c>
      <c r="W425" s="17">
        <f t="shared" si="66"/>
        <v>204</v>
      </c>
      <c r="X425" s="17">
        <f t="shared" si="67"/>
        <v>0</v>
      </c>
      <c r="Y425" s="19" t="e">
        <f t="shared" si="68"/>
        <v>#DIV/0!</v>
      </c>
      <c r="Z425">
        <v>612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f t="shared" si="69"/>
        <v>0</v>
      </c>
      <c r="BF425">
        <v>612</v>
      </c>
      <c r="BG425">
        <v>612</v>
      </c>
      <c r="BH425" t="s">
        <v>109</v>
      </c>
      <c r="BI425" t="s">
        <v>1335</v>
      </c>
      <c r="BJ425">
        <v>0</v>
      </c>
      <c r="BK425">
        <v>0</v>
      </c>
      <c r="BL425">
        <v>612</v>
      </c>
      <c r="BM425">
        <v>0</v>
      </c>
      <c r="BN425">
        <v>0</v>
      </c>
      <c r="BO425">
        <v>0</v>
      </c>
      <c r="BP425">
        <v>1836</v>
      </c>
      <c r="BQ425">
        <v>1836</v>
      </c>
      <c r="BR425">
        <f t="shared" si="70"/>
        <v>0</v>
      </c>
      <c r="BS425">
        <f t="shared" si="71"/>
        <v>408</v>
      </c>
    </row>
    <row r="426" spans="1:74" x14ac:dyDescent="0.25">
      <c r="A426" s="5" t="s">
        <v>1135</v>
      </c>
      <c r="B426" s="5" t="s">
        <v>359</v>
      </c>
      <c r="C426" s="5" t="s">
        <v>207</v>
      </c>
      <c r="D426" s="1" t="s">
        <v>71</v>
      </c>
      <c r="E426">
        <v>0</v>
      </c>
      <c r="F426">
        <v>2560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5760</v>
      </c>
      <c r="N426">
        <v>0</v>
      </c>
      <c r="O426">
        <v>0</v>
      </c>
      <c r="P426">
        <v>0</v>
      </c>
      <c r="Q426">
        <v>640</v>
      </c>
      <c r="R426">
        <v>640</v>
      </c>
      <c r="S426" s="18">
        <f t="shared" si="62"/>
        <v>9</v>
      </c>
      <c r="T426" s="17">
        <f t="shared" si="63"/>
        <v>640</v>
      </c>
      <c r="U426" s="17">
        <f t="shared" si="64"/>
        <v>0</v>
      </c>
      <c r="V426" s="17">
        <f t="shared" si="65"/>
        <v>0</v>
      </c>
      <c r="W426" s="17">
        <f t="shared" si="66"/>
        <v>0</v>
      </c>
      <c r="X426" s="17">
        <f t="shared" si="67"/>
        <v>0</v>
      </c>
      <c r="Y426" s="19" t="e">
        <f t="shared" si="68"/>
        <v>#DIV/0!</v>
      </c>
      <c r="Z426">
        <v>2560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f t="shared" si="69"/>
        <v>0</v>
      </c>
      <c r="BF426">
        <v>2560</v>
      </c>
      <c r="BG426">
        <v>2560</v>
      </c>
      <c r="BH426" t="s">
        <v>109</v>
      </c>
      <c r="BI426" t="s">
        <v>1336</v>
      </c>
      <c r="BJ426">
        <v>0</v>
      </c>
      <c r="BK426">
        <v>0</v>
      </c>
      <c r="BL426">
        <v>2560</v>
      </c>
      <c r="BM426">
        <v>5760</v>
      </c>
      <c r="BN426">
        <v>0</v>
      </c>
      <c r="BO426">
        <v>0</v>
      </c>
      <c r="BP426">
        <v>0</v>
      </c>
      <c r="BQ426">
        <v>5760</v>
      </c>
      <c r="BR426">
        <f t="shared" si="70"/>
        <v>0</v>
      </c>
      <c r="BS426">
        <f t="shared" si="71"/>
        <v>1280</v>
      </c>
    </row>
    <row r="427" spans="1:74" x14ac:dyDescent="0.25">
      <c r="A427" s="5" t="s">
        <v>207</v>
      </c>
      <c r="B427" s="5" t="s">
        <v>627</v>
      </c>
      <c r="C427" s="5" t="s">
        <v>207</v>
      </c>
      <c r="D427" s="1" t="s">
        <v>69</v>
      </c>
      <c r="E427">
        <v>9</v>
      </c>
      <c r="F427">
        <v>1023</v>
      </c>
      <c r="G427">
        <v>0</v>
      </c>
      <c r="H427">
        <v>0</v>
      </c>
      <c r="I427">
        <v>15865</v>
      </c>
      <c r="J427">
        <v>0</v>
      </c>
      <c r="K427">
        <v>150</v>
      </c>
      <c r="L427">
        <v>100</v>
      </c>
      <c r="M427">
        <v>3069</v>
      </c>
      <c r="N427">
        <v>0</v>
      </c>
      <c r="O427">
        <v>0</v>
      </c>
      <c r="P427">
        <v>0</v>
      </c>
      <c r="Q427">
        <v>341</v>
      </c>
      <c r="R427">
        <v>341</v>
      </c>
      <c r="S427" s="18">
        <f t="shared" si="62"/>
        <v>9</v>
      </c>
      <c r="T427" s="17">
        <f t="shared" si="63"/>
        <v>341</v>
      </c>
      <c r="U427" s="17">
        <f t="shared" si="64"/>
        <v>0</v>
      </c>
      <c r="V427" s="17">
        <f t="shared" si="65"/>
        <v>0</v>
      </c>
      <c r="W427" s="17">
        <f t="shared" si="66"/>
        <v>0</v>
      </c>
      <c r="X427" s="17">
        <f t="shared" si="67"/>
        <v>0</v>
      </c>
      <c r="Y427" s="19" t="e">
        <f t="shared" si="68"/>
        <v>#DIV/0!</v>
      </c>
      <c r="Z427">
        <v>1023</v>
      </c>
      <c r="AA427">
        <v>0</v>
      </c>
      <c r="AB427">
        <v>0</v>
      </c>
      <c r="AC427">
        <v>0</v>
      </c>
      <c r="AD427">
        <v>15865</v>
      </c>
      <c r="AE427">
        <v>0</v>
      </c>
      <c r="AF427">
        <v>0</v>
      </c>
      <c r="AG427">
        <v>0</v>
      </c>
      <c r="AH427">
        <v>15865</v>
      </c>
      <c r="AI427">
        <v>0</v>
      </c>
      <c r="AJ427">
        <v>0</v>
      </c>
      <c r="AK427">
        <v>0</v>
      </c>
      <c r="AL427">
        <v>0</v>
      </c>
      <c r="AM427">
        <v>150</v>
      </c>
      <c r="AN427">
        <v>0</v>
      </c>
      <c r="AO427">
        <v>0</v>
      </c>
      <c r="AP427">
        <v>150</v>
      </c>
      <c r="AQ427">
        <v>150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100</v>
      </c>
      <c r="AY427">
        <v>0</v>
      </c>
      <c r="AZ427">
        <v>0</v>
      </c>
      <c r="BA427">
        <v>100</v>
      </c>
      <c r="BB427">
        <v>0</v>
      </c>
      <c r="BC427">
        <v>0</v>
      </c>
      <c r="BD427">
        <v>0</v>
      </c>
      <c r="BE427">
        <f t="shared" si="69"/>
        <v>32380</v>
      </c>
      <c r="BF427">
        <v>17147</v>
      </c>
      <c r="BG427">
        <v>17147</v>
      </c>
      <c r="BH427" t="s">
        <v>63</v>
      </c>
      <c r="BI427" t="s">
        <v>662</v>
      </c>
      <c r="BJ427">
        <v>9</v>
      </c>
      <c r="BK427">
        <v>16115</v>
      </c>
      <c r="BL427">
        <v>17147</v>
      </c>
      <c r="BM427">
        <v>19184</v>
      </c>
      <c r="BN427">
        <v>0</v>
      </c>
      <c r="BO427">
        <v>0</v>
      </c>
      <c r="BP427">
        <v>0</v>
      </c>
      <c r="BQ427">
        <v>19184</v>
      </c>
      <c r="BR427">
        <f t="shared" si="70"/>
        <v>0</v>
      </c>
      <c r="BS427">
        <f t="shared" si="71"/>
        <v>682</v>
      </c>
      <c r="BU427">
        <f>R427*9</f>
        <v>3069</v>
      </c>
      <c r="BV427">
        <f>IF(BU427&gt;BG427, 1, 0)</f>
        <v>0</v>
      </c>
    </row>
    <row r="428" spans="1:74" x14ac:dyDescent="0.25">
      <c r="A428" s="5" t="s">
        <v>359</v>
      </c>
      <c r="B428" s="5" t="s">
        <v>627</v>
      </c>
      <c r="C428" s="5" t="s">
        <v>61</v>
      </c>
      <c r="D428" s="1" t="s">
        <v>67</v>
      </c>
      <c r="E428">
        <v>0</v>
      </c>
      <c r="F428">
        <v>1050</v>
      </c>
      <c r="G428">
        <v>0</v>
      </c>
      <c r="H428">
        <v>0</v>
      </c>
      <c r="I428">
        <v>2800</v>
      </c>
      <c r="J428">
        <v>0</v>
      </c>
      <c r="K428">
        <v>60</v>
      </c>
      <c r="L428">
        <v>0</v>
      </c>
      <c r="M428">
        <v>0</v>
      </c>
      <c r="N428">
        <v>0</v>
      </c>
      <c r="O428">
        <v>0</v>
      </c>
      <c r="P428">
        <v>3033</v>
      </c>
      <c r="Q428">
        <v>337</v>
      </c>
      <c r="R428">
        <v>337</v>
      </c>
      <c r="S428" s="18">
        <f t="shared" si="62"/>
        <v>9</v>
      </c>
      <c r="T428" s="17">
        <f t="shared" si="63"/>
        <v>0</v>
      </c>
      <c r="U428" s="17">
        <f t="shared" si="64"/>
        <v>0</v>
      </c>
      <c r="V428" s="17">
        <f t="shared" si="65"/>
        <v>0</v>
      </c>
      <c r="W428" s="17">
        <f t="shared" si="66"/>
        <v>337</v>
      </c>
      <c r="X428" s="17">
        <f t="shared" si="67"/>
        <v>0</v>
      </c>
      <c r="Y428" s="19" t="e">
        <f t="shared" si="68"/>
        <v>#DIV/0!</v>
      </c>
      <c r="Z428">
        <v>1050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2800</v>
      </c>
      <c r="AH428">
        <v>2800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60</v>
      </c>
      <c r="AP428">
        <v>30</v>
      </c>
      <c r="AQ428">
        <v>60</v>
      </c>
      <c r="AR428">
        <v>30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f t="shared" si="69"/>
        <v>5780</v>
      </c>
      <c r="BF428">
        <v>3910</v>
      </c>
      <c r="BG428">
        <v>3910</v>
      </c>
      <c r="BH428" t="s">
        <v>63</v>
      </c>
      <c r="BI428" t="s">
        <v>794</v>
      </c>
      <c r="BJ428">
        <v>0</v>
      </c>
      <c r="BK428">
        <v>2860</v>
      </c>
      <c r="BL428">
        <v>3910</v>
      </c>
      <c r="BM428">
        <v>0</v>
      </c>
      <c r="BN428">
        <v>0</v>
      </c>
      <c r="BO428">
        <v>0</v>
      </c>
      <c r="BP428">
        <v>5893</v>
      </c>
      <c r="BQ428">
        <v>5893</v>
      </c>
      <c r="BR428">
        <f t="shared" si="70"/>
        <v>0</v>
      </c>
      <c r="BS428">
        <f t="shared" si="71"/>
        <v>674</v>
      </c>
      <c r="BU428">
        <f>R428*9</f>
        <v>3033</v>
      </c>
      <c r="BV428">
        <f>IF(BU428&gt;BG428, 1, 0)</f>
        <v>0</v>
      </c>
    </row>
    <row r="429" spans="1:74" x14ac:dyDescent="0.25">
      <c r="A429" s="5" t="s">
        <v>1337</v>
      </c>
      <c r="B429" s="5" t="s">
        <v>61</v>
      </c>
      <c r="C429" s="5" t="s">
        <v>61</v>
      </c>
      <c r="D429" s="1" t="s">
        <v>79</v>
      </c>
      <c r="E429">
        <v>0</v>
      </c>
      <c r="F429">
        <v>155</v>
      </c>
      <c r="G429">
        <v>0</v>
      </c>
      <c r="H429">
        <v>0</v>
      </c>
      <c r="I429">
        <v>23</v>
      </c>
      <c r="J429">
        <v>0</v>
      </c>
      <c r="K429">
        <v>0</v>
      </c>
      <c r="L429">
        <v>0</v>
      </c>
      <c r="M429">
        <v>1395</v>
      </c>
      <c r="N429">
        <v>0</v>
      </c>
      <c r="O429">
        <v>0</v>
      </c>
      <c r="P429">
        <v>0</v>
      </c>
      <c r="Q429">
        <v>155</v>
      </c>
      <c r="R429">
        <v>155</v>
      </c>
      <c r="S429" s="18">
        <f t="shared" si="62"/>
        <v>9</v>
      </c>
      <c r="T429" s="17">
        <f t="shared" si="63"/>
        <v>155</v>
      </c>
      <c r="U429" s="17">
        <f t="shared" si="64"/>
        <v>0</v>
      </c>
      <c r="V429" s="17">
        <f t="shared" si="65"/>
        <v>0</v>
      </c>
      <c r="W429" s="17">
        <f t="shared" si="66"/>
        <v>0</v>
      </c>
      <c r="X429" s="17">
        <f t="shared" si="67"/>
        <v>0</v>
      </c>
      <c r="Y429" s="19" t="e">
        <f t="shared" si="68"/>
        <v>#DIV/0!</v>
      </c>
      <c r="Z429">
        <v>155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23</v>
      </c>
      <c r="AH429">
        <v>23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f t="shared" si="69"/>
        <v>46</v>
      </c>
      <c r="BF429">
        <v>178</v>
      </c>
      <c r="BG429">
        <v>178</v>
      </c>
      <c r="BH429" t="s">
        <v>109</v>
      </c>
      <c r="BI429" t="s">
        <v>1345</v>
      </c>
      <c r="BJ429">
        <v>0</v>
      </c>
      <c r="BK429">
        <v>23</v>
      </c>
      <c r="BL429">
        <v>178</v>
      </c>
      <c r="BM429">
        <v>1395</v>
      </c>
      <c r="BN429">
        <v>0</v>
      </c>
      <c r="BO429">
        <v>0</v>
      </c>
      <c r="BP429">
        <v>23</v>
      </c>
      <c r="BQ429">
        <v>1418</v>
      </c>
      <c r="BR429">
        <f t="shared" si="70"/>
        <v>0</v>
      </c>
      <c r="BS429">
        <f t="shared" si="71"/>
        <v>310</v>
      </c>
    </row>
    <row r="430" spans="1:74" x14ac:dyDescent="0.25">
      <c r="A430" s="5" t="s">
        <v>1337</v>
      </c>
      <c r="B430" s="5" t="s">
        <v>61</v>
      </c>
      <c r="C430" s="5" t="s">
        <v>61</v>
      </c>
      <c r="D430" s="1" t="s">
        <v>84</v>
      </c>
      <c r="E430">
        <v>0</v>
      </c>
      <c r="F430">
        <v>464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4176</v>
      </c>
      <c r="Q430">
        <v>464</v>
      </c>
      <c r="R430">
        <v>464</v>
      </c>
      <c r="S430" s="18">
        <f t="shared" si="62"/>
        <v>9</v>
      </c>
      <c r="T430" s="17">
        <f t="shared" si="63"/>
        <v>0</v>
      </c>
      <c r="U430" s="17">
        <f t="shared" si="64"/>
        <v>0</v>
      </c>
      <c r="V430" s="17">
        <f t="shared" si="65"/>
        <v>0</v>
      </c>
      <c r="W430" s="17">
        <f t="shared" si="66"/>
        <v>464</v>
      </c>
      <c r="X430" s="17">
        <f t="shared" si="67"/>
        <v>0</v>
      </c>
      <c r="Y430" s="19" t="e">
        <f t="shared" si="68"/>
        <v>#DIV/0!</v>
      </c>
      <c r="Z430">
        <v>464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f t="shared" si="69"/>
        <v>0</v>
      </c>
      <c r="BF430">
        <v>464</v>
      </c>
      <c r="BG430">
        <v>464</v>
      </c>
      <c r="BH430" t="s">
        <v>109</v>
      </c>
      <c r="BI430" t="s">
        <v>799</v>
      </c>
      <c r="BJ430">
        <v>0</v>
      </c>
      <c r="BK430">
        <v>0</v>
      </c>
      <c r="BL430">
        <v>464</v>
      </c>
      <c r="BM430">
        <v>0</v>
      </c>
      <c r="BN430">
        <v>0</v>
      </c>
      <c r="BO430">
        <v>0</v>
      </c>
      <c r="BP430">
        <v>4176</v>
      </c>
      <c r="BQ430">
        <v>4176</v>
      </c>
      <c r="BR430">
        <f t="shared" si="70"/>
        <v>0</v>
      </c>
      <c r="BS430">
        <f t="shared" si="71"/>
        <v>928</v>
      </c>
    </row>
    <row r="431" spans="1:74" x14ac:dyDescent="0.25">
      <c r="A431" s="5" t="s">
        <v>1337</v>
      </c>
      <c r="B431" s="5" t="s">
        <v>61</v>
      </c>
      <c r="C431" s="5" t="s">
        <v>61</v>
      </c>
      <c r="D431" s="1" t="s">
        <v>90</v>
      </c>
      <c r="E431">
        <v>0</v>
      </c>
      <c r="F431">
        <v>120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1080</v>
      </c>
      <c r="Q431">
        <v>120</v>
      </c>
      <c r="R431">
        <v>120</v>
      </c>
      <c r="S431" s="18">
        <f t="shared" si="62"/>
        <v>9</v>
      </c>
      <c r="T431" s="17">
        <f t="shared" si="63"/>
        <v>0</v>
      </c>
      <c r="U431" s="17">
        <f t="shared" si="64"/>
        <v>0</v>
      </c>
      <c r="V431" s="17">
        <f t="shared" si="65"/>
        <v>0</v>
      </c>
      <c r="W431" s="17">
        <f t="shared" si="66"/>
        <v>120</v>
      </c>
      <c r="X431" s="17">
        <f t="shared" si="67"/>
        <v>0</v>
      </c>
      <c r="Y431" s="19" t="e">
        <f t="shared" si="68"/>
        <v>#DIV/0!</v>
      </c>
      <c r="Z431">
        <v>120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f t="shared" si="69"/>
        <v>0</v>
      </c>
      <c r="BF431">
        <v>120</v>
      </c>
      <c r="BG431">
        <v>120</v>
      </c>
      <c r="BH431" t="s">
        <v>109</v>
      </c>
      <c r="BI431" t="s">
        <v>1349</v>
      </c>
      <c r="BJ431">
        <v>0</v>
      </c>
      <c r="BK431">
        <v>0</v>
      </c>
      <c r="BL431">
        <v>120</v>
      </c>
      <c r="BM431">
        <v>0</v>
      </c>
      <c r="BN431">
        <v>0</v>
      </c>
      <c r="BO431">
        <v>0</v>
      </c>
      <c r="BP431">
        <v>1080</v>
      </c>
      <c r="BQ431">
        <v>1080</v>
      </c>
      <c r="BR431">
        <f t="shared" si="70"/>
        <v>0</v>
      </c>
      <c r="BS431">
        <f t="shared" si="71"/>
        <v>240</v>
      </c>
    </row>
    <row r="432" spans="1:74" x14ac:dyDescent="0.25">
      <c r="A432" s="5" t="s">
        <v>1337</v>
      </c>
      <c r="B432" s="5" t="s">
        <v>61</v>
      </c>
      <c r="C432" s="5" t="s">
        <v>61</v>
      </c>
      <c r="D432" s="1" t="s">
        <v>100</v>
      </c>
      <c r="E432">
        <v>0</v>
      </c>
      <c r="F432">
        <v>199</v>
      </c>
      <c r="G432">
        <v>0</v>
      </c>
      <c r="H432">
        <v>0</v>
      </c>
      <c r="I432">
        <v>0</v>
      </c>
      <c r="J432">
        <v>0</v>
      </c>
      <c r="K432">
        <v>55</v>
      </c>
      <c r="L432">
        <v>0</v>
      </c>
      <c r="M432">
        <v>0</v>
      </c>
      <c r="N432">
        <v>0</v>
      </c>
      <c r="O432">
        <v>0</v>
      </c>
      <c r="P432">
        <v>1791</v>
      </c>
      <c r="Q432">
        <v>199</v>
      </c>
      <c r="R432">
        <v>199</v>
      </c>
      <c r="S432" s="18">
        <f t="shared" si="62"/>
        <v>9</v>
      </c>
      <c r="T432" s="17">
        <f t="shared" si="63"/>
        <v>0</v>
      </c>
      <c r="U432" s="17">
        <f t="shared" si="64"/>
        <v>0</v>
      </c>
      <c r="V432" s="17">
        <f t="shared" si="65"/>
        <v>0</v>
      </c>
      <c r="W432" s="17">
        <f t="shared" si="66"/>
        <v>199</v>
      </c>
      <c r="X432" s="17">
        <f t="shared" si="67"/>
        <v>0</v>
      </c>
      <c r="Y432" s="19" t="e">
        <f t="shared" si="68"/>
        <v>#DIV/0!</v>
      </c>
      <c r="Z432">
        <v>199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55</v>
      </c>
      <c r="AP432">
        <v>0</v>
      </c>
      <c r="AQ432">
        <v>55</v>
      </c>
      <c r="AR432">
        <v>55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f t="shared" si="69"/>
        <v>165</v>
      </c>
      <c r="BF432">
        <v>254</v>
      </c>
      <c r="BG432">
        <v>254</v>
      </c>
      <c r="BH432" t="s">
        <v>109</v>
      </c>
      <c r="BI432" t="s">
        <v>1354</v>
      </c>
      <c r="BJ432">
        <v>0</v>
      </c>
      <c r="BK432">
        <v>55</v>
      </c>
      <c r="BL432">
        <v>254</v>
      </c>
      <c r="BM432">
        <v>0</v>
      </c>
      <c r="BN432">
        <v>0</v>
      </c>
      <c r="BO432">
        <v>0</v>
      </c>
      <c r="BP432">
        <v>1846</v>
      </c>
      <c r="BQ432">
        <v>1846</v>
      </c>
      <c r="BR432">
        <f t="shared" si="70"/>
        <v>0</v>
      </c>
      <c r="BS432">
        <f t="shared" si="71"/>
        <v>398</v>
      </c>
    </row>
    <row r="433" spans="1:74" x14ac:dyDescent="0.25">
      <c r="A433" s="5" t="s">
        <v>1337</v>
      </c>
      <c r="B433" s="5" t="s">
        <v>61</v>
      </c>
      <c r="C433" s="5" t="s">
        <v>61</v>
      </c>
      <c r="D433" s="1" t="s">
        <v>102</v>
      </c>
      <c r="E433">
        <v>0</v>
      </c>
      <c r="F433">
        <v>136</v>
      </c>
      <c r="G433">
        <v>0</v>
      </c>
      <c r="H433">
        <v>0</v>
      </c>
      <c r="I433">
        <v>20</v>
      </c>
      <c r="J433">
        <v>0</v>
      </c>
      <c r="K433">
        <v>50</v>
      </c>
      <c r="L433">
        <v>0</v>
      </c>
      <c r="M433">
        <v>0</v>
      </c>
      <c r="N433">
        <v>0</v>
      </c>
      <c r="O433">
        <v>0</v>
      </c>
      <c r="P433">
        <v>1224</v>
      </c>
      <c r="Q433">
        <v>136</v>
      </c>
      <c r="R433">
        <v>136</v>
      </c>
      <c r="S433" s="18">
        <f t="shared" si="62"/>
        <v>9</v>
      </c>
      <c r="T433" s="17">
        <f t="shared" si="63"/>
        <v>0</v>
      </c>
      <c r="U433" s="17">
        <f t="shared" si="64"/>
        <v>0</v>
      </c>
      <c r="V433" s="17">
        <f t="shared" si="65"/>
        <v>0</v>
      </c>
      <c r="W433" s="17">
        <f t="shared" si="66"/>
        <v>136</v>
      </c>
      <c r="X433" s="17">
        <f t="shared" si="67"/>
        <v>0</v>
      </c>
      <c r="Y433" s="19" t="e">
        <f t="shared" si="68"/>
        <v>#DIV/0!</v>
      </c>
      <c r="Z433">
        <v>136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</v>
      </c>
      <c r="AH433">
        <v>20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50</v>
      </c>
      <c r="AP433">
        <v>0</v>
      </c>
      <c r="AQ433">
        <v>50</v>
      </c>
      <c r="AR433">
        <v>50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f t="shared" si="69"/>
        <v>190</v>
      </c>
      <c r="BF433">
        <v>206</v>
      </c>
      <c r="BG433">
        <v>206</v>
      </c>
      <c r="BH433" t="s">
        <v>109</v>
      </c>
      <c r="BI433" t="s">
        <v>1355</v>
      </c>
      <c r="BJ433">
        <v>0</v>
      </c>
      <c r="BK433">
        <v>70</v>
      </c>
      <c r="BL433">
        <v>206</v>
      </c>
      <c r="BM433">
        <v>0</v>
      </c>
      <c r="BN433">
        <v>0</v>
      </c>
      <c r="BO433">
        <v>0</v>
      </c>
      <c r="BP433">
        <v>1294</v>
      </c>
      <c r="BQ433">
        <v>1294</v>
      </c>
      <c r="BR433">
        <f t="shared" si="70"/>
        <v>0</v>
      </c>
      <c r="BS433">
        <f t="shared" si="71"/>
        <v>272</v>
      </c>
    </row>
    <row r="434" spans="1:74" x14ac:dyDescent="0.25">
      <c r="A434" s="5" t="s">
        <v>1337</v>
      </c>
      <c r="B434" s="5" t="s">
        <v>61</v>
      </c>
      <c r="C434" s="5" t="s">
        <v>61</v>
      </c>
      <c r="D434" s="1" t="s">
        <v>104</v>
      </c>
      <c r="E434">
        <v>0</v>
      </c>
      <c r="F434">
        <v>222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1998</v>
      </c>
      <c r="Q434">
        <v>222</v>
      </c>
      <c r="R434">
        <v>222</v>
      </c>
      <c r="S434" s="18">
        <f t="shared" si="62"/>
        <v>9</v>
      </c>
      <c r="T434" s="17">
        <f t="shared" si="63"/>
        <v>0</v>
      </c>
      <c r="U434" s="17">
        <f t="shared" si="64"/>
        <v>0</v>
      </c>
      <c r="V434" s="17">
        <f t="shared" si="65"/>
        <v>0</v>
      </c>
      <c r="W434" s="17">
        <f t="shared" si="66"/>
        <v>222</v>
      </c>
      <c r="X434" s="17">
        <f t="shared" si="67"/>
        <v>0</v>
      </c>
      <c r="Y434" s="19" t="e">
        <f t="shared" si="68"/>
        <v>#DIV/0!</v>
      </c>
      <c r="Z434">
        <v>222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f t="shared" si="69"/>
        <v>0</v>
      </c>
      <c r="BF434">
        <v>222</v>
      </c>
      <c r="BG434">
        <v>222</v>
      </c>
      <c r="BH434" t="s">
        <v>109</v>
      </c>
      <c r="BI434" t="s">
        <v>1356</v>
      </c>
      <c r="BJ434">
        <v>0</v>
      </c>
      <c r="BK434">
        <v>0</v>
      </c>
      <c r="BL434">
        <v>222</v>
      </c>
      <c r="BM434">
        <v>0</v>
      </c>
      <c r="BN434">
        <v>0</v>
      </c>
      <c r="BO434">
        <v>0</v>
      </c>
      <c r="BP434">
        <v>1998</v>
      </c>
      <c r="BQ434">
        <v>1998</v>
      </c>
      <c r="BR434">
        <f t="shared" si="70"/>
        <v>0</v>
      </c>
      <c r="BS434">
        <f t="shared" si="71"/>
        <v>444</v>
      </c>
    </row>
    <row r="435" spans="1:74" x14ac:dyDescent="0.25">
      <c r="A435" s="5" t="s">
        <v>1337</v>
      </c>
      <c r="B435" s="5" t="s">
        <v>61</v>
      </c>
      <c r="C435" s="5" t="s">
        <v>61</v>
      </c>
      <c r="D435" s="1" t="s">
        <v>108</v>
      </c>
      <c r="E435">
        <v>0</v>
      </c>
      <c r="F435">
        <v>741</v>
      </c>
      <c r="G435">
        <v>0</v>
      </c>
      <c r="H435">
        <v>0</v>
      </c>
      <c r="I435">
        <v>100</v>
      </c>
      <c r="J435">
        <v>0</v>
      </c>
      <c r="K435">
        <v>0</v>
      </c>
      <c r="L435">
        <v>0</v>
      </c>
      <c r="M435">
        <v>2223</v>
      </c>
      <c r="N435">
        <v>0</v>
      </c>
      <c r="O435">
        <v>0</v>
      </c>
      <c r="P435">
        <v>0</v>
      </c>
      <c r="Q435">
        <v>247</v>
      </c>
      <c r="R435">
        <v>247</v>
      </c>
      <c r="S435" s="18">
        <f t="shared" si="62"/>
        <v>9</v>
      </c>
      <c r="T435" s="17">
        <f t="shared" si="63"/>
        <v>247</v>
      </c>
      <c r="U435" s="17">
        <f t="shared" si="64"/>
        <v>0</v>
      </c>
      <c r="V435" s="17">
        <f t="shared" si="65"/>
        <v>0</v>
      </c>
      <c r="W435" s="17">
        <f t="shared" si="66"/>
        <v>0</v>
      </c>
      <c r="X435" s="17">
        <f t="shared" si="67"/>
        <v>0</v>
      </c>
      <c r="Y435" s="19" t="e">
        <f t="shared" si="68"/>
        <v>#DIV/0!</v>
      </c>
      <c r="Z435">
        <v>741</v>
      </c>
      <c r="AA435">
        <v>0</v>
      </c>
      <c r="AB435">
        <v>0</v>
      </c>
      <c r="AC435">
        <v>0</v>
      </c>
      <c r="AD435">
        <v>100</v>
      </c>
      <c r="AE435">
        <v>0</v>
      </c>
      <c r="AF435">
        <v>0</v>
      </c>
      <c r="AG435">
        <v>0</v>
      </c>
      <c r="AH435">
        <v>100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f t="shared" si="69"/>
        <v>200</v>
      </c>
      <c r="BF435">
        <v>841</v>
      </c>
      <c r="BG435">
        <v>841</v>
      </c>
      <c r="BH435" t="s">
        <v>109</v>
      </c>
      <c r="BI435" t="s">
        <v>1358</v>
      </c>
      <c r="BJ435">
        <v>0</v>
      </c>
      <c r="BK435">
        <v>100</v>
      </c>
      <c r="BL435">
        <v>841</v>
      </c>
      <c r="BM435">
        <v>2323</v>
      </c>
      <c r="BN435">
        <v>0</v>
      </c>
      <c r="BO435">
        <v>0</v>
      </c>
      <c r="BP435">
        <v>0</v>
      </c>
      <c r="BQ435">
        <v>2323</v>
      </c>
      <c r="BR435">
        <f t="shared" si="70"/>
        <v>0</v>
      </c>
      <c r="BS435">
        <f t="shared" si="71"/>
        <v>494</v>
      </c>
    </row>
    <row r="436" spans="1:74" x14ac:dyDescent="0.25">
      <c r="A436" s="5" t="s">
        <v>1337</v>
      </c>
      <c r="B436" s="5" t="s">
        <v>61</v>
      </c>
      <c r="C436" s="5" t="s">
        <v>61</v>
      </c>
      <c r="D436" s="1" t="s">
        <v>119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367</v>
      </c>
      <c r="K436">
        <v>0</v>
      </c>
      <c r="L436">
        <v>353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8" t="e">
        <f t="shared" si="62"/>
        <v>#DIV/0!</v>
      </c>
      <c r="T436" s="17" t="e">
        <f t="shared" si="63"/>
        <v>#DIV/0!</v>
      </c>
      <c r="U436" s="17" t="e">
        <f t="shared" si="64"/>
        <v>#DIV/0!</v>
      </c>
      <c r="V436" s="17" t="e">
        <f t="shared" si="65"/>
        <v>#DIV/0!</v>
      </c>
      <c r="W436" s="17" t="e">
        <f t="shared" si="66"/>
        <v>#DIV/0!</v>
      </c>
      <c r="X436" s="17" t="e">
        <f t="shared" si="67"/>
        <v>#DIV/0!</v>
      </c>
      <c r="Y436" s="19" t="e">
        <f t="shared" si="68"/>
        <v>#DIV/0!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367</v>
      </c>
      <c r="AL436">
        <v>367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353</v>
      </c>
      <c r="BA436">
        <v>353</v>
      </c>
      <c r="BB436">
        <v>0</v>
      </c>
      <c r="BC436">
        <v>0</v>
      </c>
      <c r="BD436">
        <v>0</v>
      </c>
      <c r="BE436">
        <f t="shared" si="69"/>
        <v>1440</v>
      </c>
      <c r="BF436">
        <v>720</v>
      </c>
      <c r="BG436">
        <v>720</v>
      </c>
      <c r="BH436" t="s">
        <v>199</v>
      </c>
      <c r="BI436" t="s">
        <v>1363</v>
      </c>
      <c r="BJ436">
        <v>0</v>
      </c>
      <c r="BK436">
        <v>720</v>
      </c>
      <c r="BL436">
        <v>720</v>
      </c>
      <c r="BM436">
        <v>0</v>
      </c>
      <c r="BN436">
        <v>0</v>
      </c>
      <c r="BO436">
        <v>0</v>
      </c>
      <c r="BP436">
        <v>720</v>
      </c>
      <c r="BQ436">
        <v>720</v>
      </c>
      <c r="BR436">
        <f t="shared" si="70"/>
        <v>0</v>
      </c>
      <c r="BS436">
        <f t="shared" si="71"/>
        <v>0</v>
      </c>
    </row>
    <row r="437" spans="1:74" x14ac:dyDescent="0.25">
      <c r="A437" s="5" t="s">
        <v>1337</v>
      </c>
      <c r="B437" s="5" t="s">
        <v>61</v>
      </c>
      <c r="C437" s="5" t="s">
        <v>61</v>
      </c>
      <c r="D437" s="1" t="s">
        <v>121</v>
      </c>
      <c r="E437">
        <v>180</v>
      </c>
      <c r="F437">
        <v>0</v>
      </c>
      <c r="G437">
        <v>0</v>
      </c>
      <c r="H437">
        <v>0</v>
      </c>
      <c r="I437">
        <v>0</v>
      </c>
      <c r="J437">
        <v>206</v>
      </c>
      <c r="K437">
        <v>0</v>
      </c>
      <c r="L437">
        <v>56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8" t="e">
        <f t="shared" si="62"/>
        <v>#DIV/0!</v>
      </c>
      <c r="T437" s="17" t="e">
        <f t="shared" si="63"/>
        <v>#DIV/0!</v>
      </c>
      <c r="U437" s="17" t="e">
        <f t="shared" si="64"/>
        <v>#DIV/0!</v>
      </c>
      <c r="V437" s="17" t="e">
        <f t="shared" si="65"/>
        <v>#DIV/0!</v>
      </c>
      <c r="W437" s="17" t="e">
        <f t="shared" si="66"/>
        <v>#DIV/0!</v>
      </c>
      <c r="X437" s="17" t="e">
        <f t="shared" si="67"/>
        <v>#DIV/0!</v>
      </c>
      <c r="Y437" s="19" t="e">
        <f t="shared" si="68"/>
        <v>#DIV/0!</v>
      </c>
      <c r="Z437">
        <v>0</v>
      </c>
      <c r="AA437">
        <v>0</v>
      </c>
      <c r="AB437">
        <v>0</v>
      </c>
      <c r="AC437">
        <v>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206</v>
      </c>
      <c r="AL437">
        <v>206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56</v>
      </c>
      <c r="BA437">
        <v>56</v>
      </c>
      <c r="BB437">
        <v>0</v>
      </c>
      <c r="BC437">
        <v>0</v>
      </c>
      <c r="BD437">
        <v>0</v>
      </c>
      <c r="BE437">
        <f t="shared" si="69"/>
        <v>604</v>
      </c>
      <c r="BF437">
        <v>522</v>
      </c>
      <c r="BG437">
        <v>522</v>
      </c>
      <c r="BH437" t="s">
        <v>199</v>
      </c>
      <c r="BI437" t="s">
        <v>1364</v>
      </c>
      <c r="BJ437">
        <v>260</v>
      </c>
      <c r="BK437">
        <v>262</v>
      </c>
      <c r="BL437">
        <v>522</v>
      </c>
      <c r="BM437">
        <v>0</v>
      </c>
      <c r="BN437">
        <v>0</v>
      </c>
      <c r="BO437">
        <v>0</v>
      </c>
      <c r="BP437">
        <v>262</v>
      </c>
      <c r="BQ437">
        <v>262</v>
      </c>
      <c r="BR437">
        <f t="shared" si="70"/>
        <v>0</v>
      </c>
      <c r="BS437">
        <f t="shared" si="71"/>
        <v>0</v>
      </c>
    </row>
    <row r="438" spans="1:74" x14ac:dyDescent="0.25">
      <c r="A438" s="5" t="s">
        <v>1451</v>
      </c>
      <c r="B438" s="5" t="s">
        <v>207</v>
      </c>
      <c r="C438" s="5" t="s">
        <v>359</v>
      </c>
      <c r="D438" s="1" t="s">
        <v>62</v>
      </c>
      <c r="E438">
        <v>0</v>
      </c>
      <c r="F438">
        <v>1344</v>
      </c>
      <c r="G438">
        <v>0</v>
      </c>
      <c r="H438">
        <v>0</v>
      </c>
      <c r="I438">
        <v>721</v>
      </c>
      <c r="J438">
        <v>1044</v>
      </c>
      <c r="K438">
        <v>1641</v>
      </c>
      <c r="L438">
        <v>0</v>
      </c>
      <c r="M438">
        <v>0</v>
      </c>
      <c r="N438">
        <v>0</v>
      </c>
      <c r="O438">
        <v>0</v>
      </c>
      <c r="P438">
        <v>3024</v>
      </c>
      <c r="Q438">
        <v>336</v>
      </c>
      <c r="R438">
        <v>336</v>
      </c>
      <c r="S438" s="18">
        <f t="shared" si="62"/>
        <v>9</v>
      </c>
      <c r="T438" s="17">
        <f t="shared" si="63"/>
        <v>0</v>
      </c>
      <c r="U438" s="17">
        <f t="shared" si="64"/>
        <v>0</v>
      </c>
      <c r="V438" s="17">
        <f t="shared" si="65"/>
        <v>0</v>
      </c>
      <c r="W438" s="17">
        <f t="shared" si="66"/>
        <v>336</v>
      </c>
      <c r="X438" s="17">
        <f t="shared" si="67"/>
        <v>0</v>
      </c>
      <c r="Y438" s="19" t="e">
        <f t="shared" si="68"/>
        <v>#DIV/0!</v>
      </c>
      <c r="Z438">
        <v>1344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721</v>
      </c>
      <c r="AH438">
        <v>721</v>
      </c>
      <c r="AI438">
        <v>0</v>
      </c>
      <c r="AJ438">
        <v>0</v>
      </c>
      <c r="AK438">
        <v>1044</v>
      </c>
      <c r="AL438">
        <v>1044</v>
      </c>
      <c r="AM438">
        <v>0</v>
      </c>
      <c r="AN438">
        <v>0</v>
      </c>
      <c r="AO438">
        <v>1641</v>
      </c>
      <c r="AP438">
        <v>804</v>
      </c>
      <c r="AQ438">
        <v>1641</v>
      </c>
      <c r="AR438">
        <v>837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f t="shared" si="69"/>
        <v>8453</v>
      </c>
      <c r="BF438">
        <v>4750</v>
      </c>
      <c r="BG438">
        <v>4750</v>
      </c>
      <c r="BH438" t="s">
        <v>63</v>
      </c>
      <c r="BI438" t="s">
        <v>1602</v>
      </c>
      <c r="BJ438">
        <v>0</v>
      </c>
      <c r="BK438">
        <v>3406</v>
      </c>
      <c r="BL438">
        <v>4750</v>
      </c>
      <c r="BM438">
        <v>0</v>
      </c>
      <c r="BN438">
        <v>0</v>
      </c>
      <c r="BO438">
        <v>0</v>
      </c>
      <c r="BP438">
        <v>6430</v>
      </c>
      <c r="BQ438">
        <v>6430</v>
      </c>
      <c r="BR438">
        <f t="shared" si="70"/>
        <v>0</v>
      </c>
      <c r="BS438">
        <f t="shared" si="71"/>
        <v>672</v>
      </c>
      <c r="BU438">
        <f>R438*9</f>
        <v>3024</v>
      </c>
      <c r="BV438">
        <f>IF(BU438&gt;BG438, 1, 0)</f>
        <v>0</v>
      </c>
    </row>
    <row r="439" spans="1:74" x14ac:dyDescent="0.25">
      <c r="A439" s="5" t="s">
        <v>1337</v>
      </c>
      <c r="B439" s="5" t="s">
        <v>207</v>
      </c>
      <c r="C439" s="5" t="s">
        <v>61</v>
      </c>
      <c r="D439" s="1" t="s">
        <v>73</v>
      </c>
      <c r="E439">
        <v>0</v>
      </c>
      <c r="F439">
        <v>0</v>
      </c>
      <c r="G439">
        <v>0</v>
      </c>
      <c r="H439">
        <v>0</v>
      </c>
      <c r="I439">
        <v>5572</v>
      </c>
      <c r="J439">
        <v>0</v>
      </c>
      <c r="K439">
        <v>0</v>
      </c>
      <c r="L439">
        <v>40</v>
      </c>
      <c r="M439">
        <v>0</v>
      </c>
      <c r="N439">
        <v>47538</v>
      </c>
      <c r="O439">
        <v>0</v>
      </c>
      <c r="P439">
        <v>0</v>
      </c>
      <c r="Q439">
        <v>5282</v>
      </c>
      <c r="R439">
        <v>5282</v>
      </c>
      <c r="S439" s="18">
        <f t="shared" si="62"/>
        <v>9</v>
      </c>
      <c r="T439" s="17">
        <f t="shared" si="63"/>
        <v>0</v>
      </c>
      <c r="U439" s="17">
        <f t="shared" si="64"/>
        <v>5282</v>
      </c>
      <c r="V439" s="17">
        <f t="shared" si="65"/>
        <v>0</v>
      </c>
      <c r="W439" s="17">
        <f t="shared" si="66"/>
        <v>0</v>
      </c>
      <c r="X439" s="17">
        <f t="shared" si="67"/>
        <v>0</v>
      </c>
      <c r="Y439" s="19" t="e">
        <f t="shared" si="68"/>
        <v>#DIV/0!</v>
      </c>
      <c r="Z439">
        <v>45206</v>
      </c>
      <c r="AA439">
        <v>0</v>
      </c>
      <c r="AB439">
        <v>0</v>
      </c>
      <c r="AC439">
        <v>0</v>
      </c>
      <c r="AD439">
        <v>0</v>
      </c>
      <c r="AE439">
        <v>4968</v>
      </c>
      <c r="AF439">
        <v>0</v>
      </c>
      <c r="AG439">
        <v>604</v>
      </c>
      <c r="AH439">
        <v>5572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40</v>
      </c>
      <c r="AY439">
        <v>0</v>
      </c>
      <c r="AZ439">
        <v>0</v>
      </c>
      <c r="BA439">
        <v>40</v>
      </c>
      <c r="BB439">
        <v>0</v>
      </c>
      <c r="BC439">
        <v>0</v>
      </c>
      <c r="BD439">
        <v>0</v>
      </c>
      <c r="BE439">
        <f t="shared" si="69"/>
        <v>11224</v>
      </c>
      <c r="BF439">
        <v>50818</v>
      </c>
      <c r="BG439">
        <v>50818</v>
      </c>
      <c r="BH439" t="s">
        <v>560</v>
      </c>
      <c r="BI439" t="s">
        <v>1375</v>
      </c>
      <c r="BJ439">
        <v>0</v>
      </c>
      <c r="BK439">
        <v>5612</v>
      </c>
      <c r="BL439">
        <v>50818</v>
      </c>
      <c r="BM439">
        <v>40</v>
      </c>
      <c r="BN439">
        <v>52506</v>
      </c>
      <c r="BO439">
        <v>0</v>
      </c>
      <c r="BP439">
        <v>604</v>
      </c>
      <c r="BQ439">
        <v>53150</v>
      </c>
      <c r="BR439">
        <f t="shared" si="70"/>
        <v>0</v>
      </c>
      <c r="BS439">
        <f t="shared" si="71"/>
        <v>10564</v>
      </c>
    </row>
    <row r="440" spans="1:74" x14ac:dyDescent="0.25">
      <c r="A440" s="5" t="s">
        <v>1337</v>
      </c>
      <c r="B440" s="5" t="s">
        <v>207</v>
      </c>
      <c r="C440" s="5" t="s">
        <v>61</v>
      </c>
      <c r="D440" s="1" t="s">
        <v>77</v>
      </c>
      <c r="E440">
        <v>0</v>
      </c>
      <c r="F440">
        <v>402</v>
      </c>
      <c r="G440">
        <v>0</v>
      </c>
      <c r="H440">
        <v>0</v>
      </c>
      <c r="I440">
        <v>35</v>
      </c>
      <c r="J440">
        <v>0</v>
      </c>
      <c r="K440">
        <v>357</v>
      </c>
      <c r="L440">
        <v>0</v>
      </c>
      <c r="M440">
        <v>2268</v>
      </c>
      <c r="N440">
        <v>0</v>
      </c>
      <c r="O440">
        <v>0</v>
      </c>
      <c r="P440">
        <v>0</v>
      </c>
      <c r="Q440">
        <v>252</v>
      </c>
      <c r="R440">
        <v>252</v>
      </c>
      <c r="S440" s="18">
        <f t="shared" si="62"/>
        <v>9</v>
      </c>
      <c r="T440" s="17">
        <f t="shared" si="63"/>
        <v>252</v>
      </c>
      <c r="U440" s="17">
        <f t="shared" si="64"/>
        <v>0</v>
      </c>
      <c r="V440" s="17">
        <f t="shared" si="65"/>
        <v>0</v>
      </c>
      <c r="W440" s="17">
        <f t="shared" si="66"/>
        <v>0</v>
      </c>
      <c r="X440" s="17">
        <f t="shared" si="67"/>
        <v>0</v>
      </c>
      <c r="Y440" s="19" t="e">
        <f t="shared" si="68"/>
        <v>#DIV/0!</v>
      </c>
      <c r="Z440">
        <v>402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35</v>
      </c>
      <c r="AH440">
        <v>35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357</v>
      </c>
      <c r="AP440">
        <v>14</v>
      </c>
      <c r="AQ440">
        <v>357</v>
      </c>
      <c r="AR440">
        <v>343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f t="shared" si="69"/>
        <v>1141</v>
      </c>
      <c r="BF440">
        <v>794</v>
      </c>
      <c r="BG440">
        <v>794</v>
      </c>
      <c r="BH440" t="s">
        <v>109</v>
      </c>
      <c r="BI440" t="s">
        <v>1377</v>
      </c>
      <c r="BJ440">
        <v>0</v>
      </c>
      <c r="BK440">
        <v>392</v>
      </c>
      <c r="BL440">
        <v>794</v>
      </c>
      <c r="BM440">
        <v>2268</v>
      </c>
      <c r="BN440">
        <v>0</v>
      </c>
      <c r="BO440">
        <v>0</v>
      </c>
      <c r="BP440">
        <v>392</v>
      </c>
      <c r="BQ440">
        <v>2660</v>
      </c>
      <c r="BR440">
        <f t="shared" si="70"/>
        <v>0</v>
      </c>
      <c r="BS440">
        <f t="shared" si="71"/>
        <v>504</v>
      </c>
    </row>
    <row r="441" spans="1:74" x14ac:dyDescent="0.25">
      <c r="A441" s="5" t="s">
        <v>1337</v>
      </c>
      <c r="B441" s="5" t="s">
        <v>207</v>
      </c>
      <c r="C441" s="5" t="s">
        <v>61</v>
      </c>
      <c r="D441" s="1" t="s">
        <v>92</v>
      </c>
      <c r="E441">
        <v>0</v>
      </c>
      <c r="F441">
        <v>250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900</v>
      </c>
      <c r="N441">
        <v>0</v>
      </c>
      <c r="O441">
        <v>0</v>
      </c>
      <c r="P441">
        <v>0</v>
      </c>
      <c r="Q441">
        <v>100</v>
      </c>
      <c r="R441">
        <v>100</v>
      </c>
      <c r="S441" s="18">
        <f t="shared" si="62"/>
        <v>9</v>
      </c>
      <c r="T441" s="17">
        <f t="shared" si="63"/>
        <v>100</v>
      </c>
      <c r="U441" s="17">
        <f t="shared" si="64"/>
        <v>0</v>
      </c>
      <c r="V441" s="17">
        <f t="shared" si="65"/>
        <v>0</v>
      </c>
      <c r="W441" s="17">
        <f t="shared" si="66"/>
        <v>0</v>
      </c>
      <c r="X441" s="17">
        <f t="shared" si="67"/>
        <v>0</v>
      </c>
      <c r="Y441" s="19" t="e">
        <f t="shared" si="68"/>
        <v>#DIV/0!</v>
      </c>
      <c r="Z441">
        <v>250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f t="shared" si="69"/>
        <v>0</v>
      </c>
      <c r="BF441">
        <v>250</v>
      </c>
      <c r="BG441">
        <v>250</v>
      </c>
      <c r="BH441" t="s">
        <v>109</v>
      </c>
      <c r="BI441" t="s">
        <v>1384</v>
      </c>
      <c r="BJ441">
        <v>0</v>
      </c>
      <c r="BK441">
        <v>0</v>
      </c>
      <c r="BL441">
        <v>250</v>
      </c>
      <c r="BM441">
        <v>900</v>
      </c>
      <c r="BN441">
        <v>0</v>
      </c>
      <c r="BO441">
        <v>0</v>
      </c>
      <c r="BP441">
        <v>0</v>
      </c>
      <c r="BQ441">
        <v>900</v>
      </c>
      <c r="BR441">
        <f t="shared" si="70"/>
        <v>0</v>
      </c>
      <c r="BS441">
        <f t="shared" si="71"/>
        <v>200</v>
      </c>
    </row>
    <row r="442" spans="1:74" x14ac:dyDescent="0.25">
      <c r="A442" s="5" t="s">
        <v>1337</v>
      </c>
      <c r="B442" s="5" t="s">
        <v>207</v>
      </c>
      <c r="C442" s="5" t="s">
        <v>61</v>
      </c>
      <c r="D442" s="1" t="s">
        <v>121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145</v>
      </c>
      <c r="K442">
        <v>15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8" t="e">
        <f t="shared" si="62"/>
        <v>#DIV/0!</v>
      </c>
      <c r="T442" s="17" t="e">
        <f t="shared" si="63"/>
        <v>#DIV/0!</v>
      </c>
      <c r="U442" s="17" t="e">
        <f t="shared" si="64"/>
        <v>#DIV/0!</v>
      </c>
      <c r="V442" s="17" t="e">
        <f t="shared" si="65"/>
        <v>#DIV/0!</v>
      </c>
      <c r="W442" s="17" t="e">
        <f t="shared" si="66"/>
        <v>#DIV/0!</v>
      </c>
      <c r="X442" s="17" t="e">
        <f t="shared" si="67"/>
        <v>#DIV/0!</v>
      </c>
      <c r="Y442" s="19" t="e">
        <f t="shared" si="68"/>
        <v>#DIV/0!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145</v>
      </c>
      <c r="AJ442">
        <v>0</v>
      </c>
      <c r="AK442">
        <v>0</v>
      </c>
      <c r="AL442">
        <v>145</v>
      </c>
      <c r="AM442">
        <v>0</v>
      </c>
      <c r="AN442">
        <v>0</v>
      </c>
      <c r="AO442">
        <v>15</v>
      </c>
      <c r="AP442">
        <v>15</v>
      </c>
      <c r="AQ442">
        <v>15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f t="shared" si="69"/>
        <v>335</v>
      </c>
      <c r="BF442">
        <v>160</v>
      </c>
      <c r="BG442">
        <v>160</v>
      </c>
      <c r="BH442" t="s">
        <v>190</v>
      </c>
      <c r="BI442" t="s">
        <v>1398</v>
      </c>
      <c r="BJ442">
        <v>0</v>
      </c>
      <c r="BK442">
        <v>160</v>
      </c>
      <c r="BL442">
        <v>160</v>
      </c>
      <c r="BM442">
        <v>145</v>
      </c>
      <c r="BN442">
        <v>0</v>
      </c>
      <c r="BO442">
        <v>0</v>
      </c>
      <c r="BP442">
        <v>15</v>
      </c>
      <c r="BQ442">
        <v>160</v>
      </c>
      <c r="BR442">
        <f t="shared" si="70"/>
        <v>0</v>
      </c>
      <c r="BS442">
        <f t="shared" si="71"/>
        <v>0</v>
      </c>
    </row>
    <row r="443" spans="1:74" x14ac:dyDescent="0.25">
      <c r="A443" s="5" t="s">
        <v>1337</v>
      </c>
      <c r="B443" s="5" t="s">
        <v>207</v>
      </c>
      <c r="C443" s="5" t="s">
        <v>61</v>
      </c>
      <c r="D443" s="1" t="s">
        <v>125</v>
      </c>
      <c r="E443">
        <v>0</v>
      </c>
      <c r="F443">
        <v>16</v>
      </c>
      <c r="G443">
        <v>0</v>
      </c>
      <c r="H443">
        <v>0</v>
      </c>
      <c r="I443">
        <v>12</v>
      </c>
      <c r="J443">
        <v>1249</v>
      </c>
      <c r="K443">
        <v>23</v>
      </c>
      <c r="L443">
        <v>155</v>
      </c>
      <c r="M443">
        <v>0</v>
      </c>
      <c r="N443">
        <v>0</v>
      </c>
      <c r="O443">
        <v>0</v>
      </c>
      <c r="P443">
        <v>144</v>
      </c>
      <c r="Q443">
        <v>16</v>
      </c>
      <c r="R443">
        <v>16</v>
      </c>
      <c r="S443" s="18">
        <f t="shared" si="62"/>
        <v>9</v>
      </c>
      <c r="T443" s="17">
        <f t="shared" si="63"/>
        <v>0</v>
      </c>
      <c r="U443" s="17">
        <f t="shared" si="64"/>
        <v>0</v>
      </c>
      <c r="V443" s="17">
        <f t="shared" si="65"/>
        <v>0</v>
      </c>
      <c r="W443" s="17">
        <f t="shared" si="66"/>
        <v>16</v>
      </c>
      <c r="X443" s="17">
        <f t="shared" si="67"/>
        <v>0</v>
      </c>
      <c r="Y443" s="19" t="e">
        <f t="shared" si="68"/>
        <v>#DIV/0!</v>
      </c>
      <c r="Z443">
        <v>16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12</v>
      </c>
      <c r="AH443">
        <v>12</v>
      </c>
      <c r="AI443">
        <v>0</v>
      </c>
      <c r="AJ443">
        <v>0</v>
      </c>
      <c r="AK443">
        <v>1249</v>
      </c>
      <c r="AL443">
        <v>1249</v>
      </c>
      <c r="AM443">
        <v>0</v>
      </c>
      <c r="AN443">
        <v>0</v>
      </c>
      <c r="AO443">
        <v>23</v>
      </c>
      <c r="AP443">
        <v>0</v>
      </c>
      <c r="AQ443">
        <v>23</v>
      </c>
      <c r="AR443">
        <v>23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155</v>
      </c>
      <c r="BA443">
        <v>155</v>
      </c>
      <c r="BB443">
        <v>0</v>
      </c>
      <c r="BC443">
        <v>0</v>
      </c>
      <c r="BD443">
        <v>0</v>
      </c>
      <c r="BE443">
        <f t="shared" si="69"/>
        <v>2901</v>
      </c>
      <c r="BF443">
        <v>1455</v>
      </c>
      <c r="BG443">
        <v>1455</v>
      </c>
      <c r="BH443" t="s">
        <v>190</v>
      </c>
      <c r="BI443" t="s">
        <v>1399</v>
      </c>
      <c r="BJ443">
        <v>0</v>
      </c>
      <c r="BK443">
        <v>1439</v>
      </c>
      <c r="BL443">
        <v>1455</v>
      </c>
      <c r="BM443">
        <v>0</v>
      </c>
      <c r="BN443">
        <v>0</v>
      </c>
      <c r="BO443">
        <v>0</v>
      </c>
      <c r="BP443">
        <v>1583</v>
      </c>
      <c r="BQ443">
        <v>1583</v>
      </c>
      <c r="BR443">
        <f t="shared" si="70"/>
        <v>0</v>
      </c>
      <c r="BS443">
        <f t="shared" si="71"/>
        <v>32</v>
      </c>
    </row>
    <row r="444" spans="1:74" x14ac:dyDescent="0.25">
      <c r="A444" s="5" t="s">
        <v>1337</v>
      </c>
      <c r="B444" s="5" t="s">
        <v>207</v>
      </c>
      <c r="C444" s="6" t="s">
        <v>61</v>
      </c>
      <c r="D444" s="1" t="s">
        <v>127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115</v>
      </c>
      <c r="K444">
        <v>5</v>
      </c>
      <c r="L444">
        <v>30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8" t="e">
        <f t="shared" si="62"/>
        <v>#DIV/0!</v>
      </c>
      <c r="T444" s="17" t="e">
        <f t="shared" si="63"/>
        <v>#DIV/0!</v>
      </c>
      <c r="U444" s="17" t="e">
        <f t="shared" si="64"/>
        <v>#DIV/0!</v>
      </c>
      <c r="V444" s="17" t="e">
        <f t="shared" si="65"/>
        <v>#DIV/0!</v>
      </c>
      <c r="W444" s="17" t="e">
        <f t="shared" si="66"/>
        <v>#DIV/0!</v>
      </c>
      <c r="X444" s="17" t="e">
        <f t="shared" si="67"/>
        <v>#DIV/0!</v>
      </c>
      <c r="Y444" s="19" t="e">
        <f t="shared" si="68"/>
        <v>#DIV/0!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115</v>
      </c>
      <c r="AL444">
        <v>115</v>
      </c>
      <c r="AM444">
        <v>0</v>
      </c>
      <c r="AN444">
        <v>0</v>
      </c>
      <c r="AO444">
        <v>5</v>
      </c>
      <c r="AP444">
        <v>5</v>
      </c>
      <c r="AQ444">
        <v>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30</v>
      </c>
      <c r="BA444">
        <v>30</v>
      </c>
      <c r="BB444">
        <v>0</v>
      </c>
      <c r="BC444">
        <v>0</v>
      </c>
      <c r="BD444">
        <v>0</v>
      </c>
      <c r="BE444">
        <f t="shared" si="69"/>
        <v>305</v>
      </c>
      <c r="BF444">
        <v>150</v>
      </c>
      <c r="BG444">
        <v>150</v>
      </c>
      <c r="BH444" t="s">
        <v>199</v>
      </c>
      <c r="BI444" t="s">
        <v>1400</v>
      </c>
      <c r="BJ444">
        <v>0</v>
      </c>
      <c r="BK444">
        <v>150</v>
      </c>
      <c r="BL444">
        <v>150</v>
      </c>
      <c r="BM444">
        <v>0</v>
      </c>
      <c r="BN444">
        <v>0</v>
      </c>
      <c r="BO444">
        <v>0</v>
      </c>
      <c r="BP444">
        <v>150</v>
      </c>
      <c r="BQ444">
        <v>150</v>
      </c>
      <c r="BR444">
        <f t="shared" si="70"/>
        <v>0</v>
      </c>
      <c r="BS444">
        <f t="shared" si="71"/>
        <v>0</v>
      </c>
    </row>
    <row r="445" spans="1:74" x14ac:dyDescent="0.25">
      <c r="A445" s="5" t="s">
        <v>1337</v>
      </c>
      <c r="B445" s="5" t="s">
        <v>207</v>
      </c>
      <c r="C445" s="7" t="s">
        <v>61</v>
      </c>
      <c r="D445" s="1" t="s">
        <v>129</v>
      </c>
      <c r="E445">
        <v>0</v>
      </c>
      <c r="F445">
        <v>0</v>
      </c>
      <c r="G445">
        <v>0</v>
      </c>
      <c r="H445">
        <v>0</v>
      </c>
      <c r="I445">
        <v>12</v>
      </c>
      <c r="J445">
        <v>160</v>
      </c>
      <c r="K445">
        <v>5</v>
      </c>
      <c r="L445">
        <v>30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8" t="e">
        <f t="shared" si="62"/>
        <v>#DIV/0!</v>
      </c>
      <c r="T445" s="17" t="e">
        <f t="shared" si="63"/>
        <v>#DIV/0!</v>
      </c>
      <c r="U445" s="17" t="e">
        <f t="shared" si="64"/>
        <v>#DIV/0!</v>
      </c>
      <c r="V445" s="17" t="e">
        <f t="shared" si="65"/>
        <v>#DIV/0!</v>
      </c>
      <c r="W445" s="17" t="e">
        <f t="shared" si="66"/>
        <v>#DIV/0!</v>
      </c>
      <c r="X445" s="17" t="e">
        <f t="shared" si="67"/>
        <v>#DIV/0!</v>
      </c>
      <c r="Y445" s="19" t="e">
        <f t="shared" si="68"/>
        <v>#DIV/0!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12</v>
      </c>
      <c r="AH445">
        <v>12</v>
      </c>
      <c r="AI445">
        <v>0</v>
      </c>
      <c r="AJ445">
        <v>0</v>
      </c>
      <c r="AK445">
        <v>160</v>
      </c>
      <c r="AL445">
        <v>160</v>
      </c>
      <c r="AM445">
        <v>0</v>
      </c>
      <c r="AN445">
        <v>0</v>
      </c>
      <c r="AO445">
        <v>5</v>
      </c>
      <c r="AP445">
        <v>0</v>
      </c>
      <c r="AQ445">
        <v>5</v>
      </c>
      <c r="AR445">
        <v>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30</v>
      </c>
      <c r="BA445">
        <v>30</v>
      </c>
      <c r="BB445">
        <v>0</v>
      </c>
      <c r="BC445">
        <v>0</v>
      </c>
      <c r="BD445">
        <v>0</v>
      </c>
      <c r="BE445">
        <f t="shared" si="69"/>
        <v>419</v>
      </c>
      <c r="BF445">
        <v>207</v>
      </c>
      <c r="BG445">
        <v>207</v>
      </c>
      <c r="BH445" t="s">
        <v>199</v>
      </c>
      <c r="BI445" t="s">
        <v>1401</v>
      </c>
      <c r="BJ445">
        <v>0</v>
      </c>
      <c r="BK445">
        <v>207</v>
      </c>
      <c r="BL445">
        <v>207</v>
      </c>
      <c r="BM445">
        <v>0</v>
      </c>
      <c r="BN445">
        <v>0</v>
      </c>
      <c r="BO445">
        <v>0</v>
      </c>
      <c r="BP445">
        <v>207</v>
      </c>
      <c r="BQ445">
        <v>207</v>
      </c>
      <c r="BR445">
        <f t="shared" si="70"/>
        <v>0</v>
      </c>
      <c r="BS445">
        <f t="shared" si="71"/>
        <v>0</v>
      </c>
    </row>
    <row r="446" spans="1:74" x14ac:dyDescent="0.25">
      <c r="A446" s="5" t="s">
        <v>1337</v>
      </c>
      <c r="B446" s="5" t="s">
        <v>207</v>
      </c>
      <c r="C446" s="5" t="s">
        <v>61</v>
      </c>
      <c r="D446" s="1" t="s">
        <v>133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8" t="e">
        <f t="shared" si="62"/>
        <v>#DIV/0!</v>
      </c>
      <c r="T446" s="17" t="e">
        <f t="shared" si="63"/>
        <v>#DIV/0!</v>
      </c>
      <c r="U446" s="17" t="e">
        <f t="shared" si="64"/>
        <v>#DIV/0!</v>
      </c>
      <c r="V446" s="17" t="e">
        <f t="shared" si="65"/>
        <v>#DIV/0!</v>
      </c>
      <c r="W446" s="17" t="e">
        <f t="shared" si="66"/>
        <v>#DIV/0!</v>
      </c>
      <c r="X446" s="17" t="e">
        <f t="shared" si="67"/>
        <v>#DIV/0!</v>
      </c>
      <c r="Y446" s="19" t="e">
        <f t="shared" si="68"/>
        <v>#DIV/0!</v>
      </c>
      <c r="Z446">
        <v>0</v>
      </c>
      <c r="AA446">
        <v>0</v>
      </c>
      <c r="AB446">
        <v>0</v>
      </c>
      <c r="AC446">
        <v>7992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f t="shared" si="69"/>
        <v>7992</v>
      </c>
      <c r="BH446" t="s">
        <v>82</v>
      </c>
      <c r="BI446" t="s">
        <v>1403</v>
      </c>
      <c r="BJ446">
        <v>7992</v>
      </c>
      <c r="BK446">
        <v>0</v>
      </c>
      <c r="BL446">
        <v>7992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f t="shared" si="70"/>
        <v>0</v>
      </c>
      <c r="BS446">
        <f t="shared" si="71"/>
        <v>0</v>
      </c>
    </row>
    <row r="447" spans="1:74" x14ac:dyDescent="0.25">
      <c r="A447" s="5" t="s">
        <v>1337</v>
      </c>
      <c r="B447" s="5" t="s">
        <v>207</v>
      </c>
      <c r="C447" s="5" t="s">
        <v>61</v>
      </c>
      <c r="D447" s="1" t="s">
        <v>139</v>
      </c>
      <c r="E447">
        <v>0</v>
      </c>
      <c r="F447">
        <v>8752</v>
      </c>
      <c r="G447">
        <v>0</v>
      </c>
      <c r="H447">
        <v>0</v>
      </c>
      <c r="I447">
        <v>380</v>
      </c>
      <c r="J447">
        <v>630</v>
      </c>
      <c r="K447">
        <v>1979</v>
      </c>
      <c r="L447">
        <v>363</v>
      </c>
      <c r="M447">
        <v>0</v>
      </c>
      <c r="N447">
        <v>0</v>
      </c>
      <c r="O447">
        <v>0</v>
      </c>
      <c r="P447">
        <v>5121</v>
      </c>
      <c r="Q447">
        <v>569</v>
      </c>
      <c r="R447">
        <v>569</v>
      </c>
      <c r="S447" s="18">
        <f t="shared" si="62"/>
        <v>9</v>
      </c>
      <c r="T447" s="17">
        <f t="shared" si="63"/>
        <v>0</v>
      </c>
      <c r="U447" s="17">
        <f t="shared" si="64"/>
        <v>0</v>
      </c>
      <c r="V447" s="17">
        <f t="shared" si="65"/>
        <v>0</v>
      </c>
      <c r="W447" s="17">
        <f t="shared" si="66"/>
        <v>569</v>
      </c>
      <c r="X447" s="17">
        <f t="shared" si="67"/>
        <v>0</v>
      </c>
      <c r="Y447" s="19" t="e">
        <f t="shared" si="68"/>
        <v>#DIV/0!</v>
      </c>
      <c r="Z447">
        <v>8752</v>
      </c>
      <c r="AA447">
        <v>4</v>
      </c>
      <c r="AB447">
        <v>190</v>
      </c>
      <c r="AC447">
        <v>2425</v>
      </c>
      <c r="AD447">
        <v>0</v>
      </c>
      <c r="AE447">
        <v>0</v>
      </c>
      <c r="AF447">
        <v>0</v>
      </c>
      <c r="AG447">
        <v>380</v>
      </c>
      <c r="AH447">
        <v>380</v>
      </c>
      <c r="AI447">
        <v>0</v>
      </c>
      <c r="AJ447">
        <v>0</v>
      </c>
      <c r="AK447">
        <v>630</v>
      </c>
      <c r="AL447">
        <v>630</v>
      </c>
      <c r="AM447">
        <v>0</v>
      </c>
      <c r="AN447">
        <v>0</v>
      </c>
      <c r="AO447">
        <v>1979</v>
      </c>
      <c r="AP447">
        <v>1337</v>
      </c>
      <c r="AQ447">
        <v>1979</v>
      </c>
      <c r="AR447">
        <v>642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363</v>
      </c>
      <c r="BA447">
        <v>363</v>
      </c>
      <c r="BB447">
        <v>0</v>
      </c>
      <c r="BC447">
        <v>0</v>
      </c>
      <c r="BD447">
        <v>0</v>
      </c>
      <c r="BE447">
        <f t="shared" si="69"/>
        <v>11108</v>
      </c>
      <c r="BF447">
        <v>14328</v>
      </c>
      <c r="BG447">
        <v>14328</v>
      </c>
      <c r="BH447" t="s">
        <v>82</v>
      </c>
      <c r="BI447" t="s">
        <v>1406</v>
      </c>
      <c r="BJ447">
        <v>2619</v>
      </c>
      <c r="BK447">
        <v>3352</v>
      </c>
      <c r="BL447">
        <v>14723</v>
      </c>
      <c r="BM447">
        <v>0</v>
      </c>
      <c r="BN447">
        <v>0</v>
      </c>
      <c r="BO447">
        <v>0</v>
      </c>
      <c r="BP447">
        <v>8473</v>
      </c>
      <c r="BQ447">
        <v>8473</v>
      </c>
      <c r="BR447">
        <f t="shared" si="70"/>
        <v>0</v>
      </c>
      <c r="BS447">
        <f t="shared" si="71"/>
        <v>1138</v>
      </c>
    </row>
    <row r="448" spans="1:74" x14ac:dyDescent="0.25">
      <c r="A448" s="5" t="s">
        <v>1661</v>
      </c>
      <c r="B448" s="5" t="s">
        <v>61</v>
      </c>
      <c r="C448" s="5" t="s">
        <v>627</v>
      </c>
      <c r="D448" s="1" t="s">
        <v>62</v>
      </c>
      <c r="E448">
        <v>0</v>
      </c>
      <c r="F448">
        <v>9135</v>
      </c>
      <c r="G448">
        <v>0</v>
      </c>
      <c r="H448">
        <v>0</v>
      </c>
      <c r="I448">
        <v>5804</v>
      </c>
      <c r="J448">
        <v>13528</v>
      </c>
      <c r="K448">
        <v>425</v>
      </c>
      <c r="L448">
        <v>1325</v>
      </c>
      <c r="M448">
        <v>0</v>
      </c>
      <c r="N448">
        <v>0</v>
      </c>
      <c r="O448">
        <v>0</v>
      </c>
      <c r="P448">
        <v>2970</v>
      </c>
      <c r="Q448">
        <v>472</v>
      </c>
      <c r="R448">
        <v>330</v>
      </c>
      <c r="S448" s="18">
        <f t="shared" si="62"/>
        <v>9</v>
      </c>
      <c r="T448" s="17">
        <f t="shared" si="63"/>
        <v>0</v>
      </c>
      <c r="U448" s="17">
        <f t="shared" si="64"/>
        <v>0</v>
      </c>
      <c r="V448" s="17">
        <f t="shared" si="65"/>
        <v>0</v>
      </c>
      <c r="W448" s="17">
        <f t="shared" si="66"/>
        <v>330</v>
      </c>
      <c r="X448" s="17">
        <f t="shared" si="67"/>
        <v>142</v>
      </c>
      <c r="Y448" s="19">
        <f t="shared" si="68"/>
        <v>0</v>
      </c>
      <c r="Z448">
        <v>9135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5804</v>
      </c>
      <c r="AH448">
        <v>5804</v>
      </c>
      <c r="AI448">
        <v>0</v>
      </c>
      <c r="AJ448">
        <v>8528</v>
      </c>
      <c r="AK448">
        <v>5000</v>
      </c>
      <c r="AL448">
        <v>13528</v>
      </c>
      <c r="AM448">
        <v>0</v>
      </c>
      <c r="AN448">
        <v>425</v>
      </c>
      <c r="AO448">
        <v>0</v>
      </c>
      <c r="AP448">
        <v>100</v>
      </c>
      <c r="AQ448">
        <v>425</v>
      </c>
      <c r="AR448">
        <v>325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1325</v>
      </c>
      <c r="AZ448">
        <v>0</v>
      </c>
      <c r="BA448">
        <v>1325</v>
      </c>
      <c r="BB448">
        <v>0</v>
      </c>
      <c r="BC448">
        <v>0</v>
      </c>
      <c r="BD448">
        <v>0</v>
      </c>
      <c r="BE448">
        <f t="shared" si="69"/>
        <v>42589</v>
      </c>
      <c r="BF448">
        <v>30217</v>
      </c>
      <c r="BG448">
        <v>30217</v>
      </c>
      <c r="BH448" t="s">
        <v>543</v>
      </c>
      <c r="BI448" t="s">
        <v>1751</v>
      </c>
      <c r="BJ448">
        <v>0</v>
      </c>
      <c r="BK448">
        <v>21082</v>
      </c>
      <c r="BL448">
        <v>30217</v>
      </c>
      <c r="BM448">
        <v>0</v>
      </c>
      <c r="BN448">
        <v>10278</v>
      </c>
      <c r="BO448">
        <v>0</v>
      </c>
      <c r="BP448">
        <v>13774</v>
      </c>
      <c r="BQ448">
        <v>24052</v>
      </c>
      <c r="BR448">
        <f t="shared" si="70"/>
        <v>-142</v>
      </c>
      <c r="BS448">
        <f t="shared" si="71"/>
        <v>802</v>
      </c>
      <c r="BU448">
        <f>R448*9</f>
        <v>2970</v>
      </c>
      <c r="BV448">
        <f>IF(BU448&gt;BG448, 1, 0)</f>
        <v>0</v>
      </c>
    </row>
    <row r="449" spans="1:74" x14ac:dyDescent="0.25">
      <c r="A449" s="5" t="s">
        <v>1135</v>
      </c>
      <c r="B449" s="5" t="s">
        <v>61</v>
      </c>
      <c r="C449" s="5" t="s">
        <v>61</v>
      </c>
      <c r="D449" s="1" t="s">
        <v>75</v>
      </c>
      <c r="E449">
        <v>0</v>
      </c>
      <c r="F449">
        <v>1500</v>
      </c>
      <c r="G449">
        <v>0</v>
      </c>
      <c r="H449">
        <v>0</v>
      </c>
      <c r="I449">
        <v>6000</v>
      </c>
      <c r="J449">
        <v>7200</v>
      </c>
      <c r="K449">
        <v>270</v>
      </c>
      <c r="L449">
        <v>800</v>
      </c>
      <c r="M449">
        <v>0</v>
      </c>
      <c r="N449">
        <v>2835</v>
      </c>
      <c r="O449">
        <v>0</v>
      </c>
      <c r="P449">
        <v>0</v>
      </c>
      <c r="Q449">
        <v>315</v>
      </c>
      <c r="R449">
        <v>315</v>
      </c>
      <c r="S449" s="18">
        <f t="shared" si="62"/>
        <v>9</v>
      </c>
      <c r="T449" s="17">
        <f t="shared" si="63"/>
        <v>0</v>
      </c>
      <c r="U449" s="17">
        <f t="shared" si="64"/>
        <v>315</v>
      </c>
      <c r="V449" s="17">
        <f t="shared" si="65"/>
        <v>0</v>
      </c>
      <c r="W449" s="17">
        <f t="shared" si="66"/>
        <v>0</v>
      </c>
      <c r="X449" s="17">
        <f t="shared" si="67"/>
        <v>0</v>
      </c>
      <c r="Y449" s="19" t="e">
        <f t="shared" si="68"/>
        <v>#DIV/0!</v>
      </c>
      <c r="Z449">
        <v>1500</v>
      </c>
      <c r="AA449">
        <v>0</v>
      </c>
      <c r="AB449">
        <v>0</v>
      </c>
      <c r="AC449">
        <v>2000</v>
      </c>
      <c r="AD449">
        <v>0</v>
      </c>
      <c r="AE449">
        <v>6000</v>
      </c>
      <c r="AF449">
        <v>0</v>
      </c>
      <c r="AG449">
        <v>0</v>
      </c>
      <c r="AH449">
        <v>6000</v>
      </c>
      <c r="AI449">
        <v>0</v>
      </c>
      <c r="AJ449">
        <v>7200</v>
      </c>
      <c r="AK449">
        <v>0</v>
      </c>
      <c r="AL449">
        <v>7200</v>
      </c>
      <c r="AM449">
        <v>0</v>
      </c>
      <c r="AN449">
        <v>0</v>
      </c>
      <c r="AO449">
        <v>270</v>
      </c>
      <c r="AP449">
        <v>270</v>
      </c>
      <c r="AQ449">
        <v>270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800</v>
      </c>
      <c r="BA449">
        <v>800</v>
      </c>
      <c r="BB449">
        <v>0</v>
      </c>
      <c r="BC449">
        <v>0</v>
      </c>
      <c r="BD449">
        <v>0</v>
      </c>
      <c r="BE449">
        <f t="shared" si="69"/>
        <v>30810</v>
      </c>
      <c r="BF449">
        <v>17770</v>
      </c>
      <c r="BG449">
        <v>17770</v>
      </c>
      <c r="BH449" t="s">
        <v>63</v>
      </c>
      <c r="BI449" t="s">
        <v>1141</v>
      </c>
      <c r="BJ449">
        <v>2000</v>
      </c>
      <c r="BK449">
        <v>14270</v>
      </c>
      <c r="BL449">
        <v>17770</v>
      </c>
      <c r="BM449">
        <v>0</v>
      </c>
      <c r="BN449">
        <v>16035</v>
      </c>
      <c r="BO449">
        <v>0</v>
      </c>
      <c r="BP449">
        <v>1070</v>
      </c>
      <c r="BQ449">
        <v>17105</v>
      </c>
      <c r="BR449">
        <f t="shared" si="70"/>
        <v>0</v>
      </c>
      <c r="BS449">
        <f t="shared" si="71"/>
        <v>630</v>
      </c>
      <c r="BU449">
        <f>R449*9</f>
        <v>2835</v>
      </c>
      <c r="BV449">
        <f>IF(BU449&gt;BG449, 1, 0)</f>
        <v>0</v>
      </c>
    </row>
    <row r="450" spans="1:74" x14ac:dyDescent="0.25">
      <c r="A450" s="5" t="s">
        <v>1661</v>
      </c>
      <c r="B450" s="5" t="s">
        <v>61</v>
      </c>
      <c r="C450" s="5" t="s">
        <v>61</v>
      </c>
      <c r="D450" s="1" t="s">
        <v>62</v>
      </c>
      <c r="E450">
        <v>0</v>
      </c>
      <c r="F450">
        <v>971</v>
      </c>
      <c r="G450">
        <v>0</v>
      </c>
      <c r="H450">
        <v>0</v>
      </c>
      <c r="I450">
        <v>2510</v>
      </c>
      <c r="J450">
        <v>0</v>
      </c>
      <c r="K450">
        <v>20</v>
      </c>
      <c r="L450">
        <v>0</v>
      </c>
      <c r="M450">
        <v>0</v>
      </c>
      <c r="N450">
        <v>0</v>
      </c>
      <c r="O450">
        <v>0</v>
      </c>
      <c r="P450">
        <v>2790</v>
      </c>
      <c r="Q450">
        <v>510</v>
      </c>
      <c r="R450">
        <v>310</v>
      </c>
      <c r="S450" s="18">
        <f t="shared" ref="S450:S513" si="72">(M450+N450+O450+P450)/R450</f>
        <v>9</v>
      </c>
      <c r="T450" s="17">
        <f t="shared" ref="T450:T513" si="73">M450/$S450</f>
        <v>0</v>
      </c>
      <c r="U450" s="17">
        <f t="shared" ref="U450:U513" si="74">N450/$S450</f>
        <v>0</v>
      </c>
      <c r="V450" s="17">
        <f t="shared" ref="V450:V513" si="75">O450/$S450</f>
        <v>0</v>
      </c>
      <c r="W450" s="17">
        <f t="shared" ref="W450:W513" si="76">P450/$S450</f>
        <v>310</v>
      </c>
      <c r="X450" s="17">
        <f t="shared" ref="X450:X513" si="77">Q450-T450-U450-W450</f>
        <v>200</v>
      </c>
      <c r="Y450" s="19">
        <f t="shared" ref="Y450:Y513" si="78">V450/X450</f>
        <v>0</v>
      </c>
      <c r="Z450">
        <v>971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2510</v>
      </c>
      <c r="AH450">
        <v>2510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20</v>
      </c>
      <c r="AP450">
        <v>0</v>
      </c>
      <c r="AQ450">
        <v>20</v>
      </c>
      <c r="AR450">
        <v>20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f t="shared" ref="BE450:BE513" si="79">SUM(AC450:BD450)</f>
        <v>5080</v>
      </c>
      <c r="BF450">
        <v>3501</v>
      </c>
      <c r="BG450">
        <v>3501</v>
      </c>
      <c r="BH450" t="s">
        <v>63</v>
      </c>
      <c r="BI450" t="s">
        <v>1662</v>
      </c>
      <c r="BJ450">
        <v>0</v>
      </c>
      <c r="BK450">
        <v>2530</v>
      </c>
      <c r="BL450">
        <v>3501</v>
      </c>
      <c r="BM450">
        <v>0</v>
      </c>
      <c r="BN450">
        <v>0</v>
      </c>
      <c r="BO450">
        <v>0</v>
      </c>
      <c r="BP450">
        <v>5320</v>
      </c>
      <c r="BQ450">
        <v>5320</v>
      </c>
      <c r="BR450">
        <f t="shared" ref="BR450:BR513" si="80">R450-Q450</f>
        <v>-200</v>
      </c>
      <c r="BS450">
        <f t="shared" ref="BS450:BS513" si="81">R450+Q450</f>
        <v>820</v>
      </c>
      <c r="BU450">
        <f>R450*9</f>
        <v>2790</v>
      </c>
      <c r="BV450">
        <f>IF(BU450&gt;BG450, 1, 0)</f>
        <v>0</v>
      </c>
    </row>
    <row r="451" spans="1:74" x14ac:dyDescent="0.25">
      <c r="A451" s="5" t="s">
        <v>1337</v>
      </c>
      <c r="B451" s="5" t="s">
        <v>359</v>
      </c>
      <c r="C451" s="5" t="s">
        <v>61</v>
      </c>
      <c r="D451" s="1" t="s">
        <v>77</v>
      </c>
      <c r="E451">
        <v>0</v>
      </c>
      <c r="F451">
        <v>446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4014</v>
      </c>
      <c r="Q451">
        <v>446</v>
      </c>
      <c r="R451">
        <v>446</v>
      </c>
      <c r="S451" s="18">
        <f t="shared" si="72"/>
        <v>9</v>
      </c>
      <c r="T451" s="17">
        <f t="shared" si="73"/>
        <v>0</v>
      </c>
      <c r="U451" s="17">
        <f t="shared" si="74"/>
        <v>0</v>
      </c>
      <c r="V451" s="17">
        <f t="shared" si="75"/>
        <v>0</v>
      </c>
      <c r="W451" s="17">
        <f t="shared" si="76"/>
        <v>446</v>
      </c>
      <c r="X451" s="17">
        <f t="shared" si="77"/>
        <v>0</v>
      </c>
      <c r="Y451" s="19" t="e">
        <f t="shared" si="78"/>
        <v>#DIV/0!</v>
      </c>
      <c r="Z451">
        <v>446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f t="shared" si="79"/>
        <v>0</v>
      </c>
      <c r="BF451">
        <v>446</v>
      </c>
      <c r="BG451">
        <v>446</v>
      </c>
      <c r="BH451" t="s">
        <v>560</v>
      </c>
      <c r="BI451" t="s">
        <v>1420</v>
      </c>
      <c r="BJ451">
        <v>0</v>
      </c>
      <c r="BK451">
        <v>0</v>
      </c>
      <c r="BL451">
        <v>446</v>
      </c>
      <c r="BM451">
        <v>0</v>
      </c>
      <c r="BN451">
        <v>0</v>
      </c>
      <c r="BO451">
        <v>0</v>
      </c>
      <c r="BP451">
        <v>4014</v>
      </c>
      <c r="BQ451">
        <v>4014</v>
      </c>
      <c r="BR451">
        <f t="shared" si="80"/>
        <v>0</v>
      </c>
      <c r="BS451">
        <f t="shared" si="81"/>
        <v>892</v>
      </c>
    </row>
    <row r="452" spans="1:74" x14ac:dyDescent="0.25">
      <c r="A452" s="5" t="s">
        <v>1337</v>
      </c>
      <c r="B452" s="6" t="s">
        <v>359</v>
      </c>
      <c r="C452" s="6" t="s">
        <v>61</v>
      </c>
      <c r="D452" s="1" t="s">
        <v>81</v>
      </c>
      <c r="E452">
        <v>0</v>
      </c>
      <c r="F452">
        <v>137</v>
      </c>
      <c r="G452">
        <v>0</v>
      </c>
      <c r="H452">
        <v>0</v>
      </c>
      <c r="I452">
        <v>490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1233</v>
      </c>
      <c r="Q452">
        <v>137</v>
      </c>
      <c r="R452">
        <v>137</v>
      </c>
      <c r="S452" s="18">
        <f t="shared" si="72"/>
        <v>9</v>
      </c>
      <c r="T452" s="17">
        <f t="shared" si="73"/>
        <v>0</v>
      </c>
      <c r="U452" s="17">
        <f t="shared" si="74"/>
        <v>0</v>
      </c>
      <c r="V452" s="17">
        <f t="shared" si="75"/>
        <v>0</v>
      </c>
      <c r="W452" s="17">
        <f t="shared" si="76"/>
        <v>137</v>
      </c>
      <c r="X452" s="17">
        <f t="shared" si="77"/>
        <v>0</v>
      </c>
      <c r="Y452" s="19" t="e">
        <f t="shared" si="78"/>
        <v>#DIV/0!</v>
      </c>
      <c r="Z452">
        <v>137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490</v>
      </c>
      <c r="AH452">
        <v>490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f t="shared" si="79"/>
        <v>980</v>
      </c>
      <c r="BF452">
        <v>627</v>
      </c>
      <c r="BG452">
        <v>627</v>
      </c>
      <c r="BH452" t="s">
        <v>109</v>
      </c>
      <c r="BI452" t="s">
        <v>1422</v>
      </c>
      <c r="BJ452">
        <v>0</v>
      </c>
      <c r="BK452">
        <v>490</v>
      </c>
      <c r="BL452">
        <v>627</v>
      </c>
      <c r="BM452">
        <v>0</v>
      </c>
      <c r="BN452">
        <v>0</v>
      </c>
      <c r="BO452">
        <v>0</v>
      </c>
      <c r="BP452">
        <v>1723</v>
      </c>
      <c r="BQ452">
        <v>1723</v>
      </c>
      <c r="BR452">
        <f t="shared" si="80"/>
        <v>0</v>
      </c>
      <c r="BS452">
        <f t="shared" si="81"/>
        <v>274</v>
      </c>
    </row>
    <row r="453" spans="1:74" x14ac:dyDescent="0.25">
      <c r="A453" s="5" t="s">
        <v>1337</v>
      </c>
      <c r="B453" s="7" t="s">
        <v>359</v>
      </c>
      <c r="C453" s="7" t="s">
        <v>61</v>
      </c>
      <c r="D453" s="1" t="s">
        <v>84</v>
      </c>
      <c r="E453">
        <v>0</v>
      </c>
      <c r="F453">
        <v>348242</v>
      </c>
      <c r="G453">
        <v>0</v>
      </c>
      <c r="H453">
        <v>0</v>
      </c>
      <c r="I453">
        <v>0</v>
      </c>
      <c r="J453">
        <v>0</v>
      </c>
      <c r="K453">
        <v>1876</v>
      </c>
      <c r="L453">
        <v>0</v>
      </c>
      <c r="M453">
        <v>0</v>
      </c>
      <c r="N453">
        <v>0</v>
      </c>
      <c r="O453">
        <v>0</v>
      </c>
      <c r="P453">
        <v>123417</v>
      </c>
      <c r="Q453">
        <v>13713</v>
      </c>
      <c r="R453">
        <v>13713</v>
      </c>
      <c r="S453" s="18">
        <f t="shared" si="72"/>
        <v>9</v>
      </c>
      <c r="T453" s="17">
        <f t="shared" si="73"/>
        <v>0</v>
      </c>
      <c r="U453" s="17">
        <f t="shared" si="74"/>
        <v>0</v>
      </c>
      <c r="V453" s="17">
        <f t="shared" si="75"/>
        <v>0</v>
      </c>
      <c r="W453" s="17">
        <f t="shared" si="76"/>
        <v>13713</v>
      </c>
      <c r="X453" s="17">
        <f t="shared" si="77"/>
        <v>0</v>
      </c>
      <c r="Y453" s="19" t="e">
        <f t="shared" si="78"/>
        <v>#DIV/0!</v>
      </c>
      <c r="Z453">
        <v>348242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1876</v>
      </c>
      <c r="AP453">
        <v>1876</v>
      </c>
      <c r="AQ453">
        <v>1876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f t="shared" si="79"/>
        <v>5628</v>
      </c>
      <c r="BF453">
        <v>350118</v>
      </c>
      <c r="BG453">
        <v>350118</v>
      </c>
      <c r="BH453" t="s">
        <v>1214</v>
      </c>
      <c r="BI453" t="s">
        <v>1423</v>
      </c>
      <c r="BJ453">
        <v>0</v>
      </c>
      <c r="BK453">
        <v>1876</v>
      </c>
      <c r="BL453">
        <v>350118</v>
      </c>
      <c r="BM453">
        <v>0</v>
      </c>
      <c r="BN453">
        <v>0</v>
      </c>
      <c r="BO453">
        <v>0</v>
      </c>
      <c r="BP453">
        <v>125293</v>
      </c>
      <c r="BQ453">
        <v>125293</v>
      </c>
      <c r="BR453">
        <f t="shared" si="80"/>
        <v>0</v>
      </c>
      <c r="BS453">
        <f t="shared" si="81"/>
        <v>27426</v>
      </c>
    </row>
    <row r="454" spans="1:74" x14ac:dyDescent="0.25">
      <c r="A454" s="5" t="s">
        <v>1337</v>
      </c>
      <c r="B454" s="5" t="s">
        <v>359</v>
      </c>
      <c r="C454" s="5" t="s">
        <v>61</v>
      </c>
      <c r="D454" s="1" t="s">
        <v>90</v>
      </c>
      <c r="E454">
        <v>0</v>
      </c>
      <c r="F454">
        <v>37800</v>
      </c>
      <c r="G454">
        <v>0</v>
      </c>
      <c r="H454">
        <v>0</v>
      </c>
      <c r="I454">
        <v>18480</v>
      </c>
      <c r="J454">
        <v>0</v>
      </c>
      <c r="K454">
        <v>87</v>
      </c>
      <c r="L454">
        <v>0</v>
      </c>
      <c r="M454">
        <v>0</v>
      </c>
      <c r="N454">
        <v>0</v>
      </c>
      <c r="O454">
        <v>0</v>
      </c>
      <c r="P454">
        <v>23067</v>
      </c>
      <c r="Q454">
        <v>2563</v>
      </c>
      <c r="R454">
        <v>2563</v>
      </c>
      <c r="S454" s="18">
        <f t="shared" si="72"/>
        <v>9</v>
      </c>
      <c r="T454" s="17">
        <f t="shared" si="73"/>
        <v>0</v>
      </c>
      <c r="U454" s="17">
        <f t="shared" si="74"/>
        <v>0</v>
      </c>
      <c r="V454" s="17">
        <f t="shared" si="75"/>
        <v>0</v>
      </c>
      <c r="W454" s="17">
        <f t="shared" si="76"/>
        <v>2563</v>
      </c>
      <c r="X454" s="17">
        <f t="shared" si="77"/>
        <v>0</v>
      </c>
      <c r="Y454" s="19" t="e">
        <f t="shared" si="78"/>
        <v>#DIV/0!</v>
      </c>
      <c r="Z454">
        <v>37800</v>
      </c>
      <c r="AA454">
        <v>0</v>
      </c>
      <c r="AB454">
        <v>0</v>
      </c>
      <c r="AC454">
        <v>0</v>
      </c>
      <c r="AD454">
        <v>0</v>
      </c>
      <c r="AE454">
        <v>18480</v>
      </c>
      <c r="AF454">
        <v>0</v>
      </c>
      <c r="AG454">
        <v>0</v>
      </c>
      <c r="AH454">
        <v>18480</v>
      </c>
      <c r="AI454">
        <v>0</v>
      </c>
      <c r="AJ454">
        <v>0</v>
      </c>
      <c r="AK454">
        <v>0</v>
      </c>
      <c r="AL454">
        <v>0</v>
      </c>
      <c r="AM454">
        <v>87</v>
      </c>
      <c r="AN454">
        <v>0</v>
      </c>
      <c r="AO454">
        <v>0</v>
      </c>
      <c r="AP454">
        <v>70</v>
      </c>
      <c r="AQ454">
        <v>87</v>
      </c>
      <c r="AR454">
        <v>17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f t="shared" si="79"/>
        <v>37221</v>
      </c>
      <c r="BF454">
        <v>56367</v>
      </c>
      <c r="BG454">
        <v>56367</v>
      </c>
      <c r="BH454" t="s">
        <v>109</v>
      </c>
      <c r="BI454" t="s">
        <v>1376</v>
      </c>
      <c r="BJ454">
        <v>0</v>
      </c>
      <c r="BK454">
        <v>18567</v>
      </c>
      <c r="BL454">
        <v>56367</v>
      </c>
      <c r="BM454">
        <v>87</v>
      </c>
      <c r="BN454">
        <v>18480</v>
      </c>
      <c r="BO454">
        <v>0</v>
      </c>
      <c r="BP454">
        <v>23067</v>
      </c>
      <c r="BQ454">
        <v>41634</v>
      </c>
      <c r="BR454">
        <f t="shared" si="80"/>
        <v>0</v>
      </c>
      <c r="BS454">
        <f t="shared" si="81"/>
        <v>5126</v>
      </c>
    </row>
    <row r="455" spans="1:74" x14ac:dyDescent="0.25">
      <c r="A455" s="5" t="s">
        <v>1337</v>
      </c>
      <c r="B455" s="5" t="s">
        <v>359</v>
      </c>
      <c r="C455" s="5" t="s">
        <v>61</v>
      </c>
      <c r="D455" s="1" t="s">
        <v>94</v>
      </c>
      <c r="E455">
        <v>0</v>
      </c>
      <c r="F455">
        <v>3010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5751</v>
      </c>
      <c r="N455">
        <v>0</v>
      </c>
      <c r="O455">
        <v>0</v>
      </c>
      <c r="P455">
        <v>0</v>
      </c>
      <c r="Q455">
        <v>639</v>
      </c>
      <c r="R455">
        <v>639</v>
      </c>
      <c r="S455" s="18">
        <f t="shared" si="72"/>
        <v>9</v>
      </c>
      <c r="T455" s="17">
        <f t="shared" si="73"/>
        <v>639</v>
      </c>
      <c r="U455" s="17">
        <f t="shared" si="74"/>
        <v>0</v>
      </c>
      <c r="V455" s="17">
        <f t="shared" si="75"/>
        <v>0</v>
      </c>
      <c r="W455" s="17">
        <f t="shared" si="76"/>
        <v>0</v>
      </c>
      <c r="X455" s="17">
        <f t="shared" si="77"/>
        <v>0</v>
      </c>
      <c r="Y455" s="19" t="e">
        <f t="shared" si="78"/>
        <v>#DIV/0!</v>
      </c>
      <c r="Z455">
        <v>3010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f t="shared" si="79"/>
        <v>0</v>
      </c>
      <c r="BF455">
        <v>3010</v>
      </c>
      <c r="BG455">
        <v>3010</v>
      </c>
      <c r="BH455" t="s">
        <v>109</v>
      </c>
      <c r="BI455" t="s">
        <v>1427</v>
      </c>
      <c r="BJ455">
        <v>0</v>
      </c>
      <c r="BK455">
        <v>0</v>
      </c>
      <c r="BL455">
        <v>3010</v>
      </c>
      <c r="BM455">
        <v>5751</v>
      </c>
      <c r="BN455">
        <v>0</v>
      </c>
      <c r="BO455">
        <v>0</v>
      </c>
      <c r="BP455">
        <v>0</v>
      </c>
      <c r="BQ455">
        <v>5751</v>
      </c>
      <c r="BR455">
        <f t="shared" si="80"/>
        <v>0</v>
      </c>
      <c r="BS455">
        <f t="shared" si="81"/>
        <v>1278</v>
      </c>
    </row>
    <row r="456" spans="1:74" x14ac:dyDescent="0.25">
      <c r="A456" s="5" t="s">
        <v>1337</v>
      </c>
      <c r="B456" s="5" t="s">
        <v>359</v>
      </c>
      <c r="C456" s="5" t="s">
        <v>61</v>
      </c>
      <c r="D456" s="1" t="s">
        <v>115</v>
      </c>
      <c r="E456">
        <v>0</v>
      </c>
      <c r="F456">
        <v>155</v>
      </c>
      <c r="G456">
        <v>0</v>
      </c>
      <c r="H456">
        <v>0</v>
      </c>
      <c r="I456">
        <v>0</v>
      </c>
      <c r="J456">
        <v>0</v>
      </c>
      <c r="K456">
        <v>80</v>
      </c>
      <c r="L456">
        <v>22</v>
      </c>
      <c r="M456">
        <v>1395</v>
      </c>
      <c r="N456">
        <v>0</v>
      </c>
      <c r="O456">
        <v>0</v>
      </c>
      <c r="P456">
        <v>0</v>
      </c>
      <c r="Q456">
        <v>155</v>
      </c>
      <c r="R456">
        <v>155</v>
      </c>
      <c r="S456" s="18">
        <f t="shared" si="72"/>
        <v>9</v>
      </c>
      <c r="T456" s="17">
        <f t="shared" si="73"/>
        <v>155</v>
      </c>
      <c r="U456" s="17">
        <f t="shared" si="74"/>
        <v>0</v>
      </c>
      <c r="V456" s="17">
        <f t="shared" si="75"/>
        <v>0</v>
      </c>
      <c r="W456" s="17">
        <f t="shared" si="76"/>
        <v>0</v>
      </c>
      <c r="X456" s="17">
        <f t="shared" si="77"/>
        <v>0</v>
      </c>
      <c r="Y456" s="19" t="e">
        <f t="shared" si="78"/>
        <v>#DIV/0!</v>
      </c>
      <c r="Z456">
        <v>155</v>
      </c>
      <c r="AA456">
        <v>0</v>
      </c>
      <c r="AB456">
        <v>0</v>
      </c>
      <c r="AC456">
        <v>65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80</v>
      </c>
      <c r="AP456">
        <v>80</v>
      </c>
      <c r="AQ456">
        <v>80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22</v>
      </c>
      <c r="BA456">
        <v>22</v>
      </c>
      <c r="BB456">
        <v>0</v>
      </c>
      <c r="BC456">
        <v>0</v>
      </c>
      <c r="BD456">
        <v>0</v>
      </c>
      <c r="BE456">
        <f t="shared" si="79"/>
        <v>349</v>
      </c>
      <c r="BF456">
        <v>322</v>
      </c>
      <c r="BG456">
        <v>322</v>
      </c>
      <c r="BH456" t="s">
        <v>190</v>
      </c>
      <c r="BI456" t="s">
        <v>1436</v>
      </c>
      <c r="BJ456">
        <v>65</v>
      </c>
      <c r="BK456">
        <v>102</v>
      </c>
      <c r="BL456">
        <v>322</v>
      </c>
      <c r="BM456">
        <v>1395</v>
      </c>
      <c r="BN456">
        <v>0</v>
      </c>
      <c r="BO456">
        <v>0</v>
      </c>
      <c r="BP456">
        <v>102</v>
      </c>
      <c r="BQ456">
        <v>1497</v>
      </c>
      <c r="BR456">
        <f t="shared" si="80"/>
        <v>0</v>
      </c>
      <c r="BS456">
        <f t="shared" si="81"/>
        <v>310</v>
      </c>
    </row>
    <row r="457" spans="1:74" x14ac:dyDescent="0.25">
      <c r="A457" s="5" t="s">
        <v>1337</v>
      </c>
      <c r="B457" s="5" t="s">
        <v>359</v>
      </c>
      <c r="C457" s="5" t="s">
        <v>61</v>
      </c>
      <c r="D457" s="1" t="s">
        <v>117</v>
      </c>
      <c r="E457">
        <v>0</v>
      </c>
      <c r="F457">
        <v>305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4572</v>
      </c>
      <c r="N457">
        <v>0</v>
      </c>
      <c r="O457">
        <v>0</v>
      </c>
      <c r="P457">
        <v>0</v>
      </c>
      <c r="Q457">
        <v>508</v>
      </c>
      <c r="R457">
        <v>508</v>
      </c>
      <c r="S457" s="18">
        <f t="shared" si="72"/>
        <v>9</v>
      </c>
      <c r="T457" s="17">
        <f t="shared" si="73"/>
        <v>508</v>
      </c>
      <c r="U457" s="17">
        <f t="shared" si="74"/>
        <v>0</v>
      </c>
      <c r="V457" s="17">
        <f t="shared" si="75"/>
        <v>0</v>
      </c>
      <c r="W457" s="17">
        <f t="shared" si="76"/>
        <v>0</v>
      </c>
      <c r="X457" s="17">
        <f t="shared" si="77"/>
        <v>0</v>
      </c>
      <c r="Y457" s="19" t="e">
        <f t="shared" si="78"/>
        <v>#DIV/0!</v>
      </c>
      <c r="Z457">
        <v>305</v>
      </c>
      <c r="AA457">
        <v>0</v>
      </c>
      <c r="AB457">
        <v>0</v>
      </c>
      <c r="AC457">
        <v>81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f t="shared" si="79"/>
        <v>81</v>
      </c>
      <c r="BF457">
        <v>386</v>
      </c>
      <c r="BG457">
        <v>386</v>
      </c>
      <c r="BH457" t="s">
        <v>190</v>
      </c>
      <c r="BI457" t="s">
        <v>1437</v>
      </c>
      <c r="BJ457">
        <v>81</v>
      </c>
      <c r="BK457">
        <v>0</v>
      </c>
      <c r="BL457">
        <v>386</v>
      </c>
      <c r="BM457">
        <v>4572</v>
      </c>
      <c r="BN457">
        <v>0</v>
      </c>
      <c r="BO457">
        <v>0</v>
      </c>
      <c r="BP457">
        <v>0</v>
      </c>
      <c r="BQ457">
        <v>4572</v>
      </c>
      <c r="BR457">
        <f t="shared" si="80"/>
        <v>0</v>
      </c>
      <c r="BS457">
        <f t="shared" si="81"/>
        <v>1016</v>
      </c>
    </row>
    <row r="458" spans="1:74" x14ac:dyDescent="0.25">
      <c r="A458" s="5" t="s">
        <v>1337</v>
      </c>
      <c r="B458" s="5" t="s">
        <v>359</v>
      </c>
      <c r="C458" s="5" t="s">
        <v>61</v>
      </c>
      <c r="D458" s="1" t="s">
        <v>119</v>
      </c>
      <c r="E458">
        <v>0</v>
      </c>
      <c r="F458">
        <v>85</v>
      </c>
      <c r="G458">
        <v>0</v>
      </c>
      <c r="H458">
        <v>0</v>
      </c>
      <c r="I458">
        <v>0</v>
      </c>
      <c r="J458">
        <v>0</v>
      </c>
      <c r="K458">
        <v>128</v>
      </c>
      <c r="L458">
        <v>55</v>
      </c>
      <c r="M458">
        <v>0</v>
      </c>
      <c r="N458">
        <v>0</v>
      </c>
      <c r="O458">
        <v>0</v>
      </c>
      <c r="P458">
        <v>216</v>
      </c>
      <c r="Q458">
        <v>24</v>
      </c>
      <c r="R458">
        <v>24</v>
      </c>
      <c r="S458" s="18">
        <f t="shared" si="72"/>
        <v>9</v>
      </c>
      <c r="T458" s="17">
        <f t="shared" si="73"/>
        <v>0</v>
      </c>
      <c r="U458" s="17">
        <f t="shared" si="74"/>
        <v>0</v>
      </c>
      <c r="V458" s="17">
        <f t="shared" si="75"/>
        <v>0</v>
      </c>
      <c r="W458" s="17">
        <f t="shared" si="76"/>
        <v>24</v>
      </c>
      <c r="X458" s="17">
        <f t="shared" si="77"/>
        <v>0</v>
      </c>
      <c r="Y458" s="19" t="e">
        <f t="shared" si="78"/>
        <v>#DIV/0!</v>
      </c>
      <c r="Z458">
        <v>85</v>
      </c>
      <c r="AA458">
        <v>0</v>
      </c>
      <c r="AB458">
        <v>0</v>
      </c>
      <c r="AC458">
        <v>20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128</v>
      </c>
      <c r="AP458">
        <v>66</v>
      </c>
      <c r="AQ458">
        <v>128</v>
      </c>
      <c r="AR458">
        <v>62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55</v>
      </c>
      <c r="BA458">
        <v>55</v>
      </c>
      <c r="BB458">
        <v>0</v>
      </c>
      <c r="BC458">
        <v>0</v>
      </c>
      <c r="BD458">
        <v>0</v>
      </c>
      <c r="BE458">
        <f t="shared" si="79"/>
        <v>514</v>
      </c>
      <c r="BF458">
        <v>288</v>
      </c>
      <c r="BG458">
        <v>288</v>
      </c>
      <c r="BH458" t="s">
        <v>190</v>
      </c>
      <c r="BI458" t="s">
        <v>1438</v>
      </c>
      <c r="BJ458">
        <v>20</v>
      </c>
      <c r="BK458">
        <v>183</v>
      </c>
      <c r="BL458">
        <v>288</v>
      </c>
      <c r="BM458">
        <v>0</v>
      </c>
      <c r="BN458">
        <v>0</v>
      </c>
      <c r="BO458">
        <v>0</v>
      </c>
      <c r="BP458">
        <v>399</v>
      </c>
      <c r="BQ458">
        <v>399</v>
      </c>
      <c r="BR458">
        <f t="shared" si="80"/>
        <v>0</v>
      </c>
      <c r="BS458">
        <f t="shared" si="81"/>
        <v>48</v>
      </c>
    </row>
    <row r="459" spans="1:74" x14ac:dyDescent="0.25">
      <c r="A459" s="5" t="s">
        <v>1337</v>
      </c>
      <c r="B459" s="5" t="s">
        <v>359</v>
      </c>
      <c r="C459" s="5" t="s">
        <v>61</v>
      </c>
      <c r="D459" s="1" t="s">
        <v>123</v>
      </c>
      <c r="E459">
        <v>0</v>
      </c>
      <c r="F459">
        <v>63</v>
      </c>
      <c r="G459">
        <v>0</v>
      </c>
      <c r="H459">
        <v>0</v>
      </c>
      <c r="I459">
        <v>30</v>
      </c>
      <c r="J459">
        <v>25</v>
      </c>
      <c r="K459">
        <v>52</v>
      </c>
      <c r="L459">
        <v>4</v>
      </c>
      <c r="M459">
        <v>0</v>
      </c>
      <c r="N459">
        <v>0</v>
      </c>
      <c r="O459">
        <v>0</v>
      </c>
      <c r="P459">
        <v>441</v>
      </c>
      <c r="Q459">
        <v>49</v>
      </c>
      <c r="R459">
        <v>49</v>
      </c>
      <c r="S459" s="18">
        <f t="shared" si="72"/>
        <v>9</v>
      </c>
      <c r="T459" s="17">
        <f t="shared" si="73"/>
        <v>0</v>
      </c>
      <c r="U459" s="17">
        <f t="shared" si="74"/>
        <v>0</v>
      </c>
      <c r="V459" s="17">
        <f t="shared" si="75"/>
        <v>0</v>
      </c>
      <c r="W459" s="17">
        <f t="shared" si="76"/>
        <v>49</v>
      </c>
      <c r="X459" s="17">
        <f t="shared" si="77"/>
        <v>0</v>
      </c>
      <c r="Y459" s="19" t="e">
        <f t="shared" si="78"/>
        <v>#DIV/0!</v>
      </c>
      <c r="Z459">
        <v>63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30</v>
      </c>
      <c r="AH459">
        <v>30</v>
      </c>
      <c r="AI459">
        <v>0</v>
      </c>
      <c r="AJ459">
        <v>0</v>
      </c>
      <c r="AK459">
        <v>25</v>
      </c>
      <c r="AL459">
        <v>25</v>
      </c>
      <c r="AM459">
        <v>0</v>
      </c>
      <c r="AN459">
        <v>0</v>
      </c>
      <c r="AO459">
        <v>52</v>
      </c>
      <c r="AP459">
        <v>4</v>
      </c>
      <c r="AQ459">
        <v>52</v>
      </c>
      <c r="AR459">
        <v>48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4</v>
      </c>
      <c r="BA459">
        <v>4</v>
      </c>
      <c r="BB459">
        <v>0</v>
      </c>
      <c r="BC459">
        <v>0</v>
      </c>
      <c r="BD459">
        <v>0</v>
      </c>
      <c r="BE459">
        <f t="shared" si="79"/>
        <v>274</v>
      </c>
      <c r="BF459">
        <v>174</v>
      </c>
      <c r="BG459">
        <v>174</v>
      </c>
      <c r="BH459" t="s">
        <v>190</v>
      </c>
      <c r="BI459" t="s">
        <v>1440</v>
      </c>
      <c r="BJ459">
        <v>0</v>
      </c>
      <c r="BK459">
        <v>111</v>
      </c>
      <c r="BL459">
        <v>174</v>
      </c>
      <c r="BM459">
        <v>0</v>
      </c>
      <c r="BN459">
        <v>0</v>
      </c>
      <c r="BO459">
        <v>0</v>
      </c>
      <c r="BP459">
        <v>552</v>
      </c>
      <c r="BQ459">
        <v>552</v>
      </c>
      <c r="BR459">
        <f t="shared" si="80"/>
        <v>0</v>
      </c>
      <c r="BS459">
        <f t="shared" si="81"/>
        <v>98</v>
      </c>
    </row>
    <row r="460" spans="1:74" x14ac:dyDescent="0.25">
      <c r="A460" s="5" t="s">
        <v>1337</v>
      </c>
      <c r="B460" s="5" t="s">
        <v>359</v>
      </c>
      <c r="C460" s="5" t="s">
        <v>61</v>
      </c>
      <c r="D460" s="1" t="s">
        <v>131</v>
      </c>
      <c r="E460">
        <v>0</v>
      </c>
      <c r="F460">
        <v>57717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21753</v>
      </c>
      <c r="N460">
        <v>0</v>
      </c>
      <c r="O460">
        <v>0</v>
      </c>
      <c r="P460">
        <v>0</v>
      </c>
      <c r="Q460">
        <v>2417</v>
      </c>
      <c r="R460">
        <v>2417</v>
      </c>
      <c r="S460" s="18">
        <f t="shared" si="72"/>
        <v>9</v>
      </c>
      <c r="T460" s="17">
        <f t="shared" si="73"/>
        <v>2417</v>
      </c>
      <c r="U460" s="17">
        <f t="shared" si="74"/>
        <v>0</v>
      </c>
      <c r="V460" s="17">
        <f t="shared" si="75"/>
        <v>0</v>
      </c>
      <c r="W460" s="17">
        <f t="shared" si="76"/>
        <v>0</v>
      </c>
      <c r="X460" s="17">
        <f t="shared" si="77"/>
        <v>0</v>
      </c>
      <c r="Y460" s="19" t="e">
        <f t="shared" si="78"/>
        <v>#DIV/0!</v>
      </c>
      <c r="Z460">
        <v>57717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f t="shared" si="79"/>
        <v>0</v>
      </c>
      <c r="BF460">
        <v>57717</v>
      </c>
      <c r="BG460">
        <v>57717</v>
      </c>
      <c r="BH460" t="s">
        <v>546</v>
      </c>
      <c r="BI460" t="s">
        <v>1444</v>
      </c>
      <c r="BJ460">
        <v>0</v>
      </c>
      <c r="BK460">
        <v>0</v>
      </c>
      <c r="BL460">
        <v>57717</v>
      </c>
      <c r="BM460">
        <v>21753</v>
      </c>
      <c r="BN460">
        <v>0</v>
      </c>
      <c r="BO460">
        <v>0</v>
      </c>
      <c r="BP460">
        <v>0</v>
      </c>
      <c r="BQ460">
        <v>21753</v>
      </c>
      <c r="BR460">
        <f t="shared" si="80"/>
        <v>0</v>
      </c>
      <c r="BS460">
        <f t="shared" si="81"/>
        <v>4834</v>
      </c>
    </row>
    <row r="461" spans="1:74" x14ac:dyDescent="0.25">
      <c r="A461" s="5" t="s">
        <v>61</v>
      </c>
      <c r="B461" s="5" t="s">
        <v>359</v>
      </c>
      <c r="C461" s="5" t="s">
        <v>61</v>
      </c>
      <c r="D461" s="1" t="s">
        <v>71</v>
      </c>
      <c r="E461">
        <v>0</v>
      </c>
      <c r="F461">
        <v>1200</v>
      </c>
      <c r="G461">
        <v>0</v>
      </c>
      <c r="H461">
        <v>0</v>
      </c>
      <c r="I461">
        <v>3000</v>
      </c>
      <c r="J461">
        <v>300</v>
      </c>
      <c r="K461">
        <v>65</v>
      </c>
      <c r="L461">
        <v>85</v>
      </c>
      <c r="M461">
        <v>0</v>
      </c>
      <c r="N461">
        <v>0</v>
      </c>
      <c r="O461">
        <v>0</v>
      </c>
      <c r="P461">
        <v>2781</v>
      </c>
      <c r="Q461">
        <v>309</v>
      </c>
      <c r="R461">
        <v>309</v>
      </c>
      <c r="S461" s="18">
        <f t="shared" si="72"/>
        <v>9</v>
      </c>
      <c r="T461" s="17">
        <f t="shared" si="73"/>
        <v>0</v>
      </c>
      <c r="U461" s="17">
        <f t="shared" si="74"/>
        <v>0</v>
      </c>
      <c r="V461" s="17">
        <f t="shared" si="75"/>
        <v>0</v>
      </c>
      <c r="W461" s="17">
        <f t="shared" si="76"/>
        <v>309</v>
      </c>
      <c r="X461" s="17">
        <f t="shared" si="77"/>
        <v>0</v>
      </c>
      <c r="Y461" s="19" t="e">
        <f t="shared" si="78"/>
        <v>#DIV/0!</v>
      </c>
      <c r="Z461">
        <v>1200</v>
      </c>
      <c r="AA461">
        <v>0</v>
      </c>
      <c r="AB461">
        <v>0</v>
      </c>
      <c r="AC461">
        <v>45</v>
      </c>
      <c r="AD461">
        <v>0</v>
      </c>
      <c r="AE461">
        <v>0</v>
      </c>
      <c r="AF461">
        <v>0</v>
      </c>
      <c r="AG461">
        <v>3000</v>
      </c>
      <c r="AH461">
        <v>3000</v>
      </c>
      <c r="AI461">
        <v>0</v>
      </c>
      <c r="AJ461">
        <v>0</v>
      </c>
      <c r="AK461">
        <v>300</v>
      </c>
      <c r="AL461">
        <v>300</v>
      </c>
      <c r="AM461">
        <v>0</v>
      </c>
      <c r="AN461">
        <v>0</v>
      </c>
      <c r="AO461">
        <v>65</v>
      </c>
      <c r="AP461">
        <v>0</v>
      </c>
      <c r="AQ461">
        <v>65</v>
      </c>
      <c r="AR461">
        <v>65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85</v>
      </c>
      <c r="BA461">
        <v>85</v>
      </c>
      <c r="BB461">
        <v>0</v>
      </c>
      <c r="BC461">
        <v>0</v>
      </c>
      <c r="BD461">
        <v>0</v>
      </c>
      <c r="BE461">
        <f t="shared" si="79"/>
        <v>7010</v>
      </c>
      <c r="BF461">
        <v>4695</v>
      </c>
      <c r="BG461">
        <v>4695</v>
      </c>
      <c r="BH461" t="s">
        <v>63</v>
      </c>
      <c r="BI461" t="s">
        <v>364</v>
      </c>
      <c r="BJ461">
        <v>45</v>
      </c>
      <c r="BK461">
        <v>3450</v>
      </c>
      <c r="BL461">
        <v>4695</v>
      </c>
      <c r="BM461">
        <v>0</v>
      </c>
      <c r="BN461">
        <v>0</v>
      </c>
      <c r="BO461">
        <v>0</v>
      </c>
      <c r="BP461">
        <v>6231</v>
      </c>
      <c r="BQ461">
        <v>6231</v>
      </c>
      <c r="BR461">
        <f t="shared" si="80"/>
        <v>0</v>
      </c>
      <c r="BS461">
        <f t="shared" si="81"/>
        <v>618</v>
      </c>
      <c r="BU461">
        <f>R461*9</f>
        <v>2781</v>
      </c>
      <c r="BV461">
        <f>IF(BU461&gt;BG461, 1, 0)</f>
        <v>0</v>
      </c>
    </row>
    <row r="462" spans="1:74" x14ac:dyDescent="0.25">
      <c r="A462" s="5" t="s">
        <v>1451</v>
      </c>
      <c r="B462" s="5" t="s">
        <v>61</v>
      </c>
      <c r="C462" s="5" t="s">
        <v>61</v>
      </c>
      <c r="D462" s="1" t="s">
        <v>69</v>
      </c>
      <c r="E462">
        <v>0</v>
      </c>
      <c r="F462">
        <v>1320</v>
      </c>
      <c r="G462">
        <v>0</v>
      </c>
      <c r="H462">
        <v>0</v>
      </c>
      <c r="I462">
        <v>250</v>
      </c>
      <c r="J462">
        <v>0</v>
      </c>
      <c r="K462">
        <v>0</v>
      </c>
      <c r="L462">
        <v>0</v>
      </c>
      <c r="M462">
        <v>4158</v>
      </c>
      <c r="N462">
        <v>0</v>
      </c>
      <c r="O462">
        <v>0</v>
      </c>
      <c r="P462">
        <v>0</v>
      </c>
      <c r="Q462">
        <v>462</v>
      </c>
      <c r="R462">
        <v>462</v>
      </c>
      <c r="S462" s="18">
        <f t="shared" si="72"/>
        <v>9</v>
      </c>
      <c r="T462" s="17">
        <f t="shared" si="73"/>
        <v>462</v>
      </c>
      <c r="U462" s="17">
        <f t="shared" si="74"/>
        <v>0</v>
      </c>
      <c r="V462" s="17">
        <f t="shared" si="75"/>
        <v>0</v>
      </c>
      <c r="W462" s="17">
        <f t="shared" si="76"/>
        <v>0</v>
      </c>
      <c r="X462" s="17">
        <f t="shared" si="77"/>
        <v>0</v>
      </c>
      <c r="Y462" s="19" t="e">
        <f t="shared" si="78"/>
        <v>#DIV/0!</v>
      </c>
      <c r="Z462">
        <v>1320</v>
      </c>
      <c r="AA462">
        <v>0</v>
      </c>
      <c r="AB462">
        <v>0</v>
      </c>
      <c r="AC462">
        <v>0</v>
      </c>
      <c r="AD462">
        <v>250</v>
      </c>
      <c r="AE462">
        <v>0</v>
      </c>
      <c r="AF462">
        <v>0</v>
      </c>
      <c r="AG462">
        <v>0</v>
      </c>
      <c r="AH462">
        <v>250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f t="shared" si="79"/>
        <v>500</v>
      </c>
      <c r="BF462">
        <v>1570</v>
      </c>
      <c r="BG462">
        <v>1570</v>
      </c>
      <c r="BH462" t="s">
        <v>109</v>
      </c>
      <c r="BI462" t="s">
        <v>1454</v>
      </c>
      <c r="BJ462">
        <v>0</v>
      </c>
      <c r="BK462">
        <v>250</v>
      </c>
      <c r="BL462">
        <v>1570</v>
      </c>
      <c r="BM462">
        <v>4408</v>
      </c>
      <c r="BN462">
        <v>0</v>
      </c>
      <c r="BO462">
        <v>0</v>
      </c>
      <c r="BP462">
        <v>0</v>
      </c>
      <c r="BQ462">
        <v>4408</v>
      </c>
      <c r="BR462">
        <f t="shared" si="80"/>
        <v>0</v>
      </c>
      <c r="BS462">
        <f t="shared" si="81"/>
        <v>924</v>
      </c>
    </row>
    <row r="463" spans="1:74" x14ac:dyDescent="0.25">
      <c r="A463" s="5" t="s">
        <v>1451</v>
      </c>
      <c r="B463" s="5" t="s">
        <v>61</v>
      </c>
      <c r="C463" s="5" t="s">
        <v>61</v>
      </c>
      <c r="D463" s="1" t="s">
        <v>96</v>
      </c>
      <c r="E463">
        <v>0</v>
      </c>
      <c r="F463">
        <v>387</v>
      </c>
      <c r="G463">
        <v>0</v>
      </c>
      <c r="H463">
        <v>0</v>
      </c>
      <c r="I463">
        <v>100</v>
      </c>
      <c r="J463">
        <v>0</v>
      </c>
      <c r="K463">
        <v>0</v>
      </c>
      <c r="L463">
        <v>0</v>
      </c>
      <c r="M463">
        <v>972</v>
      </c>
      <c r="N463">
        <v>0</v>
      </c>
      <c r="O463">
        <v>0</v>
      </c>
      <c r="P463">
        <v>0</v>
      </c>
      <c r="Q463">
        <v>108</v>
      </c>
      <c r="R463">
        <v>108</v>
      </c>
      <c r="S463" s="18">
        <f t="shared" si="72"/>
        <v>9</v>
      </c>
      <c r="T463" s="17">
        <f t="shared" si="73"/>
        <v>108</v>
      </c>
      <c r="U463" s="17">
        <f t="shared" si="74"/>
        <v>0</v>
      </c>
      <c r="V463" s="17">
        <f t="shared" si="75"/>
        <v>0</v>
      </c>
      <c r="W463" s="17">
        <f t="shared" si="76"/>
        <v>0</v>
      </c>
      <c r="X463" s="17">
        <f t="shared" si="77"/>
        <v>0</v>
      </c>
      <c r="Y463" s="19" t="e">
        <f t="shared" si="78"/>
        <v>#DIV/0!</v>
      </c>
      <c r="Z463">
        <v>387</v>
      </c>
      <c r="AA463">
        <v>0</v>
      </c>
      <c r="AB463">
        <v>0</v>
      </c>
      <c r="AC463">
        <v>0</v>
      </c>
      <c r="AD463">
        <v>100</v>
      </c>
      <c r="AE463">
        <v>0</v>
      </c>
      <c r="AF463">
        <v>0</v>
      </c>
      <c r="AG463">
        <v>0</v>
      </c>
      <c r="AH463">
        <v>100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f t="shared" si="79"/>
        <v>200</v>
      </c>
      <c r="BF463">
        <v>487</v>
      </c>
      <c r="BG463">
        <v>487</v>
      </c>
      <c r="BH463" t="s">
        <v>109</v>
      </c>
      <c r="BI463" t="s">
        <v>1464</v>
      </c>
      <c r="BJ463">
        <v>0</v>
      </c>
      <c r="BK463">
        <v>100</v>
      </c>
      <c r="BL463">
        <v>487</v>
      </c>
      <c r="BM463">
        <v>1072</v>
      </c>
      <c r="BN463">
        <v>0</v>
      </c>
      <c r="BO463">
        <v>0</v>
      </c>
      <c r="BP463">
        <v>0</v>
      </c>
      <c r="BQ463">
        <v>1072</v>
      </c>
      <c r="BR463">
        <f t="shared" si="80"/>
        <v>0</v>
      </c>
      <c r="BS463">
        <f t="shared" si="81"/>
        <v>216</v>
      </c>
    </row>
    <row r="464" spans="1:74" x14ac:dyDescent="0.25">
      <c r="A464" s="5" t="s">
        <v>1451</v>
      </c>
      <c r="B464" s="5" t="s">
        <v>61</v>
      </c>
      <c r="C464" s="5" t="s">
        <v>61</v>
      </c>
      <c r="D464" s="1" t="s">
        <v>98</v>
      </c>
      <c r="E464">
        <v>0</v>
      </c>
      <c r="F464">
        <v>2240</v>
      </c>
      <c r="G464">
        <v>0</v>
      </c>
      <c r="H464">
        <v>0</v>
      </c>
      <c r="I464">
        <v>230</v>
      </c>
      <c r="J464">
        <v>0</v>
      </c>
      <c r="K464">
        <v>0</v>
      </c>
      <c r="L464">
        <v>0</v>
      </c>
      <c r="M464">
        <v>4230</v>
      </c>
      <c r="N464">
        <v>0</v>
      </c>
      <c r="O464">
        <v>0</v>
      </c>
      <c r="P464">
        <v>0</v>
      </c>
      <c r="Q464">
        <v>470</v>
      </c>
      <c r="R464">
        <v>470</v>
      </c>
      <c r="S464" s="18">
        <f t="shared" si="72"/>
        <v>9</v>
      </c>
      <c r="T464" s="17">
        <f t="shared" si="73"/>
        <v>470</v>
      </c>
      <c r="U464" s="17">
        <f t="shared" si="74"/>
        <v>0</v>
      </c>
      <c r="V464" s="17">
        <f t="shared" si="75"/>
        <v>0</v>
      </c>
      <c r="W464" s="17">
        <f t="shared" si="76"/>
        <v>0</v>
      </c>
      <c r="X464" s="17">
        <f t="shared" si="77"/>
        <v>0</v>
      </c>
      <c r="Y464" s="19" t="e">
        <f t="shared" si="78"/>
        <v>#DIV/0!</v>
      </c>
      <c r="Z464">
        <v>2240</v>
      </c>
      <c r="AA464">
        <v>0</v>
      </c>
      <c r="AB464">
        <v>0</v>
      </c>
      <c r="AC464">
        <v>0</v>
      </c>
      <c r="AD464">
        <v>230</v>
      </c>
      <c r="AE464">
        <v>0</v>
      </c>
      <c r="AF464">
        <v>0</v>
      </c>
      <c r="AG464">
        <v>0</v>
      </c>
      <c r="AH464">
        <v>230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f t="shared" si="79"/>
        <v>460</v>
      </c>
      <c r="BF464">
        <v>2470</v>
      </c>
      <c r="BG464">
        <v>2470</v>
      </c>
      <c r="BH464" t="s">
        <v>109</v>
      </c>
      <c r="BI464" t="s">
        <v>1465</v>
      </c>
      <c r="BJ464">
        <v>0</v>
      </c>
      <c r="BK464">
        <v>230</v>
      </c>
      <c r="BL464">
        <v>2470</v>
      </c>
      <c r="BM464">
        <v>4460</v>
      </c>
      <c r="BN464">
        <v>0</v>
      </c>
      <c r="BO464">
        <v>0</v>
      </c>
      <c r="BP464">
        <v>0</v>
      </c>
      <c r="BQ464">
        <v>4460</v>
      </c>
      <c r="BR464">
        <f t="shared" si="80"/>
        <v>0</v>
      </c>
      <c r="BS464">
        <f t="shared" si="81"/>
        <v>940</v>
      </c>
    </row>
    <row r="465" spans="1:74" x14ac:dyDescent="0.25">
      <c r="A465" s="5" t="s">
        <v>1451</v>
      </c>
      <c r="B465" s="5" t="s">
        <v>61</v>
      </c>
      <c r="C465" s="5" t="s">
        <v>61</v>
      </c>
      <c r="D465" s="1" t="s">
        <v>102</v>
      </c>
      <c r="E465">
        <v>0</v>
      </c>
      <c r="F465">
        <v>350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648</v>
      </c>
      <c r="N465">
        <v>0</v>
      </c>
      <c r="O465">
        <v>0</v>
      </c>
      <c r="P465">
        <v>0</v>
      </c>
      <c r="Q465">
        <v>72</v>
      </c>
      <c r="R465">
        <v>72</v>
      </c>
      <c r="S465" s="18">
        <f t="shared" si="72"/>
        <v>9</v>
      </c>
      <c r="T465" s="17">
        <f t="shared" si="73"/>
        <v>72</v>
      </c>
      <c r="U465" s="17">
        <f t="shared" si="74"/>
        <v>0</v>
      </c>
      <c r="V465" s="17">
        <f t="shared" si="75"/>
        <v>0</v>
      </c>
      <c r="W465" s="17">
        <f t="shared" si="76"/>
        <v>0</v>
      </c>
      <c r="X465" s="17">
        <f t="shared" si="77"/>
        <v>0</v>
      </c>
      <c r="Y465" s="19" t="e">
        <f t="shared" si="78"/>
        <v>#DIV/0!</v>
      </c>
      <c r="Z465">
        <v>350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f t="shared" si="79"/>
        <v>0</v>
      </c>
      <c r="BF465">
        <v>350</v>
      </c>
      <c r="BG465">
        <v>350</v>
      </c>
      <c r="BH465" t="s">
        <v>190</v>
      </c>
      <c r="BI465" t="s">
        <v>1467</v>
      </c>
      <c r="BJ465">
        <v>0</v>
      </c>
      <c r="BK465">
        <v>0</v>
      </c>
      <c r="BL465">
        <v>350</v>
      </c>
      <c r="BM465">
        <v>648</v>
      </c>
      <c r="BN465">
        <v>0</v>
      </c>
      <c r="BO465">
        <v>0</v>
      </c>
      <c r="BP465">
        <v>0</v>
      </c>
      <c r="BQ465">
        <v>648</v>
      </c>
      <c r="BR465">
        <f t="shared" si="80"/>
        <v>0</v>
      </c>
      <c r="BS465">
        <f t="shared" si="81"/>
        <v>144</v>
      </c>
    </row>
    <row r="466" spans="1:74" x14ac:dyDescent="0.25">
      <c r="A466" s="5" t="s">
        <v>2090</v>
      </c>
      <c r="B466" s="5" t="s">
        <v>61</v>
      </c>
      <c r="C466" s="5" t="s">
        <v>61</v>
      </c>
      <c r="D466" s="1" t="s">
        <v>67</v>
      </c>
      <c r="E466">
        <v>6</v>
      </c>
      <c r="F466">
        <v>4420</v>
      </c>
      <c r="G466">
        <v>0</v>
      </c>
      <c r="H466">
        <v>0</v>
      </c>
      <c r="I466">
        <v>3850</v>
      </c>
      <c r="J466">
        <v>0</v>
      </c>
      <c r="K466">
        <v>30</v>
      </c>
      <c r="L466">
        <v>0</v>
      </c>
      <c r="M466">
        <v>0</v>
      </c>
      <c r="N466">
        <v>0</v>
      </c>
      <c r="O466">
        <v>0</v>
      </c>
      <c r="P466">
        <v>2772</v>
      </c>
      <c r="Q466">
        <v>308</v>
      </c>
      <c r="R466">
        <v>308</v>
      </c>
      <c r="S466" s="18">
        <f t="shared" si="72"/>
        <v>9</v>
      </c>
      <c r="T466" s="17">
        <f t="shared" si="73"/>
        <v>0</v>
      </c>
      <c r="U466" s="17">
        <f t="shared" si="74"/>
        <v>0</v>
      </c>
      <c r="V466" s="17">
        <f t="shared" si="75"/>
        <v>0</v>
      </c>
      <c r="W466" s="17">
        <f t="shared" si="76"/>
        <v>308</v>
      </c>
      <c r="X466" s="17">
        <f t="shared" si="77"/>
        <v>0</v>
      </c>
      <c r="Y466" s="19" t="e">
        <f t="shared" si="78"/>
        <v>#DIV/0!</v>
      </c>
      <c r="Z466">
        <v>4420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3850</v>
      </c>
      <c r="AH466">
        <v>3850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30</v>
      </c>
      <c r="AP466">
        <v>15</v>
      </c>
      <c r="AQ466">
        <v>30</v>
      </c>
      <c r="AR466">
        <v>15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f t="shared" si="79"/>
        <v>7790</v>
      </c>
      <c r="BF466">
        <v>8306</v>
      </c>
      <c r="BG466">
        <v>8306</v>
      </c>
      <c r="BH466" t="s">
        <v>63</v>
      </c>
      <c r="BI466" t="s">
        <v>2093</v>
      </c>
      <c r="BJ466">
        <v>6</v>
      </c>
      <c r="BK466">
        <v>3880</v>
      </c>
      <c r="BL466">
        <v>8306</v>
      </c>
      <c r="BM466">
        <v>0</v>
      </c>
      <c r="BN466">
        <v>0</v>
      </c>
      <c r="BO466">
        <v>0</v>
      </c>
      <c r="BP466">
        <v>6652</v>
      </c>
      <c r="BQ466">
        <v>6652</v>
      </c>
      <c r="BR466">
        <f t="shared" si="80"/>
        <v>0</v>
      </c>
      <c r="BS466">
        <f t="shared" si="81"/>
        <v>616</v>
      </c>
      <c r="BU466">
        <f>R466*9</f>
        <v>2772</v>
      </c>
      <c r="BV466">
        <f>IF(BU466&gt;BG466, 1, 0)</f>
        <v>0</v>
      </c>
    </row>
    <row r="467" spans="1:74" x14ac:dyDescent="0.25">
      <c r="A467" s="5" t="s">
        <v>1451</v>
      </c>
      <c r="B467" s="5" t="s">
        <v>61</v>
      </c>
      <c r="C467" s="5" t="s">
        <v>207</v>
      </c>
      <c r="D467" s="1" t="s">
        <v>73</v>
      </c>
      <c r="E467">
        <v>0</v>
      </c>
      <c r="F467">
        <v>419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3771</v>
      </c>
      <c r="N467">
        <v>0</v>
      </c>
      <c r="O467">
        <v>0</v>
      </c>
      <c r="P467">
        <v>0</v>
      </c>
      <c r="Q467">
        <v>419</v>
      </c>
      <c r="R467">
        <v>419</v>
      </c>
      <c r="S467" s="18">
        <f t="shared" si="72"/>
        <v>9</v>
      </c>
      <c r="T467" s="17">
        <f t="shared" si="73"/>
        <v>419</v>
      </c>
      <c r="U467" s="17">
        <f t="shared" si="74"/>
        <v>0</v>
      </c>
      <c r="V467" s="17">
        <f t="shared" si="75"/>
        <v>0</v>
      </c>
      <c r="W467" s="17">
        <f t="shared" si="76"/>
        <v>0</v>
      </c>
      <c r="X467" s="17">
        <f t="shared" si="77"/>
        <v>0</v>
      </c>
      <c r="Y467" s="19" t="e">
        <f t="shared" si="78"/>
        <v>#DIV/0!</v>
      </c>
      <c r="Z467">
        <v>419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f t="shared" si="79"/>
        <v>0</v>
      </c>
      <c r="BF467">
        <v>419</v>
      </c>
      <c r="BG467">
        <v>419</v>
      </c>
      <c r="BH467" t="s">
        <v>109</v>
      </c>
      <c r="BI467" t="s">
        <v>1475</v>
      </c>
      <c r="BJ467">
        <v>0</v>
      </c>
      <c r="BK467">
        <v>0</v>
      </c>
      <c r="BL467">
        <v>419</v>
      </c>
      <c r="BM467">
        <v>3771</v>
      </c>
      <c r="BN467">
        <v>0</v>
      </c>
      <c r="BO467">
        <v>0</v>
      </c>
      <c r="BP467">
        <v>0</v>
      </c>
      <c r="BQ467">
        <v>3771</v>
      </c>
      <c r="BR467">
        <f t="shared" si="80"/>
        <v>0</v>
      </c>
      <c r="BS467">
        <f t="shared" si="81"/>
        <v>838</v>
      </c>
    </row>
    <row r="468" spans="1:74" x14ac:dyDescent="0.25">
      <c r="A468" s="5" t="s">
        <v>1451</v>
      </c>
      <c r="B468" s="5" t="s">
        <v>61</v>
      </c>
      <c r="C468" s="5" t="s">
        <v>207</v>
      </c>
      <c r="D468" s="1" t="s">
        <v>75</v>
      </c>
      <c r="E468">
        <v>0</v>
      </c>
      <c r="F468">
        <v>798</v>
      </c>
      <c r="G468">
        <v>0</v>
      </c>
      <c r="H468">
        <v>0</v>
      </c>
      <c r="I468">
        <v>458</v>
      </c>
      <c r="J468">
        <v>0</v>
      </c>
      <c r="K468">
        <v>912</v>
      </c>
      <c r="L468">
        <v>0</v>
      </c>
      <c r="M468">
        <v>7182</v>
      </c>
      <c r="N468">
        <v>0</v>
      </c>
      <c r="O468">
        <v>0</v>
      </c>
      <c r="P468">
        <v>0</v>
      </c>
      <c r="Q468">
        <v>798</v>
      </c>
      <c r="R468">
        <v>798</v>
      </c>
      <c r="S468" s="18">
        <f t="shared" si="72"/>
        <v>9</v>
      </c>
      <c r="T468" s="17">
        <f t="shared" si="73"/>
        <v>798</v>
      </c>
      <c r="U468" s="17">
        <f t="shared" si="74"/>
        <v>0</v>
      </c>
      <c r="V468" s="17">
        <f t="shared" si="75"/>
        <v>0</v>
      </c>
      <c r="W468" s="17">
        <f t="shared" si="76"/>
        <v>0</v>
      </c>
      <c r="X468" s="17">
        <f t="shared" si="77"/>
        <v>0</v>
      </c>
      <c r="Y468" s="19" t="e">
        <f t="shared" si="78"/>
        <v>#DIV/0!</v>
      </c>
      <c r="Z468">
        <v>798</v>
      </c>
      <c r="AA468">
        <v>0</v>
      </c>
      <c r="AB468">
        <v>0</v>
      </c>
      <c r="AC468">
        <v>0</v>
      </c>
      <c r="AD468">
        <v>458</v>
      </c>
      <c r="AE468">
        <v>0</v>
      </c>
      <c r="AF468">
        <v>0</v>
      </c>
      <c r="AG468">
        <v>0</v>
      </c>
      <c r="AH468">
        <v>458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912</v>
      </c>
      <c r="AP468">
        <v>480</v>
      </c>
      <c r="AQ468">
        <v>912</v>
      </c>
      <c r="AR468">
        <v>432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f t="shared" si="79"/>
        <v>3652</v>
      </c>
      <c r="BF468">
        <v>2168</v>
      </c>
      <c r="BG468">
        <v>2168</v>
      </c>
      <c r="BH468" t="s">
        <v>109</v>
      </c>
      <c r="BI468" t="s">
        <v>1476</v>
      </c>
      <c r="BJ468">
        <v>0</v>
      </c>
      <c r="BK468">
        <v>1370</v>
      </c>
      <c r="BL468">
        <v>2168</v>
      </c>
      <c r="BM468">
        <v>7640</v>
      </c>
      <c r="BN468">
        <v>0</v>
      </c>
      <c r="BO468">
        <v>0</v>
      </c>
      <c r="BP468">
        <v>912</v>
      </c>
      <c r="BQ468">
        <v>8552</v>
      </c>
      <c r="BR468">
        <f t="shared" si="80"/>
        <v>0</v>
      </c>
      <c r="BS468">
        <f t="shared" si="81"/>
        <v>1596</v>
      </c>
    </row>
    <row r="469" spans="1:74" x14ac:dyDescent="0.25">
      <c r="A469" s="5" t="s">
        <v>1451</v>
      </c>
      <c r="B469" s="5" t="s">
        <v>61</v>
      </c>
      <c r="C469" s="5" t="s">
        <v>207</v>
      </c>
      <c r="D469" s="1" t="s">
        <v>79</v>
      </c>
      <c r="E469">
        <v>0</v>
      </c>
      <c r="F469">
        <v>483</v>
      </c>
      <c r="G469">
        <v>0</v>
      </c>
      <c r="H469">
        <v>0</v>
      </c>
      <c r="I469">
        <v>120</v>
      </c>
      <c r="J469">
        <v>0</v>
      </c>
      <c r="K469">
        <v>0</v>
      </c>
      <c r="L469">
        <v>0</v>
      </c>
      <c r="M469">
        <v>4347</v>
      </c>
      <c r="N469">
        <v>0</v>
      </c>
      <c r="O469">
        <v>0</v>
      </c>
      <c r="P469">
        <v>0</v>
      </c>
      <c r="Q469">
        <v>483</v>
      </c>
      <c r="R469">
        <v>483</v>
      </c>
      <c r="S469" s="18">
        <f t="shared" si="72"/>
        <v>9</v>
      </c>
      <c r="T469" s="17">
        <f t="shared" si="73"/>
        <v>483</v>
      </c>
      <c r="U469" s="17">
        <f t="shared" si="74"/>
        <v>0</v>
      </c>
      <c r="V469" s="17">
        <f t="shared" si="75"/>
        <v>0</v>
      </c>
      <c r="W469" s="17">
        <f t="shared" si="76"/>
        <v>0</v>
      </c>
      <c r="X469" s="17">
        <f t="shared" si="77"/>
        <v>0</v>
      </c>
      <c r="Y469" s="19" t="e">
        <f t="shared" si="78"/>
        <v>#DIV/0!</v>
      </c>
      <c r="Z469">
        <v>483</v>
      </c>
      <c r="AA469">
        <v>0</v>
      </c>
      <c r="AB469">
        <v>0</v>
      </c>
      <c r="AC469">
        <v>0</v>
      </c>
      <c r="AD469">
        <v>120</v>
      </c>
      <c r="AE469">
        <v>0</v>
      </c>
      <c r="AF469">
        <v>0</v>
      </c>
      <c r="AG469">
        <v>0</v>
      </c>
      <c r="AH469">
        <v>120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f t="shared" si="79"/>
        <v>240</v>
      </c>
      <c r="BF469">
        <v>603</v>
      </c>
      <c r="BG469">
        <v>603</v>
      </c>
      <c r="BH469" t="s">
        <v>109</v>
      </c>
      <c r="BI469" t="s">
        <v>1478</v>
      </c>
      <c r="BJ469">
        <v>0</v>
      </c>
      <c r="BK469">
        <v>120</v>
      </c>
      <c r="BL469">
        <v>603</v>
      </c>
      <c r="BM469">
        <v>4467</v>
      </c>
      <c r="BN469">
        <v>0</v>
      </c>
      <c r="BO469">
        <v>0</v>
      </c>
      <c r="BP469">
        <v>0</v>
      </c>
      <c r="BQ469">
        <v>4467</v>
      </c>
      <c r="BR469">
        <f t="shared" si="80"/>
        <v>0</v>
      </c>
      <c r="BS469">
        <f t="shared" si="81"/>
        <v>966</v>
      </c>
    </row>
    <row r="470" spans="1:74" x14ac:dyDescent="0.25">
      <c r="A470" s="5" t="s">
        <v>1451</v>
      </c>
      <c r="B470" s="5" t="s">
        <v>61</v>
      </c>
      <c r="C470" s="5" t="s">
        <v>207</v>
      </c>
      <c r="D470" s="1" t="s">
        <v>121</v>
      </c>
      <c r="E470">
        <v>248</v>
      </c>
      <c r="F470">
        <v>0</v>
      </c>
      <c r="G470">
        <v>0</v>
      </c>
      <c r="H470">
        <v>0</v>
      </c>
      <c r="I470">
        <v>0</v>
      </c>
      <c r="J470">
        <v>380</v>
      </c>
      <c r="K470">
        <v>0</v>
      </c>
      <c r="L470">
        <v>150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8" t="e">
        <f t="shared" si="72"/>
        <v>#DIV/0!</v>
      </c>
      <c r="T470" s="17" t="e">
        <f t="shared" si="73"/>
        <v>#DIV/0!</v>
      </c>
      <c r="U470" s="17" t="e">
        <f t="shared" si="74"/>
        <v>#DIV/0!</v>
      </c>
      <c r="V470" s="17" t="e">
        <f t="shared" si="75"/>
        <v>#DIV/0!</v>
      </c>
      <c r="W470" s="17" t="e">
        <f t="shared" si="76"/>
        <v>#DIV/0!</v>
      </c>
      <c r="X470" s="17" t="e">
        <f t="shared" si="77"/>
        <v>#DIV/0!</v>
      </c>
      <c r="Y470" s="19" t="e">
        <f t="shared" si="78"/>
        <v>#DIV/0!</v>
      </c>
      <c r="Z470">
        <v>0</v>
      </c>
      <c r="AA470">
        <v>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380</v>
      </c>
      <c r="AL470">
        <v>380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150</v>
      </c>
      <c r="BA470">
        <v>150</v>
      </c>
      <c r="BB470">
        <v>0</v>
      </c>
      <c r="BC470">
        <v>0</v>
      </c>
      <c r="BD470">
        <v>0</v>
      </c>
      <c r="BE470">
        <f t="shared" si="79"/>
        <v>1060</v>
      </c>
      <c r="BF470">
        <v>790</v>
      </c>
      <c r="BG470">
        <v>790</v>
      </c>
      <c r="BH470" t="s">
        <v>199</v>
      </c>
      <c r="BI470" t="s">
        <v>1498</v>
      </c>
      <c r="BJ470">
        <v>260</v>
      </c>
      <c r="BK470">
        <v>530</v>
      </c>
      <c r="BL470">
        <v>790</v>
      </c>
      <c r="BM470">
        <v>0</v>
      </c>
      <c r="BN470">
        <v>0</v>
      </c>
      <c r="BO470">
        <v>0</v>
      </c>
      <c r="BP470">
        <v>530</v>
      </c>
      <c r="BQ470">
        <v>530</v>
      </c>
      <c r="BR470">
        <f t="shared" si="80"/>
        <v>0</v>
      </c>
      <c r="BS470">
        <f t="shared" si="81"/>
        <v>0</v>
      </c>
    </row>
    <row r="471" spans="1:74" x14ac:dyDescent="0.25">
      <c r="A471" s="5" t="s">
        <v>1451</v>
      </c>
      <c r="B471" s="5" t="s">
        <v>61</v>
      </c>
      <c r="C471" s="5" t="s">
        <v>359</v>
      </c>
      <c r="D471" s="1" t="s">
        <v>65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12780</v>
      </c>
      <c r="Q471">
        <v>1420</v>
      </c>
      <c r="R471">
        <v>1420</v>
      </c>
      <c r="S471" s="18">
        <f t="shared" si="72"/>
        <v>9</v>
      </c>
      <c r="T471" s="17">
        <f t="shared" si="73"/>
        <v>0</v>
      </c>
      <c r="U471" s="17">
        <f t="shared" si="74"/>
        <v>0</v>
      </c>
      <c r="V471" s="17">
        <f t="shared" si="75"/>
        <v>0</v>
      </c>
      <c r="W471" s="17">
        <f t="shared" si="76"/>
        <v>1420</v>
      </c>
      <c r="X471" s="17">
        <f t="shared" si="77"/>
        <v>0</v>
      </c>
      <c r="Y471" s="19" t="e">
        <f t="shared" si="78"/>
        <v>#DIV/0!</v>
      </c>
      <c r="Z471">
        <v>26740</v>
      </c>
      <c r="AA471">
        <v>0</v>
      </c>
      <c r="AB471">
        <v>0</v>
      </c>
      <c r="AC471">
        <v>6339</v>
      </c>
      <c r="AD471">
        <v>0</v>
      </c>
      <c r="AE471">
        <v>0</v>
      </c>
      <c r="AF471">
        <v>0</v>
      </c>
      <c r="AG471">
        <v>225</v>
      </c>
      <c r="AH471">
        <v>225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f t="shared" si="79"/>
        <v>6789</v>
      </c>
      <c r="BF471">
        <v>32554</v>
      </c>
      <c r="BG471">
        <v>32554</v>
      </c>
      <c r="BH471" t="s">
        <v>546</v>
      </c>
      <c r="BI471" t="s">
        <v>1306</v>
      </c>
      <c r="BJ471">
        <v>6339</v>
      </c>
      <c r="BK471">
        <v>225</v>
      </c>
      <c r="BL471">
        <v>33304</v>
      </c>
      <c r="BM471">
        <v>0</v>
      </c>
      <c r="BN471">
        <v>0</v>
      </c>
      <c r="BO471">
        <v>0</v>
      </c>
      <c r="BP471">
        <v>13005</v>
      </c>
      <c r="BQ471">
        <v>13005</v>
      </c>
      <c r="BR471">
        <f t="shared" si="80"/>
        <v>0</v>
      </c>
      <c r="BS471">
        <f t="shared" si="81"/>
        <v>2840</v>
      </c>
    </row>
    <row r="472" spans="1:74" x14ac:dyDescent="0.25">
      <c r="A472" s="5" t="s">
        <v>1451</v>
      </c>
      <c r="B472" s="5" t="s">
        <v>61</v>
      </c>
      <c r="C472" s="5" t="s">
        <v>359</v>
      </c>
      <c r="D472" s="1" t="s">
        <v>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29583</v>
      </c>
      <c r="Q472">
        <v>3287</v>
      </c>
      <c r="R472">
        <v>3287</v>
      </c>
      <c r="S472" s="18">
        <f t="shared" si="72"/>
        <v>9</v>
      </c>
      <c r="T472" s="17">
        <f t="shared" si="73"/>
        <v>0</v>
      </c>
      <c r="U472" s="17">
        <f t="shared" si="74"/>
        <v>0</v>
      </c>
      <c r="V472" s="17">
        <f t="shared" si="75"/>
        <v>0</v>
      </c>
      <c r="W472" s="17">
        <f t="shared" si="76"/>
        <v>3287</v>
      </c>
      <c r="X472" s="17">
        <f t="shared" si="77"/>
        <v>0</v>
      </c>
      <c r="Y472" s="19" t="e">
        <f t="shared" si="78"/>
        <v>#DIV/0!</v>
      </c>
      <c r="Z472">
        <v>60300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625</v>
      </c>
      <c r="AH472">
        <v>625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f t="shared" si="79"/>
        <v>1250</v>
      </c>
      <c r="BF472">
        <v>0</v>
      </c>
      <c r="BG472">
        <v>60925</v>
      </c>
      <c r="BH472" t="s">
        <v>546</v>
      </c>
      <c r="BI472" t="s">
        <v>1307</v>
      </c>
      <c r="BJ472">
        <v>0</v>
      </c>
      <c r="BK472">
        <v>625</v>
      </c>
      <c r="BL472">
        <v>60925</v>
      </c>
      <c r="BM472">
        <v>0</v>
      </c>
      <c r="BN472">
        <v>0</v>
      </c>
      <c r="BO472">
        <v>0</v>
      </c>
      <c r="BP472">
        <v>30208</v>
      </c>
      <c r="BQ472">
        <v>30208</v>
      </c>
      <c r="BR472">
        <f t="shared" si="80"/>
        <v>0</v>
      </c>
      <c r="BS472">
        <f t="shared" si="81"/>
        <v>6574</v>
      </c>
    </row>
    <row r="473" spans="1:74" x14ac:dyDescent="0.25">
      <c r="A473" s="5" t="s">
        <v>1451</v>
      </c>
      <c r="B473" s="5" t="s">
        <v>61</v>
      </c>
      <c r="C473" s="5" t="s">
        <v>359</v>
      </c>
      <c r="D473" s="1" t="s">
        <v>69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12591</v>
      </c>
      <c r="Q473">
        <v>1399</v>
      </c>
      <c r="R473">
        <v>1399</v>
      </c>
      <c r="S473" s="18">
        <f t="shared" si="72"/>
        <v>9</v>
      </c>
      <c r="T473" s="17">
        <f t="shared" si="73"/>
        <v>0</v>
      </c>
      <c r="U473" s="17">
        <f t="shared" si="74"/>
        <v>0</v>
      </c>
      <c r="V473" s="17">
        <f t="shared" si="75"/>
        <v>0</v>
      </c>
      <c r="W473" s="17">
        <f t="shared" si="76"/>
        <v>1399</v>
      </c>
      <c r="X473" s="17">
        <f t="shared" si="77"/>
        <v>0</v>
      </c>
      <c r="Y473" s="19" t="e">
        <f t="shared" si="78"/>
        <v>#DIV/0!</v>
      </c>
      <c r="Z473">
        <v>14570</v>
      </c>
      <c r="AA473">
        <v>173</v>
      </c>
      <c r="AB473">
        <v>0</v>
      </c>
      <c r="AC473">
        <v>4911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26</v>
      </c>
      <c r="AP473">
        <v>0</v>
      </c>
      <c r="AQ473">
        <v>26</v>
      </c>
      <c r="AR473">
        <v>26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f t="shared" si="79"/>
        <v>4989</v>
      </c>
      <c r="BF473">
        <v>16835</v>
      </c>
      <c r="BG473">
        <v>16835</v>
      </c>
      <c r="BH473" t="s">
        <v>546</v>
      </c>
      <c r="BI473" t="s">
        <v>1308</v>
      </c>
      <c r="BJ473">
        <v>5084</v>
      </c>
      <c r="BK473">
        <v>26</v>
      </c>
      <c r="BL473">
        <v>19680</v>
      </c>
      <c r="BM473">
        <v>0</v>
      </c>
      <c r="BN473">
        <v>0</v>
      </c>
      <c r="BO473">
        <v>0</v>
      </c>
      <c r="BP473">
        <v>12617</v>
      </c>
      <c r="BQ473">
        <v>12617</v>
      </c>
      <c r="BR473">
        <f t="shared" si="80"/>
        <v>0</v>
      </c>
      <c r="BS473">
        <f t="shared" si="81"/>
        <v>2798</v>
      </c>
    </row>
    <row r="474" spans="1:74" x14ac:dyDescent="0.25">
      <c r="A474" s="5" t="s">
        <v>1451</v>
      </c>
      <c r="B474" s="5" t="s">
        <v>61</v>
      </c>
      <c r="C474" s="5" t="s">
        <v>359</v>
      </c>
      <c r="D474" s="1" t="s">
        <v>71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19566</v>
      </c>
      <c r="Q474">
        <v>2174</v>
      </c>
      <c r="R474">
        <v>2174</v>
      </c>
      <c r="S474" s="18">
        <f t="shared" si="72"/>
        <v>9</v>
      </c>
      <c r="T474" s="17">
        <f t="shared" si="73"/>
        <v>0</v>
      </c>
      <c r="U474" s="17">
        <f t="shared" si="74"/>
        <v>0</v>
      </c>
      <c r="V474" s="17">
        <f t="shared" si="75"/>
        <v>0</v>
      </c>
      <c r="W474" s="17">
        <f t="shared" si="76"/>
        <v>2174</v>
      </c>
      <c r="X474" s="17">
        <f t="shared" si="77"/>
        <v>0</v>
      </c>
      <c r="Y474" s="19" t="e">
        <f t="shared" si="78"/>
        <v>#DIV/0!</v>
      </c>
      <c r="Z474">
        <v>38950</v>
      </c>
      <c r="AA474">
        <v>0</v>
      </c>
      <c r="AB474">
        <v>0</v>
      </c>
      <c r="AC474">
        <v>2982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f t="shared" si="79"/>
        <v>2982</v>
      </c>
      <c r="BF474">
        <v>41932</v>
      </c>
      <c r="BG474">
        <v>41932</v>
      </c>
      <c r="BH474" t="s">
        <v>546</v>
      </c>
      <c r="BI474" t="s">
        <v>1504</v>
      </c>
      <c r="BJ474">
        <v>2982</v>
      </c>
      <c r="BK474">
        <v>0</v>
      </c>
      <c r="BL474">
        <v>41932</v>
      </c>
      <c r="BM474">
        <v>0</v>
      </c>
      <c r="BN474">
        <v>0</v>
      </c>
      <c r="BO474">
        <v>0</v>
      </c>
      <c r="BP474">
        <v>19566</v>
      </c>
      <c r="BQ474">
        <v>19566</v>
      </c>
      <c r="BR474">
        <f t="shared" si="80"/>
        <v>0</v>
      </c>
      <c r="BS474">
        <f t="shared" si="81"/>
        <v>4348</v>
      </c>
    </row>
    <row r="475" spans="1:74" x14ac:dyDescent="0.25">
      <c r="A475" s="5" t="s">
        <v>1451</v>
      </c>
      <c r="B475" s="5" t="s">
        <v>61</v>
      </c>
      <c r="C475" s="5" t="s">
        <v>359</v>
      </c>
      <c r="D475" s="1" t="s">
        <v>73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20529</v>
      </c>
      <c r="Q475">
        <v>2281</v>
      </c>
      <c r="R475">
        <v>2281</v>
      </c>
      <c r="S475" s="18">
        <f t="shared" si="72"/>
        <v>9</v>
      </c>
      <c r="T475" s="17">
        <f t="shared" si="73"/>
        <v>0</v>
      </c>
      <c r="U475" s="17">
        <f t="shared" si="74"/>
        <v>0</v>
      </c>
      <c r="V475" s="17">
        <f t="shared" si="75"/>
        <v>0</v>
      </c>
      <c r="W475" s="17">
        <f t="shared" si="76"/>
        <v>2281</v>
      </c>
      <c r="X475" s="17">
        <f t="shared" si="77"/>
        <v>0</v>
      </c>
      <c r="Y475" s="19" t="e">
        <f t="shared" si="78"/>
        <v>#DIV/0!</v>
      </c>
      <c r="Z475">
        <v>28652</v>
      </c>
      <c r="AA475">
        <v>0</v>
      </c>
      <c r="AB475">
        <v>0</v>
      </c>
      <c r="AC475">
        <v>5387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48</v>
      </c>
      <c r="AP475">
        <v>48</v>
      </c>
      <c r="AQ475">
        <v>48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f t="shared" si="79"/>
        <v>5531</v>
      </c>
      <c r="BF475">
        <v>30484</v>
      </c>
      <c r="BG475">
        <v>30484</v>
      </c>
      <c r="BH475" t="s">
        <v>546</v>
      </c>
      <c r="BI475" t="s">
        <v>1505</v>
      </c>
      <c r="BJ475">
        <v>5387</v>
      </c>
      <c r="BK475">
        <v>48</v>
      </c>
      <c r="BL475">
        <v>34087</v>
      </c>
      <c r="BM475">
        <v>0</v>
      </c>
      <c r="BN475">
        <v>0</v>
      </c>
      <c r="BO475">
        <v>0</v>
      </c>
      <c r="BP475">
        <v>20577</v>
      </c>
      <c r="BQ475">
        <v>20577</v>
      </c>
      <c r="BR475">
        <f t="shared" si="80"/>
        <v>0</v>
      </c>
      <c r="BS475">
        <f t="shared" si="81"/>
        <v>4562</v>
      </c>
    </row>
    <row r="476" spans="1:74" x14ac:dyDescent="0.25">
      <c r="A476" s="5" t="s">
        <v>1451</v>
      </c>
      <c r="B476" s="5" t="s">
        <v>61</v>
      </c>
      <c r="C476" s="5" t="s">
        <v>359</v>
      </c>
      <c r="D476" s="1" t="s">
        <v>75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20115</v>
      </c>
      <c r="Q476">
        <v>2235</v>
      </c>
      <c r="R476">
        <v>2235</v>
      </c>
      <c r="S476" s="18">
        <f t="shared" si="72"/>
        <v>9</v>
      </c>
      <c r="T476" s="17">
        <f t="shared" si="73"/>
        <v>0</v>
      </c>
      <c r="U476" s="17">
        <f t="shared" si="74"/>
        <v>0</v>
      </c>
      <c r="V476" s="17">
        <f t="shared" si="75"/>
        <v>0</v>
      </c>
      <c r="W476" s="17">
        <f t="shared" si="76"/>
        <v>2235</v>
      </c>
      <c r="X476" s="17">
        <f t="shared" si="77"/>
        <v>0</v>
      </c>
      <c r="Y476" s="19" t="e">
        <f t="shared" si="78"/>
        <v>#DIV/0!</v>
      </c>
      <c r="Z476">
        <v>39403</v>
      </c>
      <c r="AA476">
        <v>0</v>
      </c>
      <c r="AB476">
        <v>347</v>
      </c>
      <c r="AC476">
        <v>994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175</v>
      </c>
      <c r="AP476">
        <v>175</v>
      </c>
      <c r="AQ476">
        <v>175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10</v>
      </c>
      <c r="BA476">
        <v>10</v>
      </c>
      <c r="BB476">
        <v>0</v>
      </c>
      <c r="BC476">
        <v>0</v>
      </c>
      <c r="BD476">
        <v>0</v>
      </c>
      <c r="BE476">
        <f t="shared" si="79"/>
        <v>1539</v>
      </c>
      <c r="BF476">
        <v>41382</v>
      </c>
      <c r="BG476">
        <v>41382</v>
      </c>
      <c r="BH476" t="s">
        <v>546</v>
      </c>
      <c r="BI476" t="s">
        <v>1506</v>
      </c>
      <c r="BJ476">
        <v>1341</v>
      </c>
      <c r="BK476">
        <v>185</v>
      </c>
      <c r="BL476">
        <v>40929</v>
      </c>
      <c r="BM476">
        <v>0</v>
      </c>
      <c r="BN476">
        <v>0</v>
      </c>
      <c r="BO476">
        <v>0</v>
      </c>
      <c r="BP476">
        <v>20300</v>
      </c>
      <c r="BQ476">
        <v>20300</v>
      </c>
      <c r="BR476">
        <f t="shared" si="80"/>
        <v>0</v>
      </c>
      <c r="BS476">
        <f t="shared" si="81"/>
        <v>4470</v>
      </c>
    </row>
    <row r="477" spans="1:74" x14ac:dyDescent="0.25">
      <c r="A477" s="5" t="s">
        <v>1451</v>
      </c>
      <c r="B477" s="5" t="s">
        <v>61</v>
      </c>
      <c r="C477" s="5" t="s">
        <v>359</v>
      </c>
      <c r="D477" s="1" t="s">
        <v>77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35019</v>
      </c>
      <c r="Q477">
        <v>3891</v>
      </c>
      <c r="R477">
        <v>3891</v>
      </c>
      <c r="S477" s="18">
        <f t="shared" si="72"/>
        <v>9</v>
      </c>
      <c r="T477" s="17">
        <f t="shared" si="73"/>
        <v>0</v>
      </c>
      <c r="U477" s="17">
        <f t="shared" si="74"/>
        <v>0</v>
      </c>
      <c r="V477" s="17">
        <f t="shared" si="75"/>
        <v>0</v>
      </c>
      <c r="W477" s="17">
        <f t="shared" si="76"/>
        <v>3891</v>
      </c>
      <c r="X477" s="17">
        <f t="shared" si="77"/>
        <v>0</v>
      </c>
      <c r="Y477" s="19" t="e">
        <f t="shared" si="78"/>
        <v>#DIV/0!</v>
      </c>
      <c r="Z477">
        <v>88674</v>
      </c>
      <c r="AA477">
        <v>0</v>
      </c>
      <c r="AB477">
        <v>0</v>
      </c>
      <c r="AC477">
        <v>4613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f t="shared" si="79"/>
        <v>4613</v>
      </c>
      <c r="BF477">
        <v>89931</v>
      </c>
      <c r="BG477">
        <v>89931</v>
      </c>
      <c r="BH477" t="s">
        <v>546</v>
      </c>
      <c r="BI477" t="s">
        <v>1507</v>
      </c>
      <c r="BJ477">
        <v>4613</v>
      </c>
      <c r="BK477">
        <v>0</v>
      </c>
      <c r="BL477">
        <v>93287</v>
      </c>
      <c r="BM477">
        <v>0</v>
      </c>
      <c r="BN477">
        <v>0</v>
      </c>
      <c r="BO477">
        <v>0</v>
      </c>
      <c r="BP477">
        <v>35019</v>
      </c>
      <c r="BQ477">
        <v>35019</v>
      </c>
      <c r="BR477">
        <f t="shared" si="80"/>
        <v>0</v>
      </c>
      <c r="BS477">
        <f t="shared" si="81"/>
        <v>7782</v>
      </c>
    </row>
    <row r="478" spans="1:74" x14ac:dyDescent="0.25">
      <c r="A478" s="5" t="s">
        <v>1451</v>
      </c>
      <c r="B478" s="5" t="s">
        <v>61</v>
      </c>
      <c r="C478" s="5" t="s">
        <v>359</v>
      </c>
      <c r="D478" s="1" t="s">
        <v>79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21780</v>
      </c>
      <c r="Q478">
        <v>2420</v>
      </c>
      <c r="R478">
        <v>2420</v>
      </c>
      <c r="S478" s="18">
        <f t="shared" si="72"/>
        <v>9</v>
      </c>
      <c r="T478" s="17">
        <f t="shared" si="73"/>
        <v>0</v>
      </c>
      <c r="U478" s="17">
        <f t="shared" si="74"/>
        <v>0</v>
      </c>
      <c r="V478" s="17">
        <f t="shared" si="75"/>
        <v>0</v>
      </c>
      <c r="W478" s="17">
        <f t="shared" si="76"/>
        <v>2420</v>
      </c>
      <c r="X478" s="17">
        <f t="shared" si="77"/>
        <v>0</v>
      </c>
      <c r="Y478" s="19" t="e">
        <f t="shared" si="78"/>
        <v>#DIV/0!</v>
      </c>
      <c r="Z478">
        <v>36800</v>
      </c>
      <c r="AA478">
        <v>0</v>
      </c>
      <c r="AB478">
        <v>0</v>
      </c>
      <c r="AC478">
        <v>485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f t="shared" si="79"/>
        <v>485</v>
      </c>
      <c r="BF478">
        <v>36800</v>
      </c>
      <c r="BG478">
        <v>36800</v>
      </c>
      <c r="BH478" t="s">
        <v>546</v>
      </c>
      <c r="BI478" t="s">
        <v>1508</v>
      </c>
      <c r="BJ478">
        <v>485</v>
      </c>
      <c r="BK478">
        <v>0</v>
      </c>
      <c r="BL478">
        <v>37285</v>
      </c>
      <c r="BM478">
        <v>0</v>
      </c>
      <c r="BN478">
        <v>0</v>
      </c>
      <c r="BO478">
        <v>0</v>
      </c>
      <c r="BP478">
        <v>21780</v>
      </c>
      <c r="BQ478">
        <v>21780</v>
      </c>
      <c r="BR478">
        <f t="shared" si="80"/>
        <v>0</v>
      </c>
      <c r="BS478">
        <f t="shared" si="81"/>
        <v>4840</v>
      </c>
    </row>
    <row r="479" spans="1:74" x14ac:dyDescent="0.25">
      <c r="A479" s="5" t="s">
        <v>359</v>
      </c>
      <c r="B479" s="5" t="s">
        <v>359</v>
      </c>
      <c r="C479" s="5" t="s">
        <v>61</v>
      </c>
      <c r="D479" s="1" t="s">
        <v>71</v>
      </c>
      <c r="E479">
        <v>0</v>
      </c>
      <c r="F479">
        <v>465</v>
      </c>
      <c r="G479">
        <v>0</v>
      </c>
      <c r="H479">
        <v>0</v>
      </c>
      <c r="I479">
        <v>0</v>
      </c>
      <c r="J479">
        <v>0</v>
      </c>
      <c r="K479">
        <v>30</v>
      </c>
      <c r="L479">
        <v>0</v>
      </c>
      <c r="M479">
        <v>2583</v>
      </c>
      <c r="N479">
        <v>0</v>
      </c>
      <c r="O479">
        <v>0</v>
      </c>
      <c r="P479">
        <v>0</v>
      </c>
      <c r="Q479">
        <v>957</v>
      </c>
      <c r="R479">
        <v>287</v>
      </c>
      <c r="S479" s="18">
        <f t="shared" si="72"/>
        <v>9</v>
      </c>
      <c r="T479" s="17">
        <f t="shared" si="73"/>
        <v>287</v>
      </c>
      <c r="U479" s="17">
        <f t="shared" si="74"/>
        <v>0</v>
      </c>
      <c r="V479" s="17">
        <f t="shared" si="75"/>
        <v>0</v>
      </c>
      <c r="W479" s="17">
        <f t="shared" si="76"/>
        <v>0</v>
      </c>
      <c r="X479" s="17">
        <f t="shared" si="77"/>
        <v>670</v>
      </c>
      <c r="Y479" s="19">
        <f t="shared" si="78"/>
        <v>0</v>
      </c>
      <c r="Z479">
        <v>465</v>
      </c>
      <c r="AA479">
        <v>0</v>
      </c>
      <c r="AB479">
        <v>0</v>
      </c>
      <c r="AC479">
        <v>900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30</v>
      </c>
      <c r="AP479">
        <v>30</v>
      </c>
      <c r="AQ479">
        <v>65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f t="shared" si="79"/>
        <v>1025</v>
      </c>
      <c r="BF479">
        <v>1430</v>
      </c>
      <c r="BG479">
        <v>1430</v>
      </c>
      <c r="BH479" t="s">
        <v>63</v>
      </c>
      <c r="BI479" t="s">
        <v>760</v>
      </c>
      <c r="BJ479">
        <v>900</v>
      </c>
      <c r="BK479">
        <v>65</v>
      </c>
      <c r="BL479">
        <v>1430</v>
      </c>
      <c r="BM479">
        <v>2583</v>
      </c>
      <c r="BN479">
        <v>0</v>
      </c>
      <c r="BO479">
        <v>0</v>
      </c>
      <c r="BP479">
        <v>30</v>
      </c>
      <c r="BQ479">
        <v>2613</v>
      </c>
      <c r="BR479">
        <f t="shared" si="80"/>
        <v>-670</v>
      </c>
      <c r="BS479">
        <f t="shared" si="81"/>
        <v>1244</v>
      </c>
      <c r="BU479">
        <f>R479*9</f>
        <v>2583</v>
      </c>
      <c r="BV479">
        <f>IF(BU479&gt;BG479, 1, 0)</f>
        <v>1</v>
      </c>
    </row>
    <row r="480" spans="1:74" x14ac:dyDescent="0.25">
      <c r="A480" s="5" t="s">
        <v>1451</v>
      </c>
      <c r="B480" s="5" t="s">
        <v>61</v>
      </c>
      <c r="C480" s="5" t="s">
        <v>627</v>
      </c>
      <c r="D480" s="1" t="s">
        <v>90</v>
      </c>
      <c r="E480">
        <v>0</v>
      </c>
      <c r="F480">
        <v>270</v>
      </c>
      <c r="G480">
        <v>0</v>
      </c>
      <c r="H480">
        <v>0</v>
      </c>
      <c r="I480">
        <v>738</v>
      </c>
      <c r="J480">
        <v>0</v>
      </c>
      <c r="K480">
        <v>0</v>
      </c>
      <c r="L480">
        <v>0</v>
      </c>
      <c r="M480">
        <v>1620</v>
      </c>
      <c r="N480">
        <v>0</v>
      </c>
      <c r="O480">
        <v>0</v>
      </c>
      <c r="P480">
        <v>0</v>
      </c>
      <c r="Q480">
        <v>180</v>
      </c>
      <c r="R480">
        <v>180</v>
      </c>
      <c r="S480" s="18">
        <f t="shared" si="72"/>
        <v>9</v>
      </c>
      <c r="T480" s="17">
        <f t="shared" si="73"/>
        <v>180</v>
      </c>
      <c r="U480" s="17">
        <f t="shared" si="74"/>
        <v>0</v>
      </c>
      <c r="V480" s="17">
        <f t="shared" si="75"/>
        <v>0</v>
      </c>
      <c r="W480" s="17">
        <f t="shared" si="76"/>
        <v>0</v>
      </c>
      <c r="X480" s="17">
        <f t="shared" si="77"/>
        <v>0</v>
      </c>
      <c r="Y480" s="19" t="e">
        <f t="shared" si="78"/>
        <v>#DIV/0!</v>
      </c>
      <c r="Z480">
        <v>270</v>
      </c>
      <c r="AA480">
        <v>0</v>
      </c>
      <c r="AB480">
        <v>0</v>
      </c>
      <c r="AC480">
        <v>0</v>
      </c>
      <c r="AD480">
        <v>738</v>
      </c>
      <c r="AE480">
        <v>0</v>
      </c>
      <c r="AF480">
        <v>0</v>
      </c>
      <c r="AG480">
        <v>0</v>
      </c>
      <c r="AH480">
        <v>738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f t="shared" si="79"/>
        <v>1476</v>
      </c>
      <c r="BF480">
        <v>1008</v>
      </c>
      <c r="BG480">
        <v>1008</v>
      </c>
      <c r="BH480" t="s">
        <v>109</v>
      </c>
      <c r="BI480" t="s">
        <v>1521</v>
      </c>
      <c r="BJ480">
        <v>0</v>
      </c>
      <c r="BK480">
        <v>738</v>
      </c>
      <c r="BL480">
        <v>1008</v>
      </c>
      <c r="BM480">
        <v>2358</v>
      </c>
      <c r="BN480">
        <v>0</v>
      </c>
      <c r="BO480">
        <v>0</v>
      </c>
      <c r="BP480">
        <v>0</v>
      </c>
      <c r="BQ480">
        <v>2358</v>
      </c>
      <c r="BR480">
        <f t="shared" si="80"/>
        <v>0</v>
      </c>
      <c r="BS480">
        <f t="shared" si="81"/>
        <v>360</v>
      </c>
    </row>
    <row r="481" spans="1:74" x14ac:dyDescent="0.25">
      <c r="A481" s="5" t="s">
        <v>1451</v>
      </c>
      <c r="B481" s="5" t="s">
        <v>61</v>
      </c>
      <c r="C481" s="5" t="s">
        <v>627</v>
      </c>
      <c r="D481" s="1" t="s">
        <v>92</v>
      </c>
      <c r="E481">
        <v>0</v>
      </c>
      <c r="F481">
        <v>300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1395</v>
      </c>
      <c r="N481">
        <v>0</v>
      </c>
      <c r="O481">
        <v>0</v>
      </c>
      <c r="P481">
        <v>0</v>
      </c>
      <c r="Q481">
        <v>155</v>
      </c>
      <c r="R481">
        <v>155</v>
      </c>
      <c r="S481" s="18">
        <f t="shared" si="72"/>
        <v>9</v>
      </c>
      <c r="T481" s="17">
        <f t="shared" si="73"/>
        <v>155</v>
      </c>
      <c r="U481" s="17">
        <f t="shared" si="74"/>
        <v>0</v>
      </c>
      <c r="V481" s="17">
        <f t="shared" si="75"/>
        <v>0</v>
      </c>
      <c r="W481" s="17">
        <f t="shared" si="76"/>
        <v>0</v>
      </c>
      <c r="X481" s="17">
        <f t="shared" si="77"/>
        <v>0</v>
      </c>
      <c r="Y481" s="19" t="e">
        <f t="shared" si="78"/>
        <v>#DIV/0!</v>
      </c>
      <c r="Z481">
        <v>300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f t="shared" si="79"/>
        <v>0</v>
      </c>
      <c r="BF481">
        <v>300</v>
      </c>
      <c r="BG481">
        <v>300</v>
      </c>
      <c r="BH481" t="s">
        <v>109</v>
      </c>
      <c r="BI481" t="s">
        <v>1522</v>
      </c>
      <c r="BJ481">
        <v>0</v>
      </c>
      <c r="BK481">
        <v>0</v>
      </c>
      <c r="BL481">
        <v>300</v>
      </c>
      <c r="BM481">
        <v>1395</v>
      </c>
      <c r="BN481">
        <v>0</v>
      </c>
      <c r="BO481">
        <v>0</v>
      </c>
      <c r="BP481">
        <v>0</v>
      </c>
      <c r="BQ481">
        <v>1395</v>
      </c>
      <c r="BR481">
        <f t="shared" si="80"/>
        <v>0</v>
      </c>
      <c r="BS481">
        <f t="shared" si="81"/>
        <v>310</v>
      </c>
    </row>
    <row r="482" spans="1:74" x14ac:dyDescent="0.25">
      <c r="A482" s="5" t="s">
        <v>1451</v>
      </c>
      <c r="B482" s="5" t="s">
        <v>61</v>
      </c>
      <c r="C482" s="5" t="s">
        <v>627</v>
      </c>
      <c r="D482" s="1" t="s">
        <v>94</v>
      </c>
      <c r="E482">
        <v>0</v>
      </c>
      <c r="F482">
        <v>1300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2799</v>
      </c>
      <c r="Q482">
        <v>311</v>
      </c>
      <c r="R482">
        <v>311</v>
      </c>
      <c r="S482" s="18">
        <f t="shared" si="72"/>
        <v>9</v>
      </c>
      <c r="T482" s="17">
        <f t="shared" si="73"/>
        <v>0</v>
      </c>
      <c r="U482" s="17">
        <f t="shared" si="74"/>
        <v>0</v>
      </c>
      <c r="V482" s="17">
        <f t="shared" si="75"/>
        <v>0</v>
      </c>
      <c r="W482" s="17">
        <f t="shared" si="76"/>
        <v>311</v>
      </c>
      <c r="X482" s="17">
        <f t="shared" si="77"/>
        <v>0</v>
      </c>
      <c r="Y482" s="19" t="e">
        <f t="shared" si="78"/>
        <v>#DIV/0!</v>
      </c>
      <c r="Z482">
        <v>1300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f t="shared" si="79"/>
        <v>0</v>
      </c>
      <c r="BF482">
        <v>1300</v>
      </c>
      <c r="BG482">
        <v>1300</v>
      </c>
      <c r="BH482" t="s">
        <v>109</v>
      </c>
      <c r="BI482" t="s">
        <v>1523</v>
      </c>
      <c r="BJ482">
        <v>0</v>
      </c>
      <c r="BK482">
        <v>0</v>
      </c>
      <c r="BL482">
        <v>1300</v>
      </c>
      <c r="BM482">
        <v>0</v>
      </c>
      <c r="BN482">
        <v>0</v>
      </c>
      <c r="BO482">
        <v>0</v>
      </c>
      <c r="BP482">
        <v>2799</v>
      </c>
      <c r="BQ482">
        <v>2799</v>
      </c>
      <c r="BR482">
        <f t="shared" si="80"/>
        <v>0</v>
      </c>
      <c r="BS482">
        <f t="shared" si="81"/>
        <v>622</v>
      </c>
    </row>
    <row r="483" spans="1:74" x14ac:dyDescent="0.25">
      <c r="A483" s="5" t="s">
        <v>1451</v>
      </c>
      <c r="B483" s="5" t="s">
        <v>61</v>
      </c>
      <c r="C483" s="5" t="s">
        <v>627</v>
      </c>
      <c r="D483" s="1" t="s">
        <v>96</v>
      </c>
      <c r="E483">
        <v>0</v>
      </c>
      <c r="F483">
        <v>950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1566</v>
      </c>
      <c r="N483">
        <v>0</v>
      </c>
      <c r="O483">
        <v>0</v>
      </c>
      <c r="P483">
        <v>0</v>
      </c>
      <c r="Q483">
        <v>174</v>
      </c>
      <c r="R483">
        <v>174</v>
      </c>
      <c r="S483" s="18">
        <f t="shared" si="72"/>
        <v>9</v>
      </c>
      <c r="T483" s="17">
        <f t="shared" si="73"/>
        <v>174</v>
      </c>
      <c r="U483" s="17">
        <f t="shared" si="74"/>
        <v>0</v>
      </c>
      <c r="V483" s="17">
        <f t="shared" si="75"/>
        <v>0</v>
      </c>
      <c r="W483" s="17">
        <f t="shared" si="76"/>
        <v>0</v>
      </c>
      <c r="X483" s="17">
        <f t="shared" si="77"/>
        <v>0</v>
      </c>
      <c r="Y483" s="19" t="e">
        <f t="shared" si="78"/>
        <v>#DIV/0!</v>
      </c>
      <c r="Z483">
        <v>950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f t="shared" si="79"/>
        <v>0</v>
      </c>
      <c r="BF483">
        <v>950</v>
      </c>
      <c r="BG483">
        <v>950</v>
      </c>
      <c r="BH483" t="s">
        <v>109</v>
      </c>
      <c r="BI483" t="s">
        <v>1524</v>
      </c>
      <c r="BJ483">
        <v>0</v>
      </c>
      <c r="BK483">
        <v>0</v>
      </c>
      <c r="BL483">
        <v>950</v>
      </c>
      <c r="BM483">
        <v>1566</v>
      </c>
      <c r="BN483">
        <v>0</v>
      </c>
      <c r="BO483">
        <v>0</v>
      </c>
      <c r="BP483">
        <v>0</v>
      </c>
      <c r="BQ483">
        <v>1566</v>
      </c>
      <c r="BR483">
        <f t="shared" si="80"/>
        <v>0</v>
      </c>
      <c r="BS483">
        <f t="shared" si="81"/>
        <v>348</v>
      </c>
    </row>
    <row r="484" spans="1:74" x14ac:dyDescent="0.25">
      <c r="A484" s="5" t="s">
        <v>1135</v>
      </c>
      <c r="B484" s="5" t="s">
        <v>61</v>
      </c>
      <c r="C484" s="5" t="s">
        <v>61</v>
      </c>
      <c r="D484" s="1" t="s">
        <v>67</v>
      </c>
      <c r="E484">
        <v>0</v>
      </c>
      <c r="F484">
        <v>1100</v>
      </c>
      <c r="G484">
        <v>0</v>
      </c>
      <c r="H484">
        <v>0</v>
      </c>
      <c r="I484">
        <v>2700</v>
      </c>
      <c r="J484">
        <v>0</v>
      </c>
      <c r="K484">
        <v>75</v>
      </c>
      <c r="L484">
        <v>100</v>
      </c>
      <c r="M484">
        <v>0</v>
      </c>
      <c r="N484">
        <v>2475</v>
      </c>
      <c r="O484">
        <v>0</v>
      </c>
      <c r="P484">
        <v>0</v>
      </c>
      <c r="Q484">
        <v>275</v>
      </c>
      <c r="R484">
        <v>275</v>
      </c>
      <c r="S484" s="18">
        <f t="shared" si="72"/>
        <v>9</v>
      </c>
      <c r="T484" s="17">
        <f t="shared" si="73"/>
        <v>0</v>
      </c>
      <c r="U484" s="17">
        <f t="shared" si="74"/>
        <v>275</v>
      </c>
      <c r="V484" s="17">
        <f t="shared" si="75"/>
        <v>0</v>
      </c>
      <c r="W484" s="17">
        <f t="shared" si="76"/>
        <v>0</v>
      </c>
      <c r="X484" s="17">
        <f t="shared" si="77"/>
        <v>0</v>
      </c>
      <c r="Y484" s="19" t="e">
        <f t="shared" si="78"/>
        <v>#DIV/0!</v>
      </c>
      <c r="Z484">
        <v>1100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2700</v>
      </c>
      <c r="AH484">
        <v>2700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75</v>
      </c>
      <c r="AP484">
        <v>0</v>
      </c>
      <c r="AQ484">
        <v>75</v>
      </c>
      <c r="AR484">
        <v>75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100</v>
      </c>
      <c r="BA484">
        <v>100</v>
      </c>
      <c r="BB484">
        <v>0</v>
      </c>
      <c r="BC484">
        <v>0</v>
      </c>
      <c r="BD484">
        <v>0</v>
      </c>
      <c r="BE484">
        <f t="shared" si="79"/>
        <v>5825</v>
      </c>
      <c r="BF484">
        <v>3975</v>
      </c>
      <c r="BG484">
        <v>3975</v>
      </c>
      <c r="BH484" t="s">
        <v>63</v>
      </c>
      <c r="BI484" t="s">
        <v>1137</v>
      </c>
      <c r="BJ484">
        <v>0</v>
      </c>
      <c r="BK484">
        <v>2875</v>
      </c>
      <c r="BL484">
        <v>3975</v>
      </c>
      <c r="BM484">
        <v>0</v>
      </c>
      <c r="BN484">
        <v>2475</v>
      </c>
      <c r="BO484">
        <v>0</v>
      </c>
      <c r="BP484">
        <v>2875</v>
      </c>
      <c r="BQ484">
        <v>5350</v>
      </c>
      <c r="BR484">
        <f t="shared" si="80"/>
        <v>0</v>
      </c>
      <c r="BS484">
        <f t="shared" si="81"/>
        <v>550</v>
      </c>
      <c r="BU484">
        <f>R484*9</f>
        <v>2475</v>
      </c>
      <c r="BV484">
        <f>IF(BU484&gt;BG484, 1, 0)</f>
        <v>0</v>
      </c>
    </row>
    <row r="485" spans="1:74" x14ac:dyDescent="0.25">
      <c r="A485" s="5" t="s">
        <v>1451</v>
      </c>
      <c r="B485" s="5" t="s">
        <v>359</v>
      </c>
      <c r="C485" s="5" t="s">
        <v>61</v>
      </c>
      <c r="D485" s="1" t="s">
        <v>67</v>
      </c>
      <c r="E485">
        <v>0</v>
      </c>
      <c r="F485">
        <v>310</v>
      </c>
      <c r="G485">
        <v>0</v>
      </c>
      <c r="H485">
        <v>0</v>
      </c>
      <c r="I485">
        <v>1017</v>
      </c>
      <c r="J485">
        <v>1870</v>
      </c>
      <c r="K485">
        <v>167</v>
      </c>
      <c r="L485">
        <v>0</v>
      </c>
      <c r="M485">
        <v>0</v>
      </c>
      <c r="N485">
        <v>0</v>
      </c>
      <c r="O485">
        <v>0</v>
      </c>
      <c r="P485">
        <v>2412</v>
      </c>
      <c r="Q485">
        <v>298</v>
      </c>
      <c r="R485">
        <v>268</v>
      </c>
      <c r="S485" s="18">
        <f t="shared" si="72"/>
        <v>9</v>
      </c>
      <c r="T485" s="17">
        <f t="shared" si="73"/>
        <v>0</v>
      </c>
      <c r="U485" s="17">
        <f t="shared" si="74"/>
        <v>0</v>
      </c>
      <c r="V485" s="17">
        <f t="shared" si="75"/>
        <v>0</v>
      </c>
      <c r="W485" s="17">
        <f t="shared" si="76"/>
        <v>268</v>
      </c>
      <c r="X485" s="17">
        <f t="shared" si="77"/>
        <v>30</v>
      </c>
      <c r="Y485" s="19">
        <f t="shared" si="78"/>
        <v>0</v>
      </c>
      <c r="Z485">
        <v>310</v>
      </c>
      <c r="AA485">
        <v>0</v>
      </c>
      <c r="AB485">
        <v>0</v>
      </c>
      <c r="AC485">
        <v>520</v>
      </c>
      <c r="AD485">
        <v>0</v>
      </c>
      <c r="AE485">
        <v>0</v>
      </c>
      <c r="AF485">
        <v>0</v>
      </c>
      <c r="AG485">
        <v>1017</v>
      </c>
      <c r="AH485">
        <v>1017</v>
      </c>
      <c r="AI485">
        <v>0</v>
      </c>
      <c r="AJ485">
        <v>0</v>
      </c>
      <c r="AK485">
        <v>1870</v>
      </c>
      <c r="AL485">
        <v>1870</v>
      </c>
      <c r="AM485">
        <v>0</v>
      </c>
      <c r="AN485">
        <v>0</v>
      </c>
      <c r="AO485">
        <v>167</v>
      </c>
      <c r="AP485">
        <v>27</v>
      </c>
      <c r="AQ485">
        <v>167</v>
      </c>
      <c r="AR485">
        <v>140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f t="shared" si="79"/>
        <v>6795</v>
      </c>
      <c r="BF485">
        <v>3884</v>
      </c>
      <c r="BG485">
        <v>3884</v>
      </c>
      <c r="BH485" t="s">
        <v>63</v>
      </c>
      <c r="BI485" t="s">
        <v>1605</v>
      </c>
      <c r="BJ485">
        <v>520</v>
      </c>
      <c r="BK485">
        <v>3054</v>
      </c>
      <c r="BL485">
        <v>3884</v>
      </c>
      <c r="BM485">
        <v>0</v>
      </c>
      <c r="BN485">
        <v>0</v>
      </c>
      <c r="BO485">
        <v>0</v>
      </c>
      <c r="BP485">
        <v>5466</v>
      </c>
      <c r="BQ485">
        <v>5466</v>
      </c>
      <c r="BR485">
        <f t="shared" si="80"/>
        <v>-30</v>
      </c>
      <c r="BS485">
        <f t="shared" si="81"/>
        <v>566</v>
      </c>
      <c r="BU485">
        <f>R485*9</f>
        <v>2412</v>
      </c>
      <c r="BV485">
        <f>IF(BU485&gt;BG485, 1, 0)</f>
        <v>0</v>
      </c>
    </row>
    <row r="486" spans="1:74" x14ac:dyDescent="0.25">
      <c r="A486" s="5" t="s">
        <v>1451</v>
      </c>
      <c r="B486" s="5" t="s">
        <v>207</v>
      </c>
      <c r="C486" s="5" t="s">
        <v>61</v>
      </c>
      <c r="D486" s="1" t="s">
        <v>102</v>
      </c>
      <c r="E486">
        <v>0</v>
      </c>
      <c r="F486">
        <v>700</v>
      </c>
      <c r="G486">
        <v>0</v>
      </c>
      <c r="H486">
        <v>0</v>
      </c>
      <c r="I486">
        <v>273</v>
      </c>
      <c r="J486">
        <v>832</v>
      </c>
      <c r="K486">
        <v>487</v>
      </c>
      <c r="L486">
        <v>25</v>
      </c>
      <c r="M486">
        <v>3276</v>
      </c>
      <c r="N486">
        <v>0</v>
      </c>
      <c r="O486">
        <v>0</v>
      </c>
      <c r="P486">
        <v>0</v>
      </c>
      <c r="Q486">
        <v>364</v>
      </c>
      <c r="R486">
        <v>364</v>
      </c>
      <c r="S486" s="18">
        <f t="shared" si="72"/>
        <v>9</v>
      </c>
      <c r="T486" s="17">
        <f t="shared" si="73"/>
        <v>364</v>
      </c>
      <c r="U486" s="17">
        <f t="shared" si="74"/>
        <v>0</v>
      </c>
      <c r="V486" s="17">
        <f t="shared" si="75"/>
        <v>0</v>
      </c>
      <c r="W486" s="17">
        <f t="shared" si="76"/>
        <v>0</v>
      </c>
      <c r="X486" s="17">
        <f t="shared" si="77"/>
        <v>0</v>
      </c>
      <c r="Y486" s="19" t="e">
        <f t="shared" si="78"/>
        <v>#DIV/0!</v>
      </c>
      <c r="Z486">
        <v>700</v>
      </c>
      <c r="AA486">
        <v>25</v>
      </c>
      <c r="AB486">
        <v>0</v>
      </c>
      <c r="AC486">
        <v>2300</v>
      </c>
      <c r="AD486">
        <v>0</v>
      </c>
      <c r="AE486">
        <v>0</v>
      </c>
      <c r="AF486">
        <v>0</v>
      </c>
      <c r="AG486">
        <v>273</v>
      </c>
      <c r="AH486">
        <v>273</v>
      </c>
      <c r="AI486">
        <v>0</v>
      </c>
      <c r="AJ486">
        <v>0</v>
      </c>
      <c r="AK486">
        <v>832</v>
      </c>
      <c r="AL486">
        <v>832</v>
      </c>
      <c r="AM486">
        <v>0</v>
      </c>
      <c r="AN486">
        <v>0</v>
      </c>
      <c r="AO486">
        <v>487</v>
      </c>
      <c r="AP486">
        <v>187</v>
      </c>
      <c r="AQ486">
        <v>487</v>
      </c>
      <c r="AR486">
        <v>300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25</v>
      </c>
      <c r="BA486">
        <v>25</v>
      </c>
      <c r="BB486">
        <v>0</v>
      </c>
      <c r="BC486">
        <v>0</v>
      </c>
      <c r="BD486">
        <v>0</v>
      </c>
      <c r="BE486">
        <f t="shared" si="79"/>
        <v>6021</v>
      </c>
      <c r="BF486">
        <v>4642</v>
      </c>
      <c r="BG486">
        <v>4642</v>
      </c>
      <c r="BH486" t="s">
        <v>82</v>
      </c>
      <c r="BI486" t="s">
        <v>1549</v>
      </c>
      <c r="BJ486">
        <v>2325</v>
      </c>
      <c r="BK486">
        <v>1617</v>
      </c>
      <c r="BL486">
        <v>4642</v>
      </c>
      <c r="BM486">
        <v>3276</v>
      </c>
      <c r="BN486">
        <v>0</v>
      </c>
      <c r="BO486">
        <v>0</v>
      </c>
      <c r="BP486">
        <v>1617</v>
      </c>
      <c r="BQ486">
        <v>4893</v>
      </c>
      <c r="BR486">
        <f t="shared" si="80"/>
        <v>0</v>
      </c>
      <c r="BS486">
        <f t="shared" si="81"/>
        <v>728</v>
      </c>
    </row>
    <row r="487" spans="1:74" x14ac:dyDescent="0.25">
      <c r="A487" s="5" t="s">
        <v>1451</v>
      </c>
      <c r="B487" s="5" t="s">
        <v>207</v>
      </c>
      <c r="C487" s="5" t="s">
        <v>61</v>
      </c>
      <c r="D487" s="1" t="s">
        <v>115</v>
      </c>
      <c r="E487">
        <v>0</v>
      </c>
      <c r="F487">
        <v>2981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2691</v>
      </c>
      <c r="N487">
        <v>0</v>
      </c>
      <c r="O487">
        <v>0</v>
      </c>
      <c r="P487">
        <v>0</v>
      </c>
      <c r="Q487">
        <v>299</v>
      </c>
      <c r="R487">
        <v>299</v>
      </c>
      <c r="S487" s="18">
        <f t="shared" si="72"/>
        <v>9</v>
      </c>
      <c r="T487" s="17">
        <f t="shared" si="73"/>
        <v>299</v>
      </c>
      <c r="U487" s="17">
        <f t="shared" si="74"/>
        <v>0</v>
      </c>
      <c r="V487" s="17">
        <f t="shared" si="75"/>
        <v>0</v>
      </c>
      <c r="W487" s="17">
        <f t="shared" si="76"/>
        <v>0</v>
      </c>
      <c r="X487" s="17">
        <f t="shared" si="77"/>
        <v>0</v>
      </c>
      <c r="Y487" s="19" t="e">
        <f t="shared" si="78"/>
        <v>#DIV/0!</v>
      </c>
      <c r="Z487">
        <v>2981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f t="shared" si="79"/>
        <v>0</v>
      </c>
      <c r="BF487">
        <v>2981</v>
      </c>
      <c r="BG487">
        <v>2981</v>
      </c>
      <c r="BH487" t="s">
        <v>546</v>
      </c>
      <c r="BI487" t="s">
        <v>1552</v>
      </c>
      <c r="BJ487">
        <v>0</v>
      </c>
      <c r="BK487">
        <v>0</v>
      </c>
      <c r="BL487">
        <v>2981</v>
      </c>
      <c r="BM487">
        <v>2691</v>
      </c>
      <c r="BN487">
        <v>0</v>
      </c>
      <c r="BO487">
        <v>0</v>
      </c>
      <c r="BP487">
        <v>0</v>
      </c>
      <c r="BQ487">
        <v>2691</v>
      </c>
      <c r="BR487">
        <f t="shared" si="80"/>
        <v>0</v>
      </c>
      <c r="BS487">
        <f t="shared" si="81"/>
        <v>598</v>
      </c>
    </row>
    <row r="488" spans="1:74" x14ac:dyDescent="0.25">
      <c r="A488" s="5" t="s">
        <v>1451</v>
      </c>
      <c r="B488" s="6" t="s">
        <v>207</v>
      </c>
      <c r="C488" s="6" t="s">
        <v>61</v>
      </c>
      <c r="D488" s="1" t="s">
        <v>125</v>
      </c>
      <c r="E488">
        <v>0</v>
      </c>
      <c r="F488">
        <v>445</v>
      </c>
      <c r="G488">
        <v>0</v>
      </c>
      <c r="H488">
        <v>0</v>
      </c>
      <c r="I488">
        <v>180</v>
      </c>
      <c r="J488">
        <v>0</v>
      </c>
      <c r="K488">
        <v>0</v>
      </c>
      <c r="L488">
        <v>0</v>
      </c>
      <c r="M488">
        <v>3798</v>
      </c>
      <c r="N488">
        <v>0</v>
      </c>
      <c r="O488">
        <v>0</v>
      </c>
      <c r="P488">
        <v>0</v>
      </c>
      <c r="Q488">
        <v>422</v>
      </c>
      <c r="R488">
        <v>422</v>
      </c>
      <c r="S488" s="18">
        <f t="shared" si="72"/>
        <v>9</v>
      </c>
      <c r="T488" s="17">
        <f t="shared" si="73"/>
        <v>422</v>
      </c>
      <c r="U488" s="17">
        <f t="shared" si="74"/>
        <v>0</v>
      </c>
      <c r="V488" s="17">
        <f t="shared" si="75"/>
        <v>0</v>
      </c>
      <c r="W488" s="17">
        <f t="shared" si="76"/>
        <v>0</v>
      </c>
      <c r="X488" s="17">
        <f t="shared" si="77"/>
        <v>0</v>
      </c>
      <c r="Y488" s="19" t="e">
        <f t="shared" si="78"/>
        <v>#DIV/0!</v>
      </c>
      <c r="Z488">
        <v>445</v>
      </c>
      <c r="AA488">
        <v>0</v>
      </c>
      <c r="AB488">
        <v>0</v>
      </c>
      <c r="AC488">
        <v>0</v>
      </c>
      <c r="AD488">
        <v>180</v>
      </c>
      <c r="AE488">
        <v>0</v>
      </c>
      <c r="AF488">
        <v>0</v>
      </c>
      <c r="AG488">
        <v>0</v>
      </c>
      <c r="AH488">
        <v>180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f t="shared" si="79"/>
        <v>360</v>
      </c>
      <c r="BF488">
        <v>625</v>
      </c>
      <c r="BG488">
        <v>625</v>
      </c>
      <c r="BH488" t="s">
        <v>109</v>
      </c>
      <c r="BI488" t="s">
        <v>1557</v>
      </c>
      <c r="BJ488">
        <v>0</v>
      </c>
      <c r="BK488">
        <v>180</v>
      </c>
      <c r="BL488">
        <v>625</v>
      </c>
      <c r="BM488">
        <v>3978</v>
      </c>
      <c r="BN488">
        <v>0</v>
      </c>
      <c r="BO488">
        <v>0</v>
      </c>
      <c r="BP488">
        <v>0</v>
      </c>
      <c r="BQ488">
        <v>3978</v>
      </c>
      <c r="BR488">
        <f t="shared" si="80"/>
        <v>0</v>
      </c>
      <c r="BS488">
        <f t="shared" si="81"/>
        <v>844</v>
      </c>
    </row>
    <row r="489" spans="1:74" x14ac:dyDescent="0.25">
      <c r="A489" s="5" t="s">
        <v>1017</v>
      </c>
      <c r="B489" s="7" t="s">
        <v>61</v>
      </c>
      <c r="C489" s="7" t="s">
        <v>207</v>
      </c>
      <c r="D489" s="1" t="s">
        <v>65</v>
      </c>
      <c r="E489">
        <v>0</v>
      </c>
      <c r="F489">
        <v>984</v>
      </c>
      <c r="G489">
        <v>0</v>
      </c>
      <c r="H489">
        <v>0</v>
      </c>
      <c r="I489">
        <v>2709</v>
      </c>
      <c r="J489">
        <v>673</v>
      </c>
      <c r="K489">
        <v>96</v>
      </c>
      <c r="L489">
        <v>0</v>
      </c>
      <c r="M489">
        <v>0</v>
      </c>
      <c r="N489">
        <v>0</v>
      </c>
      <c r="O489">
        <v>0</v>
      </c>
      <c r="P489">
        <v>2331</v>
      </c>
      <c r="Q489">
        <v>259</v>
      </c>
      <c r="R489">
        <v>259</v>
      </c>
      <c r="S489" s="18">
        <f t="shared" si="72"/>
        <v>9</v>
      </c>
      <c r="T489" s="17">
        <f t="shared" si="73"/>
        <v>0</v>
      </c>
      <c r="U489" s="17">
        <f t="shared" si="74"/>
        <v>0</v>
      </c>
      <c r="V489" s="17">
        <f t="shared" si="75"/>
        <v>0</v>
      </c>
      <c r="W489" s="17">
        <f t="shared" si="76"/>
        <v>259</v>
      </c>
      <c r="X489" s="17">
        <f t="shared" si="77"/>
        <v>0</v>
      </c>
      <c r="Y489" s="19" t="e">
        <f t="shared" si="78"/>
        <v>#DIV/0!</v>
      </c>
      <c r="Z489">
        <v>984</v>
      </c>
      <c r="AA489">
        <v>0</v>
      </c>
      <c r="AB489">
        <v>0</v>
      </c>
      <c r="AC489">
        <v>0</v>
      </c>
      <c r="AD489">
        <v>2709</v>
      </c>
      <c r="AE489">
        <v>0</v>
      </c>
      <c r="AF489">
        <v>0</v>
      </c>
      <c r="AG489">
        <v>0</v>
      </c>
      <c r="AH489">
        <v>2709</v>
      </c>
      <c r="AI489">
        <v>0</v>
      </c>
      <c r="AJ489">
        <v>0</v>
      </c>
      <c r="AK489">
        <v>673</v>
      </c>
      <c r="AL489">
        <v>673</v>
      </c>
      <c r="AM489">
        <v>0</v>
      </c>
      <c r="AN489">
        <v>0</v>
      </c>
      <c r="AO489">
        <v>96</v>
      </c>
      <c r="AP489">
        <v>96</v>
      </c>
      <c r="AQ489">
        <v>96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f t="shared" si="79"/>
        <v>7052</v>
      </c>
      <c r="BF489">
        <v>4462</v>
      </c>
      <c r="BG489">
        <v>4462</v>
      </c>
      <c r="BH489" t="s">
        <v>63</v>
      </c>
      <c r="BI489" t="s">
        <v>1047</v>
      </c>
      <c r="BJ489">
        <v>0</v>
      </c>
      <c r="BK489">
        <v>3478</v>
      </c>
      <c r="BL489">
        <v>4462</v>
      </c>
      <c r="BM489">
        <v>2709</v>
      </c>
      <c r="BN489">
        <v>0</v>
      </c>
      <c r="BO489">
        <v>0</v>
      </c>
      <c r="BP489">
        <v>3100</v>
      </c>
      <c r="BQ489">
        <v>5809</v>
      </c>
      <c r="BR489">
        <f t="shared" si="80"/>
        <v>0</v>
      </c>
      <c r="BS489">
        <f t="shared" si="81"/>
        <v>518</v>
      </c>
      <c r="BU489">
        <f>R489*9</f>
        <v>2331</v>
      </c>
      <c r="BV489">
        <f>IF(BU489&gt;BG489, 1, 0)</f>
        <v>0</v>
      </c>
    </row>
    <row r="490" spans="1:74" x14ac:dyDescent="0.25">
      <c r="A490" s="5" t="s">
        <v>875</v>
      </c>
      <c r="B490" s="5" t="s">
        <v>207</v>
      </c>
      <c r="C490" s="5" t="s">
        <v>61</v>
      </c>
      <c r="D490" s="1" t="s">
        <v>167</v>
      </c>
      <c r="E490">
        <v>0</v>
      </c>
      <c r="F490">
        <v>350</v>
      </c>
      <c r="G490">
        <v>0</v>
      </c>
      <c r="H490">
        <v>0</v>
      </c>
      <c r="I490">
        <v>45</v>
      </c>
      <c r="J490">
        <v>0</v>
      </c>
      <c r="K490">
        <v>381</v>
      </c>
      <c r="L490">
        <v>0</v>
      </c>
      <c r="M490">
        <v>0</v>
      </c>
      <c r="N490">
        <v>0</v>
      </c>
      <c r="O490">
        <v>0</v>
      </c>
      <c r="P490">
        <v>2313</v>
      </c>
      <c r="Q490">
        <v>257</v>
      </c>
      <c r="R490">
        <v>257</v>
      </c>
      <c r="S490" s="18">
        <f t="shared" si="72"/>
        <v>9</v>
      </c>
      <c r="T490" s="17">
        <f t="shared" si="73"/>
        <v>0</v>
      </c>
      <c r="U490" s="17">
        <f t="shared" si="74"/>
        <v>0</v>
      </c>
      <c r="V490" s="17">
        <f t="shared" si="75"/>
        <v>0</v>
      </c>
      <c r="W490" s="17">
        <f t="shared" si="76"/>
        <v>257</v>
      </c>
      <c r="X490" s="17">
        <f t="shared" si="77"/>
        <v>0</v>
      </c>
      <c r="Y490" s="19" t="e">
        <f t="shared" si="78"/>
        <v>#DIV/0!</v>
      </c>
      <c r="Z490">
        <v>350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45</v>
      </c>
      <c r="AH490">
        <v>45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381</v>
      </c>
      <c r="AP490">
        <v>381</v>
      </c>
      <c r="AQ490">
        <v>381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f t="shared" si="79"/>
        <v>1233</v>
      </c>
      <c r="BF490">
        <v>776</v>
      </c>
      <c r="BG490">
        <v>776</v>
      </c>
      <c r="BH490" t="s">
        <v>63</v>
      </c>
      <c r="BI490" t="s">
        <v>1016</v>
      </c>
      <c r="BJ490">
        <v>0</v>
      </c>
      <c r="BK490">
        <v>426</v>
      </c>
      <c r="BL490">
        <v>776</v>
      </c>
      <c r="BM490">
        <v>0</v>
      </c>
      <c r="BN490">
        <v>0</v>
      </c>
      <c r="BO490">
        <v>0</v>
      </c>
      <c r="BP490">
        <v>2739</v>
      </c>
      <c r="BQ490">
        <v>2739</v>
      </c>
      <c r="BR490">
        <f t="shared" si="80"/>
        <v>0</v>
      </c>
      <c r="BS490">
        <f t="shared" si="81"/>
        <v>514</v>
      </c>
      <c r="BU490">
        <f>R490*9</f>
        <v>2313</v>
      </c>
      <c r="BV490">
        <f>IF(BU490&gt;BG490, 1, 0)</f>
        <v>1</v>
      </c>
    </row>
    <row r="491" spans="1:74" x14ac:dyDescent="0.25">
      <c r="A491" s="5" t="s">
        <v>1135</v>
      </c>
      <c r="B491" s="5" t="s">
        <v>207</v>
      </c>
      <c r="C491" s="5" t="s">
        <v>359</v>
      </c>
      <c r="D491" s="1" t="s">
        <v>67</v>
      </c>
      <c r="E491">
        <v>0</v>
      </c>
      <c r="F491">
        <v>2266</v>
      </c>
      <c r="G491">
        <v>0</v>
      </c>
      <c r="H491">
        <v>0</v>
      </c>
      <c r="I491">
        <v>5973</v>
      </c>
      <c r="J491">
        <v>0</v>
      </c>
      <c r="K491">
        <v>23</v>
      </c>
      <c r="L491">
        <v>0</v>
      </c>
      <c r="M491">
        <v>2304</v>
      </c>
      <c r="N491">
        <v>0</v>
      </c>
      <c r="O491">
        <v>0</v>
      </c>
      <c r="P491">
        <v>0</v>
      </c>
      <c r="Q491">
        <v>256</v>
      </c>
      <c r="R491">
        <v>256</v>
      </c>
      <c r="S491" s="18">
        <f t="shared" si="72"/>
        <v>9</v>
      </c>
      <c r="T491" s="17">
        <f t="shared" si="73"/>
        <v>256</v>
      </c>
      <c r="U491" s="17">
        <f t="shared" si="74"/>
        <v>0</v>
      </c>
      <c r="V491" s="17">
        <f t="shared" si="75"/>
        <v>0</v>
      </c>
      <c r="W491" s="17">
        <f t="shared" si="76"/>
        <v>0</v>
      </c>
      <c r="X491" s="17">
        <f t="shared" si="77"/>
        <v>0</v>
      </c>
      <c r="Y491" s="19" t="e">
        <f t="shared" si="78"/>
        <v>#DIV/0!</v>
      </c>
      <c r="Z491">
        <v>2266</v>
      </c>
      <c r="AA491">
        <v>0</v>
      </c>
      <c r="AB491">
        <v>0</v>
      </c>
      <c r="AC491">
        <v>0</v>
      </c>
      <c r="AD491">
        <v>5973</v>
      </c>
      <c r="AE491">
        <v>0</v>
      </c>
      <c r="AF491">
        <v>0</v>
      </c>
      <c r="AG491">
        <v>0</v>
      </c>
      <c r="AH491">
        <v>5973</v>
      </c>
      <c r="AI491">
        <v>0</v>
      </c>
      <c r="AJ491">
        <v>0</v>
      </c>
      <c r="AK491">
        <v>0</v>
      </c>
      <c r="AL491">
        <v>0</v>
      </c>
      <c r="AM491">
        <v>23</v>
      </c>
      <c r="AN491">
        <v>0</v>
      </c>
      <c r="AO491">
        <v>0</v>
      </c>
      <c r="AP491">
        <v>0</v>
      </c>
      <c r="AQ491">
        <v>23</v>
      </c>
      <c r="AR491">
        <v>23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f t="shared" si="79"/>
        <v>12015</v>
      </c>
      <c r="BF491">
        <v>8262</v>
      </c>
      <c r="BG491">
        <v>8262</v>
      </c>
      <c r="BH491" t="s">
        <v>63</v>
      </c>
      <c r="BI491" t="s">
        <v>1285</v>
      </c>
      <c r="BJ491">
        <v>0</v>
      </c>
      <c r="BK491">
        <v>5996</v>
      </c>
      <c r="BL491">
        <v>8262</v>
      </c>
      <c r="BM491">
        <v>8300</v>
      </c>
      <c r="BN491">
        <v>0</v>
      </c>
      <c r="BO491">
        <v>0</v>
      </c>
      <c r="BP491">
        <v>0</v>
      </c>
      <c r="BQ491">
        <v>8300</v>
      </c>
      <c r="BR491">
        <f t="shared" si="80"/>
        <v>0</v>
      </c>
      <c r="BS491">
        <f t="shared" si="81"/>
        <v>512</v>
      </c>
      <c r="BU491">
        <f>R491*9</f>
        <v>2304</v>
      </c>
      <c r="BV491">
        <f>IF(BU491&gt;BG491, 1, 0)</f>
        <v>0</v>
      </c>
    </row>
    <row r="492" spans="1:74" x14ac:dyDescent="0.25">
      <c r="A492" s="5" t="s">
        <v>1451</v>
      </c>
      <c r="B492" s="5" t="s">
        <v>207</v>
      </c>
      <c r="C492" s="5" t="s">
        <v>207</v>
      </c>
      <c r="D492" s="1" t="s">
        <v>81</v>
      </c>
      <c r="E492">
        <v>0</v>
      </c>
      <c r="F492">
        <v>565</v>
      </c>
      <c r="G492">
        <v>0</v>
      </c>
      <c r="H492">
        <v>0</v>
      </c>
      <c r="I492">
        <v>84</v>
      </c>
      <c r="J492">
        <v>0</v>
      </c>
      <c r="K492">
        <v>0</v>
      </c>
      <c r="L492">
        <v>0</v>
      </c>
      <c r="M492">
        <v>2511</v>
      </c>
      <c r="N492">
        <v>0</v>
      </c>
      <c r="O492">
        <v>0</v>
      </c>
      <c r="P492">
        <v>0</v>
      </c>
      <c r="Q492">
        <v>279</v>
      </c>
      <c r="R492">
        <v>279</v>
      </c>
      <c r="S492" s="18">
        <f t="shared" si="72"/>
        <v>9</v>
      </c>
      <c r="T492" s="17">
        <f t="shared" si="73"/>
        <v>279</v>
      </c>
      <c r="U492" s="17">
        <f t="shared" si="74"/>
        <v>0</v>
      </c>
      <c r="V492" s="17">
        <f t="shared" si="75"/>
        <v>0</v>
      </c>
      <c r="W492" s="17">
        <f t="shared" si="76"/>
        <v>0</v>
      </c>
      <c r="X492" s="17">
        <f t="shared" si="77"/>
        <v>0</v>
      </c>
      <c r="Y492" s="19" t="e">
        <f t="shared" si="78"/>
        <v>#DIV/0!</v>
      </c>
      <c r="Z492">
        <v>565</v>
      </c>
      <c r="AA492">
        <v>0</v>
      </c>
      <c r="AB492">
        <v>0</v>
      </c>
      <c r="AC492">
        <v>0</v>
      </c>
      <c r="AD492">
        <v>84</v>
      </c>
      <c r="AE492">
        <v>0</v>
      </c>
      <c r="AF492">
        <v>0</v>
      </c>
      <c r="AG492">
        <v>0</v>
      </c>
      <c r="AH492">
        <v>84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f t="shared" si="79"/>
        <v>168</v>
      </c>
      <c r="BF492">
        <v>649</v>
      </c>
      <c r="BG492">
        <v>649</v>
      </c>
      <c r="BH492" t="s">
        <v>109</v>
      </c>
      <c r="BI492" t="s">
        <v>214</v>
      </c>
      <c r="BJ492">
        <v>0</v>
      </c>
      <c r="BK492">
        <v>84</v>
      </c>
      <c r="BL492">
        <v>649</v>
      </c>
      <c r="BM492">
        <v>2595</v>
      </c>
      <c r="BN492">
        <v>0</v>
      </c>
      <c r="BO492">
        <v>0</v>
      </c>
      <c r="BP492">
        <v>0</v>
      </c>
      <c r="BQ492">
        <v>2595</v>
      </c>
      <c r="BR492">
        <f t="shared" si="80"/>
        <v>0</v>
      </c>
      <c r="BS492">
        <f t="shared" si="81"/>
        <v>558</v>
      </c>
    </row>
    <row r="493" spans="1:74" x14ac:dyDescent="0.25">
      <c r="A493" s="5" t="s">
        <v>1451</v>
      </c>
      <c r="B493" s="5" t="s">
        <v>207</v>
      </c>
      <c r="C493" s="5" t="s">
        <v>207</v>
      </c>
      <c r="D493" s="1" t="s">
        <v>90</v>
      </c>
      <c r="E493">
        <v>0</v>
      </c>
      <c r="F493">
        <v>1599</v>
      </c>
      <c r="G493">
        <v>0</v>
      </c>
      <c r="H493">
        <v>0</v>
      </c>
      <c r="I493">
        <v>208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2493</v>
      </c>
      <c r="Q493">
        <v>277</v>
      </c>
      <c r="R493">
        <v>277</v>
      </c>
      <c r="S493" s="18">
        <f t="shared" si="72"/>
        <v>9</v>
      </c>
      <c r="T493" s="17">
        <f t="shared" si="73"/>
        <v>0</v>
      </c>
      <c r="U493" s="17">
        <f t="shared" si="74"/>
        <v>0</v>
      </c>
      <c r="V493" s="17">
        <f t="shared" si="75"/>
        <v>0</v>
      </c>
      <c r="W493" s="17">
        <f t="shared" si="76"/>
        <v>277</v>
      </c>
      <c r="X493" s="17">
        <f t="shared" si="77"/>
        <v>0</v>
      </c>
      <c r="Y493" s="19" t="e">
        <f t="shared" si="78"/>
        <v>#DIV/0!</v>
      </c>
      <c r="Z493">
        <v>1599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208</v>
      </c>
      <c r="AH493">
        <v>208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f t="shared" si="79"/>
        <v>416</v>
      </c>
      <c r="BF493">
        <v>1807</v>
      </c>
      <c r="BG493">
        <v>1807</v>
      </c>
      <c r="BH493" t="s">
        <v>109</v>
      </c>
      <c r="BI493" t="s">
        <v>1569</v>
      </c>
      <c r="BJ493">
        <v>0</v>
      </c>
      <c r="BK493">
        <v>208</v>
      </c>
      <c r="BL493">
        <v>1807</v>
      </c>
      <c r="BM493">
        <v>0</v>
      </c>
      <c r="BN493">
        <v>0</v>
      </c>
      <c r="BO493">
        <v>0</v>
      </c>
      <c r="BP493">
        <v>2701</v>
      </c>
      <c r="BQ493">
        <v>2701</v>
      </c>
      <c r="BR493">
        <f t="shared" si="80"/>
        <v>0</v>
      </c>
      <c r="BS493">
        <f t="shared" si="81"/>
        <v>554</v>
      </c>
    </row>
    <row r="494" spans="1:74" x14ac:dyDescent="0.25">
      <c r="A494" s="5" t="s">
        <v>1451</v>
      </c>
      <c r="B494" s="5" t="s">
        <v>207</v>
      </c>
      <c r="C494" s="5" t="s">
        <v>207</v>
      </c>
      <c r="D494" s="1" t="s">
        <v>100</v>
      </c>
      <c r="E494">
        <v>0</v>
      </c>
      <c r="F494">
        <v>1436</v>
      </c>
      <c r="G494">
        <v>0</v>
      </c>
      <c r="H494">
        <v>0</v>
      </c>
      <c r="I494">
        <v>196</v>
      </c>
      <c r="J494">
        <v>0</v>
      </c>
      <c r="K494">
        <v>2393</v>
      </c>
      <c r="L494">
        <v>0</v>
      </c>
      <c r="M494">
        <v>0</v>
      </c>
      <c r="N494">
        <v>0</v>
      </c>
      <c r="O494">
        <v>0</v>
      </c>
      <c r="P494">
        <v>3231</v>
      </c>
      <c r="Q494">
        <v>359</v>
      </c>
      <c r="R494">
        <v>359</v>
      </c>
      <c r="S494" s="18">
        <f t="shared" si="72"/>
        <v>9</v>
      </c>
      <c r="T494" s="17">
        <f t="shared" si="73"/>
        <v>0</v>
      </c>
      <c r="U494" s="17">
        <f t="shared" si="74"/>
        <v>0</v>
      </c>
      <c r="V494" s="17">
        <f t="shared" si="75"/>
        <v>0</v>
      </c>
      <c r="W494" s="17">
        <f t="shared" si="76"/>
        <v>359</v>
      </c>
      <c r="X494" s="17">
        <f t="shared" si="77"/>
        <v>0</v>
      </c>
      <c r="Y494" s="19" t="e">
        <f t="shared" si="78"/>
        <v>#DIV/0!</v>
      </c>
      <c r="Z494">
        <v>1436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196</v>
      </c>
      <c r="AH494">
        <v>196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2393</v>
      </c>
      <c r="AP494">
        <v>1989</v>
      </c>
      <c r="AQ494">
        <v>2393</v>
      </c>
      <c r="AR494">
        <v>404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f t="shared" si="79"/>
        <v>7571</v>
      </c>
      <c r="BF494">
        <v>5365</v>
      </c>
      <c r="BG494">
        <v>5365</v>
      </c>
      <c r="BH494" t="s">
        <v>82</v>
      </c>
      <c r="BI494" t="s">
        <v>1573</v>
      </c>
      <c r="BJ494">
        <v>0</v>
      </c>
      <c r="BK494">
        <v>2589</v>
      </c>
      <c r="BL494">
        <v>4025</v>
      </c>
      <c r="BM494">
        <v>0</v>
      </c>
      <c r="BN494">
        <v>0</v>
      </c>
      <c r="BO494">
        <v>0</v>
      </c>
      <c r="BP494">
        <v>5820</v>
      </c>
      <c r="BQ494">
        <v>5820</v>
      </c>
      <c r="BR494">
        <f t="shared" si="80"/>
        <v>0</v>
      </c>
      <c r="BS494">
        <f t="shared" si="81"/>
        <v>718</v>
      </c>
    </row>
    <row r="495" spans="1:74" x14ac:dyDescent="0.25">
      <c r="A495" s="5" t="s">
        <v>1451</v>
      </c>
      <c r="B495" s="5" t="s">
        <v>207</v>
      </c>
      <c r="C495" s="5" t="s">
        <v>207</v>
      </c>
      <c r="D495" s="1" t="s">
        <v>106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8" t="e">
        <f t="shared" si="72"/>
        <v>#DIV/0!</v>
      </c>
      <c r="T495" s="17" t="e">
        <f t="shared" si="73"/>
        <v>#DIV/0!</v>
      </c>
      <c r="U495" s="17" t="e">
        <f t="shared" si="74"/>
        <v>#DIV/0!</v>
      </c>
      <c r="V495" s="17" t="e">
        <f t="shared" si="75"/>
        <v>#DIV/0!</v>
      </c>
      <c r="W495" s="17" t="e">
        <f t="shared" si="76"/>
        <v>#DIV/0!</v>
      </c>
      <c r="X495" s="17" t="e">
        <f t="shared" si="77"/>
        <v>#DIV/0!</v>
      </c>
      <c r="Y495" s="19" t="e">
        <f t="shared" si="78"/>
        <v>#DIV/0!</v>
      </c>
      <c r="Z495">
        <v>0</v>
      </c>
      <c r="AA495">
        <v>0</v>
      </c>
      <c r="AB495">
        <v>0</v>
      </c>
      <c r="AC495">
        <v>125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f t="shared" si="79"/>
        <v>125</v>
      </c>
      <c r="BH495" t="s">
        <v>82</v>
      </c>
      <c r="BI495" t="s">
        <v>1575</v>
      </c>
      <c r="BJ495">
        <v>125</v>
      </c>
      <c r="BK495">
        <v>0</v>
      </c>
      <c r="BL495">
        <v>125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f t="shared" si="80"/>
        <v>0</v>
      </c>
      <c r="BS495">
        <f t="shared" si="81"/>
        <v>0</v>
      </c>
    </row>
    <row r="496" spans="1:74" x14ac:dyDescent="0.25">
      <c r="A496" s="5" t="s">
        <v>1451</v>
      </c>
      <c r="B496" s="5" t="s">
        <v>207</v>
      </c>
      <c r="C496" s="5" t="s">
        <v>207</v>
      </c>
      <c r="D496" s="1" t="s">
        <v>121</v>
      </c>
      <c r="E496">
        <v>0</v>
      </c>
      <c r="F496">
        <v>1500</v>
      </c>
      <c r="G496">
        <v>0</v>
      </c>
      <c r="H496">
        <v>0</v>
      </c>
      <c r="I496">
        <v>118</v>
      </c>
      <c r="J496">
        <v>0</v>
      </c>
      <c r="K496">
        <v>20</v>
      </c>
      <c r="L496">
        <v>0</v>
      </c>
      <c r="M496">
        <v>0</v>
      </c>
      <c r="N496">
        <v>0</v>
      </c>
      <c r="O496">
        <v>0</v>
      </c>
      <c r="P496">
        <v>2337</v>
      </c>
      <c r="Q496">
        <v>328</v>
      </c>
      <c r="R496">
        <v>328</v>
      </c>
      <c r="S496" s="18">
        <f t="shared" si="72"/>
        <v>7.125</v>
      </c>
      <c r="T496" s="17">
        <f t="shared" si="73"/>
        <v>0</v>
      </c>
      <c r="U496" s="17">
        <f t="shared" si="74"/>
        <v>0</v>
      </c>
      <c r="V496" s="17">
        <f t="shared" si="75"/>
        <v>0</v>
      </c>
      <c r="W496" s="17">
        <f t="shared" si="76"/>
        <v>328</v>
      </c>
      <c r="X496" s="17">
        <f t="shared" si="77"/>
        <v>0</v>
      </c>
      <c r="Y496" s="19" t="e">
        <f t="shared" si="78"/>
        <v>#DIV/0!</v>
      </c>
      <c r="Z496">
        <v>1500</v>
      </c>
      <c r="AA496">
        <v>9</v>
      </c>
      <c r="AB496">
        <v>0</v>
      </c>
      <c r="AC496">
        <v>690</v>
      </c>
      <c r="AD496">
        <v>0</v>
      </c>
      <c r="AE496">
        <v>0</v>
      </c>
      <c r="AF496">
        <v>0</v>
      </c>
      <c r="AG496">
        <v>118</v>
      </c>
      <c r="AH496">
        <v>118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20</v>
      </c>
      <c r="AP496">
        <v>20</v>
      </c>
      <c r="AQ496">
        <v>20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f t="shared" si="79"/>
        <v>986</v>
      </c>
      <c r="BF496">
        <v>2337</v>
      </c>
      <c r="BG496">
        <v>2337</v>
      </c>
      <c r="BH496" t="s">
        <v>82</v>
      </c>
      <c r="BI496" t="s">
        <v>1580</v>
      </c>
      <c r="BJ496">
        <v>699</v>
      </c>
      <c r="BK496">
        <v>138</v>
      </c>
      <c r="BL496">
        <v>2337</v>
      </c>
      <c r="BM496">
        <v>0</v>
      </c>
      <c r="BN496">
        <v>0</v>
      </c>
      <c r="BO496">
        <v>0</v>
      </c>
      <c r="BP496">
        <v>2475</v>
      </c>
      <c r="BQ496">
        <v>2475</v>
      </c>
      <c r="BR496">
        <f t="shared" si="80"/>
        <v>0</v>
      </c>
      <c r="BS496">
        <f t="shared" si="81"/>
        <v>656</v>
      </c>
    </row>
    <row r="497" spans="1:74" x14ac:dyDescent="0.25">
      <c r="A497" s="5" t="s">
        <v>1451</v>
      </c>
      <c r="B497" s="5" t="s">
        <v>207</v>
      </c>
      <c r="C497" s="5" t="s">
        <v>207</v>
      </c>
      <c r="D497" s="1" t="s">
        <v>127</v>
      </c>
      <c r="E497">
        <v>0</v>
      </c>
      <c r="F497">
        <v>1650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1683</v>
      </c>
      <c r="N497">
        <v>0</v>
      </c>
      <c r="O497">
        <v>0</v>
      </c>
      <c r="P497">
        <v>0</v>
      </c>
      <c r="Q497">
        <v>187</v>
      </c>
      <c r="R497">
        <v>187</v>
      </c>
      <c r="S497" s="18">
        <f t="shared" si="72"/>
        <v>9</v>
      </c>
      <c r="T497" s="17">
        <f t="shared" si="73"/>
        <v>187</v>
      </c>
      <c r="U497" s="17">
        <f t="shared" si="74"/>
        <v>0</v>
      </c>
      <c r="V497" s="17">
        <f t="shared" si="75"/>
        <v>0</v>
      </c>
      <c r="W497" s="17">
        <f t="shared" si="76"/>
        <v>0</v>
      </c>
      <c r="X497" s="17">
        <f t="shared" si="77"/>
        <v>0</v>
      </c>
      <c r="Y497" s="19" t="e">
        <f t="shared" si="78"/>
        <v>#DIV/0!</v>
      </c>
      <c r="Z497">
        <v>1650</v>
      </c>
      <c r="AA497">
        <v>0</v>
      </c>
      <c r="AB497">
        <v>0</v>
      </c>
      <c r="AC497">
        <v>540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f t="shared" si="79"/>
        <v>540</v>
      </c>
      <c r="BF497">
        <v>2190</v>
      </c>
      <c r="BG497">
        <v>2190</v>
      </c>
      <c r="BH497" t="s">
        <v>546</v>
      </c>
      <c r="BI497" t="s">
        <v>1583</v>
      </c>
      <c r="BJ497">
        <v>540</v>
      </c>
      <c r="BK497">
        <v>0</v>
      </c>
      <c r="BL497">
        <v>2190</v>
      </c>
      <c r="BM497">
        <v>1683</v>
      </c>
      <c r="BN497">
        <v>0</v>
      </c>
      <c r="BO497">
        <v>0</v>
      </c>
      <c r="BP497">
        <v>0</v>
      </c>
      <c r="BQ497">
        <v>1683</v>
      </c>
      <c r="BR497">
        <f t="shared" si="80"/>
        <v>0</v>
      </c>
      <c r="BS497">
        <f t="shared" si="81"/>
        <v>374</v>
      </c>
    </row>
    <row r="498" spans="1:74" x14ac:dyDescent="0.25">
      <c r="A498" s="5" t="s">
        <v>1451</v>
      </c>
      <c r="B498" s="5" t="s">
        <v>207</v>
      </c>
      <c r="C498" s="5" t="s">
        <v>207</v>
      </c>
      <c r="D498" s="1" t="s">
        <v>129</v>
      </c>
      <c r="E498">
        <v>0</v>
      </c>
      <c r="F498">
        <v>3270</v>
      </c>
      <c r="G498">
        <v>0</v>
      </c>
      <c r="H498">
        <v>0</v>
      </c>
      <c r="I498">
        <v>90</v>
      </c>
      <c r="J498">
        <v>0</v>
      </c>
      <c r="K498">
        <v>320</v>
      </c>
      <c r="L498">
        <v>0</v>
      </c>
      <c r="M498">
        <v>0</v>
      </c>
      <c r="N498">
        <v>0</v>
      </c>
      <c r="O498">
        <v>0</v>
      </c>
      <c r="P498">
        <v>2547</v>
      </c>
      <c r="Q498">
        <v>283</v>
      </c>
      <c r="R498">
        <v>283</v>
      </c>
      <c r="S498" s="18">
        <f t="shared" si="72"/>
        <v>9</v>
      </c>
      <c r="T498" s="17">
        <f t="shared" si="73"/>
        <v>0</v>
      </c>
      <c r="U498" s="17">
        <f t="shared" si="74"/>
        <v>0</v>
      </c>
      <c r="V498" s="17">
        <f t="shared" si="75"/>
        <v>0</v>
      </c>
      <c r="W498" s="17">
        <f t="shared" si="76"/>
        <v>283</v>
      </c>
      <c r="X498" s="17">
        <f t="shared" si="77"/>
        <v>0</v>
      </c>
      <c r="Y498" s="19" t="e">
        <f t="shared" si="78"/>
        <v>#DIV/0!</v>
      </c>
      <c r="Z498">
        <v>3270</v>
      </c>
      <c r="AA498">
        <v>0</v>
      </c>
      <c r="AB498">
        <v>45</v>
      </c>
      <c r="AC498">
        <v>610</v>
      </c>
      <c r="AD498">
        <v>0</v>
      </c>
      <c r="AE498">
        <v>0</v>
      </c>
      <c r="AF498">
        <v>0</v>
      </c>
      <c r="AG498">
        <v>90</v>
      </c>
      <c r="AH498">
        <v>90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320</v>
      </c>
      <c r="AP498">
        <v>135</v>
      </c>
      <c r="AQ498">
        <v>320</v>
      </c>
      <c r="AR498">
        <v>185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f t="shared" si="79"/>
        <v>1750</v>
      </c>
      <c r="BF498">
        <v>4335</v>
      </c>
      <c r="BG498">
        <v>4335</v>
      </c>
      <c r="BH498" t="s">
        <v>546</v>
      </c>
      <c r="BI498" t="s">
        <v>1584</v>
      </c>
      <c r="BJ498">
        <v>655</v>
      </c>
      <c r="BK498">
        <v>410</v>
      </c>
      <c r="BL498">
        <v>4335</v>
      </c>
      <c r="BM498">
        <v>0</v>
      </c>
      <c r="BN498">
        <v>0</v>
      </c>
      <c r="BO498">
        <v>0</v>
      </c>
      <c r="BP498">
        <v>2957</v>
      </c>
      <c r="BQ498">
        <v>2957</v>
      </c>
      <c r="BR498">
        <f t="shared" si="80"/>
        <v>0</v>
      </c>
      <c r="BS498">
        <f t="shared" si="81"/>
        <v>566</v>
      </c>
    </row>
    <row r="499" spans="1:74" x14ac:dyDescent="0.25">
      <c r="A499" s="5" t="s">
        <v>1451</v>
      </c>
      <c r="B499" s="5" t="s">
        <v>207</v>
      </c>
      <c r="C499" s="5" t="s">
        <v>207</v>
      </c>
      <c r="D499" s="1" t="s">
        <v>145</v>
      </c>
      <c r="E499">
        <v>0</v>
      </c>
      <c r="F499">
        <v>425</v>
      </c>
      <c r="G499">
        <v>0</v>
      </c>
      <c r="H499">
        <v>0</v>
      </c>
      <c r="I499">
        <v>66</v>
      </c>
      <c r="J499">
        <v>0</v>
      </c>
      <c r="K499">
        <v>0</v>
      </c>
      <c r="L499">
        <v>0</v>
      </c>
      <c r="M499">
        <v>1044</v>
      </c>
      <c r="N499">
        <v>0</v>
      </c>
      <c r="O499">
        <v>0</v>
      </c>
      <c r="P499">
        <v>0</v>
      </c>
      <c r="Q499">
        <v>116</v>
      </c>
      <c r="R499">
        <v>116</v>
      </c>
      <c r="S499" s="18">
        <f t="shared" si="72"/>
        <v>9</v>
      </c>
      <c r="T499" s="17">
        <f t="shared" si="73"/>
        <v>116</v>
      </c>
      <c r="U499" s="17">
        <f t="shared" si="74"/>
        <v>0</v>
      </c>
      <c r="V499" s="17">
        <f t="shared" si="75"/>
        <v>0</v>
      </c>
      <c r="W499" s="17">
        <f t="shared" si="76"/>
        <v>0</v>
      </c>
      <c r="X499" s="17">
        <f t="shared" si="77"/>
        <v>0</v>
      </c>
      <c r="Y499" s="19" t="e">
        <f t="shared" si="78"/>
        <v>#DIV/0!</v>
      </c>
      <c r="Z499">
        <v>425</v>
      </c>
      <c r="AA499">
        <v>0</v>
      </c>
      <c r="AB499">
        <v>0</v>
      </c>
      <c r="AC499">
        <v>0</v>
      </c>
      <c r="AD499">
        <v>66</v>
      </c>
      <c r="AE499">
        <v>0</v>
      </c>
      <c r="AF499">
        <v>0</v>
      </c>
      <c r="AG499">
        <v>0</v>
      </c>
      <c r="AH499">
        <v>66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f t="shared" si="79"/>
        <v>132</v>
      </c>
      <c r="BF499">
        <v>491</v>
      </c>
      <c r="BG499">
        <v>491</v>
      </c>
      <c r="BH499" t="s">
        <v>109</v>
      </c>
      <c r="BI499" t="s">
        <v>1590</v>
      </c>
      <c r="BJ499">
        <v>0</v>
      </c>
      <c r="BK499">
        <v>66</v>
      </c>
      <c r="BL499">
        <v>491</v>
      </c>
      <c r="BM499">
        <v>1110</v>
      </c>
      <c r="BN499">
        <v>0</v>
      </c>
      <c r="BO499">
        <v>0</v>
      </c>
      <c r="BP499">
        <v>0</v>
      </c>
      <c r="BQ499">
        <v>1110</v>
      </c>
      <c r="BR499">
        <f t="shared" si="80"/>
        <v>0</v>
      </c>
      <c r="BS499">
        <f t="shared" si="81"/>
        <v>232</v>
      </c>
    </row>
    <row r="500" spans="1:74" x14ac:dyDescent="0.25">
      <c r="A500" s="5" t="s">
        <v>1451</v>
      </c>
      <c r="B500" s="5" t="s">
        <v>207</v>
      </c>
      <c r="C500" s="5" t="s">
        <v>207</v>
      </c>
      <c r="D500" s="1" t="s">
        <v>157</v>
      </c>
      <c r="E500">
        <v>0</v>
      </c>
      <c r="F500">
        <v>0</v>
      </c>
      <c r="G500">
        <v>0</v>
      </c>
      <c r="H500">
        <v>108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8" t="e">
        <f t="shared" si="72"/>
        <v>#DIV/0!</v>
      </c>
      <c r="T500" s="17" t="e">
        <f t="shared" si="73"/>
        <v>#DIV/0!</v>
      </c>
      <c r="U500" s="17" t="e">
        <f t="shared" si="74"/>
        <v>#DIV/0!</v>
      </c>
      <c r="V500" s="17" t="e">
        <f t="shared" si="75"/>
        <v>#DIV/0!</v>
      </c>
      <c r="W500" s="17" t="e">
        <f t="shared" si="76"/>
        <v>#DIV/0!</v>
      </c>
      <c r="X500" s="17" t="e">
        <f t="shared" si="77"/>
        <v>#DIV/0!</v>
      </c>
      <c r="Y500" s="19" t="e">
        <f t="shared" si="78"/>
        <v>#DIV/0!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f t="shared" si="79"/>
        <v>0</v>
      </c>
      <c r="BH500" t="s">
        <v>199</v>
      </c>
      <c r="BI500" t="s">
        <v>1595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f t="shared" si="80"/>
        <v>0</v>
      </c>
      <c r="BS500">
        <f t="shared" si="81"/>
        <v>0</v>
      </c>
    </row>
    <row r="501" spans="1:74" x14ac:dyDescent="0.25">
      <c r="A501" s="5" t="s">
        <v>1451</v>
      </c>
      <c r="B501" s="5" t="s">
        <v>207</v>
      </c>
      <c r="C501" s="5" t="s">
        <v>207</v>
      </c>
      <c r="D501" s="1" t="s">
        <v>171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8" t="e">
        <f t="shared" si="72"/>
        <v>#DIV/0!</v>
      </c>
      <c r="T501" s="17" t="e">
        <f t="shared" si="73"/>
        <v>#DIV/0!</v>
      </c>
      <c r="U501" s="17" t="e">
        <f t="shared" si="74"/>
        <v>#DIV/0!</v>
      </c>
      <c r="V501" s="17" t="e">
        <f t="shared" si="75"/>
        <v>#DIV/0!</v>
      </c>
      <c r="W501" s="17" t="e">
        <f t="shared" si="76"/>
        <v>#DIV/0!</v>
      </c>
      <c r="X501" s="17" t="e">
        <f t="shared" si="77"/>
        <v>#DIV/0!</v>
      </c>
      <c r="Y501" s="19" t="e">
        <f t="shared" si="78"/>
        <v>#DIV/0!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215</v>
      </c>
      <c r="AP501">
        <v>215</v>
      </c>
      <c r="AQ501">
        <v>215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f t="shared" si="79"/>
        <v>645</v>
      </c>
      <c r="BF501">
        <v>215</v>
      </c>
      <c r="BG501">
        <v>215</v>
      </c>
      <c r="BH501" t="s">
        <v>199</v>
      </c>
      <c r="BI501" t="s">
        <v>1601</v>
      </c>
      <c r="BJ501">
        <v>0</v>
      </c>
      <c r="BK501">
        <v>215</v>
      </c>
      <c r="BL501">
        <v>215</v>
      </c>
      <c r="BM501">
        <v>0</v>
      </c>
      <c r="BN501">
        <v>0</v>
      </c>
      <c r="BO501">
        <v>0</v>
      </c>
      <c r="BP501">
        <v>215</v>
      </c>
      <c r="BQ501">
        <v>215</v>
      </c>
      <c r="BR501">
        <f t="shared" si="80"/>
        <v>0</v>
      </c>
      <c r="BS501">
        <f t="shared" si="81"/>
        <v>0</v>
      </c>
    </row>
    <row r="502" spans="1:74" x14ac:dyDescent="0.25">
      <c r="A502" s="5" t="s">
        <v>1135</v>
      </c>
      <c r="B502" s="5" t="s">
        <v>207</v>
      </c>
      <c r="C502" s="5" t="s">
        <v>61</v>
      </c>
      <c r="D502" s="1" t="s">
        <v>79</v>
      </c>
      <c r="E502">
        <v>0</v>
      </c>
      <c r="F502">
        <v>2700</v>
      </c>
      <c r="G502">
        <v>0</v>
      </c>
      <c r="H502">
        <v>0</v>
      </c>
      <c r="I502">
        <v>450</v>
      </c>
      <c r="J502">
        <v>0</v>
      </c>
      <c r="K502">
        <v>0</v>
      </c>
      <c r="L502">
        <v>0</v>
      </c>
      <c r="M502">
        <v>2295</v>
      </c>
      <c r="N502">
        <v>0</v>
      </c>
      <c r="O502">
        <v>0</v>
      </c>
      <c r="P502">
        <v>0</v>
      </c>
      <c r="Q502">
        <v>255</v>
      </c>
      <c r="R502">
        <v>255</v>
      </c>
      <c r="S502" s="18">
        <f t="shared" si="72"/>
        <v>9</v>
      </c>
      <c r="T502" s="17">
        <f t="shared" si="73"/>
        <v>255</v>
      </c>
      <c r="U502" s="17">
        <f t="shared" si="74"/>
        <v>0</v>
      </c>
      <c r="V502" s="17">
        <f t="shared" si="75"/>
        <v>0</v>
      </c>
      <c r="W502" s="17">
        <f t="shared" si="76"/>
        <v>0</v>
      </c>
      <c r="X502" s="17">
        <f t="shared" si="77"/>
        <v>0</v>
      </c>
      <c r="Y502" s="19" t="e">
        <f t="shared" si="78"/>
        <v>#DIV/0!</v>
      </c>
      <c r="Z502">
        <v>2700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450</v>
      </c>
      <c r="AH502">
        <v>450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f t="shared" si="79"/>
        <v>900</v>
      </c>
      <c r="BF502">
        <v>3150</v>
      </c>
      <c r="BG502">
        <v>3150</v>
      </c>
      <c r="BH502" t="s">
        <v>63</v>
      </c>
      <c r="BI502" t="s">
        <v>1205</v>
      </c>
      <c r="BJ502">
        <v>0</v>
      </c>
      <c r="BK502">
        <v>450</v>
      </c>
      <c r="BL502">
        <v>3150</v>
      </c>
      <c r="BM502">
        <v>2295</v>
      </c>
      <c r="BN502">
        <v>0</v>
      </c>
      <c r="BO502">
        <v>0</v>
      </c>
      <c r="BP502">
        <v>450</v>
      </c>
      <c r="BQ502">
        <v>2745</v>
      </c>
      <c r="BR502">
        <f t="shared" si="80"/>
        <v>0</v>
      </c>
      <c r="BS502">
        <f t="shared" si="81"/>
        <v>510</v>
      </c>
      <c r="BU502">
        <f>R502*9</f>
        <v>2295</v>
      </c>
      <c r="BV502">
        <f>IF(BU502&gt;BG502, 1, 0)</f>
        <v>0</v>
      </c>
    </row>
    <row r="503" spans="1:74" x14ac:dyDescent="0.25">
      <c r="A503" s="5" t="s">
        <v>1451</v>
      </c>
      <c r="B503" s="5" t="s">
        <v>207</v>
      </c>
      <c r="C503" s="5" t="s">
        <v>359</v>
      </c>
      <c r="D503" s="1" t="s">
        <v>65</v>
      </c>
      <c r="E503">
        <v>78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40608</v>
      </c>
      <c r="Q503">
        <v>4512</v>
      </c>
      <c r="R503">
        <v>4512</v>
      </c>
      <c r="S503" s="18">
        <f t="shared" si="72"/>
        <v>9</v>
      </c>
      <c r="T503" s="17">
        <f t="shared" si="73"/>
        <v>0</v>
      </c>
      <c r="U503" s="17">
        <f t="shared" si="74"/>
        <v>0</v>
      </c>
      <c r="V503" s="17">
        <f t="shared" si="75"/>
        <v>0</v>
      </c>
      <c r="W503" s="17">
        <f t="shared" si="76"/>
        <v>4512</v>
      </c>
      <c r="X503" s="17">
        <f t="shared" si="77"/>
        <v>0</v>
      </c>
      <c r="Y503" s="19" t="e">
        <f t="shared" si="78"/>
        <v>#DIV/0!</v>
      </c>
      <c r="Z503">
        <v>54904</v>
      </c>
      <c r="AA503">
        <v>60</v>
      </c>
      <c r="AB503">
        <v>1056</v>
      </c>
      <c r="AC503">
        <v>37312</v>
      </c>
      <c r="AD503">
        <v>0</v>
      </c>
      <c r="AE503">
        <v>0</v>
      </c>
      <c r="AF503">
        <v>0</v>
      </c>
      <c r="AG503">
        <v>875</v>
      </c>
      <c r="AH503">
        <v>875</v>
      </c>
      <c r="AI503">
        <v>0</v>
      </c>
      <c r="AJ503">
        <v>0</v>
      </c>
      <c r="AK503">
        <v>3208</v>
      </c>
      <c r="AL503">
        <v>3208</v>
      </c>
      <c r="AM503">
        <v>0</v>
      </c>
      <c r="AN503">
        <v>0</v>
      </c>
      <c r="AO503">
        <v>252</v>
      </c>
      <c r="AP503">
        <v>40</v>
      </c>
      <c r="AQ503">
        <v>252</v>
      </c>
      <c r="AR503">
        <v>212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913</v>
      </c>
      <c r="BA503">
        <v>913</v>
      </c>
      <c r="BB503">
        <v>0</v>
      </c>
      <c r="BC503">
        <v>0</v>
      </c>
      <c r="BD503">
        <v>0</v>
      </c>
      <c r="BE503">
        <f t="shared" si="79"/>
        <v>48060</v>
      </c>
      <c r="BF503">
        <v>100490</v>
      </c>
      <c r="BG503">
        <v>100490</v>
      </c>
      <c r="BH503" t="s">
        <v>546</v>
      </c>
      <c r="BI503" t="s">
        <v>1305</v>
      </c>
      <c r="BJ503">
        <v>38506</v>
      </c>
      <c r="BK503">
        <v>5248</v>
      </c>
      <c r="BL503">
        <v>98658</v>
      </c>
      <c r="BM503">
        <v>0</v>
      </c>
      <c r="BN503">
        <v>0</v>
      </c>
      <c r="BO503">
        <v>0</v>
      </c>
      <c r="BP503">
        <v>45856</v>
      </c>
      <c r="BQ503">
        <v>45856</v>
      </c>
      <c r="BR503">
        <f t="shared" si="80"/>
        <v>0</v>
      </c>
      <c r="BS503">
        <f t="shared" si="81"/>
        <v>9024</v>
      </c>
    </row>
    <row r="504" spans="1:74" x14ac:dyDescent="0.25">
      <c r="A504" s="5" t="s">
        <v>1451</v>
      </c>
      <c r="B504" s="5" t="s">
        <v>207</v>
      </c>
      <c r="C504" s="5" t="s">
        <v>359</v>
      </c>
      <c r="D504" s="1" t="s">
        <v>67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106200</v>
      </c>
      <c r="Q504">
        <v>11800</v>
      </c>
      <c r="R504">
        <v>11800</v>
      </c>
      <c r="S504" s="18">
        <f t="shared" si="72"/>
        <v>9</v>
      </c>
      <c r="T504" s="17">
        <f t="shared" si="73"/>
        <v>0</v>
      </c>
      <c r="U504" s="17">
        <f t="shared" si="74"/>
        <v>0</v>
      </c>
      <c r="V504" s="17">
        <f t="shared" si="75"/>
        <v>0</v>
      </c>
      <c r="W504" s="17">
        <f t="shared" si="76"/>
        <v>11800</v>
      </c>
      <c r="X504" s="17">
        <f t="shared" si="77"/>
        <v>0</v>
      </c>
      <c r="Y504" s="19" t="e">
        <f t="shared" si="78"/>
        <v>#DIV/0!</v>
      </c>
      <c r="Z504">
        <v>188624</v>
      </c>
      <c r="AA504">
        <v>400</v>
      </c>
      <c r="AB504">
        <v>1650</v>
      </c>
      <c r="AC504">
        <v>571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f t="shared" si="79"/>
        <v>571</v>
      </c>
      <c r="BF504">
        <v>191245</v>
      </c>
      <c r="BG504">
        <v>191245</v>
      </c>
      <c r="BH504" t="s">
        <v>546</v>
      </c>
      <c r="BI504" t="s">
        <v>1306</v>
      </c>
      <c r="BJ504">
        <v>2621</v>
      </c>
      <c r="BK504">
        <v>0</v>
      </c>
      <c r="BL504">
        <v>191245</v>
      </c>
      <c r="BM504">
        <v>0</v>
      </c>
      <c r="BN504">
        <v>0</v>
      </c>
      <c r="BO504">
        <v>0</v>
      </c>
      <c r="BP504">
        <v>106200</v>
      </c>
      <c r="BQ504">
        <v>106200</v>
      </c>
      <c r="BR504">
        <f t="shared" si="80"/>
        <v>0</v>
      </c>
      <c r="BS504">
        <f t="shared" si="81"/>
        <v>23600</v>
      </c>
    </row>
    <row r="505" spans="1:74" x14ac:dyDescent="0.25">
      <c r="A505" s="5" t="s">
        <v>1451</v>
      </c>
      <c r="B505" s="5" t="s">
        <v>207</v>
      </c>
      <c r="C505" s="5" t="s">
        <v>359</v>
      </c>
      <c r="D505" s="1" t="s">
        <v>69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47700</v>
      </c>
      <c r="Q505">
        <v>5300</v>
      </c>
      <c r="R505">
        <v>5300</v>
      </c>
      <c r="S505" s="18">
        <f t="shared" si="72"/>
        <v>9</v>
      </c>
      <c r="T505" s="17">
        <f t="shared" si="73"/>
        <v>0</v>
      </c>
      <c r="U505" s="17">
        <f t="shared" si="74"/>
        <v>0</v>
      </c>
      <c r="V505" s="17">
        <f t="shared" si="75"/>
        <v>0</v>
      </c>
      <c r="W505" s="17">
        <f t="shared" si="76"/>
        <v>5300</v>
      </c>
      <c r="X505" s="17">
        <f t="shared" si="77"/>
        <v>0</v>
      </c>
      <c r="Y505" s="19" t="e">
        <f t="shared" si="78"/>
        <v>#DIV/0!</v>
      </c>
      <c r="Z505">
        <v>81504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f t="shared" si="79"/>
        <v>0</v>
      </c>
      <c r="BF505">
        <v>0</v>
      </c>
      <c r="BG505">
        <v>86054</v>
      </c>
      <c r="BH505" t="s">
        <v>546</v>
      </c>
      <c r="BI505" t="s">
        <v>1307</v>
      </c>
      <c r="BJ505">
        <v>0</v>
      </c>
      <c r="BK505">
        <v>0</v>
      </c>
      <c r="BL505">
        <v>81504</v>
      </c>
      <c r="BM505">
        <v>0</v>
      </c>
      <c r="BN505">
        <v>0</v>
      </c>
      <c r="BO505">
        <v>0</v>
      </c>
      <c r="BP505">
        <v>47700</v>
      </c>
      <c r="BQ505">
        <v>47700</v>
      </c>
      <c r="BR505">
        <f t="shared" si="80"/>
        <v>0</v>
      </c>
      <c r="BS505">
        <f t="shared" si="81"/>
        <v>10600</v>
      </c>
    </row>
    <row r="506" spans="1:74" x14ac:dyDescent="0.25">
      <c r="A506" s="5" t="s">
        <v>1451</v>
      </c>
      <c r="B506" s="5" t="s">
        <v>207</v>
      </c>
      <c r="C506" s="5" t="s">
        <v>359</v>
      </c>
      <c r="D506" s="1" t="s">
        <v>71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32220</v>
      </c>
      <c r="Q506">
        <v>3580</v>
      </c>
      <c r="R506">
        <v>3580</v>
      </c>
      <c r="S506" s="18">
        <f t="shared" si="72"/>
        <v>9</v>
      </c>
      <c r="T506" s="17">
        <f t="shared" si="73"/>
        <v>0</v>
      </c>
      <c r="U506" s="17">
        <f t="shared" si="74"/>
        <v>0</v>
      </c>
      <c r="V506" s="17">
        <f t="shared" si="75"/>
        <v>0</v>
      </c>
      <c r="W506" s="17">
        <f t="shared" si="76"/>
        <v>3580</v>
      </c>
      <c r="X506" s="17">
        <f t="shared" si="77"/>
        <v>0</v>
      </c>
      <c r="Y506" s="19" t="e">
        <f t="shared" si="78"/>
        <v>#DIV/0!</v>
      </c>
      <c r="Z506">
        <v>116200</v>
      </c>
      <c r="AA506">
        <v>0</v>
      </c>
      <c r="AB506">
        <v>0</v>
      </c>
      <c r="AC506">
        <v>31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f t="shared" si="79"/>
        <v>31</v>
      </c>
      <c r="BF506">
        <v>116231</v>
      </c>
      <c r="BG506">
        <v>116231</v>
      </c>
      <c r="BH506" t="s">
        <v>546</v>
      </c>
      <c r="BI506" t="s">
        <v>1308</v>
      </c>
      <c r="BJ506">
        <v>31</v>
      </c>
      <c r="BK506">
        <v>0</v>
      </c>
      <c r="BL506">
        <v>116231</v>
      </c>
      <c r="BM506">
        <v>0</v>
      </c>
      <c r="BN506">
        <v>0</v>
      </c>
      <c r="BO506">
        <v>0</v>
      </c>
      <c r="BP506">
        <v>32220</v>
      </c>
      <c r="BQ506">
        <v>32220</v>
      </c>
      <c r="BR506">
        <f t="shared" si="80"/>
        <v>0</v>
      </c>
      <c r="BS506">
        <f t="shared" si="81"/>
        <v>7160</v>
      </c>
    </row>
    <row r="507" spans="1:74" x14ac:dyDescent="0.25">
      <c r="A507" s="5" t="s">
        <v>1451</v>
      </c>
      <c r="B507" s="5" t="s">
        <v>207</v>
      </c>
      <c r="C507" s="5" t="s">
        <v>359</v>
      </c>
      <c r="D507" s="1" t="s">
        <v>73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189945</v>
      </c>
      <c r="Q507">
        <v>21105</v>
      </c>
      <c r="R507">
        <v>21105</v>
      </c>
      <c r="S507" s="18">
        <f t="shared" si="72"/>
        <v>9</v>
      </c>
      <c r="T507" s="17">
        <f t="shared" si="73"/>
        <v>0</v>
      </c>
      <c r="U507" s="17">
        <f t="shared" si="74"/>
        <v>0</v>
      </c>
      <c r="V507" s="17">
        <f t="shared" si="75"/>
        <v>0</v>
      </c>
      <c r="W507" s="17">
        <f t="shared" si="76"/>
        <v>21105</v>
      </c>
      <c r="X507" s="17">
        <f t="shared" si="77"/>
        <v>0</v>
      </c>
      <c r="Y507" s="19" t="e">
        <f t="shared" si="78"/>
        <v>#DIV/0!</v>
      </c>
      <c r="Z507">
        <v>320956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f t="shared" si="79"/>
        <v>0</v>
      </c>
      <c r="BF507">
        <v>0</v>
      </c>
      <c r="BG507">
        <v>320956</v>
      </c>
      <c r="BH507" t="s">
        <v>546</v>
      </c>
      <c r="BI507" t="s">
        <v>1504</v>
      </c>
      <c r="BJ507">
        <v>0</v>
      </c>
      <c r="BK507">
        <v>0</v>
      </c>
      <c r="BL507">
        <v>320956</v>
      </c>
      <c r="BM507">
        <v>0</v>
      </c>
      <c r="BN507">
        <v>0</v>
      </c>
      <c r="BO507">
        <v>0</v>
      </c>
      <c r="BP507">
        <v>189945</v>
      </c>
      <c r="BQ507">
        <v>189945</v>
      </c>
      <c r="BR507">
        <f t="shared" si="80"/>
        <v>0</v>
      </c>
      <c r="BS507">
        <f t="shared" si="81"/>
        <v>42210</v>
      </c>
    </row>
    <row r="508" spans="1:74" x14ac:dyDescent="0.25">
      <c r="A508" s="5" t="s">
        <v>1451</v>
      </c>
      <c r="B508" s="5" t="s">
        <v>207</v>
      </c>
      <c r="C508" s="5" t="s">
        <v>359</v>
      </c>
      <c r="D508" s="1" t="s">
        <v>75</v>
      </c>
      <c r="E508">
        <v>850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336798</v>
      </c>
      <c r="Q508">
        <v>37422</v>
      </c>
      <c r="R508">
        <v>37422</v>
      </c>
      <c r="S508" s="18">
        <f t="shared" si="72"/>
        <v>9</v>
      </c>
      <c r="T508" s="17">
        <f t="shared" si="73"/>
        <v>0</v>
      </c>
      <c r="U508" s="17">
        <f t="shared" si="74"/>
        <v>0</v>
      </c>
      <c r="V508" s="17">
        <f t="shared" si="75"/>
        <v>0</v>
      </c>
      <c r="W508" s="17">
        <f t="shared" si="76"/>
        <v>37422</v>
      </c>
      <c r="X508" s="17">
        <f t="shared" si="77"/>
        <v>0</v>
      </c>
      <c r="Y508" s="19" t="e">
        <f t="shared" si="78"/>
        <v>#DIV/0!</v>
      </c>
      <c r="Z508">
        <v>869650</v>
      </c>
      <c r="AA508">
        <v>0</v>
      </c>
      <c r="AB508">
        <v>578</v>
      </c>
      <c r="AC508">
        <v>16130</v>
      </c>
      <c r="AD508">
        <v>0</v>
      </c>
      <c r="AE508">
        <v>0</v>
      </c>
      <c r="AF508">
        <v>0</v>
      </c>
      <c r="AG508">
        <v>160</v>
      </c>
      <c r="AH508">
        <v>160</v>
      </c>
      <c r="AI508">
        <v>0</v>
      </c>
      <c r="AJ508">
        <v>0</v>
      </c>
      <c r="AK508">
        <v>2400</v>
      </c>
      <c r="AL508">
        <v>2400</v>
      </c>
      <c r="AM508">
        <v>0</v>
      </c>
      <c r="AN508">
        <v>0</v>
      </c>
      <c r="AO508">
        <v>251</v>
      </c>
      <c r="AP508">
        <v>0</v>
      </c>
      <c r="AQ508">
        <v>251</v>
      </c>
      <c r="AR508">
        <v>251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310</v>
      </c>
      <c r="BA508">
        <v>310</v>
      </c>
      <c r="BB508">
        <v>0</v>
      </c>
      <c r="BC508">
        <v>0</v>
      </c>
      <c r="BD508">
        <v>0</v>
      </c>
      <c r="BE508">
        <f t="shared" si="79"/>
        <v>22623</v>
      </c>
      <c r="BF508">
        <v>890329</v>
      </c>
      <c r="BG508">
        <v>890329</v>
      </c>
      <c r="BH508" t="s">
        <v>546</v>
      </c>
      <c r="BI508" t="s">
        <v>1505</v>
      </c>
      <c r="BJ508">
        <v>17558</v>
      </c>
      <c r="BK508">
        <v>3121</v>
      </c>
      <c r="BL508">
        <v>890329</v>
      </c>
      <c r="BM508">
        <v>0</v>
      </c>
      <c r="BN508">
        <v>0</v>
      </c>
      <c r="BO508">
        <v>0</v>
      </c>
      <c r="BP508">
        <v>339919</v>
      </c>
      <c r="BQ508">
        <v>339919</v>
      </c>
      <c r="BR508">
        <f t="shared" si="80"/>
        <v>0</v>
      </c>
      <c r="BS508">
        <f t="shared" si="81"/>
        <v>74844</v>
      </c>
    </row>
    <row r="509" spans="1:74" x14ac:dyDescent="0.25">
      <c r="A509" s="5" t="s">
        <v>1451</v>
      </c>
      <c r="B509" s="5" t="s">
        <v>207</v>
      </c>
      <c r="C509" s="5" t="s">
        <v>359</v>
      </c>
      <c r="D509" s="1" t="s">
        <v>77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17100</v>
      </c>
      <c r="Q509">
        <v>1900</v>
      </c>
      <c r="R509">
        <v>1900</v>
      </c>
      <c r="S509" s="18">
        <f t="shared" si="72"/>
        <v>9</v>
      </c>
      <c r="T509" s="17">
        <f t="shared" si="73"/>
        <v>0</v>
      </c>
      <c r="U509" s="17">
        <f t="shared" si="74"/>
        <v>0</v>
      </c>
      <c r="V509" s="17">
        <f t="shared" si="75"/>
        <v>0</v>
      </c>
      <c r="W509" s="17">
        <f t="shared" si="76"/>
        <v>1900</v>
      </c>
      <c r="X509" s="17">
        <f t="shared" si="77"/>
        <v>0</v>
      </c>
      <c r="Y509" s="19" t="e">
        <f t="shared" si="78"/>
        <v>#DIV/0!</v>
      </c>
      <c r="Z509">
        <v>44400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f t="shared" si="79"/>
        <v>0</v>
      </c>
      <c r="BF509">
        <v>0</v>
      </c>
      <c r="BG509">
        <v>44400</v>
      </c>
      <c r="BH509" t="s">
        <v>546</v>
      </c>
      <c r="BI509" t="s">
        <v>1506</v>
      </c>
      <c r="BJ509">
        <v>0</v>
      </c>
      <c r="BK509">
        <v>0</v>
      </c>
      <c r="BL509">
        <v>44400</v>
      </c>
      <c r="BM509">
        <v>0</v>
      </c>
      <c r="BN509">
        <v>0</v>
      </c>
      <c r="BO509">
        <v>0</v>
      </c>
      <c r="BP509">
        <v>17100</v>
      </c>
      <c r="BQ509">
        <v>17100</v>
      </c>
      <c r="BR509">
        <f t="shared" si="80"/>
        <v>0</v>
      </c>
      <c r="BS509">
        <f t="shared" si="81"/>
        <v>3800</v>
      </c>
    </row>
    <row r="510" spans="1:74" x14ac:dyDescent="0.25">
      <c r="A510" s="5" t="s">
        <v>1337</v>
      </c>
      <c r="B510" s="5" t="s">
        <v>359</v>
      </c>
      <c r="C510" s="5" t="s">
        <v>61</v>
      </c>
      <c r="D510" s="1" t="s">
        <v>69</v>
      </c>
      <c r="E510">
        <v>0</v>
      </c>
      <c r="F510">
        <v>255</v>
      </c>
      <c r="G510">
        <v>0</v>
      </c>
      <c r="H510">
        <v>0</v>
      </c>
      <c r="I510">
        <v>385</v>
      </c>
      <c r="J510">
        <v>0</v>
      </c>
      <c r="K510">
        <v>42</v>
      </c>
      <c r="L510">
        <v>77</v>
      </c>
      <c r="M510">
        <v>0</v>
      </c>
      <c r="N510">
        <v>0</v>
      </c>
      <c r="O510">
        <v>0</v>
      </c>
      <c r="P510">
        <v>2295</v>
      </c>
      <c r="Q510">
        <v>255</v>
      </c>
      <c r="R510">
        <v>255</v>
      </c>
      <c r="S510" s="18">
        <f t="shared" si="72"/>
        <v>9</v>
      </c>
      <c r="T510" s="17">
        <f t="shared" si="73"/>
        <v>0</v>
      </c>
      <c r="U510" s="17">
        <f t="shared" si="74"/>
        <v>0</v>
      </c>
      <c r="V510" s="17">
        <f t="shared" si="75"/>
        <v>0</v>
      </c>
      <c r="W510" s="17">
        <f t="shared" si="76"/>
        <v>255</v>
      </c>
      <c r="X510" s="17">
        <f t="shared" si="77"/>
        <v>0</v>
      </c>
      <c r="Y510" s="19" t="e">
        <f t="shared" si="78"/>
        <v>#DIV/0!</v>
      </c>
      <c r="Z510">
        <v>255</v>
      </c>
      <c r="AA510">
        <v>0</v>
      </c>
      <c r="AB510">
        <v>0</v>
      </c>
      <c r="AC510">
        <v>165</v>
      </c>
      <c r="AD510">
        <v>0</v>
      </c>
      <c r="AE510">
        <v>0</v>
      </c>
      <c r="AF510">
        <v>0</v>
      </c>
      <c r="AG510">
        <v>385</v>
      </c>
      <c r="AH510">
        <v>385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42</v>
      </c>
      <c r="AP510">
        <v>21</v>
      </c>
      <c r="AQ510">
        <v>42</v>
      </c>
      <c r="AR510">
        <v>21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77</v>
      </c>
      <c r="BA510">
        <v>77</v>
      </c>
      <c r="BB510">
        <v>0</v>
      </c>
      <c r="BC510">
        <v>0</v>
      </c>
      <c r="BD510">
        <v>0</v>
      </c>
      <c r="BE510">
        <f t="shared" si="79"/>
        <v>1215</v>
      </c>
      <c r="BF510">
        <v>924</v>
      </c>
      <c r="BG510">
        <v>924</v>
      </c>
      <c r="BH510" t="s">
        <v>63</v>
      </c>
      <c r="BI510" t="s">
        <v>1416</v>
      </c>
      <c r="BJ510">
        <v>165</v>
      </c>
      <c r="BK510">
        <v>504</v>
      </c>
      <c r="BL510">
        <v>924</v>
      </c>
      <c r="BM510">
        <v>0</v>
      </c>
      <c r="BN510">
        <v>0</v>
      </c>
      <c r="BO510">
        <v>0</v>
      </c>
      <c r="BP510">
        <v>2799</v>
      </c>
      <c r="BQ510">
        <v>2799</v>
      </c>
      <c r="BR510">
        <f t="shared" si="80"/>
        <v>0</v>
      </c>
      <c r="BS510">
        <f t="shared" si="81"/>
        <v>510</v>
      </c>
      <c r="BU510">
        <f>R510*9</f>
        <v>2295</v>
      </c>
      <c r="BV510">
        <f>IF(BU510&gt;BG510, 1, 0)</f>
        <v>1</v>
      </c>
    </row>
    <row r="511" spans="1:74" x14ac:dyDescent="0.25">
      <c r="A511" s="5" t="s">
        <v>359</v>
      </c>
      <c r="B511" s="5" t="s">
        <v>207</v>
      </c>
      <c r="C511" s="5" t="s">
        <v>61</v>
      </c>
      <c r="D511" s="1" t="s">
        <v>67</v>
      </c>
      <c r="E511">
        <v>0</v>
      </c>
      <c r="F511">
        <v>134</v>
      </c>
      <c r="G511">
        <v>0</v>
      </c>
      <c r="H511">
        <v>0</v>
      </c>
      <c r="I511">
        <v>1660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2268</v>
      </c>
      <c r="Q511">
        <v>252</v>
      </c>
      <c r="R511">
        <v>252</v>
      </c>
      <c r="S511" s="18">
        <f t="shared" si="72"/>
        <v>9</v>
      </c>
      <c r="T511" s="17">
        <f t="shared" si="73"/>
        <v>0</v>
      </c>
      <c r="U511" s="17">
        <f t="shared" si="74"/>
        <v>0</v>
      </c>
      <c r="V511" s="17">
        <f t="shared" si="75"/>
        <v>0</v>
      </c>
      <c r="W511" s="17">
        <f t="shared" si="76"/>
        <v>252</v>
      </c>
      <c r="X511" s="17">
        <f t="shared" si="77"/>
        <v>0</v>
      </c>
      <c r="Y511" s="19" t="e">
        <f t="shared" si="78"/>
        <v>#DIV/0!</v>
      </c>
      <c r="Z511">
        <v>134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1660</v>
      </c>
      <c r="AH511">
        <v>1660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f t="shared" si="79"/>
        <v>3320</v>
      </c>
      <c r="BF511">
        <v>1794</v>
      </c>
      <c r="BG511">
        <v>1794</v>
      </c>
      <c r="BH511" t="s">
        <v>63</v>
      </c>
      <c r="BI511" t="s">
        <v>733</v>
      </c>
      <c r="BJ511">
        <v>0</v>
      </c>
      <c r="BK511">
        <v>1660</v>
      </c>
      <c r="BL511">
        <v>1794</v>
      </c>
      <c r="BM511">
        <v>0</v>
      </c>
      <c r="BN511">
        <v>0</v>
      </c>
      <c r="BO511">
        <v>0</v>
      </c>
      <c r="BP511">
        <v>3928</v>
      </c>
      <c r="BQ511">
        <v>3928</v>
      </c>
      <c r="BR511">
        <f t="shared" si="80"/>
        <v>0</v>
      </c>
      <c r="BS511">
        <f t="shared" si="81"/>
        <v>504</v>
      </c>
      <c r="BU511">
        <f>R511*9</f>
        <v>2268</v>
      </c>
      <c r="BV511">
        <f>IF(BU511&gt;BG511, 1, 0)</f>
        <v>1</v>
      </c>
    </row>
    <row r="512" spans="1:74" x14ac:dyDescent="0.25">
      <c r="A512" s="5" t="s">
        <v>1451</v>
      </c>
      <c r="B512" s="5" t="s">
        <v>359</v>
      </c>
      <c r="C512" s="5" t="s">
        <v>61</v>
      </c>
      <c r="D512" s="1" t="s">
        <v>88</v>
      </c>
      <c r="E512">
        <v>0</v>
      </c>
      <c r="F512">
        <v>1530</v>
      </c>
      <c r="G512">
        <v>0</v>
      </c>
      <c r="H512">
        <v>0</v>
      </c>
      <c r="I512">
        <v>165</v>
      </c>
      <c r="J512">
        <v>0</v>
      </c>
      <c r="K512">
        <v>90</v>
      </c>
      <c r="L512">
        <v>45</v>
      </c>
      <c r="M512">
        <v>2097</v>
      </c>
      <c r="N512">
        <v>0</v>
      </c>
      <c r="O512">
        <v>0</v>
      </c>
      <c r="P512">
        <v>1404</v>
      </c>
      <c r="Q512">
        <v>389</v>
      </c>
      <c r="R512">
        <v>389</v>
      </c>
      <c r="S512" s="18">
        <f t="shared" si="72"/>
        <v>9</v>
      </c>
      <c r="T512" s="17">
        <f t="shared" si="73"/>
        <v>233</v>
      </c>
      <c r="U512" s="17">
        <f t="shared" si="74"/>
        <v>0</v>
      </c>
      <c r="V512" s="17">
        <f t="shared" si="75"/>
        <v>0</v>
      </c>
      <c r="W512" s="17">
        <f t="shared" si="76"/>
        <v>156</v>
      </c>
      <c r="X512" s="17">
        <f t="shared" si="77"/>
        <v>0</v>
      </c>
      <c r="Y512" s="19" t="e">
        <f t="shared" si="78"/>
        <v>#DIV/0!</v>
      </c>
      <c r="Z512">
        <v>1530</v>
      </c>
      <c r="AA512">
        <v>0</v>
      </c>
      <c r="AB512">
        <v>0</v>
      </c>
      <c r="AC512">
        <v>0</v>
      </c>
      <c r="AD512">
        <v>60</v>
      </c>
      <c r="AE512">
        <v>0</v>
      </c>
      <c r="AF512">
        <v>0</v>
      </c>
      <c r="AG512">
        <v>105</v>
      </c>
      <c r="AH512">
        <v>165</v>
      </c>
      <c r="AI512">
        <v>0</v>
      </c>
      <c r="AJ512">
        <v>0</v>
      </c>
      <c r="AK512">
        <v>0</v>
      </c>
      <c r="AL512">
        <v>0</v>
      </c>
      <c r="AM512">
        <v>90</v>
      </c>
      <c r="AN512">
        <v>0</v>
      </c>
      <c r="AO512">
        <v>0</v>
      </c>
      <c r="AP512">
        <v>90</v>
      </c>
      <c r="AQ512">
        <v>90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45</v>
      </c>
      <c r="BA512">
        <v>45</v>
      </c>
      <c r="BB512">
        <v>0</v>
      </c>
      <c r="BC512">
        <v>0</v>
      </c>
      <c r="BD512">
        <v>0</v>
      </c>
      <c r="BE512">
        <f t="shared" si="79"/>
        <v>690</v>
      </c>
      <c r="BF512">
        <v>1830</v>
      </c>
      <c r="BG512">
        <v>1830</v>
      </c>
      <c r="BH512" t="s">
        <v>109</v>
      </c>
      <c r="BI512" t="s">
        <v>1612</v>
      </c>
      <c r="BJ512">
        <v>0</v>
      </c>
      <c r="BK512">
        <v>300</v>
      </c>
      <c r="BL512">
        <v>1830</v>
      </c>
      <c r="BM512">
        <v>2247</v>
      </c>
      <c r="BN512">
        <v>0</v>
      </c>
      <c r="BO512">
        <v>0</v>
      </c>
      <c r="BP512">
        <v>1554</v>
      </c>
      <c r="BQ512">
        <v>3801</v>
      </c>
      <c r="BR512">
        <f t="shared" si="80"/>
        <v>0</v>
      </c>
      <c r="BS512">
        <f t="shared" si="81"/>
        <v>778</v>
      </c>
    </row>
    <row r="513" spans="1:74" x14ac:dyDescent="0.25">
      <c r="A513" s="5" t="s">
        <v>1451</v>
      </c>
      <c r="B513" s="5" t="s">
        <v>359</v>
      </c>
      <c r="C513" s="5" t="s">
        <v>61</v>
      </c>
      <c r="D513" s="1" t="s">
        <v>94</v>
      </c>
      <c r="E513">
        <v>0</v>
      </c>
      <c r="F513">
        <v>880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1917</v>
      </c>
      <c r="N513">
        <v>0</v>
      </c>
      <c r="O513">
        <v>0</v>
      </c>
      <c r="P513">
        <v>0</v>
      </c>
      <c r="Q513">
        <v>213</v>
      </c>
      <c r="R513">
        <v>213</v>
      </c>
      <c r="S513" s="18">
        <f t="shared" si="72"/>
        <v>9</v>
      </c>
      <c r="T513" s="17">
        <f t="shared" si="73"/>
        <v>213</v>
      </c>
      <c r="U513" s="17">
        <f t="shared" si="74"/>
        <v>0</v>
      </c>
      <c r="V513" s="17">
        <f t="shared" si="75"/>
        <v>0</v>
      </c>
      <c r="W513" s="17">
        <f t="shared" si="76"/>
        <v>0</v>
      </c>
      <c r="X513" s="17">
        <f t="shared" si="77"/>
        <v>0</v>
      </c>
      <c r="Y513" s="19" t="e">
        <f t="shared" si="78"/>
        <v>#DIV/0!</v>
      </c>
      <c r="Z513">
        <v>880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f t="shared" si="79"/>
        <v>0</v>
      </c>
      <c r="BF513">
        <v>880</v>
      </c>
      <c r="BG513">
        <v>880</v>
      </c>
      <c r="BH513" t="s">
        <v>109</v>
      </c>
      <c r="BI513" t="s">
        <v>1615</v>
      </c>
      <c r="BJ513">
        <v>0</v>
      </c>
      <c r="BK513">
        <v>0</v>
      </c>
      <c r="BL513">
        <v>880</v>
      </c>
      <c r="BM513">
        <v>1917</v>
      </c>
      <c r="BN513">
        <v>0</v>
      </c>
      <c r="BO513">
        <v>0</v>
      </c>
      <c r="BP513">
        <v>0</v>
      </c>
      <c r="BQ513">
        <v>1917</v>
      </c>
      <c r="BR513">
        <f t="shared" si="80"/>
        <v>0</v>
      </c>
      <c r="BS513">
        <f t="shared" si="81"/>
        <v>426</v>
      </c>
    </row>
    <row r="514" spans="1:74" x14ac:dyDescent="0.25">
      <c r="A514" s="5" t="s">
        <v>1451</v>
      </c>
      <c r="B514" s="5" t="s">
        <v>359</v>
      </c>
      <c r="C514" s="5" t="s">
        <v>61</v>
      </c>
      <c r="D514" s="1" t="s">
        <v>96</v>
      </c>
      <c r="E514">
        <v>0</v>
      </c>
      <c r="F514">
        <v>1200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2340</v>
      </c>
      <c r="N514">
        <v>0</v>
      </c>
      <c r="O514">
        <v>0</v>
      </c>
      <c r="P514">
        <v>0</v>
      </c>
      <c r="Q514">
        <v>260</v>
      </c>
      <c r="R514">
        <v>260</v>
      </c>
      <c r="S514" s="18">
        <f t="shared" ref="S514:S577" si="82">(M514+N514+O514+P514)/R514</f>
        <v>9</v>
      </c>
      <c r="T514" s="17">
        <f t="shared" ref="T514:T577" si="83">M514/$S514</f>
        <v>260</v>
      </c>
      <c r="U514" s="17">
        <f t="shared" ref="U514:U577" si="84">N514/$S514</f>
        <v>0</v>
      </c>
      <c r="V514" s="17">
        <f t="shared" ref="V514:V577" si="85">O514/$S514</f>
        <v>0</v>
      </c>
      <c r="W514" s="17">
        <f t="shared" ref="W514:W577" si="86">P514/$S514</f>
        <v>0</v>
      </c>
      <c r="X514" s="17">
        <f t="shared" ref="X514:X577" si="87">Q514-T514-U514-W514</f>
        <v>0</v>
      </c>
      <c r="Y514" s="19" t="e">
        <f t="shared" ref="Y514:Y577" si="88">V514/X514</f>
        <v>#DIV/0!</v>
      </c>
      <c r="Z514">
        <v>1200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f t="shared" ref="BE514:BE577" si="89">SUM(AC514:BD514)</f>
        <v>0</v>
      </c>
      <c r="BF514">
        <v>1200</v>
      </c>
      <c r="BG514">
        <v>1200</v>
      </c>
      <c r="BH514" t="s">
        <v>109</v>
      </c>
      <c r="BI514" t="s">
        <v>1616</v>
      </c>
      <c r="BJ514">
        <v>0</v>
      </c>
      <c r="BK514">
        <v>0</v>
      </c>
      <c r="BL514">
        <v>1200</v>
      </c>
      <c r="BM514">
        <v>2340</v>
      </c>
      <c r="BN514">
        <v>0</v>
      </c>
      <c r="BO514">
        <v>0</v>
      </c>
      <c r="BP514">
        <v>0</v>
      </c>
      <c r="BQ514">
        <v>2340</v>
      </c>
      <c r="BR514">
        <f t="shared" ref="BR514:BR577" si="90">R514-Q514</f>
        <v>0</v>
      </c>
      <c r="BS514">
        <f t="shared" ref="BS514:BS577" si="91">R514+Q514</f>
        <v>520</v>
      </c>
    </row>
    <row r="515" spans="1:74" x14ac:dyDescent="0.25">
      <c r="A515" s="5" t="s">
        <v>1451</v>
      </c>
      <c r="B515" s="5" t="s">
        <v>359</v>
      </c>
      <c r="C515" s="5" t="s">
        <v>61</v>
      </c>
      <c r="D515" s="1" t="s">
        <v>98</v>
      </c>
      <c r="E515">
        <v>0</v>
      </c>
      <c r="F515">
        <v>1080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3240</v>
      </c>
      <c r="N515">
        <v>0</v>
      </c>
      <c r="O515">
        <v>0</v>
      </c>
      <c r="P515">
        <v>0</v>
      </c>
      <c r="Q515">
        <v>360</v>
      </c>
      <c r="R515">
        <v>360</v>
      </c>
      <c r="S515" s="18">
        <f t="shared" si="82"/>
        <v>9</v>
      </c>
      <c r="T515" s="17">
        <f t="shared" si="83"/>
        <v>360</v>
      </c>
      <c r="U515" s="17">
        <f t="shared" si="84"/>
        <v>0</v>
      </c>
      <c r="V515" s="17">
        <f t="shared" si="85"/>
        <v>0</v>
      </c>
      <c r="W515" s="17">
        <f t="shared" si="86"/>
        <v>0</v>
      </c>
      <c r="X515" s="17">
        <f t="shared" si="87"/>
        <v>0</v>
      </c>
      <c r="Y515" s="19" t="e">
        <f t="shared" si="88"/>
        <v>#DIV/0!</v>
      </c>
      <c r="Z515">
        <v>1080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f t="shared" si="89"/>
        <v>0</v>
      </c>
      <c r="BF515">
        <v>1080</v>
      </c>
      <c r="BG515">
        <v>1080</v>
      </c>
      <c r="BH515" t="s">
        <v>109</v>
      </c>
      <c r="BI515" t="s">
        <v>1539</v>
      </c>
      <c r="BJ515">
        <v>0</v>
      </c>
      <c r="BK515">
        <v>0</v>
      </c>
      <c r="BL515">
        <v>1080</v>
      </c>
      <c r="BM515">
        <v>3240</v>
      </c>
      <c r="BN515">
        <v>0</v>
      </c>
      <c r="BO515">
        <v>0</v>
      </c>
      <c r="BP515">
        <v>0</v>
      </c>
      <c r="BQ515">
        <v>3240</v>
      </c>
      <c r="BR515">
        <f t="shared" si="90"/>
        <v>0</v>
      </c>
      <c r="BS515">
        <f t="shared" si="91"/>
        <v>720</v>
      </c>
    </row>
    <row r="516" spans="1:74" x14ac:dyDescent="0.25">
      <c r="A516" s="5" t="s">
        <v>1451</v>
      </c>
      <c r="B516" s="5" t="s">
        <v>359</v>
      </c>
      <c r="C516" s="5" t="s">
        <v>61</v>
      </c>
      <c r="D516" s="1" t="s">
        <v>111</v>
      </c>
      <c r="E516">
        <v>0</v>
      </c>
      <c r="F516">
        <v>2876</v>
      </c>
      <c r="G516">
        <v>0</v>
      </c>
      <c r="H516">
        <v>0</v>
      </c>
      <c r="I516">
        <v>80</v>
      </c>
      <c r="J516">
        <v>0</v>
      </c>
      <c r="K516">
        <v>260</v>
      </c>
      <c r="L516">
        <v>0</v>
      </c>
      <c r="M516">
        <v>7398</v>
      </c>
      <c r="N516">
        <v>0</v>
      </c>
      <c r="O516">
        <v>0</v>
      </c>
      <c r="P516">
        <v>315</v>
      </c>
      <c r="Q516">
        <v>857</v>
      </c>
      <c r="R516">
        <v>857</v>
      </c>
      <c r="S516" s="18">
        <f t="shared" si="82"/>
        <v>9</v>
      </c>
      <c r="T516" s="17">
        <f t="shared" si="83"/>
        <v>822</v>
      </c>
      <c r="U516" s="17">
        <f t="shared" si="84"/>
        <v>0</v>
      </c>
      <c r="V516" s="17">
        <f t="shared" si="85"/>
        <v>0</v>
      </c>
      <c r="W516" s="17">
        <f t="shared" si="86"/>
        <v>35</v>
      </c>
      <c r="X516" s="17">
        <f t="shared" si="87"/>
        <v>0</v>
      </c>
      <c r="Y516" s="19" t="e">
        <f t="shared" si="88"/>
        <v>#DIV/0!</v>
      </c>
      <c r="Z516">
        <v>2876</v>
      </c>
      <c r="AA516">
        <v>30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80</v>
      </c>
      <c r="AH516">
        <v>80</v>
      </c>
      <c r="AI516">
        <v>0</v>
      </c>
      <c r="AJ516">
        <v>0</v>
      </c>
      <c r="AK516">
        <v>0</v>
      </c>
      <c r="AL516">
        <v>0</v>
      </c>
      <c r="AM516">
        <v>260</v>
      </c>
      <c r="AN516">
        <v>0</v>
      </c>
      <c r="AO516">
        <v>0</v>
      </c>
      <c r="AP516">
        <v>260</v>
      </c>
      <c r="AQ516">
        <v>260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f t="shared" si="89"/>
        <v>940</v>
      </c>
      <c r="BF516">
        <v>3246</v>
      </c>
      <c r="BG516">
        <v>3246</v>
      </c>
      <c r="BH516" t="s">
        <v>109</v>
      </c>
      <c r="BI516" t="s">
        <v>1620</v>
      </c>
      <c r="BJ516">
        <v>30</v>
      </c>
      <c r="BK516">
        <v>340</v>
      </c>
      <c r="BL516">
        <v>3246</v>
      </c>
      <c r="BM516">
        <v>7658</v>
      </c>
      <c r="BN516">
        <v>0</v>
      </c>
      <c r="BO516">
        <v>0</v>
      </c>
      <c r="BP516">
        <v>395</v>
      </c>
      <c r="BQ516">
        <v>8053</v>
      </c>
      <c r="BR516">
        <f t="shared" si="90"/>
        <v>0</v>
      </c>
      <c r="BS516">
        <f t="shared" si="91"/>
        <v>1714</v>
      </c>
    </row>
    <row r="517" spans="1:74" x14ac:dyDescent="0.25">
      <c r="A517" s="5" t="s">
        <v>1451</v>
      </c>
      <c r="B517" s="5" t="s">
        <v>207</v>
      </c>
      <c r="C517" s="5" t="s">
        <v>207</v>
      </c>
      <c r="D517" s="1" t="s">
        <v>75</v>
      </c>
      <c r="E517">
        <v>0</v>
      </c>
      <c r="F517">
        <v>1474</v>
      </c>
      <c r="G517">
        <v>0</v>
      </c>
      <c r="H517">
        <v>0</v>
      </c>
      <c r="I517">
        <v>2018</v>
      </c>
      <c r="J517">
        <v>4142</v>
      </c>
      <c r="K517">
        <v>190</v>
      </c>
      <c r="L517">
        <v>0</v>
      </c>
      <c r="M517">
        <v>0</v>
      </c>
      <c r="N517">
        <v>0</v>
      </c>
      <c r="O517">
        <v>0</v>
      </c>
      <c r="P517">
        <v>2223</v>
      </c>
      <c r="Q517">
        <v>247</v>
      </c>
      <c r="R517">
        <v>247</v>
      </c>
      <c r="S517" s="18">
        <f t="shared" si="82"/>
        <v>9</v>
      </c>
      <c r="T517" s="17">
        <f t="shared" si="83"/>
        <v>0</v>
      </c>
      <c r="U517" s="17">
        <f t="shared" si="84"/>
        <v>0</v>
      </c>
      <c r="V517" s="17">
        <f t="shared" si="85"/>
        <v>0</v>
      </c>
      <c r="W517" s="17">
        <f t="shared" si="86"/>
        <v>247</v>
      </c>
      <c r="X517" s="17">
        <f t="shared" si="87"/>
        <v>0</v>
      </c>
      <c r="Y517" s="19" t="e">
        <f t="shared" si="88"/>
        <v>#DIV/0!</v>
      </c>
      <c r="Z517">
        <v>1474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2018</v>
      </c>
      <c r="AH517">
        <v>2018</v>
      </c>
      <c r="AI517">
        <v>0</v>
      </c>
      <c r="AJ517">
        <v>0</v>
      </c>
      <c r="AK517">
        <v>4142</v>
      </c>
      <c r="AL517">
        <v>4142</v>
      </c>
      <c r="AM517">
        <v>0</v>
      </c>
      <c r="AN517">
        <v>0</v>
      </c>
      <c r="AO517">
        <v>190</v>
      </c>
      <c r="AP517">
        <v>15</v>
      </c>
      <c r="AQ517">
        <v>190</v>
      </c>
      <c r="AR517">
        <v>175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f t="shared" si="89"/>
        <v>12890</v>
      </c>
      <c r="BF517">
        <v>7824</v>
      </c>
      <c r="BG517">
        <v>7824</v>
      </c>
      <c r="BH517" t="s">
        <v>63</v>
      </c>
      <c r="BI517" t="s">
        <v>1474</v>
      </c>
      <c r="BJ517">
        <v>0</v>
      </c>
      <c r="BK517">
        <v>6350</v>
      </c>
      <c r="BL517">
        <v>7824</v>
      </c>
      <c r="BM517">
        <v>0</v>
      </c>
      <c r="BN517">
        <v>0</v>
      </c>
      <c r="BO517">
        <v>0</v>
      </c>
      <c r="BP517">
        <v>8573</v>
      </c>
      <c r="BQ517">
        <v>8573</v>
      </c>
      <c r="BR517">
        <f t="shared" si="90"/>
        <v>0</v>
      </c>
      <c r="BS517">
        <f t="shared" si="91"/>
        <v>494</v>
      </c>
      <c r="BU517">
        <f>R517*9</f>
        <v>2223</v>
      </c>
      <c r="BV517">
        <f>IF(BU517&gt;BG517, 1, 0)</f>
        <v>0</v>
      </c>
    </row>
    <row r="518" spans="1:74" x14ac:dyDescent="0.25">
      <c r="A518" s="5" t="s">
        <v>1451</v>
      </c>
      <c r="B518" s="5" t="s">
        <v>61</v>
      </c>
      <c r="C518" s="5" t="s">
        <v>627</v>
      </c>
      <c r="D518" s="1" t="s">
        <v>75</v>
      </c>
      <c r="E518">
        <v>0</v>
      </c>
      <c r="F518">
        <v>80</v>
      </c>
      <c r="G518">
        <v>0</v>
      </c>
      <c r="H518">
        <v>0</v>
      </c>
      <c r="I518">
        <v>1800</v>
      </c>
      <c r="J518">
        <v>30</v>
      </c>
      <c r="K518">
        <v>0</v>
      </c>
      <c r="L518">
        <v>10</v>
      </c>
      <c r="M518">
        <v>0</v>
      </c>
      <c r="N518">
        <v>0</v>
      </c>
      <c r="O518">
        <v>0</v>
      </c>
      <c r="P518">
        <v>2187</v>
      </c>
      <c r="Q518">
        <v>250</v>
      </c>
      <c r="R518">
        <v>243</v>
      </c>
      <c r="S518" s="18">
        <f t="shared" si="82"/>
        <v>9</v>
      </c>
      <c r="T518" s="17">
        <f t="shared" si="83"/>
        <v>0</v>
      </c>
      <c r="U518" s="17">
        <f t="shared" si="84"/>
        <v>0</v>
      </c>
      <c r="V518" s="17">
        <f t="shared" si="85"/>
        <v>0</v>
      </c>
      <c r="W518" s="17">
        <f t="shared" si="86"/>
        <v>243</v>
      </c>
      <c r="X518" s="17">
        <f t="shared" si="87"/>
        <v>7</v>
      </c>
      <c r="Y518" s="19">
        <f t="shared" si="88"/>
        <v>0</v>
      </c>
      <c r="Z518">
        <v>80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1800</v>
      </c>
      <c r="AH518">
        <v>1800</v>
      </c>
      <c r="AI518">
        <v>0</v>
      </c>
      <c r="AJ518">
        <v>0</v>
      </c>
      <c r="AK518">
        <v>30</v>
      </c>
      <c r="AL518">
        <v>30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10</v>
      </c>
      <c r="BA518">
        <v>10</v>
      </c>
      <c r="BB518">
        <v>0</v>
      </c>
      <c r="BC518">
        <v>0</v>
      </c>
      <c r="BD518">
        <v>0</v>
      </c>
      <c r="BE518">
        <f t="shared" si="89"/>
        <v>3680</v>
      </c>
      <c r="BF518">
        <v>1920</v>
      </c>
      <c r="BG518">
        <v>1920</v>
      </c>
      <c r="BH518" t="s">
        <v>63</v>
      </c>
      <c r="BI518" t="s">
        <v>1515</v>
      </c>
      <c r="BJ518">
        <v>0</v>
      </c>
      <c r="BK518">
        <v>1840</v>
      </c>
      <c r="BL518">
        <v>1920</v>
      </c>
      <c r="BM518">
        <v>0</v>
      </c>
      <c r="BN518">
        <v>0</v>
      </c>
      <c r="BO518">
        <v>0</v>
      </c>
      <c r="BP518">
        <v>4027</v>
      </c>
      <c r="BQ518">
        <v>4027</v>
      </c>
      <c r="BR518">
        <f t="shared" si="90"/>
        <v>-7</v>
      </c>
      <c r="BS518">
        <f t="shared" si="91"/>
        <v>493</v>
      </c>
      <c r="BU518">
        <f>R518*9</f>
        <v>2187</v>
      </c>
      <c r="BV518">
        <f>IF(BU518&gt;BG518, 1, 0)</f>
        <v>1</v>
      </c>
    </row>
    <row r="519" spans="1:74" x14ac:dyDescent="0.25">
      <c r="A519" s="5" t="s">
        <v>1661</v>
      </c>
      <c r="B519" s="5" t="s">
        <v>61</v>
      </c>
      <c r="C519" s="5" t="s">
        <v>61</v>
      </c>
      <c r="D519" s="1" t="s">
        <v>125</v>
      </c>
      <c r="E519">
        <v>0</v>
      </c>
      <c r="F519">
        <v>62</v>
      </c>
      <c r="G519">
        <v>0</v>
      </c>
      <c r="H519">
        <v>0</v>
      </c>
      <c r="I519">
        <v>0</v>
      </c>
      <c r="J519">
        <v>0</v>
      </c>
      <c r="K519">
        <v>64</v>
      </c>
      <c r="L519">
        <v>0</v>
      </c>
      <c r="M519">
        <v>0</v>
      </c>
      <c r="N519">
        <v>0</v>
      </c>
      <c r="O519">
        <v>0</v>
      </c>
      <c r="P519">
        <v>558</v>
      </c>
      <c r="Q519">
        <v>62</v>
      </c>
      <c r="R519">
        <v>62</v>
      </c>
      <c r="S519" s="18">
        <f t="shared" si="82"/>
        <v>9</v>
      </c>
      <c r="T519" s="17">
        <f t="shared" si="83"/>
        <v>0</v>
      </c>
      <c r="U519" s="17">
        <f t="shared" si="84"/>
        <v>0</v>
      </c>
      <c r="V519" s="17">
        <f t="shared" si="85"/>
        <v>0</v>
      </c>
      <c r="W519" s="17">
        <f t="shared" si="86"/>
        <v>62</v>
      </c>
      <c r="X519" s="17">
        <f t="shared" si="87"/>
        <v>0</v>
      </c>
      <c r="Y519" s="19" t="e">
        <f t="shared" si="88"/>
        <v>#DIV/0!</v>
      </c>
      <c r="Z519">
        <v>62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64</v>
      </c>
      <c r="AP519">
        <v>11</v>
      </c>
      <c r="AQ519">
        <v>64</v>
      </c>
      <c r="AR519">
        <v>53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f t="shared" si="89"/>
        <v>192</v>
      </c>
      <c r="BF519">
        <v>126</v>
      </c>
      <c r="BG519">
        <v>126</v>
      </c>
      <c r="BH519" t="s">
        <v>190</v>
      </c>
      <c r="BI519" t="s">
        <v>1688</v>
      </c>
      <c r="BJ519">
        <v>0</v>
      </c>
      <c r="BK519">
        <v>64</v>
      </c>
      <c r="BL519">
        <v>126</v>
      </c>
      <c r="BM519">
        <v>0</v>
      </c>
      <c r="BN519">
        <v>0</v>
      </c>
      <c r="BO519">
        <v>0</v>
      </c>
      <c r="BP519">
        <v>622</v>
      </c>
      <c r="BQ519">
        <v>622</v>
      </c>
      <c r="BR519">
        <f t="shared" si="90"/>
        <v>0</v>
      </c>
      <c r="BS519">
        <f t="shared" si="91"/>
        <v>124</v>
      </c>
    </row>
    <row r="520" spans="1:74" x14ac:dyDescent="0.25">
      <c r="A520" s="5" t="s">
        <v>1661</v>
      </c>
      <c r="B520" s="5" t="s">
        <v>61</v>
      </c>
      <c r="C520" s="5" t="s">
        <v>61</v>
      </c>
      <c r="D520" s="1" t="s">
        <v>127</v>
      </c>
      <c r="E520">
        <v>0</v>
      </c>
      <c r="F520">
        <v>10</v>
      </c>
      <c r="G520">
        <v>0</v>
      </c>
      <c r="H520">
        <v>0</v>
      </c>
      <c r="I520">
        <v>0</v>
      </c>
      <c r="J520">
        <v>0</v>
      </c>
      <c r="K520">
        <v>90</v>
      </c>
      <c r="L520">
        <v>85</v>
      </c>
      <c r="M520">
        <v>0</v>
      </c>
      <c r="N520">
        <v>0</v>
      </c>
      <c r="O520">
        <v>0</v>
      </c>
      <c r="P520">
        <v>90</v>
      </c>
      <c r="Q520">
        <v>10</v>
      </c>
      <c r="R520">
        <v>10</v>
      </c>
      <c r="S520" s="18">
        <f t="shared" si="82"/>
        <v>9</v>
      </c>
      <c r="T520" s="17">
        <f t="shared" si="83"/>
        <v>0</v>
      </c>
      <c r="U520" s="17">
        <f t="shared" si="84"/>
        <v>0</v>
      </c>
      <c r="V520" s="17">
        <f t="shared" si="85"/>
        <v>0</v>
      </c>
      <c r="W520" s="17">
        <f t="shared" si="86"/>
        <v>10</v>
      </c>
      <c r="X520" s="17">
        <f t="shared" si="87"/>
        <v>0</v>
      </c>
      <c r="Y520" s="19" t="e">
        <f t="shared" si="88"/>
        <v>#DIV/0!</v>
      </c>
      <c r="Z520">
        <v>10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90</v>
      </c>
      <c r="AP520">
        <v>90</v>
      </c>
      <c r="AQ520">
        <v>90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85</v>
      </c>
      <c r="BA520">
        <v>85</v>
      </c>
      <c r="BB520">
        <v>0</v>
      </c>
      <c r="BC520">
        <v>0</v>
      </c>
      <c r="BD520">
        <v>0</v>
      </c>
      <c r="BE520">
        <f t="shared" si="89"/>
        <v>440</v>
      </c>
      <c r="BF520">
        <v>185</v>
      </c>
      <c r="BG520">
        <v>185</v>
      </c>
      <c r="BH520" t="s">
        <v>190</v>
      </c>
      <c r="BI520" t="s">
        <v>1689</v>
      </c>
      <c r="BJ520">
        <v>0</v>
      </c>
      <c r="BK520">
        <v>175</v>
      </c>
      <c r="BL520">
        <v>185</v>
      </c>
      <c r="BM520">
        <v>0</v>
      </c>
      <c r="BN520">
        <v>0</v>
      </c>
      <c r="BO520">
        <v>0</v>
      </c>
      <c r="BP520">
        <v>265</v>
      </c>
      <c r="BQ520">
        <v>265</v>
      </c>
      <c r="BR520">
        <f t="shared" si="90"/>
        <v>0</v>
      </c>
      <c r="BS520">
        <f t="shared" si="91"/>
        <v>20</v>
      </c>
    </row>
    <row r="521" spans="1:74" x14ac:dyDescent="0.25">
      <c r="A521" s="5" t="s">
        <v>1661</v>
      </c>
      <c r="B521" s="5" t="s">
        <v>61</v>
      </c>
      <c r="C521" s="5" t="s">
        <v>61</v>
      </c>
      <c r="D521" s="1" t="s">
        <v>139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64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8" t="e">
        <f t="shared" si="82"/>
        <v>#DIV/0!</v>
      </c>
      <c r="T521" s="17" t="e">
        <f t="shared" si="83"/>
        <v>#DIV/0!</v>
      </c>
      <c r="U521" s="17" t="e">
        <f t="shared" si="84"/>
        <v>#DIV/0!</v>
      </c>
      <c r="V521" s="17" t="e">
        <f t="shared" si="85"/>
        <v>#DIV/0!</v>
      </c>
      <c r="W521" s="17" t="e">
        <f t="shared" si="86"/>
        <v>#DIV/0!</v>
      </c>
      <c r="X521" s="17" t="e">
        <f t="shared" si="87"/>
        <v>#DIV/0!</v>
      </c>
      <c r="Y521" s="19" t="e">
        <f t="shared" si="88"/>
        <v>#DIV/0!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64</v>
      </c>
      <c r="BA521">
        <v>64</v>
      </c>
      <c r="BB521">
        <v>0</v>
      </c>
      <c r="BC521">
        <v>0</v>
      </c>
      <c r="BD521">
        <v>0</v>
      </c>
      <c r="BE521">
        <f t="shared" si="89"/>
        <v>128</v>
      </c>
      <c r="BF521">
        <v>64</v>
      </c>
      <c r="BG521">
        <v>64</v>
      </c>
      <c r="BH521" t="s">
        <v>190</v>
      </c>
      <c r="BI521" t="s">
        <v>1695</v>
      </c>
      <c r="BJ521">
        <v>0</v>
      </c>
      <c r="BK521">
        <v>64</v>
      </c>
      <c r="BL521">
        <v>64</v>
      </c>
      <c r="BM521">
        <v>0</v>
      </c>
      <c r="BN521">
        <v>0</v>
      </c>
      <c r="BO521">
        <v>0</v>
      </c>
      <c r="BP521">
        <v>64</v>
      </c>
      <c r="BQ521">
        <v>64</v>
      </c>
      <c r="BR521">
        <f t="shared" si="90"/>
        <v>0</v>
      </c>
      <c r="BS521">
        <f t="shared" si="91"/>
        <v>0</v>
      </c>
    </row>
    <row r="522" spans="1:74" x14ac:dyDescent="0.25">
      <c r="A522" s="5" t="s">
        <v>1661</v>
      </c>
      <c r="B522" s="5" t="s">
        <v>61</v>
      </c>
      <c r="C522" s="6" t="s">
        <v>61</v>
      </c>
      <c r="D522" s="1" t="s">
        <v>141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42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8" t="e">
        <f t="shared" si="82"/>
        <v>#DIV/0!</v>
      </c>
      <c r="T522" s="17" t="e">
        <f t="shared" si="83"/>
        <v>#DIV/0!</v>
      </c>
      <c r="U522" s="17" t="e">
        <f t="shared" si="84"/>
        <v>#DIV/0!</v>
      </c>
      <c r="V522" s="17" t="e">
        <f t="shared" si="85"/>
        <v>#DIV/0!</v>
      </c>
      <c r="W522" s="17" t="e">
        <f t="shared" si="86"/>
        <v>#DIV/0!</v>
      </c>
      <c r="X522" s="17" t="e">
        <f t="shared" si="87"/>
        <v>#DIV/0!</v>
      </c>
      <c r="Y522" s="19" t="e">
        <f t="shared" si="88"/>
        <v>#DIV/0!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42</v>
      </c>
      <c r="BA522">
        <v>42</v>
      </c>
      <c r="BB522">
        <v>0</v>
      </c>
      <c r="BC522">
        <v>0</v>
      </c>
      <c r="BD522">
        <v>0</v>
      </c>
      <c r="BE522">
        <f t="shared" si="89"/>
        <v>84</v>
      </c>
      <c r="BF522">
        <v>42</v>
      </c>
      <c r="BG522">
        <v>42</v>
      </c>
      <c r="BH522" t="s">
        <v>190</v>
      </c>
      <c r="BI522" t="s">
        <v>1696</v>
      </c>
      <c r="BJ522">
        <v>0</v>
      </c>
      <c r="BK522">
        <v>42</v>
      </c>
      <c r="BL522">
        <v>42</v>
      </c>
      <c r="BM522">
        <v>0</v>
      </c>
      <c r="BN522">
        <v>0</v>
      </c>
      <c r="BO522">
        <v>0</v>
      </c>
      <c r="BP522">
        <v>42</v>
      </c>
      <c r="BQ522">
        <v>42</v>
      </c>
      <c r="BR522">
        <f t="shared" si="90"/>
        <v>0</v>
      </c>
      <c r="BS522">
        <f t="shared" si="91"/>
        <v>0</v>
      </c>
    </row>
    <row r="523" spans="1:74" x14ac:dyDescent="0.25">
      <c r="A523" s="5" t="s">
        <v>61</v>
      </c>
      <c r="B523" s="5" t="s">
        <v>61</v>
      </c>
      <c r="C523" s="7" t="s">
        <v>61</v>
      </c>
      <c r="D523" s="1" t="s">
        <v>65</v>
      </c>
      <c r="E523">
        <v>0</v>
      </c>
      <c r="F523">
        <v>243</v>
      </c>
      <c r="G523">
        <v>0</v>
      </c>
      <c r="H523">
        <v>0</v>
      </c>
      <c r="I523">
        <v>1970</v>
      </c>
      <c r="J523">
        <v>12343</v>
      </c>
      <c r="K523">
        <v>780</v>
      </c>
      <c r="L523">
        <v>850</v>
      </c>
      <c r="M523">
        <v>0</v>
      </c>
      <c r="N523">
        <v>2187</v>
      </c>
      <c r="O523">
        <v>0</v>
      </c>
      <c r="P523">
        <v>0</v>
      </c>
      <c r="Q523">
        <v>692</v>
      </c>
      <c r="R523">
        <v>243</v>
      </c>
      <c r="S523" s="18">
        <f t="shared" si="82"/>
        <v>9</v>
      </c>
      <c r="T523" s="17">
        <f t="shared" si="83"/>
        <v>0</v>
      </c>
      <c r="U523" s="17">
        <f t="shared" si="84"/>
        <v>243</v>
      </c>
      <c r="V523" s="17">
        <f t="shared" si="85"/>
        <v>0</v>
      </c>
      <c r="W523" s="17">
        <f t="shared" si="86"/>
        <v>0</v>
      </c>
      <c r="X523" s="17">
        <f t="shared" si="87"/>
        <v>449</v>
      </c>
      <c r="Y523" s="19">
        <f t="shared" si="88"/>
        <v>0</v>
      </c>
      <c r="Z523">
        <v>243</v>
      </c>
      <c r="AA523">
        <v>0</v>
      </c>
      <c r="AB523">
        <v>0</v>
      </c>
      <c r="AC523">
        <v>0</v>
      </c>
      <c r="AD523">
        <v>0</v>
      </c>
      <c r="AE523">
        <v>1970</v>
      </c>
      <c r="AF523">
        <v>0</v>
      </c>
      <c r="AG523">
        <v>0</v>
      </c>
      <c r="AH523">
        <v>1970</v>
      </c>
      <c r="AI523">
        <v>0</v>
      </c>
      <c r="AJ523">
        <v>10843</v>
      </c>
      <c r="AK523">
        <v>1568</v>
      </c>
      <c r="AL523">
        <v>12411</v>
      </c>
      <c r="AM523">
        <v>0</v>
      </c>
      <c r="AN523">
        <v>780</v>
      </c>
      <c r="AO523">
        <v>0</v>
      </c>
      <c r="AP523">
        <v>300</v>
      </c>
      <c r="AQ523">
        <v>780</v>
      </c>
      <c r="AR523">
        <v>480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850</v>
      </c>
      <c r="AZ523">
        <v>0</v>
      </c>
      <c r="BA523">
        <v>850</v>
      </c>
      <c r="BB523">
        <v>0</v>
      </c>
      <c r="BC523">
        <v>0</v>
      </c>
      <c r="BD523">
        <v>0</v>
      </c>
      <c r="BE523">
        <f t="shared" si="89"/>
        <v>32802</v>
      </c>
      <c r="BF523">
        <v>16254</v>
      </c>
      <c r="BG523">
        <v>16254</v>
      </c>
      <c r="BH523" t="s">
        <v>63</v>
      </c>
      <c r="BI523" t="s">
        <v>66</v>
      </c>
      <c r="BJ523">
        <v>0</v>
      </c>
      <c r="BK523">
        <v>16011</v>
      </c>
      <c r="BL523">
        <v>16254</v>
      </c>
      <c r="BM523">
        <v>0</v>
      </c>
      <c r="BN523">
        <v>16630</v>
      </c>
      <c r="BO523">
        <v>0</v>
      </c>
      <c r="BP523">
        <v>1568</v>
      </c>
      <c r="BQ523">
        <v>18198</v>
      </c>
      <c r="BR523">
        <f t="shared" si="90"/>
        <v>-449</v>
      </c>
      <c r="BS523">
        <f t="shared" si="91"/>
        <v>935</v>
      </c>
      <c r="BU523">
        <f>R523*9</f>
        <v>2187</v>
      </c>
      <c r="BV523">
        <f>IF(BU523&gt;BG523, 1, 0)</f>
        <v>0</v>
      </c>
    </row>
    <row r="524" spans="1:74" x14ac:dyDescent="0.25">
      <c r="A524" s="5" t="s">
        <v>1135</v>
      </c>
      <c r="B524" s="5" t="s">
        <v>207</v>
      </c>
      <c r="C524" s="5" t="s">
        <v>61</v>
      </c>
      <c r="D524" s="1" t="s">
        <v>71</v>
      </c>
      <c r="E524">
        <v>0</v>
      </c>
      <c r="F524">
        <v>3254</v>
      </c>
      <c r="G524">
        <v>0</v>
      </c>
      <c r="H524">
        <v>0</v>
      </c>
      <c r="I524">
        <v>360</v>
      </c>
      <c r="J524">
        <v>0</v>
      </c>
      <c r="K524">
        <v>150</v>
      </c>
      <c r="L524">
        <v>0</v>
      </c>
      <c r="M524">
        <v>0</v>
      </c>
      <c r="N524">
        <v>0</v>
      </c>
      <c r="O524">
        <v>0</v>
      </c>
      <c r="P524">
        <v>2124</v>
      </c>
      <c r="Q524">
        <v>236</v>
      </c>
      <c r="R524">
        <v>236</v>
      </c>
      <c r="S524" s="18">
        <f t="shared" si="82"/>
        <v>9</v>
      </c>
      <c r="T524" s="17">
        <f t="shared" si="83"/>
        <v>0</v>
      </c>
      <c r="U524" s="17">
        <f t="shared" si="84"/>
        <v>0</v>
      </c>
      <c r="V524" s="17">
        <f t="shared" si="85"/>
        <v>0</v>
      </c>
      <c r="W524" s="17">
        <f t="shared" si="86"/>
        <v>236</v>
      </c>
      <c r="X524" s="17">
        <f t="shared" si="87"/>
        <v>0</v>
      </c>
      <c r="Y524" s="19" t="e">
        <f t="shared" si="88"/>
        <v>#DIV/0!</v>
      </c>
      <c r="Z524">
        <v>3254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360</v>
      </c>
      <c r="AH524">
        <v>360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150</v>
      </c>
      <c r="AP524">
        <v>85</v>
      </c>
      <c r="AQ524">
        <v>150</v>
      </c>
      <c r="AR524">
        <v>65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f t="shared" si="89"/>
        <v>1170</v>
      </c>
      <c r="BF524">
        <v>3764</v>
      </c>
      <c r="BG524">
        <v>3764</v>
      </c>
      <c r="BH524" t="s">
        <v>63</v>
      </c>
      <c r="BI524" t="s">
        <v>1201</v>
      </c>
      <c r="BJ524">
        <v>0</v>
      </c>
      <c r="BK524">
        <v>510</v>
      </c>
      <c r="BL524">
        <v>3764</v>
      </c>
      <c r="BM524">
        <v>0</v>
      </c>
      <c r="BN524">
        <v>0</v>
      </c>
      <c r="BO524">
        <v>0</v>
      </c>
      <c r="BP524">
        <v>2634</v>
      </c>
      <c r="BQ524">
        <v>2634</v>
      </c>
      <c r="BR524">
        <f t="shared" si="90"/>
        <v>0</v>
      </c>
      <c r="BS524">
        <f t="shared" si="91"/>
        <v>472</v>
      </c>
      <c r="BU524">
        <f>R524*9</f>
        <v>2124</v>
      </c>
      <c r="BV524">
        <f>IF(BU524&gt;BG524, 1, 0)</f>
        <v>0</v>
      </c>
    </row>
    <row r="525" spans="1:74" x14ac:dyDescent="0.25">
      <c r="A525" s="5" t="s">
        <v>1661</v>
      </c>
      <c r="B525" s="5" t="s">
        <v>61</v>
      </c>
      <c r="C525" s="5" t="s">
        <v>207</v>
      </c>
      <c r="D525" s="1" t="s">
        <v>67</v>
      </c>
      <c r="E525">
        <v>0</v>
      </c>
      <c r="F525">
        <v>2277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2556</v>
      </c>
      <c r="O525">
        <v>0</v>
      </c>
      <c r="P525">
        <v>0</v>
      </c>
      <c r="Q525">
        <v>284</v>
      </c>
      <c r="R525">
        <v>284</v>
      </c>
      <c r="S525" s="18">
        <f t="shared" si="82"/>
        <v>9</v>
      </c>
      <c r="T525" s="17">
        <f t="shared" si="83"/>
        <v>0</v>
      </c>
      <c r="U525" s="17">
        <f t="shared" si="84"/>
        <v>284</v>
      </c>
      <c r="V525" s="17">
        <f t="shared" si="85"/>
        <v>0</v>
      </c>
      <c r="W525" s="17">
        <f t="shared" si="86"/>
        <v>0</v>
      </c>
      <c r="X525" s="17">
        <f t="shared" si="87"/>
        <v>0</v>
      </c>
      <c r="Y525" s="19" t="e">
        <f t="shared" si="88"/>
        <v>#DIV/0!</v>
      </c>
      <c r="Z525">
        <v>2277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</v>
      </c>
      <c r="AH525">
        <v>2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f t="shared" si="89"/>
        <v>4</v>
      </c>
      <c r="BF525">
        <v>2279</v>
      </c>
      <c r="BG525">
        <v>2279</v>
      </c>
      <c r="BH525" t="s">
        <v>190</v>
      </c>
      <c r="BI525" t="s">
        <v>1700</v>
      </c>
      <c r="BJ525">
        <v>0</v>
      </c>
      <c r="BK525">
        <v>2</v>
      </c>
      <c r="BL525">
        <v>2279</v>
      </c>
      <c r="BM525">
        <v>0</v>
      </c>
      <c r="BN525">
        <v>2556</v>
      </c>
      <c r="BO525">
        <v>0</v>
      </c>
      <c r="BP525">
        <v>2</v>
      </c>
      <c r="BQ525">
        <v>2558</v>
      </c>
      <c r="BR525">
        <f t="shared" si="90"/>
        <v>0</v>
      </c>
      <c r="BS525">
        <f t="shared" si="91"/>
        <v>568</v>
      </c>
    </row>
    <row r="526" spans="1:74" x14ac:dyDescent="0.25">
      <c r="A526" s="5" t="s">
        <v>1661</v>
      </c>
      <c r="B526" s="5" t="s">
        <v>61</v>
      </c>
      <c r="C526" s="5" t="s">
        <v>207</v>
      </c>
      <c r="D526" s="1" t="s">
        <v>73</v>
      </c>
      <c r="E526">
        <v>0</v>
      </c>
      <c r="F526">
        <v>17212</v>
      </c>
      <c r="G526">
        <v>0</v>
      </c>
      <c r="H526">
        <v>0</v>
      </c>
      <c r="I526">
        <v>0</v>
      </c>
      <c r="J526">
        <v>164</v>
      </c>
      <c r="K526">
        <v>16</v>
      </c>
      <c r="L526">
        <v>0</v>
      </c>
      <c r="M526">
        <v>0</v>
      </c>
      <c r="N526">
        <v>22131</v>
      </c>
      <c r="O526">
        <v>0</v>
      </c>
      <c r="P526">
        <v>0</v>
      </c>
      <c r="Q526">
        <v>2459</v>
      </c>
      <c r="R526">
        <v>2459</v>
      </c>
      <c r="S526" s="18">
        <f t="shared" si="82"/>
        <v>9</v>
      </c>
      <c r="T526" s="17">
        <f t="shared" si="83"/>
        <v>0</v>
      </c>
      <c r="U526" s="17">
        <f t="shared" si="84"/>
        <v>2459</v>
      </c>
      <c r="V526" s="17">
        <f t="shared" si="85"/>
        <v>0</v>
      </c>
      <c r="W526" s="17">
        <f t="shared" si="86"/>
        <v>0</v>
      </c>
      <c r="X526" s="17">
        <f t="shared" si="87"/>
        <v>0</v>
      </c>
      <c r="Y526" s="19" t="e">
        <f t="shared" si="88"/>
        <v>#DIV/0!</v>
      </c>
      <c r="Z526">
        <v>17212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164</v>
      </c>
      <c r="AL526">
        <v>164</v>
      </c>
      <c r="AM526">
        <v>0</v>
      </c>
      <c r="AN526">
        <v>0</v>
      </c>
      <c r="AO526">
        <v>16</v>
      </c>
      <c r="AP526">
        <v>0</v>
      </c>
      <c r="AQ526">
        <v>16</v>
      </c>
      <c r="AR526">
        <v>16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f t="shared" si="89"/>
        <v>376</v>
      </c>
      <c r="BF526">
        <v>17392</v>
      </c>
      <c r="BG526">
        <v>17392</v>
      </c>
      <c r="BH526" t="s">
        <v>199</v>
      </c>
      <c r="BI526" t="s">
        <v>1703</v>
      </c>
      <c r="BJ526">
        <v>0</v>
      </c>
      <c r="BK526">
        <v>180</v>
      </c>
      <c r="BL526">
        <v>17392</v>
      </c>
      <c r="BM526">
        <v>0</v>
      </c>
      <c r="BN526">
        <v>22131</v>
      </c>
      <c r="BO526">
        <v>0</v>
      </c>
      <c r="BP526">
        <v>180</v>
      </c>
      <c r="BQ526">
        <v>22311</v>
      </c>
      <c r="BR526">
        <f t="shared" si="90"/>
        <v>0</v>
      </c>
      <c r="BS526">
        <f t="shared" si="91"/>
        <v>4918</v>
      </c>
    </row>
    <row r="527" spans="1:74" x14ac:dyDescent="0.25">
      <c r="A527" s="5" t="s">
        <v>1661</v>
      </c>
      <c r="B527" s="5" t="s">
        <v>61</v>
      </c>
      <c r="C527" s="5" t="s">
        <v>207</v>
      </c>
      <c r="D527" s="1" t="s">
        <v>77</v>
      </c>
      <c r="E527">
        <v>0</v>
      </c>
      <c r="F527">
        <v>5228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1143</v>
      </c>
      <c r="Q527">
        <v>127</v>
      </c>
      <c r="R527">
        <v>127</v>
      </c>
      <c r="S527" s="18">
        <f t="shared" si="82"/>
        <v>9</v>
      </c>
      <c r="T527" s="17">
        <f t="shared" si="83"/>
        <v>0</v>
      </c>
      <c r="U527" s="17">
        <f t="shared" si="84"/>
        <v>0</v>
      </c>
      <c r="V527" s="17">
        <f t="shared" si="85"/>
        <v>0</v>
      </c>
      <c r="W527" s="17">
        <f t="shared" si="86"/>
        <v>127</v>
      </c>
      <c r="X527" s="17">
        <f t="shared" si="87"/>
        <v>0</v>
      </c>
      <c r="Y527" s="19" t="e">
        <f t="shared" si="88"/>
        <v>#DIV/0!</v>
      </c>
      <c r="Z527">
        <v>5228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f t="shared" si="89"/>
        <v>0</v>
      </c>
      <c r="BF527">
        <v>5228</v>
      </c>
      <c r="BG527">
        <v>5228</v>
      </c>
      <c r="BH527" t="s">
        <v>190</v>
      </c>
      <c r="BI527" t="s">
        <v>1705</v>
      </c>
      <c r="BJ527">
        <v>0</v>
      </c>
      <c r="BK527">
        <v>0</v>
      </c>
      <c r="BL527">
        <v>5228</v>
      </c>
      <c r="BM527">
        <v>0</v>
      </c>
      <c r="BN527">
        <v>0</v>
      </c>
      <c r="BO527">
        <v>0</v>
      </c>
      <c r="BP527">
        <v>1143</v>
      </c>
      <c r="BQ527">
        <v>1143</v>
      </c>
      <c r="BR527">
        <f t="shared" si="90"/>
        <v>0</v>
      </c>
      <c r="BS527">
        <f t="shared" si="91"/>
        <v>254</v>
      </c>
    </row>
    <row r="528" spans="1:74" x14ac:dyDescent="0.25">
      <c r="A528" s="5" t="s">
        <v>1661</v>
      </c>
      <c r="B528" s="5" t="s">
        <v>61</v>
      </c>
      <c r="C528" s="5" t="s">
        <v>207</v>
      </c>
      <c r="D528" s="1" t="s">
        <v>79</v>
      </c>
      <c r="E528">
        <v>0</v>
      </c>
      <c r="F528">
        <v>2560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1908</v>
      </c>
      <c r="Q528">
        <v>212</v>
      </c>
      <c r="R528">
        <v>212</v>
      </c>
      <c r="S528" s="18">
        <f t="shared" si="82"/>
        <v>9</v>
      </c>
      <c r="T528" s="17">
        <f t="shared" si="83"/>
        <v>0</v>
      </c>
      <c r="U528" s="17">
        <f t="shared" si="84"/>
        <v>0</v>
      </c>
      <c r="V528" s="17">
        <f t="shared" si="85"/>
        <v>0</v>
      </c>
      <c r="W528" s="17">
        <f t="shared" si="86"/>
        <v>212</v>
      </c>
      <c r="X528" s="17">
        <f t="shared" si="87"/>
        <v>0</v>
      </c>
      <c r="Y528" s="19" t="e">
        <f t="shared" si="88"/>
        <v>#DIV/0!</v>
      </c>
      <c r="Z528">
        <v>2560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f t="shared" si="89"/>
        <v>0</v>
      </c>
      <c r="BF528">
        <v>2560</v>
      </c>
      <c r="BG528">
        <v>2560</v>
      </c>
      <c r="BH528" t="s">
        <v>190</v>
      </c>
      <c r="BI528" t="s">
        <v>1706</v>
      </c>
      <c r="BJ528">
        <v>0</v>
      </c>
      <c r="BK528">
        <v>0</v>
      </c>
      <c r="BL528">
        <v>2560</v>
      </c>
      <c r="BM528">
        <v>0</v>
      </c>
      <c r="BN528">
        <v>0</v>
      </c>
      <c r="BO528">
        <v>0</v>
      </c>
      <c r="BP528">
        <v>1908</v>
      </c>
      <c r="BQ528">
        <v>1908</v>
      </c>
      <c r="BR528">
        <f t="shared" si="90"/>
        <v>0</v>
      </c>
      <c r="BS528">
        <f t="shared" si="91"/>
        <v>424</v>
      </c>
    </row>
    <row r="529" spans="1:74" x14ac:dyDescent="0.25">
      <c r="A529" s="5" t="s">
        <v>1661</v>
      </c>
      <c r="B529" s="5" t="s">
        <v>61</v>
      </c>
      <c r="C529" s="5" t="s">
        <v>359</v>
      </c>
      <c r="D529" s="1" t="s">
        <v>62</v>
      </c>
      <c r="E529">
        <v>0</v>
      </c>
      <c r="F529">
        <v>1800</v>
      </c>
      <c r="G529">
        <v>0</v>
      </c>
      <c r="H529">
        <v>0</v>
      </c>
      <c r="I529">
        <v>13</v>
      </c>
      <c r="J529">
        <v>0</v>
      </c>
      <c r="K529">
        <v>105</v>
      </c>
      <c r="L529">
        <v>0</v>
      </c>
      <c r="M529">
        <v>0</v>
      </c>
      <c r="N529">
        <v>0</v>
      </c>
      <c r="O529">
        <v>0</v>
      </c>
      <c r="P529">
        <v>2232</v>
      </c>
      <c r="Q529">
        <v>248</v>
      </c>
      <c r="R529">
        <v>248</v>
      </c>
      <c r="S529" s="18">
        <f t="shared" si="82"/>
        <v>9</v>
      </c>
      <c r="T529" s="17">
        <f t="shared" si="83"/>
        <v>0</v>
      </c>
      <c r="U529" s="17">
        <f t="shared" si="84"/>
        <v>0</v>
      </c>
      <c r="V529" s="17">
        <f t="shared" si="85"/>
        <v>0</v>
      </c>
      <c r="W529" s="17">
        <f t="shared" si="86"/>
        <v>248</v>
      </c>
      <c r="X529" s="17">
        <f t="shared" si="87"/>
        <v>0</v>
      </c>
      <c r="Y529" s="19" t="e">
        <f t="shared" si="88"/>
        <v>#DIV/0!</v>
      </c>
      <c r="Z529">
        <v>1800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13</v>
      </c>
      <c r="AH529">
        <v>13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105</v>
      </c>
      <c r="AP529">
        <v>5</v>
      </c>
      <c r="AQ529">
        <v>105</v>
      </c>
      <c r="AR529">
        <v>100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f t="shared" si="89"/>
        <v>341</v>
      </c>
      <c r="BF529">
        <v>1918</v>
      </c>
      <c r="BG529">
        <v>1918</v>
      </c>
      <c r="BH529" t="s">
        <v>109</v>
      </c>
      <c r="BI529" t="s">
        <v>1712</v>
      </c>
      <c r="BJ529">
        <v>0</v>
      </c>
      <c r="BK529">
        <v>118</v>
      </c>
      <c r="BL529">
        <v>1918</v>
      </c>
      <c r="BM529">
        <v>0</v>
      </c>
      <c r="BN529">
        <v>0</v>
      </c>
      <c r="BO529">
        <v>0</v>
      </c>
      <c r="BP529">
        <v>2350</v>
      </c>
      <c r="BQ529">
        <v>2350</v>
      </c>
      <c r="BR529">
        <f t="shared" si="90"/>
        <v>0</v>
      </c>
      <c r="BS529">
        <f t="shared" si="91"/>
        <v>496</v>
      </c>
    </row>
    <row r="530" spans="1:74" x14ac:dyDescent="0.25">
      <c r="A530" s="5" t="s">
        <v>1661</v>
      </c>
      <c r="B530" s="5" t="s">
        <v>61</v>
      </c>
      <c r="C530" s="5" t="s">
        <v>359</v>
      </c>
      <c r="D530" s="1" t="s">
        <v>65</v>
      </c>
      <c r="E530">
        <v>0</v>
      </c>
      <c r="F530">
        <v>2675</v>
      </c>
      <c r="G530">
        <v>0</v>
      </c>
      <c r="H530">
        <v>0</v>
      </c>
      <c r="I530">
        <v>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2736</v>
      </c>
      <c r="Q530">
        <v>304</v>
      </c>
      <c r="R530">
        <v>304</v>
      </c>
      <c r="S530" s="18">
        <f t="shared" si="82"/>
        <v>9</v>
      </c>
      <c r="T530" s="17">
        <f t="shared" si="83"/>
        <v>0</v>
      </c>
      <c r="U530" s="17">
        <f t="shared" si="84"/>
        <v>0</v>
      </c>
      <c r="V530" s="17">
        <f t="shared" si="85"/>
        <v>0</v>
      </c>
      <c r="W530" s="17">
        <f t="shared" si="86"/>
        <v>304</v>
      </c>
      <c r="X530" s="17">
        <f t="shared" si="87"/>
        <v>0</v>
      </c>
      <c r="Y530" s="19" t="e">
        <f t="shared" si="88"/>
        <v>#DIV/0!</v>
      </c>
      <c r="Z530">
        <v>2675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6</v>
      </c>
      <c r="AH530">
        <v>6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f t="shared" si="89"/>
        <v>12</v>
      </c>
      <c r="BF530">
        <v>2681</v>
      </c>
      <c r="BG530">
        <v>2681</v>
      </c>
      <c r="BH530" t="s">
        <v>109</v>
      </c>
      <c r="BI530" t="s">
        <v>1713</v>
      </c>
      <c r="BJ530">
        <v>0</v>
      </c>
      <c r="BK530">
        <v>6</v>
      </c>
      <c r="BL530">
        <v>2681</v>
      </c>
      <c r="BM530">
        <v>0</v>
      </c>
      <c r="BN530">
        <v>0</v>
      </c>
      <c r="BO530">
        <v>0</v>
      </c>
      <c r="BP530">
        <v>2742</v>
      </c>
      <c r="BQ530">
        <v>2742</v>
      </c>
      <c r="BR530">
        <f t="shared" si="90"/>
        <v>0</v>
      </c>
      <c r="BS530">
        <f t="shared" si="91"/>
        <v>608</v>
      </c>
    </row>
    <row r="531" spans="1:74" x14ac:dyDescent="0.25">
      <c r="A531" s="5" t="s">
        <v>1661</v>
      </c>
      <c r="B531" s="5" t="s">
        <v>61</v>
      </c>
      <c r="C531" s="5" t="s">
        <v>359</v>
      </c>
      <c r="D531" s="1" t="s">
        <v>67</v>
      </c>
      <c r="E531">
        <v>0</v>
      </c>
      <c r="F531">
        <v>1800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837</v>
      </c>
      <c r="Q531">
        <v>93</v>
      </c>
      <c r="R531">
        <v>93</v>
      </c>
      <c r="S531" s="18">
        <f t="shared" si="82"/>
        <v>9</v>
      </c>
      <c r="T531" s="17">
        <f t="shared" si="83"/>
        <v>0</v>
      </c>
      <c r="U531" s="17">
        <f t="shared" si="84"/>
        <v>0</v>
      </c>
      <c r="V531" s="17">
        <f t="shared" si="85"/>
        <v>0</v>
      </c>
      <c r="W531" s="17">
        <f t="shared" si="86"/>
        <v>93</v>
      </c>
      <c r="X531" s="17">
        <f t="shared" si="87"/>
        <v>0</v>
      </c>
      <c r="Y531" s="19" t="e">
        <f t="shared" si="88"/>
        <v>#DIV/0!</v>
      </c>
      <c r="Z531">
        <v>1800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f t="shared" si="89"/>
        <v>0</v>
      </c>
      <c r="BF531">
        <v>1800</v>
      </c>
      <c r="BG531">
        <v>1800</v>
      </c>
      <c r="BH531" t="s">
        <v>190</v>
      </c>
      <c r="BI531" t="s">
        <v>1714</v>
      </c>
      <c r="BJ531">
        <v>0</v>
      </c>
      <c r="BK531">
        <v>0</v>
      </c>
      <c r="BL531">
        <v>1800</v>
      </c>
      <c r="BM531">
        <v>0</v>
      </c>
      <c r="BN531">
        <v>0</v>
      </c>
      <c r="BO531">
        <v>0</v>
      </c>
      <c r="BP531">
        <v>837</v>
      </c>
      <c r="BQ531">
        <v>837</v>
      </c>
      <c r="BR531">
        <f t="shared" si="90"/>
        <v>0</v>
      </c>
      <c r="BS531">
        <f t="shared" si="91"/>
        <v>186</v>
      </c>
    </row>
    <row r="532" spans="1:74" x14ac:dyDescent="0.25">
      <c r="A532" s="5" t="s">
        <v>2090</v>
      </c>
      <c r="B532" s="5" t="s">
        <v>61</v>
      </c>
      <c r="C532" s="5" t="s">
        <v>61</v>
      </c>
      <c r="D532" s="1" t="s">
        <v>73</v>
      </c>
      <c r="E532">
        <v>0</v>
      </c>
      <c r="F532">
        <v>2100</v>
      </c>
      <c r="G532">
        <v>0</v>
      </c>
      <c r="H532">
        <v>0</v>
      </c>
      <c r="I532">
        <v>3920</v>
      </c>
      <c r="J532">
        <v>0</v>
      </c>
      <c r="K532">
        <v>0</v>
      </c>
      <c r="L532">
        <v>27</v>
      </c>
      <c r="M532">
        <v>0</v>
      </c>
      <c r="N532">
        <v>0</v>
      </c>
      <c r="O532">
        <v>0</v>
      </c>
      <c r="P532">
        <v>2115</v>
      </c>
      <c r="Q532">
        <v>235</v>
      </c>
      <c r="R532">
        <v>235</v>
      </c>
      <c r="S532" s="18">
        <f t="shared" si="82"/>
        <v>9</v>
      </c>
      <c r="T532" s="17">
        <f t="shared" si="83"/>
        <v>0</v>
      </c>
      <c r="U532" s="17">
        <f t="shared" si="84"/>
        <v>0</v>
      </c>
      <c r="V532" s="17">
        <f t="shared" si="85"/>
        <v>0</v>
      </c>
      <c r="W532" s="17">
        <f t="shared" si="86"/>
        <v>235</v>
      </c>
      <c r="X532" s="17">
        <f t="shared" si="87"/>
        <v>0</v>
      </c>
      <c r="Y532" s="19" t="e">
        <f t="shared" si="88"/>
        <v>#DIV/0!</v>
      </c>
      <c r="Z532">
        <v>2100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3920</v>
      </c>
      <c r="AH532">
        <v>3920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27</v>
      </c>
      <c r="BA532">
        <v>27</v>
      </c>
      <c r="BB532">
        <v>0</v>
      </c>
      <c r="BC532">
        <v>0</v>
      </c>
      <c r="BD532">
        <v>0</v>
      </c>
      <c r="BE532">
        <f t="shared" si="89"/>
        <v>7894</v>
      </c>
      <c r="BF532">
        <v>6047</v>
      </c>
      <c r="BG532">
        <v>6047</v>
      </c>
      <c r="BH532" t="s">
        <v>63</v>
      </c>
      <c r="BI532" t="s">
        <v>2096</v>
      </c>
      <c r="BJ532">
        <v>0</v>
      </c>
      <c r="BK532">
        <v>3947</v>
      </c>
      <c r="BL532">
        <v>6047</v>
      </c>
      <c r="BM532">
        <v>0</v>
      </c>
      <c r="BN532">
        <v>0</v>
      </c>
      <c r="BO532">
        <v>0</v>
      </c>
      <c r="BP532">
        <v>6062</v>
      </c>
      <c r="BQ532">
        <v>6062</v>
      </c>
      <c r="BR532">
        <f t="shared" si="90"/>
        <v>0</v>
      </c>
      <c r="BS532">
        <f t="shared" si="91"/>
        <v>470</v>
      </c>
      <c r="BU532">
        <f>R532*9</f>
        <v>2115</v>
      </c>
      <c r="BV532">
        <f>IF(BU532&gt;BG532, 1, 0)</f>
        <v>0</v>
      </c>
    </row>
    <row r="533" spans="1:74" x14ac:dyDescent="0.25">
      <c r="A533" s="5" t="s">
        <v>1661</v>
      </c>
      <c r="B533" s="5" t="s">
        <v>61</v>
      </c>
      <c r="C533" s="5" t="s">
        <v>359</v>
      </c>
      <c r="D533" s="1" t="s">
        <v>86</v>
      </c>
      <c r="E533">
        <v>0</v>
      </c>
      <c r="F533">
        <v>930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3735</v>
      </c>
      <c r="Q533">
        <v>415</v>
      </c>
      <c r="R533">
        <v>415</v>
      </c>
      <c r="S533" s="18">
        <f t="shared" si="82"/>
        <v>9</v>
      </c>
      <c r="T533" s="17">
        <f t="shared" si="83"/>
        <v>0</v>
      </c>
      <c r="U533" s="17">
        <f t="shared" si="84"/>
        <v>0</v>
      </c>
      <c r="V533" s="17">
        <f t="shared" si="85"/>
        <v>0</v>
      </c>
      <c r="W533" s="17">
        <f t="shared" si="86"/>
        <v>415</v>
      </c>
      <c r="X533" s="17">
        <f t="shared" si="87"/>
        <v>0</v>
      </c>
      <c r="Y533" s="19" t="e">
        <f t="shared" si="88"/>
        <v>#DIV/0!</v>
      </c>
      <c r="Z533">
        <v>930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f t="shared" si="89"/>
        <v>0</v>
      </c>
      <c r="BF533">
        <v>930</v>
      </c>
      <c r="BG533">
        <v>930</v>
      </c>
      <c r="BH533" t="s">
        <v>109</v>
      </c>
      <c r="BI533" t="s">
        <v>1723</v>
      </c>
      <c r="BJ533">
        <v>0</v>
      </c>
      <c r="BK533">
        <v>0</v>
      </c>
      <c r="BL533">
        <v>930</v>
      </c>
      <c r="BM533">
        <v>0</v>
      </c>
      <c r="BN533">
        <v>0</v>
      </c>
      <c r="BO533">
        <v>0</v>
      </c>
      <c r="BP533">
        <v>3735</v>
      </c>
      <c r="BQ533">
        <v>3735</v>
      </c>
      <c r="BR533">
        <f t="shared" si="90"/>
        <v>0</v>
      </c>
      <c r="BS533">
        <f t="shared" si="91"/>
        <v>830</v>
      </c>
    </row>
    <row r="534" spans="1:74" x14ac:dyDescent="0.25">
      <c r="A534" s="5" t="s">
        <v>1661</v>
      </c>
      <c r="B534" s="5" t="s">
        <v>61</v>
      </c>
      <c r="C534" s="5" t="s">
        <v>359</v>
      </c>
      <c r="D534" s="1" t="s">
        <v>90</v>
      </c>
      <c r="E534">
        <v>0</v>
      </c>
      <c r="F534">
        <v>8658</v>
      </c>
      <c r="G534">
        <v>0</v>
      </c>
      <c r="H534">
        <v>0</v>
      </c>
      <c r="I534">
        <v>1141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5607</v>
      </c>
      <c r="Q534">
        <v>623</v>
      </c>
      <c r="R534">
        <v>623</v>
      </c>
      <c r="S534" s="18">
        <f t="shared" si="82"/>
        <v>9</v>
      </c>
      <c r="T534" s="17">
        <f t="shared" si="83"/>
        <v>0</v>
      </c>
      <c r="U534" s="17">
        <f t="shared" si="84"/>
        <v>0</v>
      </c>
      <c r="V534" s="17">
        <f t="shared" si="85"/>
        <v>0</v>
      </c>
      <c r="W534" s="17">
        <f t="shared" si="86"/>
        <v>623</v>
      </c>
      <c r="X534" s="17">
        <f t="shared" si="87"/>
        <v>0</v>
      </c>
      <c r="Y534" s="19" t="e">
        <f t="shared" si="88"/>
        <v>#DIV/0!</v>
      </c>
      <c r="Z534">
        <v>8658</v>
      </c>
      <c r="AA534">
        <v>0</v>
      </c>
      <c r="AB534">
        <v>0</v>
      </c>
      <c r="AC534">
        <v>2500</v>
      </c>
      <c r="AD534">
        <v>0</v>
      </c>
      <c r="AE534">
        <v>0</v>
      </c>
      <c r="AF534">
        <v>0</v>
      </c>
      <c r="AG534">
        <v>1141</v>
      </c>
      <c r="AH534">
        <v>1141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f t="shared" si="89"/>
        <v>4782</v>
      </c>
      <c r="BF534">
        <v>12299</v>
      </c>
      <c r="BG534">
        <v>12299</v>
      </c>
      <c r="BH534" t="s">
        <v>109</v>
      </c>
      <c r="BI534" t="s">
        <v>1725</v>
      </c>
      <c r="BJ534">
        <v>2500</v>
      </c>
      <c r="BK534">
        <v>1141</v>
      </c>
      <c r="BL534">
        <v>12299</v>
      </c>
      <c r="BM534">
        <v>0</v>
      </c>
      <c r="BN534">
        <v>0</v>
      </c>
      <c r="BO534">
        <v>0</v>
      </c>
      <c r="BP534">
        <v>6748</v>
      </c>
      <c r="BQ534">
        <v>6748</v>
      </c>
      <c r="BR534">
        <f t="shared" si="90"/>
        <v>0</v>
      </c>
      <c r="BS534">
        <f t="shared" si="91"/>
        <v>1246</v>
      </c>
    </row>
    <row r="535" spans="1:74" x14ac:dyDescent="0.25">
      <c r="A535" s="5" t="s">
        <v>1661</v>
      </c>
      <c r="B535" s="5" t="s">
        <v>61</v>
      </c>
      <c r="C535" s="5" t="s">
        <v>359</v>
      </c>
      <c r="D535" s="1" t="s">
        <v>94</v>
      </c>
      <c r="E535">
        <v>0</v>
      </c>
      <c r="F535">
        <v>110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126</v>
      </c>
      <c r="Q535">
        <v>14</v>
      </c>
      <c r="R535">
        <v>14</v>
      </c>
      <c r="S535" s="18">
        <f t="shared" si="82"/>
        <v>9</v>
      </c>
      <c r="T535" s="17">
        <f t="shared" si="83"/>
        <v>0</v>
      </c>
      <c r="U535" s="17">
        <f t="shared" si="84"/>
        <v>0</v>
      </c>
      <c r="V535" s="17">
        <f t="shared" si="85"/>
        <v>0</v>
      </c>
      <c r="W535" s="17">
        <f t="shared" si="86"/>
        <v>14</v>
      </c>
      <c r="X535" s="17">
        <f t="shared" si="87"/>
        <v>0</v>
      </c>
      <c r="Y535" s="19" t="e">
        <f t="shared" si="88"/>
        <v>#DIV/0!</v>
      </c>
      <c r="Z535">
        <v>110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f t="shared" si="89"/>
        <v>0</v>
      </c>
      <c r="BF535">
        <v>110</v>
      </c>
      <c r="BG535">
        <v>110</v>
      </c>
      <c r="BH535" t="s">
        <v>109</v>
      </c>
      <c r="BI535" t="s">
        <v>1727</v>
      </c>
      <c r="BJ535">
        <v>0</v>
      </c>
      <c r="BK535">
        <v>0</v>
      </c>
      <c r="BL535">
        <v>110</v>
      </c>
      <c r="BM535">
        <v>0</v>
      </c>
      <c r="BN535">
        <v>0</v>
      </c>
      <c r="BO535">
        <v>0</v>
      </c>
      <c r="BP535">
        <v>126</v>
      </c>
      <c r="BQ535">
        <v>126</v>
      </c>
      <c r="BR535">
        <f t="shared" si="90"/>
        <v>0</v>
      </c>
      <c r="BS535">
        <f t="shared" si="91"/>
        <v>28</v>
      </c>
    </row>
    <row r="536" spans="1:74" x14ac:dyDescent="0.25">
      <c r="A536" s="5" t="s">
        <v>1661</v>
      </c>
      <c r="B536" s="5" t="s">
        <v>61</v>
      </c>
      <c r="C536" s="5" t="s">
        <v>359</v>
      </c>
      <c r="D536" s="1" t="s">
        <v>96</v>
      </c>
      <c r="E536">
        <v>0</v>
      </c>
      <c r="F536">
        <v>21</v>
      </c>
      <c r="G536">
        <v>0</v>
      </c>
      <c r="H536">
        <v>0</v>
      </c>
      <c r="I536">
        <v>50</v>
      </c>
      <c r="J536">
        <v>0</v>
      </c>
      <c r="K536">
        <v>300</v>
      </c>
      <c r="L536">
        <v>0</v>
      </c>
      <c r="M536">
        <v>0</v>
      </c>
      <c r="N536">
        <v>0</v>
      </c>
      <c r="O536">
        <v>0</v>
      </c>
      <c r="P536">
        <v>63</v>
      </c>
      <c r="Q536">
        <v>7</v>
      </c>
      <c r="R536">
        <v>7</v>
      </c>
      <c r="S536" s="18">
        <f t="shared" si="82"/>
        <v>9</v>
      </c>
      <c r="T536" s="17">
        <f t="shared" si="83"/>
        <v>0</v>
      </c>
      <c r="U536" s="17">
        <f t="shared" si="84"/>
        <v>0</v>
      </c>
      <c r="V536" s="17">
        <f t="shared" si="85"/>
        <v>0</v>
      </c>
      <c r="W536" s="17">
        <f t="shared" si="86"/>
        <v>7</v>
      </c>
      <c r="X536" s="17">
        <f t="shared" si="87"/>
        <v>0</v>
      </c>
      <c r="Y536" s="19" t="e">
        <f t="shared" si="88"/>
        <v>#DIV/0!</v>
      </c>
      <c r="Z536">
        <v>21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50</v>
      </c>
      <c r="AH536">
        <v>50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300</v>
      </c>
      <c r="AP536">
        <v>50</v>
      </c>
      <c r="AQ536">
        <v>300</v>
      </c>
      <c r="AR536">
        <v>250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f t="shared" si="89"/>
        <v>1000</v>
      </c>
      <c r="BF536">
        <v>371</v>
      </c>
      <c r="BG536">
        <v>371</v>
      </c>
      <c r="BH536" t="s">
        <v>190</v>
      </c>
      <c r="BI536" t="s">
        <v>1728</v>
      </c>
      <c r="BJ536">
        <v>0</v>
      </c>
      <c r="BK536">
        <v>350</v>
      </c>
      <c r="BL536">
        <v>371</v>
      </c>
      <c r="BM536">
        <v>0</v>
      </c>
      <c r="BN536">
        <v>0</v>
      </c>
      <c r="BO536">
        <v>0</v>
      </c>
      <c r="BP536">
        <v>413</v>
      </c>
      <c r="BQ536">
        <v>413</v>
      </c>
      <c r="BR536">
        <f t="shared" si="90"/>
        <v>0</v>
      </c>
      <c r="BS536">
        <f t="shared" si="91"/>
        <v>14</v>
      </c>
    </row>
    <row r="537" spans="1:74" x14ac:dyDescent="0.25">
      <c r="A537" s="5" t="s">
        <v>1661</v>
      </c>
      <c r="B537" s="5" t="s">
        <v>61</v>
      </c>
      <c r="C537" s="5" t="s">
        <v>359</v>
      </c>
      <c r="D537" s="1" t="s">
        <v>100</v>
      </c>
      <c r="E537">
        <v>0</v>
      </c>
      <c r="F537">
        <v>200</v>
      </c>
      <c r="G537">
        <v>0</v>
      </c>
      <c r="H537">
        <v>0</v>
      </c>
      <c r="I537">
        <v>0</v>
      </c>
      <c r="J537">
        <v>0</v>
      </c>
      <c r="K537">
        <v>200</v>
      </c>
      <c r="L537">
        <v>0</v>
      </c>
      <c r="M537">
        <v>0</v>
      </c>
      <c r="N537">
        <v>0</v>
      </c>
      <c r="O537">
        <v>0</v>
      </c>
      <c r="P537">
        <v>252</v>
      </c>
      <c r="Q537">
        <v>28</v>
      </c>
      <c r="R537">
        <v>28</v>
      </c>
      <c r="S537" s="18">
        <f t="shared" si="82"/>
        <v>9</v>
      </c>
      <c r="T537" s="17">
        <f t="shared" si="83"/>
        <v>0</v>
      </c>
      <c r="U537" s="17">
        <f t="shared" si="84"/>
        <v>0</v>
      </c>
      <c r="V537" s="17">
        <f t="shared" si="85"/>
        <v>0</v>
      </c>
      <c r="W537" s="17">
        <f t="shared" si="86"/>
        <v>28</v>
      </c>
      <c r="X537" s="17">
        <f t="shared" si="87"/>
        <v>0</v>
      </c>
      <c r="Y537" s="19" t="e">
        <f t="shared" si="88"/>
        <v>#DIV/0!</v>
      </c>
      <c r="Z537">
        <v>200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200</v>
      </c>
      <c r="AP537">
        <v>0</v>
      </c>
      <c r="AQ537">
        <v>200</v>
      </c>
      <c r="AR537">
        <v>200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f t="shared" si="89"/>
        <v>600</v>
      </c>
      <c r="BF537">
        <v>400</v>
      </c>
      <c r="BG537">
        <v>400</v>
      </c>
      <c r="BH537" t="s">
        <v>190</v>
      </c>
      <c r="BI537" t="s">
        <v>1730</v>
      </c>
      <c r="BJ537">
        <v>0</v>
      </c>
      <c r="BK537">
        <v>200</v>
      </c>
      <c r="BL537">
        <v>400</v>
      </c>
      <c r="BM537">
        <v>0</v>
      </c>
      <c r="BN537">
        <v>0</v>
      </c>
      <c r="BO537">
        <v>0</v>
      </c>
      <c r="BP537">
        <v>452</v>
      </c>
      <c r="BQ537">
        <v>452</v>
      </c>
      <c r="BR537">
        <f t="shared" si="90"/>
        <v>0</v>
      </c>
      <c r="BS537">
        <f t="shared" si="91"/>
        <v>56</v>
      </c>
    </row>
    <row r="538" spans="1:74" x14ac:dyDescent="0.25">
      <c r="A538" s="5" t="s">
        <v>1661</v>
      </c>
      <c r="B538" s="5" t="s">
        <v>61</v>
      </c>
      <c r="C538" s="5" t="s">
        <v>359</v>
      </c>
      <c r="D538" s="1" t="s">
        <v>111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8" t="e">
        <f t="shared" si="82"/>
        <v>#DIV/0!</v>
      </c>
      <c r="T538" s="17" t="e">
        <f t="shared" si="83"/>
        <v>#DIV/0!</v>
      </c>
      <c r="U538" s="17" t="e">
        <f t="shared" si="84"/>
        <v>#DIV/0!</v>
      </c>
      <c r="V538" s="17" t="e">
        <f t="shared" si="85"/>
        <v>#DIV/0!</v>
      </c>
      <c r="W538" s="17" t="e">
        <f t="shared" si="86"/>
        <v>#DIV/0!</v>
      </c>
      <c r="X538" s="17" t="e">
        <f t="shared" si="87"/>
        <v>#DIV/0!</v>
      </c>
      <c r="Y538" s="19" t="e">
        <f t="shared" si="88"/>
        <v>#DIV/0!</v>
      </c>
      <c r="Z538">
        <v>0</v>
      </c>
      <c r="AA538">
        <v>0</v>
      </c>
      <c r="AB538">
        <v>0</v>
      </c>
      <c r="AC538">
        <v>213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155</v>
      </c>
      <c r="AP538">
        <v>5</v>
      </c>
      <c r="AQ538">
        <v>155</v>
      </c>
      <c r="AR538">
        <v>150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f t="shared" si="89"/>
        <v>678</v>
      </c>
      <c r="BF538">
        <v>368</v>
      </c>
      <c r="BG538">
        <v>368</v>
      </c>
      <c r="BH538" t="s">
        <v>190</v>
      </c>
      <c r="BI538" t="s">
        <v>1735</v>
      </c>
      <c r="BJ538">
        <v>213</v>
      </c>
      <c r="BK538">
        <v>155</v>
      </c>
      <c r="BL538">
        <v>368</v>
      </c>
      <c r="BM538">
        <v>0</v>
      </c>
      <c r="BN538">
        <v>0</v>
      </c>
      <c r="BO538">
        <v>0</v>
      </c>
      <c r="BP538">
        <v>155</v>
      </c>
      <c r="BQ538">
        <v>155</v>
      </c>
      <c r="BR538">
        <f t="shared" si="90"/>
        <v>0</v>
      </c>
      <c r="BS538">
        <f t="shared" si="91"/>
        <v>0</v>
      </c>
    </row>
    <row r="539" spans="1:74" x14ac:dyDescent="0.25">
      <c r="A539" s="5" t="s">
        <v>1661</v>
      </c>
      <c r="B539" s="5" t="s">
        <v>61</v>
      </c>
      <c r="C539" s="5" t="s">
        <v>359</v>
      </c>
      <c r="D539" s="1" t="s">
        <v>113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164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8" t="e">
        <f t="shared" si="82"/>
        <v>#DIV/0!</v>
      </c>
      <c r="T539" s="17" t="e">
        <f t="shared" si="83"/>
        <v>#DIV/0!</v>
      </c>
      <c r="U539" s="17" t="e">
        <f t="shared" si="84"/>
        <v>#DIV/0!</v>
      </c>
      <c r="V539" s="17" t="e">
        <f t="shared" si="85"/>
        <v>#DIV/0!</v>
      </c>
      <c r="W539" s="17" t="e">
        <f t="shared" si="86"/>
        <v>#DIV/0!</v>
      </c>
      <c r="X539" s="17" t="e">
        <f t="shared" si="87"/>
        <v>#DIV/0!</v>
      </c>
      <c r="Y539" s="19" t="e">
        <f t="shared" si="88"/>
        <v>#DIV/0!</v>
      </c>
      <c r="Z539">
        <v>0</v>
      </c>
      <c r="AA539">
        <v>0</v>
      </c>
      <c r="AB539">
        <v>0</v>
      </c>
      <c r="AC539">
        <v>174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164</v>
      </c>
      <c r="AP539">
        <v>50</v>
      </c>
      <c r="AQ539">
        <v>164</v>
      </c>
      <c r="AR539">
        <v>114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f t="shared" si="89"/>
        <v>666</v>
      </c>
      <c r="BF539">
        <v>338</v>
      </c>
      <c r="BG539">
        <v>338</v>
      </c>
      <c r="BH539" t="s">
        <v>190</v>
      </c>
      <c r="BI539" t="s">
        <v>1736</v>
      </c>
      <c r="BJ539">
        <v>174</v>
      </c>
      <c r="BK539">
        <v>164</v>
      </c>
      <c r="BL539">
        <v>338</v>
      </c>
      <c r="BM539">
        <v>0</v>
      </c>
      <c r="BN539">
        <v>0</v>
      </c>
      <c r="BO539">
        <v>0</v>
      </c>
      <c r="BP539">
        <v>164</v>
      </c>
      <c r="BQ539">
        <v>164</v>
      </c>
      <c r="BR539">
        <f t="shared" si="90"/>
        <v>0</v>
      </c>
      <c r="BS539">
        <f t="shared" si="91"/>
        <v>0</v>
      </c>
    </row>
    <row r="540" spans="1:74" x14ac:dyDescent="0.25">
      <c r="A540" s="5" t="s">
        <v>1661</v>
      </c>
      <c r="B540" s="5" t="s">
        <v>61</v>
      </c>
      <c r="C540" s="5" t="s">
        <v>359</v>
      </c>
      <c r="D540" s="1" t="s">
        <v>117</v>
      </c>
      <c r="E540">
        <v>0</v>
      </c>
      <c r="F540">
        <v>315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450</v>
      </c>
      <c r="Q540">
        <v>50</v>
      </c>
      <c r="R540">
        <v>50</v>
      </c>
      <c r="S540" s="18">
        <f t="shared" si="82"/>
        <v>9</v>
      </c>
      <c r="T540" s="17">
        <f t="shared" si="83"/>
        <v>0</v>
      </c>
      <c r="U540" s="17">
        <f t="shared" si="84"/>
        <v>0</v>
      </c>
      <c r="V540" s="17">
        <f t="shared" si="85"/>
        <v>0</v>
      </c>
      <c r="W540" s="17">
        <f t="shared" si="86"/>
        <v>50</v>
      </c>
      <c r="X540" s="17">
        <f t="shared" si="87"/>
        <v>0</v>
      </c>
      <c r="Y540" s="19" t="e">
        <f t="shared" si="88"/>
        <v>#DIV/0!</v>
      </c>
      <c r="Z540">
        <v>315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f t="shared" si="89"/>
        <v>0</v>
      </c>
      <c r="BF540">
        <v>315</v>
      </c>
      <c r="BG540">
        <v>315</v>
      </c>
      <c r="BH540" t="s">
        <v>190</v>
      </c>
      <c r="BI540" t="s">
        <v>1738</v>
      </c>
      <c r="BJ540">
        <v>0</v>
      </c>
      <c r="BK540">
        <v>0</v>
      </c>
      <c r="BL540">
        <v>315</v>
      </c>
      <c r="BM540">
        <v>0</v>
      </c>
      <c r="BN540">
        <v>0</v>
      </c>
      <c r="BO540">
        <v>0</v>
      </c>
      <c r="BP540">
        <v>450</v>
      </c>
      <c r="BQ540">
        <v>450</v>
      </c>
      <c r="BR540">
        <f t="shared" si="90"/>
        <v>0</v>
      </c>
      <c r="BS540">
        <f t="shared" si="91"/>
        <v>100</v>
      </c>
    </row>
    <row r="541" spans="1:74" x14ac:dyDescent="0.25">
      <c r="A541" s="5" t="s">
        <v>1661</v>
      </c>
      <c r="B541" s="5" t="s">
        <v>61</v>
      </c>
      <c r="C541" s="5" t="s">
        <v>359</v>
      </c>
      <c r="D541" s="1" t="s">
        <v>119</v>
      </c>
      <c r="E541">
        <v>0</v>
      </c>
      <c r="F541">
        <v>300</v>
      </c>
      <c r="G541">
        <v>0</v>
      </c>
      <c r="H541">
        <v>0</v>
      </c>
      <c r="I541">
        <v>0</v>
      </c>
      <c r="J541">
        <v>0</v>
      </c>
      <c r="K541">
        <v>130</v>
      </c>
      <c r="L541">
        <v>86</v>
      </c>
      <c r="M541">
        <v>0</v>
      </c>
      <c r="N541">
        <v>0</v>
      </c>
      <c r="O541">
        <v>0</v>
      </c>
      <c r="P541">
        <v>1458</v>
      </c>
      <c r="Q541">
        <v>162</v>
      </c>
      <c r="R541">
        <v>162</v>
      </c>
      <c r="S541" s="18">
        <f t="shared" si="82"/>
        <v>9</v>
      </c>
      <c r="T541" s="17">
        <f t="shared" si="83"/>
        <v>0</v>
      </c>
      <c r="U541" s="17">
        <f t="shared" si="84"/>
        <v>0</v>
      </c>
      <c r="V541" s="17">
        <f t="shared" si="85"/>
        <v>0</v>
      </c>
      <c r="W541" s="17">
        <f t="shared" si="86"/>
        <v>162</v>
      </c>
      <c r="X541" s="17">
        <f t="shared" si="87"/>
        <v>0</v>
      </c>
      <c r="Y541" s="19" t="e">
        <f t="shared" si="88"/>
        <v>#DIV/0!</v>
      </c>
      <c r="Z541">
        <v>300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130</v>
      </c>
      <c r="AP541">
        <v>100</v>
      </c>
      <c r="AQ541">
        <v>130</v>
      </c>
      <c r="AR541">
        <v>30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86</v>
      </c>
      <c r="BA541">
        <v>86</v>
      </c>
      <c r="BB541">
        <v>0</v>
      </c>
      <c r="BC541">
        <v>0</v>
      </c>
      <c r="BD541">
        <v>0</v>
      </c>
      <c r="BE541">
        <f t="shared" si="89"/>
        <v>562</v>
      </c>
      <c r="BF541">
        <v>516</v>
      </c>
      <c r="BG541">
        <v>516</v>
      </c>
      <c r="BH541" t="s">
        <v>199</v>
      </c>
      <c r="BI541" t="s">
        <v>1739</v>
      </c>
      <c r="BJ541">
        <v>0</v>
      </c>
      <c r="BK541">
        <v>216</v>
      </c>
      <c r="BL541">
        <v>516</v>
      </c>
      <c r="BM541">
        <v>0</v>
      </c>
      <c r="BN541">
        <v>0</v>
      </c>
      <c r="BO541">
        <v>0</v>
      </c>
      <c r="BP541">
        <v>1674</v>
      </c>
      <c r="BQ541">
        <v>1674</v>
      </c>
      <c r="BR541">
        <f t="shared" si="90"/>
        <v>0</v>
      </c>
      <c r="BS541">
        <f t="shared" si="91"/>
        <v>324</v>
      </c>
    </row>
    <row r="542" spans="1:74" x14ac:dyDescent="0.25">
      <c r="A542" s="5" t="s">
        <v>1661</v>
      </c>
      <c r="B542" s="5" t="s">
        <v>61</v>
      </c>
      <c r="C542" s="5" t="s">
        <v>359</v>
      </c>
      <c r="D542" s="1" t="s">
        <v>121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1040</v>
      </c>
      <c r="K542">
        <v>160</v>
      </c>
      <c r="L542">
        <v>32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8" t="e">
        <f t="shared" si="82"/>
        <v>#DIV/0!</v>
      </c>
      <c r="T542" s="17" t="e">
        <f t="shared" si="83"/>
        <v>#DIV/0!</v>
      </c>
      <c r="U542" s="17" t="e">
        <f t="shared" si="84"/>
        <v>#DIV/0!</v>
      </c>
      <c r="V542" s="17" t="e">
        <f t="shared" si="85"/>
        <v>#DIV/0!</v>
      </c>
      <c r="W542" s="17" t="e">
        <f t="shared" si="86"/>
        <v>#DIV/0!</v>
      </c>
      <c r="X542" s="17" t="e">
        <f t="shared" si="87"/>
        <v>#DIV/0!</v>
      </c>
      <c r="Y542" s="19" t="e">
        <f t="shared" si="88"/>
        <v>#DIV/0!</v>
      </c>
      <c r="Z542">
        <v>0</v>
      </c>
      <c r="AA542">
        <v>0</v>
      </c>
      <c r="AB542">
        <v>0</v>
      </c>
      <c r="AC542">
        <v>200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1040</v>
      </c>
      <c r="AL542">
        <v>1040</v>
      </c>
      <c r="AM542">
        <v>0</v>
      </c>
      <c r="AN542">
        <v>0</v>
      </c>
      <c r="AO542">
        <v>160</v>
      </c>
      <c r="AP542">
        <v>120</v>
      </c>
      <c r="AQ542">
        <v>160</v>
      </c>
      <c r="AR542">
        <v>40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32</v>
      </c>
      <c r="BA542">
        <v>32</v>
      </c>
      <c r="BB542">
        <v>0</v>
      </c>
      <c r="BC542">
        <v>0</v>
      </c>
      <c r="BD542">
        <v>0</v>
      </c>
      <c r="BE542">
        <f t="shared" si="89"/>
        <v>2824</v>
      </c>
      <c r="BF542">
        <v>1432</v>
      </c>
      <c r="BG542">
        <v>1432</v>
      </c>
      <c r="BH542" t="s">
        <v>199</v>
      </c>
      <c r="BI542" t="s">
        <v>1740</v>
      </c>
      <c r="BJ542">
        <v>200</v>
      </c>
      <c r="BK542">
        <v>1232</v>
      </c>
      <c r="BL542">
        <v>1432</v>
      </c>
      <c r="BM542">
        <v>0</v>
      </c>
      <c r="BN542">
        <v>0</v>
      </c>
      <c r="BO542">
        <v>0</v>
      </c>
      <c r="BP542">
        <v>1232</v>
      </c>
      <c r="BQ542">
        <v>1232</v>
      </c>
      <c r="BR542">
        <f t="shared" si="90"/>
        <v>0</v>
      </c>
      <c r="BS542">
        <f t="shared" si="91"/>
        <v>0</v>
      </c>
    </row>
    <row r="543" spans="1:74" x14ac:dyDescent="0.25">
      <c r="A543" s="5" t="s">
        <v>1661</v>
      </c>
      <c r="B543" s="5" t="s">
        <v>61</v>
      </c>
      <c r="C543" s="5" t="s">
        <v>627</v>
      </c>
      <c r="D543" s="1" t="s">
        <v>71</v>
      </c>
      <c r="E543">
        <v>0</v>
      </c>
      <c r="F543">
        <v>70150</v>
      </c>
      <c r="G543">
        <v>0</v>
      </c>
      <c r="H543">
        <v>0</v>
      </c>
      <c r="I543">
        <v>1382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27972</v>
      </c>
      <c r="Q543">
        <v>3108</v>
      </c>
      <c r="R543">
        <v>3108</v>
      </c>
      <c r="S543" s="18">
        <f t="shared" si="82"/>
        <v>9</v>
      </c>
      <c r="T543" s="17">
        <f t="shared" si="83"/>
        <v>0</v>
      </c>
      <c r="U543" s="17">
        <f t="shared" si="84"/>
        <v>0</v>
      </c>
      <c r="V543" s="17">
        <f t="shared" si="85"/>
        <v>0</v>
      </c>
      <c r="W543" s="17">
        <f t="shared" si="86"/>
        <v>3108</v>
      </c>
      <c r="X543" s="17">
        <f t="shared" si="87"/>
        <v>0</v>
      </c>
      <c r="Y543" s="19" t="e">
        <f t="shared" si="88"/>
        <v>#DIV/0!</v>
      </c>
      <c r="Z543">
        <v>70150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1382</v>
      </c>
      <c r="AH543">
        <v>1382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f t="shared" si="89"/>
        <v>2764</v>
      </c>
      <c r="BF543">
        <v>71532</v>
      </c>
      <c r="BG543">
        <v>71532</v>
      </c>
      <c r="BH543" t="s">
        <v>560</v>
      </c>
      <c r="BI543" t="s">
        <v>1755</v>
      </c>
      <c r="BJ543">
        <v>0</v>
      </c>
      <c r="BK543">
        <v>1382</v>
      </c>
      <c r="BL543">
        <v>71532</v>
      </c>
      <c r="BM543">
        <v>0</v>
      </c>
      <c r="BN543">
        <v>0</v>
      </c>
      <c r="BO543">
        <v>0</v>
      </c>
      <c r="BP543">
        <v>29354</v>
      </c>
      <c r="BQ543">
        <v>29354</v>
      </c>
      <c r="BR543">
        <f t="shared" si="90"/>
        <v>0</v>
      </c>
      <c r="BS543">
        <f t="shared" si="91"/>
        <v>6216</v>
      </c>
    </row>
    <row r="544" spans="1:74" x14ac:dyDescent="0.25">
      <c r="A544" s="5" t="s">
        <v>1946</v>
      </c>
      <c r="B544" s="5" t="s">
        <v>61</v>
      </c>
      <c r="C544" s="5" t="s">
        <v>61</v>
      </c>
      <c r="D544" s="1" t="s">
        <v>79</v>
      </c>
      <c r="E544">
        <v>100</v>
      </c>
      <c r="F544">
        <v>865</v>
      </c>
      <c r="G544">
        <v>0</v>
      </c>
      <c r="H544">
        <v>0</v>
      </c>
      <c r="I544">
        <v>2920</v>
      </c>
      <c r="J544">
        <v>22199</v>
      </c>
      <c r="K544">
        <v>371</v>
      </c>
      <c r="L544">
        <v>3850</v>
      </c>
      <c r="M544">
        <v>0</v>
      </c>
      <c r="N544">
        <v>0</v>
      </c>
      <c r="O544">
        <v>0</v>
      </c>
      <c r="P544">
        <v>2106</v>
      </c>
      <c r="Q544">
        <v>970</v>
      </c>
      <c r="R544">
        <v>234</v>
      </c>
      <c r="S544" s="18">
        <f t="shared" si="82"/>
        <v>9</v>
      </c>
      <c r="T544" s="17">
        <f t="shared" si="83"/>
        <v>0</v>
      </c>
      <c r="U544" s="17">
        <f t="shared" si="84"/>
        <v>0</v>
      </c>
      <c r="V544" s="17">
        <f t="shared" si="85"/>
        <v>0</v>
      </c>
      <c r="W544" s="17">
        <f t="shared" si="86"/>
        <v>234</v>
      </c>
      <c r="X544" s="17">
        <f t="shared" si="87"/>
        <v>736</v>
      </c>
      <c r="Y544" s="19">
        <f t="shared" si="88"/>
        <v>0</v>
      </c>
      <c r="Z544">
        <v>865</v>
      </c>
      <c r="AA544">
        <v>0</v>
      </c>
      <c r="AB544">
        <v>0</v>
      </c>
      <c r="AC544">
        <v>3480</v>
      </c>
      <c r="AD544">
        <v>0</v>
      </c>
      <c r="AE544">
        <v>0</v>
      </c>
      <c r="AF544">
        <v>0</v>
      </c>
      <c r="AG544">
        <v>2920</v>
      </c>
      <c r="AH544">
        <v>2920</v>
      </c>
      <c r="AI544">
        <v>0</v>
      </c>
      <c r="AJ544">
        <v>15199</v>
      </c>
      <c r="AK544">
        <v>7000</v>
      </c>
      <c r="AL544">
        <v>22199</v>
      </c>
      <c r="AM544">
        <v>0</v>
      </c>
      <c r="AN544">
        <v>371</v>
      </c>
      <c r="AO544">
        <v>0</v>
      </c>
      <c r="AP544">
        <v>76</v>
      </c>
      <c r="AQ544">
        <v>371</v>
      </c>
      <c r="AR544">
        <v>295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3850</v>
      </c>
      <c r="BA544">
        <v>3850</v>
      </c>
      <c r="BB544">
        <v>0</v>
      </c>
      <c r="BC544">
        <v>0</v>
      </c>
      <c r="BD544">
        <v>0</v>
      </c>
      <c r="BE544">
        <f t="shared" si="89"/>
        <v>62531</v>
      </c>
      <c r="BF544">
        <v>33785</v>
      </c>
      <c r="BG544">
        <v>33785</v>
      </c>
      <c r="BH544" t="s">
        <v>543</v>
      </c>
      <c r="BI544" t="s">
        <v>1955</v>
      </c>
      <c r="BJ544">
        <v>3580</v>
      </c>
      <c r="BK544">
        <v>29340</v>
      </c>
      <c r="BL544">
        <v>33785</v>
      </c>
      <c r="BM544">
        <v>0</v>
      </c>
      <c r="BN544">
        <v>15570</v>
      </c>
      <c r="BO544">
        <v>0</v>
      </c>
      <c r="BP544">
        <v>15876</v>
      </c>
      <c r="BQ544">
        <v>31446</v>
      </c>
      <c r="BR544">
        <f t="shared" si="90"/>
        <v>-736</v>
      </c>
      <c r="BS544">
        <f t="shared" si="91"/>
        <v>1204</v>
      </c>
      <c r="BU544">
        <f>R544*9</f>
        <v>2106</v>
      </c>
      <c r="BV544">
        <f>IF(BU544&gt;BG544, 1, 0)</f>
        <v>0</v>
      </c>
    </row>
    <row r="545" spans="1:74" x14ac:dyDescent="0.25">
      <c r="A545" s="5" t="s">
        <v>1661</v>
      </c>
      <c r="B545" s="5" t="s">
        <v>207</v>
      </c>
      <c r="C545" s="5" t="s">
        <v>61</v>
      </c>
      <c r="D545" s="1" t="s">
        <v>79</v>
      </c>
      <c r="E545">
        <v>0</v>
      </c>
      <c r="F545">
        <v>5584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5310</v>
      </c>
      <c r="Q545">
        <v>590</v>
      </c>
      <c r="R545">
        <v>590</v>
      </c>
      <c r="S545" s="18">
        <f t="shared" si="82"/>
        <v>9</v>
      </c>
      <c r="T545" s="17">
        <f t="shared" si="83"/>
        <v>0</v>
      </c>
      <c r="U545" s="17">
        <f t="shared" si="84"/>
        <v>0</v>
      </c>
      <c r="V545" s="17">
        <f t="shared" si="85"/>
        <v>0</v>
      </c>
      <c r="W545" s="17">
        <f t="shared" si="86"/>
        <v>590</v>
      </c>
      <c r="X545" s="17">
        <f t="shared" si="87"/>
        <v>0</v>
      </c>
      <c r="Y545" s="19" t="e">
        <f t="shared" si="88"/>
        <v>#DIV/0!</v>
      </c>
      <c r="Z545">
        <v>5584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f t="shared" si="89"/>
        <v>0</v>
      </c>
      <c r="BF545">
        <v>5584</v>
      </c>
      <c r="BG545">
        <v>5584</v>
      </c>
      <c r="BH545" t="s">
        <v>546</v>
      </c>
      <c r="BI545" t="s">
        <v>1766</v>
      </c>
      <c r="BJ545">
        <v>0</v>
      </c>
      <c r="BK545">
        <v>0</v>
      </c>
      <c r="BL545">
        <v>5584</v>
      </c>
      <c r="BM545">
        <v>0</v>
      </c>
      <c r="BN545">
        <v>0</v>
      </c>
      <c r="BO545">
        <v>0</v>
      </c>
      <c r="BP545">
        <v>5310</v>
      </c>
      <c r="BQ545">
        <v>5310</v>
      </c>
      <c r="BR545">
        <f t="shared" si="90"/>
        <v>0</v>
      </c>
      <c r="BS545">
        <f t="shared" si="91"/>
        <v>1180</v>
      </c>
    </row>
    <row r="546" spans="1:74" x14ac:dyDescent="0.25">
      <c r="A546" s="5" t="s">
        <v>1661</v>
      </c>
      <c r="B546" s="5" t="s">
        <v>207</v>
      </c>
      <c r="C546" s="5" t="s">
        <v>61</v>
      </c>
      <c r="D546" s="1" t="s">
        <v>81</v>
      </c>
      <c r="E546">
        <v>0</v>
      </c>
      <c r="F546">
        <v>600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600</v>
      </c>
      <c r="Q546">
        <v>81</v>
      </c>
      <c r="R546">
        <v>81</v>
      </c>
      <c r="S546" s="18">
        <f t="shared" si="82"/>
        <v>7.4074074074074074</v>
      </c>
      <c r="T546" s="17">
        <f t="shared" si="83"/>
        <v>0</v>
      </c>
      <c r="U546" s="17">
        <f t="shared" si="84"/>
        <v>0</v>
      </c>
      <c r="V546" s="17">
        <f t="shared" si="85"/>
        <v>0</v>
      </c>
      <c r="W546" s="17">
        <f t="shared" si="86"/>
        <v>81</v>
      </c>
      <c r="X546" s="17">
        <f t="shared" si="87"/>
        <v>0</v>
      </c>
      <c r="Y546" s="19" t="e">
        <f t="shared" si="88"/>
        <v>#DIV/0!</v>
      </c>
      <c r="Z546">
        <v>600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f t="shared" si="89"/>
        <v>0</v>
      </c>
      <c r="BF546">
        <v>600</v>
      </c>
      <c r="BG546">
        <v>600</v>
      </c>
      <c r="BH546" t="s">
        <v>546</v>
      </c>
      <c r="BI546" t="s">
        <v>1767</v>
      </c>
      <c r="BJ546">
        <v>0</v>
      </c>
      <c r="BK546">
        <v>0</v>
      </c>
      <c r="BL546">
        <v>600</v>
      </c>
      <c r="BM546">
        <v>0</v>
      </c>
      <c r="BN546">
        <v>0</v>
      </c>
      <c r="BO546">
        <v>0</v>
      </c>
      <c r="BP546">
        <v>600</v>
      </c>
      <c r="BQ546">
        <v>600</v>
      </c>
      <c r="BR546">
        <f t="shared" si="90"/>
        <v>0</v>
      </c>
      <c r="BS546">
        <f t="shared" si="91"/>
        <v>162</v>
      </c>
    </row>
    <row r="547" spans="1:74" x14ac:dyDescent="0.25">
      <c r="A547" s="5" t="s">
        <v>1661</v>
      </c>
      <c r="B547" s="5" t="s">
        <v>207</v>
      </c>
      <c r="C547" s="5" t="s">
        <v>61</v>
      </c>
      <c r="D547" s="1" t="s">
        <v>84</v>
      </c>
      <c r="E547">
        <v>0</v>
      </c>
      <c r="F547">
        <v>405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963</v>
      </c>
      <c r="Q547">
        <v>107</v>
      </c>
      <c r="R547">
        <v>107</v>
      </c>
      <c r="S547" s="18">
        <f t="shared" si="82"/>
        <v>9</v>
      </c>
      <c r="T547" s="17">
        <f t="shared" si="83"/>
        <v>0</v>
      </c>
      <c r="U547" s="17">
        <f t="shared" si="84"/>
        <v>0</v>
      </c>
      <c r="V547" s="17">
        <f t="shared" si="85"/>
        <v>0</v>
      </c>
      <c r="W547" s="17">
        <f t="shared" si="86"/>
        <v>107</v>
      </c>
      <c r="X547" s="17">
        <f t="shared" si="87"/>
        <v>0</v>
      </c>
      <c r="Y547" s="19" t="e">
        <f t="shared" si="88"/>
        <v>#DIV/0!</v>
      </c>
      <c r="Z547">
        <v>405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f t="shared" si="89"/>
        <v>0</v>
      </c>
      <c r="BF547">
        <v>405</v>
      </c>
      <c r="BG547">
        <v>405</v>
      </c>
      <c r="BH547" t="s">
        <v>109</v>
      </c>
      <c r="BI547" t="s">
        <v>1768</v>
      </c>
      <c r="BJ547">
        <v>0</v>
      </c>
      <c r="BK547">
        <v>0</v>
      </c>
      <c r="BL547">
        <v>405</v>
      </c>
      <c r="BM547">
        <v>0</v>
      </c>
      <c r="BN547">
        <v>0</v>
      </c>
      <c r="BO547">
        <v>0</v>
      </c>
      <c r="BP547">
        <v>963</v>
      </c>
      <c r="BQ547">
        <v>963</v>
      </c>
      <c r="BR547">
        <f t="shared" si="90"/>
        <v>0</v>
      </c>
      <c r="BS547">
        <f t="shared" si="91"/>
        <v>214</v>
      </c>
    </row>
    <row r="548" spans="1:74" x14ac:dyDescent="0.25">
      <c r="A548" s="5" t="s">
        <v>1661</v>
      </c>
      <c r="B548" s="5" t="s">
        <v>207</v>
      </c>
      <c r="C548" s="5" t="s">
        <v>61</v>
      </c>
      <c r="D548" s="1" t="s">
        <v>86</v>
      </c>
      <c r="E548">
        <v>0</v>
      </c>
      <c r="F548">
        <v>1540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1890</v>
      </c>
      <c r="Q548">
        <v>210</v>
      </c>
      <c r="R548">
        <v>210</v>
      </c>
      <c r="S548" s="18">
        <f t="shared" si="82"/>
        <v>9</v>
      </c>
      <c r="T548" s="17">
        <f t="shared" si="83"/>
        <v>0</v>
      </c>
      <c r="U548" s="17">
        <f t="shared" si="84"/>
        <v>0</v>
      </c>
      <c r="V548" s="17">
        <f t="shared" si="85"/>
        <v>0</v>
      </c>
      <c r="W548" s="17">
        <f t="shared" si="86"/>
        <v>210</v>
      </c>
      <c r="X548" s="17">
        <f t="shared" si="87"/>
        <v>0</v>
      </c>
      <c r="Y548" s="19" t="e">
        <f t="shared" si="88"/>
        <v>#DIV/0!</v>
      </c>
      <c r="Z548">
        <v>1540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f t="shared" si="89"/>
        <v>0</v>
      </c>
      <c r="BF548">
        <v>1540</v>
      </c>
      <c r="BG548">
        <v>1540</v>
      </c>
      <c r="BH548" t="s">
        <v>109</v>
      </c>
      <c r="BI548" t="s">
        <v>1769</v>
      </c>
      <c r="BJ548">
        <v>0</v>
      </c>
      <c r="BK548">
        <v>0</v>
      </c>
      <c r="BL548">
        <v>1540</v>
      </c>
      <c r="BM548">
        <v>0</v>
      </c>
      <c r="BN548">
        <v>0</v>
      </c>
      <c r="BO548">
        <v>0</v>
      </c>
      <c r="BP548">
        <v>1890</v>
      </c>
      <c r="BQ548">
        <v>1890</v>
      </c>
      <c r="BR548">
        <f t="shared" si="90"/>
        <v>0</v>
      </c>
      <c r="BS548">
        <f t="shared" si="91"/>
        <v>420</v>
      </c>
    </row>
    <row r="549" spans="1:74" x14ac:dyDescent="0.25">
      <c r="A549" s="5" t="s">
        <v>1661</v>
      </c>
      <c r="B549" s="5" t="s">
        <v>207</v>
      </c>
      <c r="C549" s="5" t="s">
        <v>61</v>
      </c>
      <c r="D549" s="1" t="s">
        <v>88</v>
      </c>
      <c r="E549">
        <v>0</v>
      </c>
      <c r="F549">
        <v>1416</v>
      </c>
      <c r="G549">
        <v>0</v>
      </c>
      <c r="H549">
        <v>0</v>
      </c>
      <c r="I549">
        <v>30</v>
      </c>
      <c r="J549">
        <v>0</v>
      </c>
      <c r="K549">
        <v>712</v>
      </c>
      <c r="L549">
        <v>0</v>
      </c>
      <c r="M549">
        <v>0</v>
      </c>
      <c r="N549">
        <v>0</v>
      </c>
      <c r="O549">
        <v>0</v>
      </c>
      <c r="P549">
        <v>2736</v>
      </c>
      <c r="Q549">
        <v>304</v>
      </c>
      <c r="R549">
        <v>304</v>
      </c>
      <c r="S549" s="18">
        <f t="shared" si="82"/>
        <v>9</v>
      </c>
      <c r="T549" s="17">
        <f t="shared" si="83"/>
        <v>0</v>
      </c>
      <c r="U549" s="17">
        <f t="shared" si="84"/>
        <v>0</v>
      </c>
      <c r="V549" s="17">
        <f t="shared" si="85"/>
        <v>0</v>
      </c>
      <c r="W549" s="17">
        <f t="shared" si="86"/>
        <v>304</v>
      </c>
      <c r="X549" s="17">
        <f t="shared" si="87"/>
        <v>0</v>
      </c>
      <c r="Y549" s="19" t="e">
        <f t="shared" si="88"/>
        <v>#DIV/0!</v>
      </c>
      <c r="Z549">
        <v>1416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30</v>
      </c>
      <c r="AH549">
        <v>30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712</v>
      </c>
      <c r="AP549">
        <v>210</v>
      </c>
      <c r="AQ549">
        <v>712</v>
      </c>
      <c r="AR549">
        <v>502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f t="shared" si="89"/>
        <v>2196</v>
      </c>
      <c r="BF549">
        <v>2158</v>
      </c>
      <c r="BG549">
        <v>2158</v>
      </c>
      <c r="BH549" t="s">
        <v>109</v>
      </c>
      <c r="BI549" t="s">
        <v>1682</v>
      </c>
      <c r="BJ549">
        <v>0</v>
      </c>
      <c r="BK549">
        <v>742</v>
      </c>
      <c r="BL549">
        <v>2158</v>
      </c>
      <c r="BM549">
        <v>0</v>
      </c>
      <c r="BN549">
        <v>0</v>
      </c>
      <c r="BO549">
        <v>0</v>
      </c>
      <c r="BP549">
        <v>3478</v>
      </c>
      <c r="BQ549">
        <v>3478</v>
      </c>
      <c r="BR549">
        <f t="shared" si="90"/>
        <v>0</v>
      </c>
      <c r="BS549">
        <f t="shared" si="91"/>
        <v>608</v>
      </c>
    </row>
    <row r="550" spans="1:74" x14ac:dyDescent="0.25">
      <c r="A550" s="5" t="s">
        <v>1661</v>
      </c>
      <c r="B550" s="5" t="s">
        <v>207</v>
      </c>
      <c r="C550" s="5" t="s">
        <v>61</v>
      </c>
      <c r="D550" s="1" t="s">
        <v>96</v>
      </c>
      <c r="E550">
        <v>0</v>
      </c>
      <c r="F550">
        <v>1200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1863</v>
      </c>
      <c r="Q550">
        <v>207</v>
      </c>
      <c r="R550">
        <v>207</v>
      </c>
      <c r="S550" s="18">
        <f t="shared" si="82"/>
        <v>9</v>
      </c>
      <c r="T550" s="17">
        <f t="shared" si="83"/>
        <v>0</v>
      </c>
      <c r="U550" s="17">
        <f t="shared" si="84"/>
        <v>0</v>
      </c>
      <c r="V550" s="17">
        <f t="shared" si="85"/>
        <v>0</v>
      </c>
      <c r="W550" s="17">
        <f t="shared" si="86"/>
        <v>207</v>
      </c>
      <c r="X550" s="17">
        <f t="shared" si="87"/>
        <v>0</v>
      </c>
      <c r="Y550" s="19" t="e">
        <f t="shared" si="88"/>
        <v>#DIV/0!</v>
      </c>
      <c r="Z550">
        <v>1200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f t="shared" si="89"/>
        <v>0</v>
      </c>
      <c r="BF550">
        <v>1200</v>
      </c>
      <c r="BG550">
        <v>1200</v>
      </c>
      <c r="BH550" t="s">
        <v>109</v>
      </c>
      <c r="BI550" t="s">
        <v>1772</v>
      </c>
      <c r="BJ550">
        <v>0</v>
      </c>
      <c r="BK550">
        <v>0</v>
      </c>
      <c r="BL550">
        <v>1200</v>
      </c>
      <c r="BM550">
        <v>0</v>
      </c>
      <c r="BN550">
        <v>0</v>
      </c>
      <c r="BO550">
        <v>0</v>
      </c>
      <c r="BP550">
        <v>1863</v>
      </c>
      <c r="BQ550">
        <v>1863</v>
      </c>
      <c r="BR550">
        <f t="shared" si="90"/>
        <v>0</v>
      </c>
      <c r="BS550">
        <f t="shared" si="91"/>
        <v>414</v>
      </c>
    </row>
    <row r="551" spans="1:74" x14ac:dyDescent="0.25">
      <c r="A551" s="5" t="s">
        <v>1661</v>
      </c>
      <c r="B551" s="5" t="s">
        <v>207</v>
      </c>
      <c r="C551" s="5" t="s">
        <v>61</v>
      </c>
      <c r="D551" s="1" t="s">
        <v>98</v>
      </c>
      <c r="E551">
        <v>0</v>
      </c>
      <c r="F551">
        <v>500</v>
      </c>
      <c r="G551">
        <v>0</v>
      </c>
      <c r="H551">
        <v>0</v>
      </c>
      <c r="I551">
        <v>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1044</v>
      </c>
      <c r="Q551">
        <v>116</v>
      </c>
      <c r="R551">
        <v>116</v>
      </c>
      <c r="S551" s="18">
        <f t="shared" si="82"/>
        <v>9</v>
      </c>
      <c r="T551" s="17">
        <f t="shared" si="83"/>
        <v>0</v>
      </c>
      <c r="U551" s="17">
        <f t="shared" si="84"/>
        <v>0</v>
      </c>
      <c r="V551" s="17">
        <f t="shared" si="85"/>
        <v>0</v>
      </c>
      <c r="W551" s="17">
        <f t="shared" si="86"/>
        <v>116</v>
      </c>
      <c r="X551" s="17">
        <f t="shared" si="87"/>
        <v>0</v>
      </c>
      <c r="Y551" s="19" t="e">
        <f t="shared" si="88"/>
        <v>#DIV/0!</v>
      </c>
      <c r="Z551">
        <v>500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9</v>
      </c>
      <c r="AH551">
        <v>9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f t="shared" si="89"/>
        <v>18</v>
      </c>
      <c r="BF551">
        <v>509</v>
      </c>
      <c r="BG551">
        <v>509</v>
      </c>
      <c r="BH551" t="s">
        <v>109</v>
      </c>
      <c r="BI551" t="s">
        <v>1773</v>
      </c>
      <c r="BJ551">
        <v>0</v>
      </c>
      <c r="BK551">
        <v>9</v>
      </c>
      <c r="BL551">
        <v>509</v>
      </c>
      <c r="BM551">
        <v>0</v>
      </c>
      <c r="BN551">
        <v>0</v>
      </c>
      <c r="BO551">
        <v>0</v>
      </c>
      <c r="BP551">
        <v>1053</v>
      </c>
      <c r="BQ551">
        <v>1053</v>
      </c>
      <c r="BR551">
        <f t="shared" si="90"/>
        <v>0</v>
      </c>
      <c r="BS551">
        <f t="shared" si="91"/>
        <v>232</v>
      </c>
    </row>
    <row r="552" spans="1:74" x14ac:dyDescent="0.25">
      <c r="A552" s="5" t="s">
        <v>1661</v>
      </c>
      <c r="B552" s="5" t="s">
        <v>207</v>
      </c>
      <c r="C552" s="5" t="s">
        <v>61</v>
      </c>
      <c r="D552" s="1" t="s">
        <v>100</v>
      </c>
      <c r="E552">
        <v>0</v>
      </c>
      <c r="F552">
        <v>834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2502</v>
      </c>
      <c r="Q552">
        <v>278</v>
      </c>
      <c r="R552">
        <v>278</v>
      </c>
      <c r="S552" s="18">
        <f t="shared" si="82"/>
        <v>9</v>
      </c>
      <c r="T552" s="17">
        <f t="shared" si="83"/>
        <v>0</v>
      </c>
      <c r="U552" s="17">
        <f t="shared" si="84"/>
        <v>0</v>
      </c>
      <c r="V552" s="17">
        <f t="shared" si="85"/>
        <v>0</v>
      </c>
      <c r="W552" s="17">
        <f t="shared" si="86"/>
        <v>278</v>
      </c>
      <c r="X552" s="17">
        <f t="shared" si="87"/>
        <v>0</v>
      </c>
      <c r="Y552" s="19" t="e">
        <f t="shared" si="88"/>
        <v>#DIV/0!</v>
      </c>
      <c r="Z552">
        <v>834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f t="shared" si="89"/>
        <v>0</v>
      </c>
      <c r="BF552">
        <v>834</v>
      </c>
      <c r="BG552">
        <v>834</v>
      </c>
      <c r="BH552" t="s">
        <v>109</v>
      </c>
      <c r="BI552" t="s">
        <v>1774</v>
      </c>
      <c r="BJ552">
        <v>0</v>
      </c>
      <c r="BK552">
        <v>0</v>
      </c>
      <c r="BL552">
        <v>834</v>
      </c>
      <c r="BM552">
        <v>0</v>
      </c>
      <c r="BN552">
        <v>0</v>
      </c>
      <c r="BO552">
        <v>0</v>
      </c>
      <c r="BP552">
        <v>2502</v>
      </c>
      <c r="BQ552">
        <v>2502</v>
      </c>
      <c r="BR552">
        <f t="shared" si="90"/>
        <v>0</v>
      </c>
      <c r="BS552">
        <f t="shared" si="91"/>
        <v>556</v>
      </c>
    </row>
    <row r="553" spans="1:74" x14ac:dyDescent="0.25">
      <c r="A553" s="5" t="s">
        <v>1661</v>
      </c>
      <c r="B553" s="5" t="s">
        <v>207</v>
      </c>
      <c r="C553" s="5" t="s">
        <v>61</v>
      </c>
      <c r="D553" s="1" t="s">
        <v>111</v>
      </c>
      <c r="E553">
        <v>0</v>
      </c>
      <c r="F553">
        <v>208</v>
      </c>
      <c r="G553">
        <v>0</v>
      </c>
      <c r="H553">
        <v>5</v>
      </c>
      <c r="I553">
        <v>15</v>
      </c>
      <c r="J553">
        <v>0</v>
      </c>
      <c r="K553">
        <v>86</v>
      </c>
      <c r="L553">
        <v>20</v>
      </c>
      <c r="M553">
        <v>0</v>
      </c>
      <c r="N553">
        <v>0</v>
      </c>
      <c r="O553">
        <v>0</v>
      </c>
      <c r="P553">
        <v>2367</v>
      </c>
      <c r="Q553">
        <v>263</v>
      </c>
      <c r="R553">
        <v>263</v>
      </c>
      <c r="S553" s="18">
        <f t="shared" si="82"/>
        <v>9</v>
      </c>
      <c r="T553" s="17">
        <f t="shared" si="83"/>
        <v>0</v>
      </c>
      <c r="U553" s="17">
        <f t="shared" si="84"/>
        <v>0</v>
      </c>
      <c r="V553" s="17">
        <f t="shared" si="85"/>
        <v>0</v>
      </c>
      <c r="W553" s="17">
        <f t="shared" si="86"/>
        <v>263</v>
      </c>
      <c r="X553" s="17">
        <f t="shared" si="87"/>
        <v>0</v>
      </c>
      <c r="Y553" s="19" t="e">
        <f t="shared" si="88"/>
        <v>#DIV/0!</v>
      </c>
      <c r="Z553">
        <v>208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15</v>
      </c>
      <c r="AH553">
        <v>15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86</v>
      </c>
      <c r="AP553">
        <v>0</v>
      </c>
      <c r="AQ553">
        <v>86</v>
      </c>
      <c r="AR553">
        <v>86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20</v>
      </c>
      <c r="BA553">
        <v>20</v>
      </c>
      <c r="BB553">
        <v>0</v>
      </c>
      <c r="BC553">
        <v>5</v>
      </c>
      <c r="BD553">
        <v>5</v>
      </c>
      <c r="BE553">
        <f t="shared" si="89"/>
        <v>338</v>
      </c>
      <c r="BF553">
        <v>334</v>
      </c>
      <c r="BG553">
        <v>334</v>
      </c>
      <c r="BH553" t="s">
        <v>190</v>
      </c>
      <c r="BI553" t="s">
        <v>1779</v>
      </c>
      <c r="BJ553">
        <v>0</v>
      </c>
      <c r="BK553">
        <v>126</v>
      </c>
      <c r="BL553">
        <v>334</v>
      </c>
      <c r="BM553">
        <v>0</v>
      </c>
      <c r="BN553">
        <v>0</v>
      </c>
      <c r="BO553">
        <v>0</v>
      </c>
      <c r="BP553">
        <v>2493</v>
      </c>
      <c r="BQ553">
        <v>2493</v>
      </c>
      <c r="BR553">
        <f t="shared" si="90"/>
        <v>0</v>
      </c>
      <c r="BS553">
        <f t="shared" si="91"/>
        <v>526</v>
      </c>
    </row>
    <row r="554" spans="1:74" x14ac:dyDescent="0.25">
      <c r="A554" s="5" t="s">
        <v>1661</v>
      </c>
      <c r="B554" s="5" t="s">
        <v>207</v>
      </c>
      <c r="C554" s="5" t="s">
        <v>207</v>
      </c>
      <c r="D554" s="1" t="s">
        <v>62</v>
      </c>
      <c r="E554">
        <v>0</v>
      </c>
      <c r="F554">
        <v>1468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3303</v>
      </c>
      <c r="Q554">
        <v>367</v>
      </c>
      <c r="R554">
        <v>367</v>
      </c>
      <c r="S554" s="18">
        <f t="shared" si="82"/>
        <v>9</v>
      </c>
      <c r="T554" s="17">
        <f t="shared" si="83"/>
        <v>0</v>
      </c>
      <c r="U554" s="17">
        <f t="shared" si="84"/>
        <v>0</v>
      </c>
      <c r="V554" s="17">
        <f t="shared" si="85"/>
        <v>0</v>
      </c>
      <c r="W554" s="17">
        <f t="shared" si="86"/>
        <v>367</v>
      </c>
      <c r="X554" s="17">
        <f t="shared" si="87"/>
        <v>0</v>
      </c>
      <c r="Y554" s="19" t="e">
        <f t="shared" si="88"/>
        <v>#DIV/0!</v>
      </c>
      <c r="Z554">
        <v>1468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f t="shared" si="89"/>
        <v>0</v>
      </c>
      <c r="BF554">
        <v>1468</v>
      </c>
      <c r="BG554">
        <v>1468</v>
      </c>
      <c r="BH554" t="s">
        <v>109</v>
      </c>
      <c r="BI554" t="s">
        <v>1796</v>
      </c>
      <c r="BJ554">
        <v>0</v>
      </c>
      <c r="BK554">
        <v>0</v>
      </c>
      <c r="BL554">
        <v>1468</v>
      </c>
      <c r="BM554">
        <v>0</v>
      </c>
      <c r="BN554">
        <v>0</v>
      </c>
      <c r="BO554">
        <v>0</v>
      </c>
      <c r="BP554">
        <v>3303</v>
      </c>
      <c r="BQ554">
        <v>3303</v>
      </c>
      <c r="BR554">
        <f t="shared" si="90"/>
        <v>0</v>
      </c>
      <c r="BS554">
        <f t="shared" si="91"/>
        <v>734</v>
      </c>
    </row>
    <row r="555" spans="1:74" x14ac:dyDescent="0.25">
      <c r="A555" s="5" t="s">
        <v>1451</v>
      </c>
      <c r="B555" s="5" t="s">
        <v>207</v>
      </c>
      <c r="C555" s="5" t="s">
        <v>207</v>
      </c>
      <c r="D555" s="1" t="s">
        <v>65</v>
      </c>
      <c r="E555">
        <v>0</v>
      </c>
      <c r="F555">
        <v>920</v>
      </c>
      <c r="G555">
        <v>0</v>
      </c>
      <c r="H555">
        <v>0</v>
      </c>
      <c r="I555">
        <v>1150</v>
      </c>
      <c r="J555">
        <v>2567</v>
      </c>
      <c r="K555">
        <v>55</v>
      </c>
      <c r="L555">
        <v>0</v>
      </c>
      <c r="M555">
        <v>0</v>
      </c>
      <c r="N555">
        <v>0</v>
      </c>
      <c r="O555">
        <v>0</v>
      </c>
      <c r="P555">
        <v>2070</v>
      </c>
      <c r="Q555">
        <v>213</v>
      </c>
      <c r="R555">
        <v>230</v>
      </c>
      <c r="S555" s="18">
        <f t="shared" si="82"/>
        <v>9</v>
      </c>
      <c r="T555" s="17">
        <f t="shared" si="83"/>
        <v>0</v>
      </c>
      <c r="U555" s="17">
        <f t="shared" si="84"/>
        <v>0</v>
      </c>
      <c r="V555" s="17">
        <f t="shared" si="85"/>
        <v>0</v>
      </c>
      <c r="W555" s="17">
        <f t="shared" si="86"/>
        <v>230</v>
      </c>
      <c r="X555" s="17">
        <f t="shared" si="87"/>
        <v>-17</v>
      </c>
      <c r="Y555" s="19">
        <f t="shared" si="88"/>
        <v>0</v>
      </c>
      <c r="Z555">
        <v>920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1150</v>
      </c>
      <c r="AH555">
        <v>1150</v>
      </c>
      <c r="AI555">
        <v>0</v>
      </c>
      <c r="AJ555">
        <v>0</v>
      </c>
      <c r="AK555">
        <v>2567</v>
      </c>
      <c r="AL555">
        <v>2567</v>
      </c>
      <c r="AM555">
        <v>0</v>
      </c>
      <c r="AN555">
        <v>0</v>
      </c>
      <c r="AO555">
        <v>55</v>
      </c>
      <c r="AP555">
        <v>13</v>
      </c>
      <c r="AQ555">
        <v>55</v>
      </c>
      <c r="AR555">
        <v>42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f t="shared" si="89"/>
        <v>7599</v>
      </c>
      <c r="BF555">
        <v>4692</v>
      </c>
      <c r="BG555">
        <v>4692</v>
      </c>
      <c r="BH555" t="s">
        <v>63</v>
      </c>
      <c r="BI555" t="s">
        <v>1535</v>
      </c>
      <c r="BJ555">
        <v>0</v>
      </c>
      <c r="BK555">
        <v>3772</v>
      </c>
      <c r="BL555">
        <v>4692</v>
      </c>
      <c r="BM555">
        <v>0</v>
      </c>
      <c r="BN555">
        <v>0</v>
      </c>
      <c r="BO555">
        <v>0</v>
      </c>
      <c r="BP555">
        <v>5842</v>
      </c>
      <c r="BQ555">
        <v>5842</v>
      </c>
      <c r="BR555">
        <f t="shared" si="90"/>
        <v>17</v>
      </c>
      <c r="BS555">
        <f t="shared" si="91"/>
        <v>443</v>
      </c>
      <c r="BU555">
        <f>R555*9</f>
        <v>2070</v>
      </c>
      <c r="BV555">
        <f>IF(BU555&gt;BG555, 1, 0)</f>
        <v>0</v>
      </c>
    </row>
    <row r="556" spans="1:74" x14ac:dyDescent="0.25">
      <c r="A556" s="5" t="s">
        <v>1337</v>
      </c>
      <c r="B556" s="5" t="s">
        <v>207</v>
      </c>
      <c r="C556" s="5" t="s">
        <v>61</v>
      </c>
      <c r="D556" s="1" t="s">
        <v>69</v>
      </c>
      <c r="E556">
        <v>0</v>
      </c>
      <c r="F556">
        <v>226</v>
      </c>
      <c r="G556">
        <v>0</v>
      </c>
      <c r="H556">
        <v>0</v>
      </c>
      <c r="I556">
        <v>35</v>
      </c>
      <c r="J556">
        <v>456</v>
      </c>
      <c r="K556">
        <v>357</v>
      </c>
      <c r="L556">
        <v>0</v>
      </c>
      <c r="M556">
        <v>2034</v>
      </c>
      <c r="N556">
        <v>0</v>
      </c>
      <c r="O556">
        <v>0</v>
      </c>
      <c r="P556">
        <v>0</v>
      </c>
      <c r="Q556">
        <v>226</v>
      </c>
      <c r="R556">
        <v>226</v>
      </c>
      <c r="S556" s="18">
        <f t="shared" si="82"/>
        <v>9</v>
      </c>
      <c r="T556" s="17">
        <f t="shared" si="83"/>
        <v>226</v>
      </c>
      <c r="U556" s="17">
        <f t="shared" si="84"/>
        <v>0</v>
      </c>
      <c r="V556" s="17">
        <f t="shared" si="85"/>
        <v>0</v>
      </c>
      <c r="W556" s="17">
        <f t="shared" si="86"/>
        <v>0</v>
      </c>
      <c r="X556" s="17">
        <f t="shared" si="87"/>
        <v>0</v>
      </c>
      <c r="Y556" s="19" t="e">
        <f t="shared" si="88"/>
        <v>#DIV/0!</v>
      </c>
      <c r="Z556">
        <v>226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35</v>
      </c>
      <c r="AH556">
        <v>35</v>
      </c>
      <c r="AI556">
        <v>0</v>
      </c>
      <c r="AJ556">
        <v>0</v>
      </c>
      <c r="AK556">
        <v>456</v>
      </c>
      <c r="AL556">
        <v>456</v>
      </c>
      <c r="AM556">
        <v>0</v>
      </c>
      <c r="AN556">
        <v>0</v>
      </c>
      <c r="AO556">
        <v>357</v>
      </c>
      <c r="AP556">
        <v>343</v>
      </c>
      <c r="AQ556">
        <v>357</v>
      </c>
      <c r="AR556">
        <v>14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f t="shared" si="89"/>
        <v>2053</v>
      </c>
      <c r="BF556">
        <v>1074</v>
      </c>
      <c r="BG556">
        <v>1074</v>
      </c>
      <c r="BH556" t="s">
        <v>63</v>
      </c>
      <c r="BI556" t="s">
        <v>1373</v>
      </c>
      <c r="BJ556">
        <v>0</v>
      </c>
      <c r="BK556">
        <v>848</v>
      </c>
      <c r="BL556">
        <v>1074</v>
      </c>
      <c r="BM556">
        <v>2034</v>
      </c>
      <c r="BN556">
        <v>0</v>
      </c>
      <c r="BO556">
        <v>0</v>
      </c>
      <c r="BP556">
        <v>848</v>
      </c>
      <c r="BQ556">
        <v>2882</v>
      </c>
      <c r="BR556">
        <f t="shared" si="90"/>
        <v>0</v>
      </c>
      <c r="BS556">
        <f t="shared" si="91"/>
        <v>452</v>
      </c>
      <c r="BU556">
        <f>R556*9</f>
        <v>2034</v>
      </c>
      <c r="BV556">
        <f>IF(BU556&gt;BG556, 1, 0)</f>
        <v>1</v>
      </c>
    </row>
    <row r="557" spans="1:74" x14ac:dyDescent="0.25">
      <c r="A557" s="5" t="s">
        <v>1661</v>
      </c>
      <c r="B557" s="5" t="s">
        <v>207</v>
      </c>
      <c r="C557" s="5" t="s">
        <v>207</v>
      </c>
      <c r="D557" s="1" t="s">
        <v>108</v>
      </c>
      <c r="E557">
        <v>0</v>
      </c>
      <c r="F557">
        <v>7500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6768</v>
      </c>
      <c r="Q557">
        <v>752</v>
      </c>
      <c r="R557">
        <v>752</v>
      </c>
      <c r="S557" s="18">
        <f t="shared" si="82"/>
        <v>9</v>
      </c>
      <c r="T557" s="17">
        <f t="shared" si="83"/>
        <v>0</v>
      </c>
      <c r="U557" s="17">
        <f t="shared" si="84"/>
        <v>0</v>
      </c>
      <c r="V557" s="17">
        <f t="shared" si="85"/>
        <v>0</v>
      </c>
      <c r="W557" s="17">
        <f t="shared" si="86"/>
        <v>752</v>
      </c>
      <c r="X557" s="17">
        <f t="shared" si="87"/>
        <v>0</v>
      </c>
      <c r="Y557" s="19" t="e">
        <f t="shared" si="88"/>
        <v>#DIV/0!</v>
      </c>
      <c r="Z557">
        <v>7500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f t="shared" si="89"/>
        <v>0</v>
      </c>
      <c r="BF557">
        <v>7500</v>
      </c>
      <c r="BG557">
        <v>7500</v>
      </c>
      <c r="BH557" t="s">
        <v>546</v>
      </c>
      <c r="BI557" t="s">
        <v>1813</v>
      </c>
      <c r="BJ557">
        <v>0</v>
      </c>
      <c r="BK557">
        <v>0</v>
      </c>
      <c r="BL557">
        <v>7500</v>
      </c>
      <c r="BM557">
        <v>0</v>
      </c>
      <c r="BN557">
        <v>0</v>
      </c>
      <c r="BO557">
        <v>0</v>
      </c>
      <c r="BP557">
        <v>6768</v>
      </c>
      <c r="BQ557">
        <v>6768</v>
      </c>
      <c r="BR557">
        <f t="shared" si="90"/>
        <v>0</v>
      </c>
      <c r="BS557">
        <f t="shared" si="91"/>
        <v>1504</v>
      </c>
    </row>
    <row r="558" spans="1:74" x14ac:dyDescent="0.25">
      <c r="A558" s="5" t="s">
        <v>1661</v>
      </c>
      <c r="B558" s="5" t="s">
        <v>207</v>
      </c>
      <c r="C558" s="5" t="s">
        <v>207</v>
      </c>
      <c r="D558" s="1" t="s">
        <v>117</v>
      </c>
      <c r="E558">
        <v>0</v>
      </c>
      <c r="F558">
        <v>1600</v>
      </c>
      <c r="G558">
        <v>0</v>
      </c>
      <c r="H558">
        <v>0</v>
      </c>
      <c r="I558">
        <v>70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3573</v>
      </c>
      <c r="Q558">
        <v>397</v>
      </c>
      <c r="R558">
        <v>397</v>
      </c>
      <c r="S558" s="18">
        <f t="shared" si="82"/>
        <v>9</v>
      </c>
      <c r="T558" s="17">
        <f t="shared" si="83"/>
        <v>0</v>
      </c>
      <c r="U558" s="17">
        <f t="shared" si="84"/>
        <v>0</v>
      </c>
      <c r="V558" s="17">
        <f t="shared" si="85"/>
        <v>0</v>
      </c>
      <c r="W558" s="17">
        <f t="shared" si="86"/>
        <v>397</v>
      </c>
      <c r="X558" s="17">
        <f t="shared" si="87"/>
        <v>0</v>
      </c>
      <c r="Y558" s="19" t="e">
        <f t="shared" si="88"/>
        <v>#DIV/0!</v>
      </c>
      <c r="Z558">
        <v>1600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70</v>
      </c>
      <c r="AH558">
        <v>70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f t="shared" si="89"/>
        <v>140</v>
      </c>
      <c r="BF558">
        <v>1670</v>
      </c>
      <c r="BG558">
        <v>1670</v>
      </c>
      <c r="BH558" t="s">
        <v>109</v>
      </c>
      <c r="BI558" t="s">
        <v>1817</v>
      </c>
      <c r="BJ558">
        <v>0</v>
      </c>
      <c r="BK558">
        <v>70</v>
      </c>
      <c r="BL558">
        <v>1670</v>
      </c>
      <c r="BM558">
        <v>0</v>
      </c>
      <c r="BN558">
        <v>0</v>
      </c>
      <c r="BO558">
        <v>0</v>
      </c>
      <c r="BP558">
        <v>3643</v>
      </c>
      <c r="BQ558">
        <v>3643</v>
      </c>
      <c r="BR558">
        <f t="shared" si="90"/>
        <v>0</v>
      </c>
      <c r="BS558">
        <f t="shared" si="91"/>
        <v>794</v>
      </c>
    </row>
    <row r="559" spans="1:74" x14ac:dyDescent="0.25">
      <c r="A559" s="5" t="s">
        <v>1661</v>
      </c>
      <c r="B559" s="5" t="s">
        <v>207</v>
      </c>
      <c r="C559" s="5" t="s">
        <v>207</v>
      </c>
      <c r="D559" s="1" t="s">
        <v>121</v>
      </c>
      <c r="E559">
        <v>0</v>
      </c>
      <c r="F559">
        <v>472</v>
      </c>
      <c r="G559">
        <v>0</v>
      </c>
      <c r="H559">
        <v>0</v>
      </c>
      <c r="I559">
        <v>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1062</v>
      </c>
      <c r="Q559">
        <v>118</v>
      </c>
      <c r="R559">
        <v>118</v>
      </c>
      <c r="S559" s="18">
        <f t="shared" si="82"/>
        <v>9</v>
      </c>
      <c r="T559" s="17">
        <f t="shared" si="83"/>
        <v>0</v>
      </c>
      <c r="U559" s="17">
        <f t="shared" si="84"/>
        <v>0</v>
      </c>
      <c r="V559" s="17">
        <f t="shared" si="85"/>
        <v>0</v>
      </c>
      <c r="W559" s="17">
        <f t="shared" si="86"/>
        <v>118</v>
      </c>
      <c r="X559" s="17">
        <f t="shared" si="87"/>
        <v>0</v>
      </c>
      <c r="Y559" s="19" t="e">
        <f t="shared" si="88"/>
        <v>#DIV/0!</v>
      </c>
      <c r="Z559">
        <v>472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8</v>
      </c>
      <c r="AH559">
        <v>8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f t="shared" si="89"/>
        <v>16</v>
      </c>
      <c r="BF559">
        <v>480</v>
      </c>
      <c r="BG559">
        <v>480</v>
      </c>
      <c r="BH559" t="s">
        <v>109</v>
      </c>
      <c r="BI559" t="s">
        <v>1818</v>
      </c>
      <c r="BJ559">
        <v>0</v>
      </c>
      <c r="BK559">
        <v>8</v>
      </c>
      <c r="BL559">
        <v>480</v>
      </c>
      <c r="BM559">
        <v>0</v>
      </c>
      <c r="BN559">
        <v>0</v>
      </c>
      <c r="BO559">
        <v>0</v>
      </c>
      <c r="BP559">
        <v>1070</v>
      </c>
      <c r="BQ559">
        <v>1070</v>
      </c>
      <c r="BR559">
        <f t="shared" si="90"/>
        <v>0</v>
      </c>
      <c r="BS559">
        <f t="shared" si="91"/>
        <v>236</v>
      </c>
    </row>
    <row r="560" spans="1:74" x14ac:dyDescent="0.25">
      <c r="A560" s="5" t="s">
        <v>1661</v>
      </c>
      <c r="B560" s="5" t="s">
        <v>207</v>
      </c>
      <c r="C560" s="5" t="s">
        <v>207</v>
      </c>
      <c r="D560" s="1" t="s">
        <v>123</v>
      </c>
      <c r="E560">
        <v>0</v>
      </c>
      <c r="F560">
        <v>1404</v>
      </c>
      <c r="G560">
        <v>0</v>
      </c>
      <c r="H560">
        <v>0</v>
      </c>
      <c r="I560">
        <v>250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3159</v>
      </c>
      <c r="Q560">
        <v>351</v>
      </c>
      <c r="R560">
        <v>351</v>
      </c>
      <c r="S560" s="18">
        <f t="shared" si="82"/>
        <v>9</v>
      </c>
      <c r="T560" s="17">
        <f t="shared" si="83"/>
        <v>0</v>
      </c>
      <c r="U560" s="17">
        <f t="shared" si="84"/>
        <v>0</v>
      </c>
      <c r="V560" s="17">
        <f t="shared" si="85"/>
        <v>0</v>
      </c>
      <c r="W560" s="17">
        <f t="shared" si="86"/>
        <v>351</v>
      </c>
      <c r="X560" s="17">
        <f t="shared" si="87"/>
        <v>0</v>
      </c>
      <c r="Y560" s="19" t="e">
        <f t="shared" si="88"/>
        <v>#DIV/0!</v>
      </c>
      <c r="Z560">
        <v>1404</v>
      </c>
      <c r="AA560">
        <v>0</v>
      </c>
      <c r="AB560">
        <v>0</v>
      </c>
      <c r="AC560">
        <v>0</v>
      </c>
      <c r="AD560">
        <v>250</v>
      </c>
      <c r="AE560">
        <v>0</v>
      </c>
      <c r="AF560">
        <v>0</v>
      </c>
      <c r="AG560">
        <v>0</v>
      </c>
      <c r="AH560">
        <v>250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f t="shared" si="89"/>
        <v>500</v>
      </c>
      <c r="BF560">
        <v>1654</v>
      </c>
      <c r="BG560">
        <v>1654</v>
      </c>
      <c r="BH560" t="s">
        <v>109</v>
      </c>
      <c r="BI560" t="s">
        <v>1819</v>
      </c>
      <c r="BJ560">
        <v>0</v>
      </c>
      <c r="BK560">
        <v>250</v>
      </c>
      <c r="BL560">
        <v>1654</v>
      </c>
      <c r="BM560">
        <v>250</v>
      </c>
      <c r="BN560">
        <v>0</v>
      </c>
      <c r="BO560">
        <v>0</v>
      </c>
      <c r="BP560">
        <v>3159</v>
      </c>
      <c r="BQ560">
        <v>3409</v>
      </c>
      <c r="BR560">
        <f t="shared" si="90"/>
        <v>0</v>
      </c>
      <c r="BS560">
        <f t="shared" si="91"/>
        <v>702</v>
      </c>
    </row>
    <row r="561" spans="1:74" x14ac:dyDescent="0.25">
      <c r="A561" s="6" t="s">
        <v>1661</v>
      </c>
      <c r="B561" s="6" t="s">
        <v>207</v>
      </c>
      <c r="C561" s="6" t="s">
        <v>207</v>
      </c>
      <c r="D561" s="1" t="s">
        <v>127</v>
      </c>
      <c r="E561">
        <v>0</v>
      </c>
      <c r="F561">
        <v>1044</v>
      </c>
      <c r="G561">
        <v>0</v>
      </c>
      <c r="H561">
        <v>0</v>
      </c>
      <c r="I561">
        <v>53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2349</v>
      </c>
      <c r="Q561">
        <v>261</v>
      </c>
      <c r="R561">
        <v>261</v>
      </c>
      <c r="S561" s="18">
        <f t="shared" si="82"/>
        <v>9</v>
      </c>
      <c r="T561" s="17">
        <f t="shared" si="83"/>
        <v>0</v>
      </c>
      <c r="U561" s="17">
        <f t="shared" si="84"/>
        <v>0</v>
      </c>
      <c r="V561" s="17">
        <f t="shared" si="85"/>
        <v>0</v>
      </c>
      <c r="W561" s="17">
        <f t="shared" si="86"/>
        <v>261</v>
      </c>
      <c r="X561" s="17">
        <f t="shared" si="87"/>
        <v>0</v>
      </c>
      <c r="Y561" s="19" t="e">
        <f t="shared" si="88"/>
        <v>#DIV/0!</v>
      </c>
      <c r="Z561">
        <v>1044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53</v>
      </c>
      <c r="AH561">
        <v>53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f t="shared" si="89"/>
        <v>106</v>
      </c>
      <c r="BF561">
        <v>1097</v>
      </c>
      <c r="BG561">
        <v>1097</v>
      </c>
      <c r="BH561" t="s">
        <v>109</v>
      </c>
      <c r="BI561" t="s">
        <v>1821</v>
      </c>
      <c r="BJ561">
        <v>0</v>
      </c>
      <c r="BK561">
        <v>53</v>
      </c>
      <c r="BL561">
        <v>1097</v>
      </c>
      <c r="BM561">
        <v>0</v>
      </c>
      <c r="BN561">
        <v>0</v>
      </c>
      <c r="BO561">
        <v>0</v>
      </c>
      <c r="BP561">
        <v>2402</v>
      </c>
      <c r="BQ561">
        <v>2402</v>
      </c>
      <c r="BR561">
        <f t="shared" si="90"/>
        <v>0</v>
      </c>
      <c r="BS561">
        <f t="shared" si="91"/>
        <v>522</v>
      </c>
    </row>
    <row r="562" spans="1:74" x14ac:dyDescent="0.25">
      <c r="A562" s="7" t="s">
        <v>1661</v>
      </c>
      <c r="B562" s="7" t="s">
        <v>207</v>
      </c>
      <c r="C562" s="7" t="s">
        <v>207</v>
      </c>
      <c r="D562" s="1" t="s">
        <v>129</v>
      </c>
      <c r="E562">
        <v>0</v>
      </c>
      <c r="F562">
        <v>468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1053</v>
      </c>
      <c r="N562">
        <v>0</v>
      </c>
      <c r="O562">
        <v>0</v>
      </c>
      <c r="P562">
        <v>0</v>
      </c>
      <c r="Q562">
        <v>117</v>
      </c>
      <c r="R562">
        <v>117</v>
      </c>
      <c r="S562" s="18">
        <f t="shared" si="82"/>
        <v>9</v>
      </c>
      <c r="T562" s="17">
        <f t="shared" si="83"/>
        <v>117</v>
      </c>
      <c r="U562" s="17">
        <f t="shared" si="84"/>
        <v>0</v>
      </c>
      <c r="V562" s="17">
        <f t="shared" si="85"/>
        <v>0</v>
      </c>
      <c r="W562" s="17">
        <f t="shared" si="86"/>
        <v>0</v>
      </c>
      <c r="X562" s="17">
        <f t="shared" si="87"/>
        <v>0</v>
      </c>
      <c r="Y562" s="19" t="e">
        <f t="shared" si="88"/>
        <v>#DIV/0!</v>
      </c>
      <c r="Z562">
        <v>468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f t="shared" si="89"/>
        <v>0</v>
      </c>
      <c r="BF562">
        <v>468</v>
      </c>
      <c r="BG562">
        <v>468</v>
      </c>
      <c r="BH562" t="s">
        <v>109</v>
      </c>
      <c r="BI562" t="s">
        <v>1822</v>
      </c>
      <c r="BJ562">
        <v>0</v>
      </c>
      <c r="BK562">
        <v>0</v>
      </c>
      <c r="BL562">
        <v>468</v>
      </c>
      <c r="BM562">
        <v>1053</v>
      </c>
      <c r="BN562">
        <v>0</v>
      </c>
      <c r="BO562">
        <v>0</v>
      </c>
      <c r="BP562">
        <v>0</v>
      </c>
      <c r="BQ562">
        <v>1053</v>
      </c>
      <c r="BR562">
        <f t="shared" si="90"/>
        <v>0</v>
      </c>
      <c r="BS562">
        <f t="shared" si="91"/>
        <v>234</v>
      </c>
    </row>
    <row r="563" spans="1:74" x14ac:dyDescent="0.25">
      <c r="A563" s="5" t="s">
        <v>1661</v>
      </c>
      <c r="B563" s="5" t="s">
        <v>207</v>
      </c>
      <c r="C563" s="5" t="s">
        <v>207</v>
      </c>
      <c r="D563" s="1" t="s">
        <v>131</v>
      </c>
      <c r="E563">
        <v>0</v>
      </c>
      <c r="F563">
        <v>514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2313</v>
      </c>
      <c r="Q563">
        <v>257</v>
      </c>
      <c r="R563">
        <v>257</v>
      </c>
      <c r="S563" s="18">
        <f t="shared" si="82"/>
        <v>9</v>
      </c>
      <c r="T563" s="17">
        <f t="shared" si="83"/>
        <v>0</v>
      </c>
      <c r="U563" s="17">
        <f t="shared" si="84"/>
        <v>0</v>
      </c>
      <c r="V563" s="17">
        <f t="shared" si="85"/>
        <v>0</v>
      </c>
      <c r="W563" s="17">
        <f t="shared" si="86"/>
        <v>257</v>
      </c>
      <c r="X563" s="17">
        <f t="shared" si="87"/>
        <v>0</v>
      </c>
      <c r="Y563" s="19" t="e">
        <f t="shared" si="88"/>
        <v>#DIV/0!</v>
      </c>
      <c r="Z563">
        <v>514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f t="shared" si="89"/>
        <v>0</v>
      </c>
      <c r="BF563">
        <v>514</v>
      </c>
      <c r="BG563">
        <v>514</v>
      </c>
      <c r="BH563" t="s">
        <v>109</v>
      </c>
      <c r="BI563" t="s">
        <v>1823</v>
      </c>
      <c r="BJ563">
        <v>0</v>
      </c>
      <c r="BK563">
        <v>0</v>
      </c>
      <c r="BL563">
        <v>514</v>
      </c>
      <c r="BM563">
        <v>0</v>
      </c>
      <c r="BN563">
        <v>0</v>
      </c>
      <c r="BO563">
        <v>0</v>
      </c>
      <c r="BP563">
        <v>2313</v>
      </c>
      <c r="BQ563">
        <v>2313</v>
      </c>
      <c r="BR563">
        <f t="shared" si="90"/>
        <v>0</v>
      </c>
      <c r="BS563">
        <f t="shared" si="91"/>
        <v>514</v>
      </c>
    </row>
    <row r="564" spans="1:74" x14ac:dyDescent="0.25">
      <c r="A564" s="5" t="s">
        <v>1661</v>
      </c>
      <c r="B564" s="5" t="s">
        <v>207</v>
      </c>
      <c r="C564" s="5" t="s">
        <v>207</v>
      </c>
      <c r="D564" s="1" t="s">
        <v>133</v>
      </c>
      <c r="E564">
        <v>0</v>
      </c>
      <c r="F564">
        <v>116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261</v>
      </c>
      <c r="N564">
        <v>0</v>
      </c>
      <c r="O564">
        <v>0</v>
      </c>
      <c r="P564">
        <v>0</v>
      </c>
      <c r="Q564">
        <v>29</v>
      </c>
      <c r="R564">
        <v>29</v>
      </c>
      <c r="S564" s="18">
        <f t="shared" si="82"/>
        <v>9</v>
      </c>
      <c r="T564" s="17">
        <f t="shared" si="83"/>
        <v>29</v>
      </c>
      <c r="U564" s="17">
        <f t="shared" si="84"/>
        <v>0</v>
      </c>
      <c r="V564" s="17">
        <f t="shared" si="85"/>
        <v>0</v>
      </c>
      <c r="W564" s="17">
        <f t="shared" si="86"/>
        <v>0</v>
      </c>
      <c r="X564" s="17">
        <f t="shared" si="87"/>
        <v>0</v>
      </c>
      <c r="Y564" s="19" t="e">
        <f t="shared" si="88"/>
        <v>#DIV/0!</v>
      </c>
      <c r="Z564">
        <v>116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f t="shared" si="89"/>
        <v>0</v>
      </c>
      <c r="BF564">
        <v>116</v>
      </c>
      <c r="BG564">
        <v>116</v>
      </c>
      <c r="BH564" t="s">
        <v>109</v>
      </c>
      <c r="BI564" t="s">
        <v>1824</v>
      </c>
      <c r="BJ564">
        <v>0</v>
      </c>
      <c r="BK564">
        <v>0</v>
      </c>
      <c r="BL564">
        <v>116</v>
      </c>
      <c r="BM564">
        <v>261</v>
      </c>
      <c r="BN564">
        <v>0</v>
      </c>
      <c r="BO564">
        <v>0</v>
      </c>
      <c r="BP564">
        <v>0</v>
      </c>
      <c r="BQ564">
        <v>261</v>
      </c>
      <c r="BR564">
        <f t="shared" si="90"/>
        <v>0</v>
      </c>
      <c r="BS564">
        <f t="shared" si="91"/>
        <v>58</v>
      </c>
    </row>
    <row r="565" spans="1:74" x14ac:dyDescent="0.25">
      <c r="A565" s="5" t="s">
        <v>1661</v>
      </c>
      <c r="B565" s="5" t="s">
        <v>207</v>
      </c>
      <c r="C565" s="5" t="s">
        <v>207</v>
      </c>
      <c r="D565" s="1" t="s">
        <v>135</v>
      </c>
      <c r="E565">
        <v>0</v>
      </c>
      <c r="F565">
        <v>146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432</v>
      </c>
      <c r="Q565">
        <v>48</v>
      </c>
      <c r="R565">
        <v>48</v>
      </c>
      <c r="S565" s="18">
        <f t="shared" si="82"/>
        <v>9</v>
      </c>
      <c r="T565" s="17">
        <f t="shared" si="83"/>
        <v>0</v>
      </c>
      <c r="U565" s="17">
        <f t="shared" si="84"/>
        <v>0</v>
      </c>
      <c r="V565" s="17">
        <f t="shared" si="85"/>
        <v>0</v>
      </c>
      <c r="W565" s="17">
        <f t="shared" si="86"/>
        <v>48</v>
      </c>
      <c r="X565" s="17">
        <f t="shared" si="87"/>
        <v>0</v>
      </c>
      <c r="Y565" s="19" t="e">
        <f t="shared" si="88"/>
        <v>#DIV/0!</v>
      </c>
      <c r="Z565">
        <v>146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f t="shared" si="89"/>
        <v>0</v>
      </c>
      <c r="BF565">
        <v>146</v>
      </c>
      <c r="BG565">
        <v>146</v>
      </c>
      <c r="BH565" t="s">
        <v>109</v>
      </c>
      <c r="BI565" t="s">
        <v>1825</v>
      </c>
      <c r="BJ565">
        <v>0</v>
      </c>
      <c r="BK565">
        <v>0</v>
      </c>
      <c r="BL565">
        <v>146</v>
      </c>
      <c r="BM565">
        <v>0</v>
      </c>
      <c r="BN565">
        <v>0</v>
      </c>
      <c r="BO565">
        <v>0</v>
      </c>
      <c r="BP565">
        <v>432</v>
      </c>
      <c r="BQ565">
        <v>432</v>
      </c>
      <c r="BR565">
        <f t="shared" si="90"/>
        <v>0</v>
      </c>
      <c r="BS565">
        <f t="shared" si="91"/>
        <v>96</v>
      </c>
    </row>
    <row r="566" spans="1:74" x14ac:dyDescent="0.25">
      <c r="A566" s="5" t="s">
        <v>1661</v>
      </c>
      <c r="B566" s="5" t="s">
        <v>207</v>
      </c>
      <c r="C566" s="5" t="s">
        <v>207</v>
      </c>
      <c r="D566" s="1" t="s">
        <v>137</v>
      </c>
      <c r="E566">
        <v>0</v>
      </c>
      <c r="F566">
        <v>330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324</v>
      </c>
      <c r="Q566">
        <v>36</v>
      </c>
      <c r="R566">
        <v>36</v>
      </c>
      <c r="S566" s="18">
        <f t="shared" si="82"/>
        <v>9</v>
      </c>
      <c r="T566" s="17">
        <f t="shared" si="83"/>
        <v>0</v>
      </c>
      <c r="U566" s="17">
        <f t="shared" si="84"/>
        <v>0</v>
      </c>
      <c r="V566" s="17">
        <f t="shared" si="85"/>
        <v>0</v>
      </c>
      <c r="W566" s="17">
        <f t="shared" si="86"/>
        <v>36</v>
      </c>
      <c r="X566" s="17">
        <f t="shared" si="87"/>
        <v>0</v>
      </c>
      <c r="Y566" s="19" t="e">
        <f t="shared" si="88"/>
        <v>#DIV/0!</v>
      </c>
      <c r="Z566">
        <v>330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f t="shared" si="89"/>
        <v>0</v>
      </c>
      <c r="BF566">
        <v>330</v>
      </c>
      <c r="BG566">
        <v>330</v>
      </c>
      <c r="BH566" t="s">
        <v>109</v>
      </c>
      <c r="BI566" t="s">
        <v>1826</v>
      </c>
      <c r="BJ566">
        <v>0</v>
      </c>
      <c r="BK566">
        <v>0</v>
      </c>
      <c r="BL566">
        <v>330</v>
      </c>
      <c r="BM566">
        <v>0</v>
      </c>
      <c r="BN566">
        <v>0</v>
      </c>
      <c r="BO566">
        <v>0</v>
      </c>
      <c r="BP566">
        <v>324</v>
      </c>
      <c r="BQ566">
        <v>324</v>
      </c>
      <c r="BR566">
        <f t="shared" si="90"/>
        <v>0</v>
      </c>
      <c r="BS566">
        <f t="shared" si="91"/>
        <v>72</v>
      </c>
    </row>
    <row r="567" spans="1:74" x14ac:dyDescent="0.25">
      <c r="A567" s="5" t="s">
        <v>1661</v>
      </c>
      <c r="B567" s="5" t="s">
        <v>207</v>
      </c>
      <c r="C567" s="5" t="s">
        <v>207</v>
      </c>
      <c r="D567" s="1" t="s">
        <v>139</v>
      </c>
      <c r="E567">
        <v>0</v>
      </c>
      <c r="F567">
        <v>5254</v>
      </c>
      <c r="G567">
        <v>0</v>
      </c>
      <c r="H567">
        <v>0</v>
      </c>
      <c r="I567">
        <v>426</v>
      </c>
      <c r="J567">
        <v>0</v>
      </c>
      <c r="K567">
        <v>338</v>
      </c>
      <c r="L567">
        <v>0</v>
      </c>
      <c r="M567">
        <v>9990</v>
      </c>
      <c r="N567">
        <v>0</v>
      </c>
      <c r="O567">
        <v>0</v>
      </c>
      <c r="P567">
        <v>0</v>
      </c>
      <c r="Q567">
        <v>1110</v>
      </c>
      <c r="R567">
        <v>1110</v>
      </c>
      <c r="S567" s="18">
        <f t="shared" si="82"/>
        <v>9</v>
      </c>
      <c r="T567" s="17">
        <f t="shared" si="83"/>
        <v>1110</v>
      </c>
      <c r="U567" s="17">
        <f t="shared" si="84"/>
        <v>0</v>
      </c>
      <c r="V567" s="17">
        <f t="shared" si="85"/>
        <v>0</v>
      </c>
      <c r="W567" s="17">
        <f t="shared" si="86"/>
        <v>0</v>
      </c>
      <c r="X567" s="17">
        <f t="shared" si="87"/>
        <v>0</v>
      </c>
      <c r="Y567" s="19" t="e">
        <f t="shared" si="88"/>
        <v>#DIV/0!</v>
      </c>
      <c r="Z567">
        <v>5254</v>
      </c>
      <c r="AA567">
        <v>0</v>
      </c>
      <c r="AB567">
        <v>0</v>
      </c>
      <c r="AC567">
        <v>0</v>
      </c>
      <c r="AD567">
        <v>426</v>
      </c>
      <c r="AE567">
        <v>0</v>
      </c>
      <c r="AF567">
        <v>0</v>
      </c>
      <c r="AG567">
        <v>0</v>
      </c>
      <c r="AH567">
        <v>426</v>
      </c>
      <c r="AI567">
        <v>0</v>
      </c>
      <c r="AJ567">
        <v>0</v>
      </c>
      <c r="AK567">
        <v>0</v>
      </c>
      <c r="AL567">
        <v>0</v>
      </c>
      <c r="AM567">
        <v>338</v>
      </c>
      <c r="AN567">
        <v>0</v>
      </c>
      <c r="AO567">
        <v>0</v>
      </c>
      <c r="AP567">
        <v>112</v>
      </c>
      <c r="AQ567">
        <v>338</v>
      </c>
      <c r="AR567">
        <v>226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f t="shared" si="89"/>
        <v>1866</v>
      </c>
      <c r="BF567">
        <v>6246</v>
      </c>
      <c r="BG567">
        <v>6246</v>
      </c>
      <c r="BH567" t="s">
        <v>190</v>
      </c>
      <c r="BI567" t="s">
        <v>1827</v>
      </c>
      <c r="BJ567">
        <v>0</v>
      </c>
      <c r="BK567">
        <v>764</v>
      </c>
      <c r="BL567">
        <v>6018</v>
      </c>
      <c r="BM567">
        <v>10754</v>
      </c>
      <c r="BN567">
        <v>0</v>
      </c>
      <c r="BO567">
        <v>0</v>
      </c>
      <c r="BP567">
        <v>0</v>
      </c>
      <c r="BQ567">
        <v>10754</v>
      </c>
      <c r="BR567">
        <f t="shared" si="90"/>
        <v>0</v>
      </c>
      <c r="BS567">
        <f t="shared" si="91"/>
        <v>2220</v>
      </c>
    </row>
    <row r="568" spans="1:74" x14ac:dyDescent="0.25">
      <c r="A568" s="5" t="s">
        <v>1661</v>
      </c>
      <c r="B568" s="5" t="s">
        <v>207</v>
      </c>
      <c r="C568" s="5" t="s">
        <v>207</v>
      </c>
      <c r="D568" s="1" t="s">
        <v>143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103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8" t="e">
        <f t="shared" si="82"/>
        <v>#DIV/0!</v>
      </c>
      <c r="T568" s="17" t="e">
        <f t="shared" si="83"/>
        <v>#DIV/0!</v>
      </c>
      <c r="U568" s="17" t="e">
        <f t="shared" si="84"/>
        <v>#DIV/0!</v>
      </c>
      <c r="V568" s="17" t="e">
        <f t="shared" si="85"/>
        <v>#DIV/0!</v>
      </c>
      <c r="W568" s="17" t="e">
        <f t="shared" si="86"/>
        <v>#DIV/0!</v>
      </c>
      <c r="X568" s="17" t="e">
        <f t="shared" si="87"/>
        <v>#DIV/0!</v>
      </c>
      <c r="Y568" s="19" t="e">
        <f t="shared" si="88"/>
        <v>#DIV/0!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103</v>
      </c>
      <c r="AP568">
        <v>35</v>
      </c>
      <c r="AQ568">
        <v>103</v>
      </c>
      <c r="AR568">
        <v>68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f t="shared" si="89"/>
        <v>309</v>
      </c>
      <c r="BF568">
        <v>103</v>
      </c>
      <c r="BG568">
        <v>103</v>
      </c>
      <c r="BH568" t="s">
        <v>190</v>
      </c>
      <c r="BI568" t="s">
        <v>1829</v>
      </c>
      <c r="BJ568">
        <v>0</v>
      </c>
      <c r="BK568">
        <v>103</v>
      </c>
      <c r="BL568">
        <v>103</v>
      </c>
      <c r="BM568">
        <v>0</v>
      </c>
      <c r="BN568">
        <v>0</v>
      </c>
      <c r="BO568">
        <v>0</v>
      </c>
      <c r="BP568">
        <v>103</v>
      </c>
      <c r="BQ568">
        <v>103</v>
      </c>
      <c r="BR568">
        <f t="shared" si="90"/>
        <v>0</v>
      </c>
      <c r="BS568">
        <f t="shared" si="91"/>
        <v>0</v>
      </c>
    </row>
    <row r="569" spans="1:74" x14ac:dyDescent="0.25">
      <c r="A569" s="5" t="s">
        <v>1661</v>
      </c>
      <c r="B569" s="5" t="s">
        <v>207</v>
      </c>
      <c r="C569" s="5" t="s">
        <v>207</v>
      </c>
      <c r="D569" s="1" t="s">
        <v>157</v>
      </c>
      <c r="E569">
        <v>0</v>
      </c>
      <c r="F569">
        <v>530</v>
      </c>
      <c r="G569">
        <v>0</v>
      </c>
      <c r="H569">
        <v>0</v>
      </c>
      <c r="I569">
        <v>136</v>
      </c>
      <c r="J569">
        <v>0</v>
      </c>
      <c r="K569">
        <v>89</v>
      </c>
      <c r="L569">
        <v>0</v>
      </c>
      <c r="M569">
        <v>0</v>
      </c>
      <c r="N569">
        <v>0</v>
      </c>
      <c r="O569">
        <v>0</v>
      </c>
      <c r="P569">
        <v>414</v>
      </c>
      <c r="Q569">
        <v>46</v>
      </c>
      <c r="R569">
        <v>46</v>
      </c>
      <c r="S569" s="18">
        <f t="shared" si="82"/>
        <v>9</v>
      </c>
      <c r="T569" s="17">
        <f t="shared" si="83"/>
        <v>0</v>
      </c>
      <c r="U569" s="17">
        <f t="shared" si="84"/>
        <v>0</v>
      </c>
      <c r="V569" s="17">
        <f t="shared" si="85"/>
        <v>0</v>
      </c>
      <c r="W569" s="17">
        <f t="shared" si="86"/>
        <v>46</v>
      </c>
      <c r="X569" s="17">
        <f t="shared" si="87"/>
        <v>0</v>
      </c>
      <c r="Y569" s="19" t="e">
        <f t="shared" si="88"/>
        <v>#DIV/0!</v>
      </c>
      <c r="Z569">
        <v>530</v>
      </c>
      <c r="AA569">
        <v>0</v>
      </c>
      <c r="AB569">
        <v>0</v>
      </c>
      <c r="AC569">
        <v>285</v>
      </c>
      <c r="AD569">
        <v>0</v>
      </c>
      <c r="AE569">
        <v>0</v>
      </c>
      <c r="AF569">
        <v>0</v>
      </c>
      <c r="AG569">
        <v>136</v>
      </c>
      <c r="AH569">
        <v>136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89</v>
      </c>
      <c r="AP569">
        <v>0</v>
      </c>
      <c r="AQ569">
        <v>89</v>
      </c>
      <c r="AR569">
        <v>89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f t="shared" si="89"/>
        <v>824</v>
      </c>
      <c r="BF569">
        <v>1040</v>
      </c>
      <c r="BG569">
        <v>1040</v>
      </c>
      <c r="BH569" t="s">
        <v>190</v>
      </c>
      <c r="BI569" t="s">
        <v>1836</v>
      </c>
      <c r="BJ569">
        <v>285</v>
      </c>
      <c r="BK569">
        <v>225</v>
      </c>
      <c r="BL569">
        <v>1040</v>
      </c>
      <c r="BM569">
        <v>0</v>
      </c>
      <c r="BN569">
        <v>0</v>
      </c>
      <c r="BO569">
        <v>0</v>
      </c>
      <c r="BP569">
        <v>639</v>
      </c>
      <c r="BQ569">
        <v>639</v>
      </c>
      <c r="BR569">
        <f t="shared" si="90"/>
        <v>0</v>
      </c>
      <c r="BS569">
        <f t="shared" si="91"/>
        <v>92</v>
      </c>
    </row>
    <row r="570" spans="1:74" x14ac:dyDescent="0.25">
      <c r="A570" s="5" t="s">
        <v>1661</v>
      </c>
      <c r="B570" s="5" t="s">
        <v>207</v>
      </c>
      <c r="C570" s="5" t="s">
        <v>207</v>
      </c>
      <c r="D570" s="1" t="s">
        <v>161</v>
      </c>
      <c r="E570">
        <v>0</v>
      </c>
      <c r="F570">
        <v>943</v>
      </c>
      <c r="G570">
        <v>0</v>
      </c>
      <c r="H570">
        <v>0</v>
      </c>
      <c r="I570">
        <v>279</v>
      </c>
      <c r="J570">
        <v>0</v>
      </c>
      <c r="K570">
        <v>123</v>
      </c>
      <c r="L570">
        <v>0</v>
      </c>
      <c r="M570">
        <v>0</v>
      </c>
      <c r="N570">
        <v>0</v>
      </c>
      <c r="O570">
        <v>0</v>
      </c>
      <c r="P570">
        <v>1944</v>
      </c>
      <c r="Q570">
        <v>216</v>
      </c>
      <c r="R570">
        <v>216</v>
      </c>
      <c r="S570" s="18">
        <f t="shared" si="82"/>
        <v>9</v>
      </c>
      <c r="T570" s="17">
        <f t="shared" si="83"/>
        <v>0</v>
      </c>
      <c r="U570" s="17">
        <f t="shared" si="84"/>
        <v>0</v>
      </c>
      <c r="V570" s="17">
        <f t="shared" si="85"/>
        <v>0</v>
      </c>
      <c r="W570" s="17">
        <f t="shared" si="86"/>
        <v>216</v>
      </c>
      <c r="X570" s="17">
        <f t="shared" si="87"/>
        <v>0</v>
      </c>
      <c r="Y570" s="19" t="e">
        <f t="shared" si="88"/>
        <v>#DIV/0!</v>
      </c>
      <c r="Z570">
        <v>907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279</v>
      </c>
      <c r="AH570">
        <v>279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123</v>
      </c>
      <c r="AP570">
        <v>43</v>
      </c>
      <c r="AQ570">
        <v>123</v>
      </c>
      <c r="AR570">
        <v>80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f t="shared" si="89"/>
        <v>927</v>
      </c>
      <c r="BF570">
        <v>1309</v>
      </c>
      <c r="BG570">
        <v>1309</v>
      </c>
      <c r="BH570" t="s">
        <v>190</v>
      </c>
      <c r="BI570" t="s">
        <v>1838</v>
      </c>
      <c r="BJ570">
        <v>0</v>
      </c>
      <c r="BK570">
        <v>402</v>
      </c>
      <c r="BL570">
        <v>1309</v>
      </c>
      <c r="BM570">
        <v>0</v>
      </c>
      <c r="BN570">
        <v>0</v>
      </c>
      <c r="BO570">
        <v>0</v>
      </c>
      <c r="BP570">
        <v>2346</v>
      </c>
      <c r="BQ570">
        <v>2346</v>
      </c>
      <c r="BR570">
        <f t="shared" si="90"/>
        <v>0</v>
      </c>
      <c r="BS570">
        <f t="shared" si="91"/>
        <v>432</v>
      </c>
    </row>
    <row r="571" spans="1:74" x14ac:dyDescent="0.25">
      <c r="A571" s="5" t="s">
        <v>1661</v>
      </c>
      <c r="B571" s="5" t="s">
        <v>207</v>
      </c>
      <c r="C571" s="5" t="s">
        <v>207</v>
      </c>
      <c r="D571" s="1" t="s">
        <v>165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140</v>
      </c>
      <c r="K571">
        <v>0</v>
      </c>
      <c r="L571">
        <v>35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8" t="e">
        <f t="shared" si="82"/>
        <v>#DIV/0!</v>
      </c>
      <c r="T571" s="17" t="e">
        <f t="shared" si="83"/>
        <v>#DIV/0!</v>
      </c>
      <c r="U571" s="17" t="e">
        <f t="shared" si="84"/>
        <v>#DIV/0!</v>
      </c>
      <c r="V571" s="17" t="e">
        <f t="shared" si="85"/>
        <v>#DIV/0!</v>
      </c>
      <c r="W571" s="17" t="e">
        <f t="shared" si="86"/>
        <v>#DIV/0!</v>
      </c>
      <c r="X571" s="17" t="e">
        <f t="shared" si="87"/>
        <v>#DIV/0!</v>
      </c>
      <c r="Y571" s="19" t="e">
        <f t="shared" si="88"/>
        <v>#DIV/0!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140</v>
      </c>
      <c r="AL571">
        <v>140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35</v>
      </c>
      <c r="BA571">
        <v>35</v>
      </c>
      <c r="BB571">
        <v>0</v>
      </c>
      <c r="BC571">
        <v>0</v>
      </c>
      <c r="BD571">
        <v>0</v>
      </c>
      <c r="BE571">
        <f t="shared" si="89"/>
        <v>350</v>
      </c>
      <c r="BF571">
        <v>175</v>
      </c>
      <c r="BG571">
        <v>175</v>
      </c>
      <c r="BH571" t="s">
        <v>199</v>
      </c>
      <c r="BI571" t="s">
        <v>1840</v>
      </c>
      <c r="BJ571">
        <v>0</v>
      </c>
      <c r="BK571">
        <v>175</v>
      </c>
      <c r="BL571">
        <v>175</v>
      </c>
      <c r="BM571">
        <v>0</v>
      </c>
      <c r="BN571">
        <v>0</v>
      </c>
      <c r="BO571">
        <v>0</v>
      </c>
      <c r="BP571">
        <v>175</v>
      </c>
      <c r="BQ571">
        <v>175</v>
      </c>
      <c r="BR571">
        <f t="shared" si="90"/>
        <v>0</v>
      </c>
      <c r="BS571">
        <f t="shared" si="91"/>
        <v>0</v>
      </c>
    </row>
    <row r="572" spans="1:74" x14ac:dyDescent="0.25">
      <c r="A572" s="5" t="s">
        <v>1661</v>
      </c>
      <c r="B572" s="5" t="s">
        <v>207</v>
      </c>
      <c r="C572" s="5" t="s">
        <v>207</v>
      </c>
      <c r="D572" s="1" t="s">
        <v>171</v>
      </c>
      <c r="E572">
        <v>0</v>
      </c>
      <c r="F572">
        <v>443</v>
      </c>
      <c r="G572">
        <v>0</v>
      </c>
      <c r="H572">
        <v>0</v>
      </c>
      <c r="I572">
        <v>150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1233</v>
      </c>
      <c r="Q572">
        <v>137</v>
      </c>
      <c r="R572">
        <v>137</v>
      </c>
      <c r="S572" s="18">
        <f t="shared" si="82"/>
        <v>9</v>
      </c>
      <c r="T572" s="17">
        <f t="shared" si="83"/>
        <v>0</v>
      </c>
      <c r="U572" s="17">
        <f t="shared" si="84"/>
        <v>0</v>
      </c>
      <c r="V572" s="17">
        <f t="shared" si="85"/>
        <v>0</v>
      </c>
      <c r="W572" s="17">
        <f t="shared" si="86"/>
        <v>137</v>
      </c>
      <c r="X572" s="17">
        <f t="shared" si="87"/>
        <v>0</v>
      </c>
      <c r="Y572" s="19" t="e">
        <f t="shared" si="88"/>
        <v>#DIV/0!</v>
      </c>
      <c r="Z572">
        <v>443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150</v>
      </c>
      <c r="AH572">
        <v>150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f t="shared" si="89"/>
        <v>300</v>
      </c>
      <c r="BF572">
        <v>593</v>
      </c>
      <c r="BG572">
        <v>593</v>
      </c>
      <c r="BH572" t="s">
        <v>109</v>
      </c>
      <c r="BI572" t="s">
        <v>1843</v>
      </c>
      <c r="BJ572">
        <v>0</v>
      </c>
      <c r="BK572">
        <v>150</v>
      </c>
      <c r="BL572">
        <v>593</v>
      </c>
      <c r="BM572">
        <v>0</v>
      </c>
      <c r="BN572">
        <v>0</v>
      </c>
      <c r="BO572">
        <v>0</v>
      </c>
      <c r="BP572">
        <v>1383</v>
      </c>
      <c r="BQ572">
        <v>1383</v>
      </c>
      <c r="BR572">
        <f t="shared" si="90"/>
        <v>0</v>
      </c>
      <c r="BS572">
        <f t="shared" si="91"/>
        <v>274</v>
      </c>
    </row>
    <row r="573" spans="1:74" x14ac:dyDescent="0.25">
      <c r="A573" s="5" t="s">
        <v>1135</v>
      </c>
      <c r="B573" s="5" t="s">
        <v>207</v>
      </c>
      <c r="C573" s="5" t="s">
        <v>61</v>
      </c>
      <c r="D573" s="1" t="s">
        <v>90</v>
      </c>
      <c r="E573">
        <v>0</v>
      </c>
      <c r="F573">
        <v>3000</v>
      </c>
      <c r="G573">
        <v>1450</v>
      </c>
      <c r="H573">
        <v>0</v>
      </c>
      <c r="I573">
        <v>250</v>
      </c>
      <c r="J573">
        <v>7943</v>
      </c>
      <c r="K573">
        <v>120</v>
      </c>
      <c r="L573">
        <v>0</v>
      </c>
      <c r="M573">
        <v>0</v>
      </c>
      <c r="N573">
        <v>0</v>
      </c>
      <c r="O573">
        <v>0</v>
      </c>
      <c r="P573">
        <v>1980</v>
      </c>
      <c r="Q573">
        <v>520</v>
      </c>
      <c r="R573">
        <v>220</v>
      </c>
      <c r="S573" s="18">
        <f t="shared" si="82"/>
        <v>9</v>
      </c>
      <c r="T573" s="17">
        <f t="shared" si="83"/>
        <v>0</v>
      </c>
      <c r="U573" s="17">
        <f t="shared" si="84"/>
        <v>0</v>
      </c>
      <c r="V573" s="17">
        <f t="shared" si="85"/>
        <v>0</v>
      </c>
      <c r="W573" s="17">
        <f t="shared" si="86"/>
        <v>220</v>
      </c>
      <c r="X573" s="17">
        <f t="shared" si="87"/>
        <v>300</v>
      </c>
      <c r="Y573" s="19">
        <f t="shared" si="88"/>
        <v>0</v>
      </c>
      <c r="Z573">
        <v>3000</v>
      </c>
      <c r="AA573">
        <v>0</v>
      </c>
      <c r="AB573">
        <v>0</v>
      </c>
      <c r="AC573">
        <v>365</v>
      </c>
      <c r="AD573">
        <v>0</v>
      </c>
      <c r="AE573">
        <v>250</v>
      </c>
      <c r="AF573">
        <v>0</v>
      </c>
      <c r="AG573">
        <v>0</v>
      </c>
      <c r="AH573">
        <v>250</v>
      </c>
      <c r="AI573">
        <v>0</v>
      </c>
      <c r="AJ573">
        <v>7943</v>
      </c>
      <c r="AK573">
        <v>0</v>
      </c>
      <c r="AL573">
        <v>7943</v>
      </c>
      <c r="AM573">
        <v>0</v>
      </c>
      <c r="AN573">
        <v>120</v>
      </c>
      <c r="AO573">
        <v>0</v>
      </c>
      <c r="AP573">
        <v>120</v>
      </c>
      <c r="AQ573">
        <v>120</v>
      </c>
      <c r="AR573">
        <v>0</v>
      </c>
      <c r="AS573">
        <v>1450</v>
      </c>
      <c r="AT573">
        <v>0</v>
      </c>
      <c r="AU573">
        <v>1450</v>
      </c>
      <c r="AV573">
        <v>1450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f t="shared" si="89"/>
        <v>21461</v>
      </c>
      <c r="BF573">
        <v>13128</v>
      </c>
      <c r="BG573">
        <v>13128</v>
      </c>
      <c r="BH573" t="s">
        <v>543</v>
      </c>
      <c r="BI573" t="s">
        <v>1209</v>
      </c>
      <c r="BJ573">
        <v>365</v>
      </c>
      <c r="BK573">
        <v>9763</v>
      </c>
      <c r="BL573">
        <v>13128</v>
      </c>
      <c r="BM573">
        <v>0</v>
      </c>
      <c r="BN573">
        <v>9763</v>
      </c>
      <c r="BO573">
        <v>0</v>
      </c>
      <c r="BP573">
        <v>1980</v>
      </c>
      <c r="BQ573">
        <v>11743</v>
      </c>
      <c r="BR573">
        <f t="shared" si="90"/>
        <v>-300</v>
      </c>
      <c r="BS573">
        <f t="shared" si="91"/>
        <v>740</v>
      </c>
      <c r="BU573">
        <f>R573*9</f>
        <v>1980</v>
      </c>
      <c r="BV573">
        <f>IF(BU573&gt;BG573, 1, 0)</f>
        <v>0</v>
      </c>
    </row>
    <row r="574" spans="1:74" x14ac:dyDescent="0.25">
      <c r="A574" s="5" t="s">
        <v>1661</v>
      </c>
      <c r="B574" s="5" t="s">
        <v>359</v>
      </c>
      <c r="C574" s="5" t="s">
        <v>61</v>
      </c>
      <c r="D574" s="1" t="s">
        <v>69</v>
      </c>
      <c r="E574">
        <v>0</v>
      </c>
      <c r="F574">
        <v>427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3204</v>
      </c>
      <c r="Q574">
        <v>356</v>
      </c>
      <c r="R574">
        <v>356</v>
      </c>
      <c r="S574" s="18">
        <f t="shared" si="82"/>
        <v>9</v>
      </c>
      <c r="T574" s="17">
        <f t="shared" si="83"/>
        <v>0</v>
      </c>
      <c r="U574" s="17">
        <f t="shared" si="84"/>
        <v>0</v>
      </c>
      <c r="V574" s="17">
        <f t="shared" si="85"/>
        <v>0</v>
      </c>
      <c r="W574" s="17">
        <f t="shared" si="86"/>
        <v>356</v>
      </c>
      <c r="X574" s="17">
        <f t="shared" si="87"/>
        <v>0</v>
      </c>
      <c r="Y574" s="19" t="e">
        <f t="shared" si="88"/>
        <v>#DIV/0!</v>
      </c>
      <c r="Z574">
        <v>427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f t="shared" si="89"/>
        <v>0</v>
      </c>
      <c r="BF574">
        <v>427</v>
      </c>
      <c r="BG574">
        <v>427</v>
      </c>
      <c r="BH574" t="s">
        <v>109</v>
      </c>
      <c r="BI574" t="s">
        <v>1678</v>
      </c>
      <c r="BJ574">
        <v>0</v>
      </c>
      <c r="BK574">
        <v>0</v>
      </c>
      <c r="BL574">
        <v>427</v>
      </c>
      <c r="BM574">
        <v>0</v>
      </c>
      <c r="BN574">
        <v>0</v>
      </c>
      <c r="BO574">
        <v>0</v>
      </c>
      <c r="BP574">
        <v>3204</v>
      </c>
      <c r="BQ574">
        <v>3204</v>
      </c>
      <c r="BR574">
        <f t="shared" si="90"/>
        <v>0</v>
      </c>
      <c r="BS574">
        <f t="shared" si="91"/>
        <v>712</v>
      </c>
    </row>
    <row r="575" spans="1:74" x14ac:dyDescent="0.25">
      <c r="A575" s="5" t="s">
        <v>1661</v>
      </c>
      <c r="B575" s="5" t="s">
        <v>359</v>
      </c>
      <c r="C575" s="5" t="s">
        <v>61</v>
      </c>
      <c r="D575" s="1" t="s">
        <v>73</v>
      </c>
      <c r="E575">
        <v>0</v>
      </c>
      <c r="F575">
        <v>460</v>
      </c>
      <c r="G575">
        <v>0</v>
      </c>
      <c r="H575">
        <v>0</v>
      </c>
      <c r="I575">
        <v>385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2070</v>
      </c>
      <c r="Q575">
        <v>230</v>
      </c>
      <c r="R575">
        <v>230</v>
      </c>
      <c r="S575" s="18">
        <f t="shared" si="82"/>
        <v>9</v>
      </c>
      <c r="T575" s="17">
        <f t="shared" si="83"/>
        <v>0</v>
      </c>
      <c r="U575" s="17">
        <f t="shared" si="84"/>
        <v>0</v>
      </c>
      <c r="V575" s="17">
        <f t="shared" si="85"/>
        <v>0</v>
      </c>
      <c r="W575" s="17">
        <f t="shared" si="86"/>
        <v>230</v>
      </c>
      <c r="X575" s="17">
        <f t="shared" si="87"/>
        <v>0</v>
      </c>
      <c r="Y575" s="19" t="e">
        <f t="shared" si="88"/>
        <v>#DIV/0!</v>
      </c>
      <c r="Z575">
        <v>460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385</v>
      </c>
      <c r="AH575">
        <v>385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f t="shared" si="89"/>
        <v>770</v>
      </c>
      <c r="BF575">
        <v>845</v>
      </c>
      <c r="BG575">
        <v>845</v>
      </c>
      <c r="BH575" t="s">
        <v>109</v>
      </c>
      <c r="BI575" t="s">
        <v>1857</v>
      </c>
      <c r="BJ575">
        <v>0</v>
      </c>
      <c r="BK575">
        <v>385</v>
      </c>
      <c r="BL575">
        <v>845</v>
      </c>
      <c r="BM575">
        <v>0</v>
      </c>
      <c r="BN575">
        <v>0</v>
      </c>
      <c r="BO575">
        <v>0</v>
      </c>
      <c r="BP575">
        <v>2455</v>
      </c>
      <c r="BQ575">
        <v>2455</v>
      </c>
      <c r="BR575">
        <f t="shared" si="90"/>
        <v>0</v>
      </c>
      <c r="BS575">
        <f t="shared" si="91"/>
        <v>460</v>
      </c>
    </row>
    <row r="576" spans="1:74" x14ac:dyDescent="0.25">
      <c r="A576" s="5" t="s">
        <v>1661</v>
      </c>
      <c r="B576" s="5" t="s">
        <v>359</v>
      </c>
      <c r="C576" s="5" t="s">
        <v>61</v>
      </c>
      <c r="D576" s="1" t="s">
        <v>75</v>
      </c>
      <c r="E576">
        <v>0</v>
      </c>
      <c r="F576">
        <v>150</v>
      </c>
      <c r="G576">
        <v>0</v>
      </c>
      <c r="H576">
        <v>0</v>
      </c>
      <c r="I576">
        <v>180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1152</v>
      </c>
      <c r="Q576">
        <v>128</v>
      </c>
      <c r="R576">
        <v>128</v>
      </c>
      <c r="S576" s="18">
        <f t="shared" si="82"/>
        <v>9</v>
      </c>
      <c r="T576" s="17">
        <f t="shared" si="83"/>
        <v>0</v>
      </c>
      <c r="U576" s="17">
        <f t="shared" si="84"/>
        <v>0</v>
      </c>
      <c r="V576" s="17">
        <f t="shared" si="85"/>
        <v>0</v>
      </c>
      <c r="W576" s="17">
        <f t="shared" si="86"/>
        <v>128</v>
      </c>
      <c r="X576" s="17">
        <f t="shared" si="87"/>
        <v>0</v>
      </c>
      <c r="Y576" s="19" t="e">
        <f t="shared" si="88"/>
        <v>#DIV/0!</v>
      </c>
      <c r="Z576">
        <v>150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180</v>
      </c>
      <c r="AH576">
        <v>180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f t="shared" si="89"/>
        <v>360</v>
      </c>
      <c r="BF576">
        <v>330</v>
      </c>
      <c r="BG576">
        <v>330</v>
      </c>
      <c r="BH576" t="s">
        <v>109</v>
      </c>
      <c r="BI576" t="s">
        <v>1858</v>
      </c>
      <c r="BJ576">
        <v>0</v>
      </c>
      <c r="BK576">
        <v>180</v>
      </c>
      <c r="BL576">
        <v>330</v>
      </c>
      <c r="BM576">
        <v>0</v>
      </c>
      <c r="BN576">
        <v>0</v>
      </c>
      <c r="BO576">
        <v>0</v>
      </c>
      <c r="BP576">
        <v>1332</v>
      </c>
      <c r="BQ576">
        <v>1332</v>
      </c>
      <c r="BR576">
        <f t="shared" si="90"/>
        <v>0</v>
      </c>
      <c r="BS576">
        <f t="shared" si="91"/>
        <v>256</v>
      </c>
    </row>
    <row r="577" spans="1:71" x14ac:dyDescent="0.25">
      <c r="A577" s="5" t="s">
        <v>1661</v>
      </c>
      <c r="B577" s="5" t="s">
        <v>359</v>
      </c>
      <c r="C577" s="5" t="s">
        <v>61</v>
      </c>
      <c r="D577" s="1" t="s">
        <v>77</v>
      </c>
      <c r="E577">
        <v>0</v>
      </c>
      <c r="F577">
        <v>5277</v>
      </c>
      <c r="G577">
        <v>0</v>
      </c>
      <c r="H577">
        <v>0</v>
      </c>
      <c r="I577">
        <v>285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5391</v>
      </c>
      <c r="Q577">
        <v>599</v>
      </c>
      <c r="R577">
        <v>599</v>
      </c>
      <c r="S577" s="18">
        <f t="shared" si="82"/>
        <v>9</v>
      </c>
      <c r="T577" s="17">
        <f t="shared" si="83"/>
        <v>0</v>
      </c>
      <c r="U577" s="17">
        <f t="shared" si="84"/>
        <v>0</v>
      </c>
      <c r="V577" s="17">
        <f t="shared" si="85"/>
        <v>0</v>
      </c>
      <c r="W577" s="17">
        <f t="shared" si="86"/>
        <v>599</v>
      </c>
      <c r="X577" s="17">
        <f t="shared" si="87"/>
        <v>0</v>
      </c>
      <c r="Y577" s="19" t="e">
        <f t="shared" si="88"/>
        <v>#DIV/0!</v>
      </c>
      <c r="Z577">
        <v>5277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285</v>
      </c>
      <c r="AH577">
        <v>285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f t="shared" si="89"/>
        <v>570</v>
      </c>
      <c r="BF577">
        <v>5562</v>
      </c>
      <c r="BG577">
        <v>5562</v>
      </c>
      <c r="BH577" t="s">
        <v>109</v>
      </c>
      <c r="BI577" t="s">
        <v>1859</v>
      </c>
      <c r="BJ577">
        <v>0</v>
      </c>
      <c r="BK577">
        <v>285</v>
      </c>
      <c r="BL577">
        <v>5562</v>
      </c>
      <c r="BM577">
        <v>0</v>
      </c>
      <c r="BN577">
        <v>0</v>
      </c>
      <c r="BO577">
        <v>0</v>
      </c>
      <c r="BP577">
        <v>5676</v>
      </c>
      <c r="BQ577">
        <v>5676</v>
      </c>
      <c r="BR577">
        <f t="shared" si="90"/>
        <v>0</v>
      </c>
      <c r="BS577">
        <f t="shared" si="91"/>
        <v>1198</v>
      </c>
    </row>
    <row r="578" spans="1:71" x14ac:dyDescent="0.25">
      <c r="A578" s="5" t="s">
        <v>1661</v>
      </c>
      <c r="B578" s="5" t="s">
        <v>359</v>
      </c>
      <c r="C578" s="5" t="s">
        <v>61</v>
      </c>
      <c r="D578" s="1" t="s">
        <v>79</v>
      </c>
      <c r="E578">
        <v>0</v>
      </c>
      <c r="F578">
        <v>5968</v>
      </c>
      <c r="G578">
        <v>0</v>
      </c>
      <c r="H578">
        <v>0</v>
      </c>
      <c r="I578">
        <v>155</v>
      </c>
      <c r="J578">
        <v>0</v>
      </c>
      <c r="K578">
        <v>1595</v>
      </c>
      <c r="L578">
        <v>0</v>
      </c>
      <c r="M578">
        <v>0</v>
      </c>
      <c r="N578">
        <v>0</v>
      </c>
      <c r="O578">
        <v>0</v>
      </c>
      <c r="P578">
        <v>13392</v>
      </c>
      <c r="Q578">
        <v>1488</v>
      </c>
      <c r="R578">
        <v>1488</v>
      </c>
      <c r="S578" s="18">
        <f t="shared" ref="S578:S641" si="92">(M578+N578+O578+P578)/R578</f>
        <v>9</v>
      </c>
      <c r="T578" s="17">
        <f t="shared" ref="T578:T641" si="93">M578/$S578</f>
        <v>0</v>
      </c>
      <c r="U578" s="17">
        <f t="shared" ref="U578:U641" si="94">N578/$S578</f>
        <v>0</v>
      </c>
      <c r="V578" s="17">
        <f t="shared" ref="V578:V641" si="95">O578/$S578</f>
        <v>0</v>
      </c>
      <c r="W578" s="17">
        <f t="shared" ref="W578:W641" si="96">P578/$S578</f>
        <v>1488</v>
      </c>
      <c r="X578" s="17">
        <f t="shared" ref="X578:X641" si="97">Q578-T578-U578-W578</f>
        <v>0</v>
      </c>
      <c r="Y578" s="19" t="e">
        <f t="shared" ref="Y578:Y641" si="98">V578/X578</f>
        <v>#DIV/0!</v>
      </c>
      <c r="Z578">
        <v>5968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155</v>
      </c>
      <c r="AH578">
        <v>155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1595</v>
      </c>
      <c r="AP578">
        <v>1553</v>
      </c>
      <c r="AQ578">
        <v>1595</v>
      </c>
      <c r="AR578">
        <v>42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f t="shared" ref="BE578:BE641" si="99">SUM(AC578:BD578)</f>
        <v>5095</v>
      </c>
      <c r="BF578">
        <v>7718</v>
      </c>
      <c r="BG578">
        <v>7718</v>
      </c>
      <c r="BH578" t="s">
        <v>109</v>
      </c>
      <c r="BI578" t="s">
        <v>1860</v>
      </c>
      <c r="BJ578">
        <v>0</v>
      </c>
      <c r="BK578">
        <v>1750</v>
      </c>
      <c r="BL578">
        <v>7718</v>
      </c>
      <c r="BM578">
        <v>0</v>
      </c>
      <c r="BN578">
        <v>0</v>
      </c>
      <c r="BO578">
        <v>0</v>
      </c>
      <c r="BP578">
        <v>15142</v>
      </c>
      <c r="BQ578">
        <v>15142</v>
      </c>
      <c r="BR578">
        <f t="shared" ref="BR578:BR641" si="100">R578-Q578</f>
        <v>0</v>
      </c>
      <c r="BS578">
        <f t="shared" ref="BS578:BS641" si="101">R578+Q578</f>
        <v>2976</v>
      </c>
    </row>
    <row r="579" spans="1:71" x14ac:dyDescent="0.25">
      <c r="A579" s="5" t="s">
        <v>1661</v>
      </c>
      <c r="B579" s="5" t="s">
        <v>359</v>
      </c>
      <c r="C579" s="5" t="s">
        <v>61</v>
      </c>
      <c r="D579" s="1" t="s">
        <v>81</v>
      </c>
      <c r="E579">
        <v>0</v>
      </c>
      <c r="F579">
        <v>9000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5292</v>
      </c>
      <c r="Q579">
        <v>588</v>
      </c>
      <c r="R579">
        <v>588</v>
      </c>
      <c r="S579" s="18">
        <f t="shared" si="92"/>
        <v>9</v>
      </c>
      <c r="T579" s="17">
        <f t="shared" si="93"/>
        <v>0</v>
      </c>
      <c r="U579" s="17">
        <f t="shared" si="94"/>
        <v>0</v>
      </c>
      <c r="V579" s="17">
        <f t="shared" si="95"/>
        <v>0</v>
      </c>
      <c r="W579" s="17">
        <f t="shared" si="96"/>
        <v>588</v>
      </c>
      <c r="X579" s="17">
        <f t="shared" si="97"/>
        <v>0</v>
      </c>
      <c r="Y579" s="19" t="e">
        <f t="shared" si="98"/>
        <v>#DIV/0!</v>
      </c>
      <c r="Z579">
        <v>9000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f t="shared" si="99"/>
        <v>0</v>
      </c>
      <c r="BF579">
        <v>9000</v>
      </c>
      <c r="BG579">
        <v>9000</v>
      </c>
      <c r="BH579" t="s">
        <v>109</v>
      </c>
      <c r="BI579" t="s">
        <v>1861</v>
      </c>
      <c r="BJ579">
        <v>0</v>
      </c>
      <c r="BK579">
        <v>0</v>
      </c>
      <c r="BL579">
        <v>9000</v>
      </c>
      <c r="BM579">
        <v>0</v>
      </c>
      <c r="BN579">
        <v>0</v>
      </c>
      <c r="BO579">
        <v>0</v>
      </c>
      <c r="BP579">
        <v>5292</v>
      </c>
      <c r="BQ579">
        <v>5292</v>
      </c>
      <c r="BR579">
        <f t="shared" si="100"/>
        <v>0</v>
      </c>
      <c r="BS579">
        <f t="shared" si="101"/>
        <v>1176</v>
      </c>
    </row>
    <row r="580" spans="1:71" x14ac:dyDescent="0.25">
      <c r="A580" s="5" t="s">
        <v>1661</v>
      </c>
      <c r="B580" s="5" t="s">
        <v>359</v>
      </c>
      <c r="C580" s="5" t="s">
        <v>61</v>
      </c>
      <c r="D580" s="1" t="s">
        <v>84</v>
      </c>
      <c r="E580">
        <v>0</v>
      </c>
      <c r="F580">
        <v>103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774</v>
      </c>
      <c r="Q580">
        <v>86</v>
      </c>
      <c r="R580">
        <v>86</v>
      </c>
      <c r="S580" s="18">
        <f t="shared" si="92"/>
        <v>9</v>
      </c>
      <c r="T580" s="17">
        <f t="shared" si="93"/>
        <v>0</v>
      </c>
      <c r="U580" s="17">
        <f t="shared" si="94"/>
        <v>0</v>
      </c>
      <c r="V580" s="17">
        <f t="shared" si="95"/>
        <v>0</v>
      </c>
      <c r="W580" s="17">
        <f t="shared" si="96"/>
        <v>86</v>
      </c>
      <c r="X580" s="17">
        <f t="shared" si="97"/>
        <v>0</v>
      </c>
      <c r="Y580" s="19" t="e">
        <f t="shared" si="98"/>
        <v>#DIV/0!</v>
      </c>
      <c r="Z580">
        <v>103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f t="shared" si="99"/>
        <v>0</v>
      </c>
      <c r="BF580">
        <v>103</v>
      </c>
      <c r="BG580">
        <v>103</v>
      </c>
      <c r="BH580" t="s">
        <v>109</v>
      </c>
      <c r="BI580" t="s">
        <v>1862</v>
      </c>
      <c r="BJ580">
        <v>0</v>
      </c>
      <c r="BK580">
        <v>0</v>
      </c>
      <c r="BL580">
        <v>103</v>
      </c>
      <c r="BM580">
        <v>0</v>
      </c>
      <c r="BN580">
        <v>0</v>
      </c>
      <c r="BO580">
        <v>0</v>
      </c>
      <c r="BP580">
        <v>774</v>
      </c>
      <c r="BQ580">
        <v>774</v>
      </c>
      <c r="BR580">
        <f t="shared" si="100"/>
        <v>0</v>
      </c>
      <c r="BS580">
        <f t="shared" si="101"/>
        <v>172</v>
      </c>
    </row>
    <row r="581" spans="1:71" x14ac:dyDescent="0.25">
      <c r="A581" s="5" t="s">
        <v>1661</v>
      </c>
      <c r="B581" s="5" t="s">
        <v>359</v>
      </c>
      <c r="C581" s="5" t="s">
        <v>61</v>
      </c>
      <c r="D581" s="1" t="s">
        <v>86</v>
      </c>
      <c r="E581">
        <v>0</v>
      </c>
      <c r="F581">
        <v>222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1665</v>
      </c>
      <c r="Q581">
        <v>185</v>
      </c>
      <c r="R581">
        <v>185</v>
      </c>
      <c r="S581" s="18">
        <f t="shared" si="92"/>
        <v>9</v>
      </c>
      <c r="T581" s="17">
        <f t="shared" si="93"/>
        <v>0</v>
      </c>
      <c r="U581" s="17">
        <f t="shared" si="94"/>
        <v>0</v>
      </c>
      <c r="V581" s="17">
        <f t="shared" si="95"/>
        <v>0</v>
      </c>
      <c r="W581" s="17">
        <f t="shared" si="96"/>
        <v>185</v>
      </c>
      <c r="X581" s="17">
        <f t="shared" si="97"/>
        <v>0</v>
      </c>
      <c r="Y581" s="19" t="e">
        <f t="shared" si="98"/>
        <v>#DIV/0!</v>
      </c>
      <c r="Z581">
        <v>222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f t="shared" si="99"/>
        <v>0</v>
      </c>
      <c r="BF581">
        <v>222</v>
      </c>
      <c r="BG581">
        <v>222</v>
      </c>
      <c r="BH581" t="s">
        <v>109</v>
      </c>
      <c r="BI581" t="s">
        <v>1863</v>
      </c>
      <c r="BJ581">
        <v>0</v>
      </c>
      <c r="BK581">
        <v>0</v>
      </c>
      <c r="BL581">
        <v>222</v>
      </c>
      <c r="BM581">
        <v>0</v>
      </c>
      <c r="BN581">
        <v>0</v>
      </c>
      <c r="BO581">
        <v>0</v>
      </c>
      <c r="BP581">
        <v>1665</v>
      </c>
      <c r="BQ581">
        <v>1665</v>
      </c>
      <c r="BR581">
        <f t="shared" si="100"/>
        <v>0</v>
      </c>
      <c r="BS581">
        <f t="shared" si="101"/>
        <v>370</v>
      </c>
    </row>
    <row r="582" spans="1:71" x14ac:dyDescent="0.25">
      <c r="A582" s="5" t="s">
        <v>1661</v>
      </c>
      <c r="B582" s="5" t="s">
        <v>359</v>
      </c>
      <c r="C582" s="5" t="s">
        <v>61</v>
      </c>
      <c r="D582" s="1" t="s">
        <v>88</v>
      </c>
      <c r="E582">
        <v>0</v>
      </c>
      <c r="F582">
        <v>205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1233</v>
      </c>
      <c r="Q582">
        <v>137</v>
      </c>
      <c r="R582">
        <v>137</v>
      </c>
      <c r="S582" s="18">
        <f t="shared" si="92"/>
        <v>9</v>
      </c>
      <c r="T582" s="17">
        <f t="shared" si="93"/>
        <v>0</v>
      </c>
      <c r="U582" s="17">
        <f t="shared" si="94"/>
        <v>0</v>
      </c>
      <c r="V582" s="17">
        <f t="shared" si="95"/>
        <v>0</v>
      </c>
      <c r="W582" s="17">
        <f t="shared" si="96"/>
        <v>137</v>
      </c>
      <c r="X582" s="17">
        <f t="shared" si="97"/>
        <v>0</v>
      </c>
      <c r="Y582" s="19" t="e">
        <f t="shared" si="98"/>
        <v>#DIV/0!</v>
      </c>
      <c r="Z582">
        <v>205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f t="shared" si="99"/>
        <v>0</v>
      </c>
      <c r="BF582">
        <v>205</v>
      </c>
      <c r="BG582">
        <v>205</v>
      </c>
      <c r="BH582" t="s">
        <v>109</v>
      </c>
      <c r="BI582" t="s">
        <v>1864</v>
      </c>
      <c r="BJ582">
        <v>0</v>
      </c>
      <c r="BK582">
        <v>0</v>
      </c>
      <c r="BL582">
        <v>205</v>
      </c>
      <c r="BM582">
        <v>0</v>
      </c>
      <c r="BN582">
        <v>0</v>
      </c>
      <c r="BO582">
        <v>0</v>
      </c>
      <c r="BP582">
        <v>1233</v>
      </c>
      <c r="BQ582">
        <v>1233</v>
      </c>
      <c r="BR582">
        <f t="shared" si="100"/>
        <v>0</v>
      </c>
      <c r="BS582">
        <f t="shared" si="101"/>
        <v>274</v>
      </c>
    </row>
    <row r="583" spans="1:71" x14ac:dyDescent="0.25">
      <c r="A583" s="5" t="s">
        <v>1661</v>
      </c>
      <c r="B583" s="5" t="s">
        <v>359</v>
      </c>
      <c r="C583" s="5" t="s">
        <v>61</v>
      </c>
      <c r="D583" s="1" t="s">
        <v>90</v>
      </c>
      <c r="E583">
        <v>0</v>
      </c>
      <c r="F583">
        <v>110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360</v>
      </c>
      <c r="N583">
        <v>0</v>
      </c>
      <c r="O583">
        <v>0</v>
      </c>
      <c r="P583">
        <v>0</v>
      </c>
      <c r="Q583">
        <v>40</v>
      </c>
      <c r="R583">
        <v>40</v>
      </c>
      <c r="S583" s="18">
        <f t="shared" si="92"/>
        <v>9</v>
      </c>
      <c r="T583" s="17">
        <f t="shared" si="93"/>
        <v>40</v>
      </c>
      <c r="U583" s="17">
        <f t="shared" si="94"/>
        <v>0</v>
      </c>
      <c r="V583" s="17">
        <f t="shared" si="95"/>
        <v>0</v>
      </c>
      <c r="W583" s="17">
        <f t="shared" si="96"/>
        <v>0</v>
      </c>
      <c r="X583" s="17">
        <f t="shared" si="97"/>
        <v>0</v>
      </c>
      <c r="Y583" s="19" t="e">
        <f t="shared" si="98"/>
        <v>#DIV/0!</v>
      </c>
      <c r="Z583">
        <v>110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f t="shared" si="99"/>
        <v>0</v>
      </c>
      <c r="BF583">
        <v>110</v>
      </c>
      <c r="BG583">
        <v>110</v>
      </c>
      <c r="BH583" t="s">
        <v>190</v>
      </c>
      <c r="BI583" t="s">
        <v>1865</v>
      </c>
      <c r="BJ583">
        <v>0</v>
      </c>
      <c r="BK583">
        <v>0</v>
      </c>
      <c r="BL583">
        <v>110</v>
      </c>
      <c r="BM583">
        <v>360</v>
      </c>
      <c r="BN583">
        <v>0</v>
      </c>
      <c r="BO583">
        <v>0</v>
      </c>
      <c r="BP583">
        <v>0</v>
      </c>
      <c r="BQ583">
        <v>360</v>
      </c>
      <c r="BR583">
        <f t="shared" si="100"/>
        <v>0</v>
      </c>
      <c r="BS583">
        <f t="shared" si="101"/>
        <v>80</v>
      </c>
    </row>
    <row r="584" spans="1:71" x14ac:dyDescent="0.25">
      <c r="A584" s="5" t="s">
        <v>1661</v>
      </c>
      <c r="B584" s="5" t="s">
        <v>359</v>
      </c>
      <c r="C584" s="5" t="s">
        <v>61</v>
      </c>
      <c r="D584" s="1" t="s">
        <v>92</v>
      </c>
      <c r="E584">
        <v>0</v>
      </c>
      <c r="F584">
        <v>1603</v>
      </c>
      <c r="G584">
        <v>0</v>
      </c>
      <c r="H584">
        <v>0</v>
      </c>
      <c r="I584">
        <v>48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2376</v>
      </c>
      <c r="Q584">
        <v>264</v>
      </c>
      <c r="R584">
        <v>264</v>
      </c>
      <c r="S584" s="18">
        <f t="shared" si="92"/>
        <v>9</v>
      </c>
      <c r="T584" s="17">
        <f t="shared" si="93"/>
        <v>0</v>
      </c>
      <c r="U584" s="17">
        <f t="shared" si="94"/>
        <v>0</v>
      </c>
      <c r="V584" s="17">
        <f t="shared" si="95"/>
        <v>0</v>
      </c>
      <c r="W584" s="17">
        <f t="shared" si="96"/>
        <v>264</v>
      </c>
      <c r="X584" s="17">
        <f t="shared" si="97"/>
        <v>0</v>
      </c>
      <c r="Y584" s="19" t="e">
        <f t="shared" si="98"/>
        <v>#DIV/0!</v>
      </c>
      <c r="Z584">
        <v>1603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48</v>
      </c>
      <c r="AH584">
        <v>48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f t="shared" si="99"/>
        <v>96</v>
      </c>
      <c r="BF584">
        <v>1854</v>
      </c>
      <c r="BG584">
        <v>1854</v>
      </c>
      <c r="BH584" t="s">
        <v>190</v>
      </c>
      <c r="BI584" t="s">
        <v>1866</v>
      </c>
      <c r="BJ584">
        <v>0</v>
      </c>
      <c r="BK584">
        <v>48</v>
      </c>
      <c r="BL584">
        <v>1651</v>
      </c>
      <c r="BM584">
        <v>0</v>
      </c>
      <c r="BN584">
        <v>0</v>
      </c>
      <c r="BO584">
        <v>0</v>
      </c>
      <c r="BP584">
        <v>2424</v>
      </c>
      <c r="BQ584">
        <v>2424</v>
      </c>
      <c r="BR584">
        <f t="shared" si="100"/>
        <v>0</v>
      </c>
      <c r="BS584">
        <f t="shared" si="101"/>
        <v>528</v>
      </c>
    </row>
    <row r="585" spans="1:71" x14ac:dyDescent="0.25">
      <c r="A585" s="5" t="s">
        <v>1661</v>
      </c>
      <c r="B585" s="5" t="s">
        <v>359</v>
      </c>
      <c r="C585" s="5" t="s">
        <v>61</v>
      </c>
      <c r="D585" s="1" t="s">
        <v>94</v>
      </c>
      <c r="E585">
        <v>0</v>
      </c>
      <c r="F585">
        <v>2896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2097</v>
      </c>
      <c r="Q585">
        <v>233</v>
      </c>
      <c r="R585">
        <v>233</v>
      </c>
      <c r="S585" s="18">
        <f t="shared" si="92"/>
        <v>9</v>
      </c>
      <c r="T585" s="17">
        <f t="shared" si="93"/>
        <v>0</v>
      </c>
      <c r="U585" s="17">
        <f t="shared" si="94"/>
        <v>0</v>
      </c>
      <c r="V585" s="17">
        <f t="shared" si="95"/>
        <v>0</v>
      </c>
      <c r="W585" s="17">
        <f t="shared" si="96"/>
        <v>233</v>
      </c>
      <c r="X585" s="17">
        <f t="shared" si="97"/>
        <v>0</v>
      </c>
      <c r="Y585" s="19" t="e">
        <f t="shared" si="98"/>
        <v>#DIV/0!</v>
      </c>
      <c r="Z585">
        <v>2896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f t="shared" si="99"/>
        <v>0</v>
      </c>
      <c r="BF585">
        <v>2896</v>
      </c>
      <c r="BG585">
        <v>2896</v>
      </c>
      <c r="BH585" t="s">
        <v>190</v>
      </c>
      <c r="BI585" t="s">
        <v>1867</v>
      </c>
      <c r="BJ585">
        <v>0</v>
      </c>
      <c r="BK585">
        <v>0</v>
      </c>
      <c r="BL585">
        <v>2896</v>
      </c>
      <c r="BM585">
        <v>0</v>
      </c>
      <c r="BN585">
        <v>0</v>
      </c>
      <c r="BO585">
        <v>0</v>
      </c>
      <c r="BP585">
        <v>2097</v>
      </c>
      <c r="BQ585">
        <v>2097</v>
      </c>
      <c r="BR585">
        <f t="shared" si="100"/>
        <v>0</v>
      </c>
      <c r="BS585">
        <f t="shared" si="101"/>
        <v>466</v>
      </c>
    </row>
    <row r="586" spans="1:71" x14ac:dyDescent="0.25">
      <c r="A586" s="5" t="s">
        <v>1661</v>
      </c>
      <c r="B586" s="5" t="s">
        <v>359</v>
      </c>
      <c r="C586" s="5" t="s">
        <v>61</v>
      </c>
      <c r="D586" s="1" t="s">
        <v>96</v>
      </c>
      <c r="E586">
        <v>0</v>
      </c>
      <c r="F586">
        <v>517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1188</v>
      </c>
      <c r="Q586">
        <v>132</v>
      </c>
      <c r="R586">
        <v>132</v>
      </c>
      <c r="S586" s="18">
        <f t="shared" si="92"/>
        <v>9</v>
      </c>
      <c r="T586" s="17">
        <f t="shared" si="93"/>
        <v>0</v>
      </c>
      <c r="U586" s="17">
        <f t="shared" si="94"/>
        <v>0</v>
      </c>
      <c r="V586" s="17">
        <f t="shared" si="95"/>
        <v>0</v>
      </c>
      <c r="W586" s="17">
        <f t="shared" si="96"/>
        <v>132</v>
      </c>
      <c r="X586" s="17">
        <f t="shared" si="97"/>
        <v>0</v>
      </c>
      <c r="Y586" s="19" t="e">
        <f t="shared" si="98"/>
        <v>#DIV/0!</v>
      </c>
      <c r="Z586">
        <v>517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f t="shared" si="99"/>
        <v>0</v>
      </c>
      <c r="BF586">
        <v>517</v>
      </c>
      <c r="BG586">
        <v>517</v>
      </c>
      <c r="BH586" t="s">
        <v>190</v>
      </c>
      <c r="BI586" t="s">
        <v>1868</v>
      </c>
      <c r="BJ586">
        <v>0</v>
      </c>
      <c r="BK586">
        <v>0</v>
      </c>
      <c r="BL586">
        <v>517</v>
      </c>
      <c r="BM586">
        <v>0</v>
      </c>
      <c r="BN586">
        <v>0</v>
      </c>
      <c r="BO586">
        <v>0</v>
      </c>
      <c r="BP586">
        <v>1188</v>
      </c>
      <c r="BQ586">
        <v>1188</v>
      </c>
      <c r="BR586">
        <f t="shared" si="100"/>
        <v>0</v>
      </c>
      <c r="BS586">
        <f t="shared" si="101"/>
        <v>264</v>
      </c>
    </row>
    <row r="587" spans="1:71" x14ac:dyDescent="0.25">
      <c r="A587" s="5" t="s">
        <v>1661</v>
      </c>
      <c r="B587" s="5" t="s">
        <v>359</v>
      </c>
      <c r="C587" s="5" t="s">
        <v>61</v>
      </c>
      <c r="D587" s="1" t="s">
        <v>98</v>
      </c>
      <c r="E587">
        <v>0</v>
      </c>
      <c r="F587">
        <v>436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675</v>
      </c>
      <c r="Q587">
        <v>75</v>
      </c>
      <c r="R587">
        <v>75</v>
      </c>
      <c r="S587" s="18">
        <f t="shared" si="92"/>
        <v>9</v>
      </c>
      <c r="T587" s="17">
        <f t="shared" si="93"/>
        <v>0</v>
      </c>
      <c r="U587" s="17">
        <f t="shared" si="94"/>
        <v>0</v>
      </c>
      <c r="V587" s="17">
        <f t="shared" si="95"/>
        <v>0</v>
      </c>
      <c r="W587" s="17">
        <f t="shared" si="96"/>
        <v>75</v>
      </c>
      <c r="X587" s="17">
        <f t="shared" si="97"/>
        <v>0</v>
      </c>
      <c r="Y587" s="19" t="e">
        <f t="shared" si="98"/>
        <v>#DIV/0!</v>
      </c>
      <c r="Z587">
        <v>436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f t="shared" si="99"/>
        <v>0</v>
      </c>
      <c r="BF587">
        <v>436</v>
      </c>
      <c r="BG587">
        <v>436</v>
      </c>
      <c r="BH587" t="s">
        <v>190</v>
      </c>
      <c r="BI587" t="s">
        <v>1869</v>
      </c>
      <c r="BJ587">
        <v>0</v>
      </c>
      <c r="BK587">
        <v>0</v>
      </c>
      <c r="BL587">
        <v>436</v>
      </c>
      <c r="BM587">
        <v>0</v>
      </c>
      <c r="BN587">
        <v>0</v>
      </c>
      <c r="BO587">
        <v>0</v>
      </c>
      <c r="BP587">
        <v>675</v>
      </c>
      <c r="BQ587">
        <v>675</v>
      </c>
      <c r="BR587">
        <f t="shared" si="100"/>
        <v>0</v>
      </c>
      <c r="BS587">
        <f t="shared" si="101"/>
        <v>150</v>
      </c>
    </row>
    <row r="588" spans="1:71" x14ac:dyDescent="0.25">
      <c r="A588" s="5" t="s">
        <v>1661</v>
      </c>
      <c r="B588" s="5" t="s">
        <v>359</v>
      </c>
      <c r="C588" s="5" t="s">
        <v>61</v>
      </c>
      <c r="D588" s="1" t="s">
        <v>100</v>
      </c>
      <c r="E588">
        <v>0</v>
      </c>
      <c r="F588">
        <v>2342</v>
      </c>
      <c r="G588">
        <v>0</v>
      </c>
      <c r="H588">
        <v>0</v>
      </c>
      <c r="I588">
        <v>113</v>
      </c>
      <c r="J588">
        <v>0</v>
      </c>
      <c r="K588">
        <v>12</v>
      </c>
      <c r="L588">
        <v>0</v>
      </c>
      <c r="M588">
        <v>0</v>
      </c>
      <c r="N588">
        <v>0</v>
      </c>
      <c r="O588">
        <v>0</v>
      </c>
      <c r="P588">
        <v>2385</v>
      </c>
      <c r="Q588">
        <v>265</v>
      </c>
      <c r="R588">
        <v>265</v>
      </c>
      <c r="S588" s="18">
        <f t="shared" si="92"/>
        <v>9</v>
      </c>
      <c r="T588" s="17">
        <f t="shared" si="93"/>
        <v>0</v>
      </c>
      <c r="U588" s="17">
        <f t="shared" si="94"/>
        <v>0</v>
      </c>
      <c r="V588" s="17">
        <f t="shared" si="95"/>
        <v>0</v>
      </c>
      <c r="W588" s="17">
        <f t="shared" si="96"/>
        <v>265</v>
      </c>
      <c r="X588" s="17">
        <f t="shared" si="97"/>
        <v>0</v>
      </c>
      <c r="Y588" s="19" t="e">
        <f t="shared" si="98"/>
        <v>#DIV/0!</v>
      </c>
      <c r="Z588">
        <v>2342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113</v>
      </c>
      <c r="AH588">
        <v>113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12</v>
      </c>
      <c r="AP588">
        <v>0</v>
      </c>
      <c r="AQ588">
        <v>12</v>
      </c>
      <c r="AR588">
        <v>12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f t="shared" si="99"/>
        <v>262</v>
      </c>
      <c r="BF588">
        <v>2868</v>
      </c>
      <c r="BG588">
        <v>2868</v>
      </c>
      <c r="BH588" t="s">
        <v>190</v>
      </c>
      <c r="BI588" t="s">
        <v>1870</v>
      </c>
      <c r="BJ588">
        <v>0</v>
      </c>
      <c r="BK588">
        <v>125</v>
      </c>
      <c r="BL588">
        <v>2467</v>
      </c>
      <c r="BM588">
        <v>0</v>
      </c>
      <c r="BN588">
        <v>0</v>
      </c>
      <c r="BO588">
        <v>0</v>
      </c>
      <c r="BP588">
        <v>2510</v>
      </c>
      <c r="BQ588">
        <v>2510</v>
      </c>
      <c r="BR588">
        <f t="shared" si="100"/>
        <v>0</v>
      </c>
      <c r="BS588">
        <f t="shared" si="101"/>
        <v>530</v>
      </c>
    </row>
    <row r="589" spans="1:71" x14ac:dyDescent="0.25">
      <c r="A589" s="5" t="s">
        <v>1661</v>
      </c>
      <c r="B589" s="5" t="s">
        <v>359</v>
      </c>
      <c r="C589" s="5" t="s">
        <v>61</v>
      </c>
      <c r="D589" s="1" t="s">
        <v>102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394</v>
      </c>
      <c r="K589">
        <v>127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8" t="e">
        <f t="shared" si="92"/>
        <v>#DIV/0!</v>
      </c>
      <c r="T589" s="17" t="e">
        <f t="shared" si="93"/>
        <v>#DIV/0!</v>
      </c>
      <c r="U589" s="17" t="e">
        <f t="shared" si="94"/>
        <v>#DIV/0!</v>
      </c>
      <c r="V589" s="17" t="e">
        <f t="shared" si="95"/>
        <v>#DIV/0!</v>
      </c>
      <c r="W589" s="17" t="e">
        <f t="shared" si="96"/>
        <v>#DIV/0!</v>
      </c>
      <c r="X589" s="17" t="e">
        <f t="shared" si="97"/>
        <v>#DIV/0!</v>
      </c>
      <c r="Y589" s="19" t="e">
        <f t="shared" si="98"/>
        <v>#DIV/0!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394</v>
      </c>
      <c r="AL589">
        <v>394</v>
      </c>
      <c r="AM589">
        <v>0</v>
      </c>
      <c r="AN589">
        <v>0</v>
      </c>
      <c r="AO589">
        <v>127</v>
      </c>
      <c r="AP589">
        <v>0</v>
      </c>
      <c r="AQ589">
        <v>127</v>
      </c>
      <c r="AR589">
        <v>127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f t="shared" si="99"/>
        <v>1169</v>
      </c>
      <c r="BF589">
        <v>521</v>
      </c>
      <c r="BG589">
        <v>521</v>
      </c>
      <c r="BH589" t="s">
        <v>199</v>
      </c>
      <c r="BI589" t="s">
        <v>1871</v>
      </c>
      <c r="BJ589">
        <v>0</v>
      </c>
      <c r="BK589">
        <v>521</v>
      </c>
      <c r="BL589">
        <v>521</v>
      </c>
      <c r="BM589">
        <v>0</v>
      </c>
      <c r="BN589">
        <v>0</v>
      </c>
      <c r="BO589">
        <v>0</v>
      </c>
      <c r="BP589">
        <v>521</v>
      </c>
      <c r="BQ589">
        <v>521</v>
      </c>
      <c r="BR589">
        <f t="shared" si="100"/>
        <v>0</v>
      </c>
      <c r="BS589">
        <f t="shared" si="101"/>
        <v>0</v>
      </c>
    </row>
    <row r="590" spans="1:71" x14ac:dyDescent="0.25">
      <c r="A590" s="5" t="s">
        <v>1661</v>
      </c>
      <c r="B590" s="5" t="s">
        <v>359</v>
      </c>
      <c r="C590" s="5" t="s">
        <v>61</v>
      </c>
      <c r="D590" s="1" t="s">
        <v>104</v>
      </c>
      <c r="E590">
        <v>0</v>
      </c>
      <c r="F590">
        <v>0</v>
      </c>
      <c r="G590">
        <v>0</v>
      </c>
      <c r="H590">
        <v>0</v>
      </c>
      <c r="I590">
        <v>16</v>
      </c>
      <c r="J590">
        <v>476</v>
      </c>
      <c r="K590">
        <v>69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8" t="e">
        <f t="shared" si="92"/>
        <v>#DIV/0!</v>
      </c>
      <c r="T590" s="17" t="e">
        <f t="shared" si="93"/>
        <v>#DIV/0!</v>
      </c>
      <c r="U590" s="17" t="e">
        <f t="shared" si="94"/>
        <v>#DIV/0!</v>
      </c>
      <c r="V590" s="17" t="e">
        <f t="shared" si="95"/>
        <v>#DIV/0!</v>
      </c>
      <c r="W590" s="17" t="e">
        <f t="shared" si="96"/>
        <v>#DIV/0!</v>
      </c>
      <c r="X590" s="17" t="e">
        <f t="shared" si="97"/>
        <v>#DIV/0!</v>
      </c>
      <c r="Y590" s="19" t="e">
        <f t="shared" si="98"/>
        <v>#DIV/0!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16</v>
      </c>
      <c r="AH590">
        <v>16</v>
      </c>
      <c r="AI590">
        <v>0</v>
      </c>
      <c r="AJ590">
        <v>0</v>
      </c>
      <c r="AK590">
        <v>476</v>
      </c>
      <c r="AL590">
        <v>476</v>
      </c>
      <c r="AM590">
        <v>0</v>
      </c>
      <c r="AN590">
        <v>0</v>
      </c>
      <c r="AO590">
        <v>69</v>
      </c>
      <c r="AP590">
        <v>12</v>
      </c>
      <c r="AQ590">
        <v>69</v>
      </c>
      <c r="AR590">
        <v>57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f t="shared" si="99"/>
        <v>1191</v>
      </c>
      <c r="BF590">
        <v>561</v>
      </c>
      <c r="BG590">
        <v>561</v>
      </c>
      <c r="BH590" t="s">
        <v>199</v>
      </c>
      <c r="BI590" t="s">
        <v>1872</v>
      </c>
      <c r="BJ590">
        <v>0</v>
      </c>
      <c r="BK590">
        <v>561</v>
      </c>
      <c r="BL590">
        <v>561</v>
      </c>
      <c r="BM590">
        <v>0</v>
      </c>
      <c r="BN590">
        <v>0</v>
      </c>
      <c r="BO590">
        <v>0</v>
      </c>
      <c r="BP590">
        <v>561</v>
      </c>
      <c r="BQ590">
        <v>561</v>
      </c>
      <c r="BR590">
        <f t="shared" si="100"/>
        <v>0</v>
      </c>
      <c r="BS590">
        <f t="shared" si="101"/>
        <v>0</v>
      </c>
    </row>
    <row r="591" spans="1:71" x14ac:dyDescent="0.25">
      <c r="A591" s="5" t="s">
        <v>1661</v>
      </c>
      <c r="B591" s="5" t="s">
        <v>359</v>
      </c>
      <c r="C591" s="5" t="s">
        <v>61</v>
      </c>
      <c r="D591" s="1" t="s">
        <v>111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8" t="e">
        <f t="shared" si="92"/>
        <v>#DIV/0!</v>
      </c>
      <c r="T591" s="17" t="e">
        <f t="shared" si="93"/>
        <v>#DIV/0!</v>
      </c>
      <c r="U591" s="17" t="e">
        <f t="shared" si="94"/>
        <v>#DIV/0!</v>
      </c>
      <c r="V591" s="17" t="e">
        <f t="shared" si="95"/>
        <v>#DIV/0!</v>
      </c>
      <c r="W591" s="17" t="e">
        <f t="shared" si="96"/>
        <v>#DIV/0!</v>
      </c>
      <c r="X591" s="17" t="e">
        <f t="shared" si="97"/>
        <v>#DIV/0!</v>
      </c>
      <c r="Y591" s="19" t="e">
        <f t="shared" si="98"/>
        <v>#DIV/0!</v>
      </c>
      <c r="Z591">
        <v>0</v>
      </c>
      <c r="AA591">
        <v>0</v>
      </c>
      <c r="AB591">
        <v>0</v>
      </c>
      <c r="AC591">
        <v>4451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f t="shared" si="99"/>
        <v>4451</v>
      </c>
      <c r="BH591" t="s">
        <v>82</v>
      </c>
      <c r="BI591" t="s">
        <v>1875</v>
      </c>
      <c r="BJ591">
        <v>4451</v>
      </c>
      <c r="BK591">
        <v>0</v>
      </c>
      <c r="BL591">
        <v>4451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f t="shared" si="100"/>
        <v>0</v>
      </c>
      <c r="BS591">
        <f t="shared" si="101"/>
        <v>0</v>
      </c>
    </row>
    <row r="592" spans="1:71" x14ac:dyDescent="0.25">
      <c r="A592" s="5" t="s">
        <v>1661</v>
      </c>
      <c r="B592" s="5" t="s">
        <v>359</v>
      </c>
      <c r="C592" s="5" t="s">
        <v>61</v>
      </c>
      <c r="D592" s="1" t="s">
        <v>113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8" t="e">
        <f t="shared" si="92"/>
        <v>#DIV/0!</v>
      </c>
      <c r="T592" s="17" t="e">
        <f t="shared" si="93"/>
        <v>#DIV/0!</v>
      </c>
      <c r="U592" s="17" t="e">
        <f t="shared" si="94"/>
        <v>#DIV/0!</v>
      </c>
      <c r="V592" s="17" t="e">
        <f t="shared" si="95"/>
        <v>#DIV/0!</v>
      </c>
      <c r="W592" s="17" t="e">
        <f t="shared" si="96"/>
        <v>#DIV/0!</v>
      </c>
      <c r="X592" s="17" t="e">
        <f t="shared" si="97"/>
        <v>#DIV/0!</v>
      </c>
      <c r="Y592" s="19" t="e">
        <f t="shared" si="98"/>
        <v>#DIV/0!</v>
      </c>
      <c r="Z592">
        <v>0</v>
      </c>
      <c r="AA592">
        <v>0</v>
      </c>
      <c r="AB592">
        <v>0</v>
      </c>
      <c r="AC592">
        <v>614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f t="shared" si="99"/>
        <v>614</v>
      </c>
      <c r="BH592" t="s">
        <v>82</v>
      </c>
      <c r="BI592" t="s">
        <v>1063</v>
      </c>
      <c r="BJ592">
        <v>614</v>
      </c>
      <c r="BK592">
        <v>0</v>
      </c>
      <c r="BL592">
        <v>614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f t="shared" si="100"/>
        <v>0</v>
      </c>
      <c r="BS592">
        <f t="shared" si="101"/>
        <v>0</v>
      </c>
    </row>
    <row r="593" spans="1:74" x14ac:dyDescent="0.25">
      <c r="A593" s="5" t="s">
        <v>1661</v>
      </c>
      <c r="B593" s="5" t="s">
        <v>359</v>
      </c>
      <c r="C593" s="5" t="s">
        <v>61</v>
      </c>
      <c r="D593" s="1" t="s">
        <v>115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8" t="e">
        <f t="shared" si="92"/>
        <v>#DIV/0!</v>
      </c>
      <c r="T593" s="17" t="e">
        <f t="shared" si="93"/>
        <v>#DIV/0!</v>
      </c>
      <c r="U593" s="17" t="e">
        <f t="shared" si="94"/>
        <v>#DIV/0!</v>
      </c>
      <c r="V593" s="17" t="e">
        <f t="shared" si="95"/>
        <v>#DIV/0!</v>
      </c>
      <c r="W593" s="17" t="e">
        <f t="shared" si="96"/>
        <v>#DIV/0!</v>
      </c>
      <c r="X593" s="17" t="e">
        <f t="shared" si="97"/>
        <v>#DIV/0!</v>
      </c>
      <c r="Y593" s="19" t="e">
        <f t="shared" si="98"/>
        <v>#DIV/0!</v>
      </c>
      <c r="Z593">
        <v>0</v>
      </c>
      <c r="AA593">
        <v>0</v>
      </c>
      <c r="AB593">
        <v>0</v>
      </c>
      <c r="AC593">
        <v>5713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f t="shared" si="99"/>
        <v>5713</v>
      </c>
      <c r="BH593" t="s">
        <v>82</v>
      </c>
      <c r="BI593" t="s">
        <v>1876</v>
      </c>
      <c r="BJ593">
        <v>5713</v>
      </c>
      <c r="BK593">
        <v>0</v>
      </c>
      <c r="BL593">
        <v>5713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f t="shared" si="100"/>
        <v>0</v>
      </c>
      <c r="BS593">
        <f t="shared" si="101"/>
        <v>0</v>
      </c>
    </row>
    <row r="594" spans="1:74" x14ac:dyDescent="0.25">
      <c r="A594" s="5" t="s">
        <v>1661</v>
      </c>
      <c r="B594" s="5" t="s">
        <v>359</v>
      </c>
      <c r="C594" s="5" t="s">
        <v>61</v>
      </c>
      <c r="D594" s="1" t="s">
        <v>127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8" t="e">
        <f t="shared" si="92"/>
        <v>#DIV/0!</v>
      </c>
      <c r="T594" s="17" t="e">
        <f t="shared" si="93"/>
        <v>#DIV/0!</v>
      </c>
      <c r="U594" s="17" t="e">
        <f t="shared" si="94"/>
        <v>#DIV/0!</v>
      </c>
      <c r="V594" s="17" t="e">
        <f t="shared" si="95"/>
        <v>#DIV/0!</v>
      </c>
      <c r="W594" s="17" t="e">
        <f t="shared" si="96"/>
        <v>#DIV/0!</v>
      </c>
      <c r="X594" s="17" t="e">
        <f t="shared" si="97"/>
        <v>#DIV/0!</v>
      </c>
      <c r="Y594" s="19" t="e">
        <f t="shared" si="98"/>
        <v>#DIV/0!</v>
      </c>
      <c r="Z594">
        <v>0</v>
      </c>
      <c r="AA594">
        <v>0</v>
      </c>
      <c r="AB594">
        <v>0</v>
      </c>
      <c r="AC594">
        <v>900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f t="shared" si="99"/>
        <v>900</v>
      </c>
      <c r="BH594" t="s">
        <v>82</v>
      </c>
      <c r="BI594" t="s">
        <v>1881</v>
      </c>
      <c r="BJ594">
        <v>900</v>
      </c>
      <c r="BK594">
        <v>0</v>
      </c>
      <c r="BL594">
        <v>900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f t="shared" si="100"/>
        <v>0</v>
      </c>
      <c r="BS594">
        <f t="shared" si="101"/>
        <v>0</v>
      </c>
    </row>
    <row r="595" spans="1:74" x14ac:dyDescent="0.25">
      <c r="A595" s="5" t="s">
        <v>875</v>
      </c>
      <c r="B595" s="5" t="s">
        <v>207</v>
      </c>
      <c r="C595" s="5" t="s">
        <v>61</v>
      </c>
      <c r="D595" s="1" t="s">
        <v>71</v>
      </c>
      <c r="E595">
        <v>0</v>
      </c>
      <c r="F595">
        <v>36</v>
      </c>
      <c r="G595">
        <v>0</v>
      </c>
      <c r="H595">
        <v>0</v>
      </c>
      <c r="I595">
        <v>654</v>
      </c>
      <c r="J595">
        <v>0</v>
      </c>
      <c r="K595">
        <v>32</v>
      </c>
      <c r="L595">
        <v>0</v>
      </c>
      <c r="M595">
        <v>1917</v>
      </c>
      <c r="N595">
        <v>0</v>
      </c>
      <c r="O595">
        <v>0</v>
      </c>
      <c r="P595">
        <v>0</v>
      </c>
      <c r="Q595">
        <v>213</v>
      </c>
      <c r="R595">
        <v>213</v>
      </c>
      <c r="S595" s="18">
        <f t="shared" si="92"/>
        <v>9</v>
      </c>
      <c r="T595" s="17">
        <f t="shared" si="93"/>
        <v>213</v>
      </c>
      <c r="U595" s="17">
        <f t="shared" si="94"/>
        <v>0</v>
      </c>
      <c r="V595" s="17">
        <f t="shared" si="95"/>
        <v>0</v>
      </c>
      <c r="W595" s="17">
        <f t="shared" si="96"/>
        <v>0</v>
      </c>
      <c r="X595" s="17">
        <f t="shared" si="97"/>
        <v>0</v>
      </c>
      <c r="Y595" s="19" t="e">
        <f t="shared" si="98"/>
        <v>#DIV/0!</v>
      </c>
      <c r="Z595">
        <v>36</v>
      </c>
      <c r="AA595">
        <v>0</v>
      </c>
      <c r="AB595">
        <v>0</v>
      </c>
      <c r="AC595">
        <v>0</v>
      </c>
      <c r="AD595">
        <v>654</v>
      </c>
      <c r="AE595">
        <v>0</v>
      </c>
      <c r="AF595">
        <v>0</v>
      </c>
      <c r="AG595">
        <v>0</v>
      </c>
      <c r="AH595">
        <v>654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32</v>
      </c>
      <c r="AP595">
        <v>0</v>
      </c>
      <c r="AQ595">
        <v>32</v>
      </c>
      <c r="AR595">
        <v>32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f t="shared" si="99"/>
        <v>1404</v>
      </c>
      <c r="BF595">
        <v>722</v>
      </c>
      <c r="BG595">
        <v>722</v>
      </c>
      <c r="BH595" t="s">
        <v>63</v>
      </c>
      <c r="BI595" t="s">
        <v>970</v>
      </c>
      <c r="BJ595">
        <v>0</v>
      </c>
      <c r="BK595">
        <v>686</v>
      </c>
      <c r="BL595">
        <v>722</v>
      </c>
      <c r="BM595">
        <v>2571</v>
      </c>
      <c r="BN595">
        <v>0</v>
      </c>
      <c r="BO595">
        <v>0</v>
      </c>
      <c r="BP595">
        <v>32</v>
      </c>
      <c r="BQ595">
        <v>2603</v>
      </c>
      <c r="BR595">
        <f t="shared" si="100"/>
        <v>0</v>
      </c>
      <c r="BS595">
        <f t="shared" si="101"/>
        <v>426</v>
      </c>
      <c r="BU595">
        <f>R595*9</f>
        <v>1917</v>
      </c>
      <c r="BV595">
        <f>IF(BU595&gt;BG595, 1, 0)</f>
        <v>1</v>
      </c>
    </row>
    <row r="596" spans="1:74" x14ac:dyDescent="0.25">
      <c r="A596" s="5" t="s">
        <v>1661</v>
      </c>
      <c r="B596" s="5" t="s">
        <v>61</v>
      </c>
      <c r="C596" s="5" t="s">
        <v>61</v>
      </c>
      <c r="D596" s="1" t="s">
        <v>71</v>
      </c>
      <c r="E596">
        <v>0</v>
      </c>
      <c r="F596">
        <v>1378</v>
      </c>
      <c r="G596">
        <v>0</v>
      </c>
      <c r="H596">
        <v>0</v>
      </c>
      <c r="I596">
        <v>1514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1908</v>
      </c>
      <c r="Q596">
        <v>212</v>
      </c>
      <c r="R596">
        <v>212</v>
      </c>
      <c r="S596" s="18">
        <f t="shared" si="92"/>
        <v>9</v>
      </c>
      <c r="T596" s="17">
        <f t="shared" si="93"/>
        <v>0</v>
      </c>
      <c r="U596" s="17">
        <f t="shared" si="94"/>
        <v>0</v>
      </c>
      <c r="V596" s="17">
        <f t="shared" si="95"/>
        <v>0</v>
      </c>
      <c r="W596" s="17">
        <f t="shared" si="96"/>
        <v>212</v>
      </c>
      <c r="X596" s="17">
        <f t="shared" si="97"/>
        <v>0</v>
      </c>
      <c r="Y596" s="19" t="e">
        <f t="shared" si="98"/>
        <v>#DIV/0!</v>
      </c>
      <c r="Z596">
        <v>1378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1514</v>
      </c>
      <c r="AH596">
        <v>1514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f t="shared" si="99"/>
        <v>3028</v>
      </c>
      <c r="BF596">
        <v>2892</v>
      </c>
      <c r="BG596">
        <v>2892</v>
      </c>
      <c r="BH596" t="s">
        <v>63</v>
      </c>
      <c r="BI596" t="s">
        <v>1666</v>
      </c>
      <c r="BJ596">
        <v>0</v>
      </c>
      <c r="BK596">
        <v>1514</v>
      </c>
      <c r="BL596">
        <v>2892</v>
      </c>
      <c r="BM596">
        <v>0</v>
      </c>
      <c r="BN596">
        <v>0</v>
      </c>
      <c r="BO596">
        <v>0</v>
      </c>
      <c r="BP596">
        <v>3422</v>
      </c>
      <c r="BQ596">
        <v>3422</v>
      </c>
      <c r="BR596">
        <f t="shared" si="100"/>
        <v>0</v>
      </c>
      <c r="BS596">
        <f t="shared" si="101"/>
        <v>424</v>
      </c>
      <c r="BU596">
        <f>R596*9</f>
        <v>1908</v>
      </c>
      <c r="BV596">
        <f>IF(BU596&gt;BG596, 1, 0)</f>
        <v>0</v>
      </c>
    </row>
    <row r="597" spans="1:74" x14ac:dyDescent="0.25">
      <c r="A597" s="5" t="s">
        <v>207</v>
      </c>
      <c r="B597" s="6" t="s">
        <v>207</v>
      </c>
      <c r="C597" s="6" t="s">
        <v>207</v>
      </c>
      <c r="D597" s="1" t="s">
        <v>62</v>
      </c>
      <c r="E597">
        <v>0</v>
      </c>
      <c r="F597">
        <v>1848</v>
      </c>
      <c r="G597">
        <v>0</v>
      </c>
      <c r="H597">
        <v>0</v>
      </c>
      <c r="I597">
        <v>1400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1881</v>
      </c>
      <c r="Q597">
        <v>209</v>
      </c>
      <c r="R597">
        <v>209</v>
      </c>
      <c r="S597" s="18">
        <f t="shared" si="92"/>
        <v>9</v>
      </c>
      <c r="T597" s="17">
        <f t="shared" si="93"/>
        <v>0</v>
      </c>
      <c r="U597" s="17">
        <f t="shared" si="94"/>
        <v>0</v>
      </c>
      <c r="V597" s="17">
        <f t="shared" si="95"/>
        <v>0</v>
      </c>
      <c r="W597" s="17">
        <f t="shared" si="96"/>
        <v>209</v>
      </c>
      <c r="X597" s="17">
        <f t="shared" si="97"/>
        <v>0</v>
      </c>
      <c r="Y597" s="19" t="e">
        <f t="shared" si="98"/>
        <v>#DIV/0!</v>
      </c>
      <c r="Z597">
        <v>1848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1400</v>
      </c>
      <c r="AH597">
        <v>1400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f t="shared" si="99"/>
        <v>2800</v>
      </c>
      <c r="BF597">
        <v>3248</v>
      </c>
      <c r="BG597">
        <v>3248</v>
      </c>
      <c r="BH597" t="s">
        <v>543</v>
      </c>
      <c r="BI597" t="s">
        <v>587</v>
      </c>
      <c r="BJ597">
        <v>0</v>
      </c>
      <c r="BK597">
        <v>1400</v>
      </c>
      <c r="BL597">
        <v>3248</v>
      </c>
      <c r="BM597">
        <v>0</v>
      </c>
      <c r="BN597">
        <v>0</v>
      </c>
      <c r="BO597">
        <v>0</v>
      </c>
      <c r="BP597">
        <v>3281</v>
      </c>
      <c r="BQ597">
        <v>3281</v>
      </c>
      <c r="BR597">
        <f t="shared" si="100"/>
        <v>0</v>
      </c>
      <c r="BS597">
        <f t="shared" si="101"/>
        <v>418</v>
      </c>
      <c r="BU597">
        <f>R597*9</f>
        <v>1881</v>
      </c>
      <c r="BV597">
        <f>IF(BU597&gt;BG597, 1, 0)</f>
        <v>0</v>
      </c>
    </row>
    <row r="598" spans="1:74" x14ac:dyDescent="0.25">
      <c r="A598" s="5" t="s">
        <v>1661</v>
      </c>
      <c r="B598" s="7" t="s">
        <v>359</v>
      </c>
      <c r="C598" s="7" t="s">
        <v>207</v>
      </c>
      <c r="D598" s="1" t="s">
        <v>73</v>
      </c>
      <c r="E598">
        <v>0</v>
      </c>
      <c r="F598">
        <v>15316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10908</v>
      </c>
      <c r="N598">
        <v>0</v>
      </c>
      <c r="O598">
        <v>0</v>
      </c>
      <c r="P598">
        <v>0</v>
      </c>
      <c r="Q598">
        <v>1212</v>
      </c>
      <c r="R598">
        <v>1212</v>
      </c>
      <c r="S598" s="18">
        <f t="shared" si="92"/>
        <v>9</v>
      </c>
      <c r="T598" s="17">
        <f t="shared" si="93"/>
        <v>1212</v>
      </c>
      <c r="U598" s="17">
        <f t="shared" si="94"/>
        <v>0</v>
      </c>
      <c r="V598" s="17">
        <f t="shared" si="95"/>
        <v>0</v>
      </c>
      <c r="W598" s="17">
        <f t="shared" si="96"/>
        <v>0</v>
      </c>
      <c r="X598" s="17">
        <f t="shared" si="97"/>
        <v>0</v>
      </c>
      <c r="Y598" s="19" t="e">
        <f t="shared" si="98"/>
        <v>#DIV/0!</v>
      </c>
      <c r="Z598">
        <v>15316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f t="shared" si="99"/>
        <v>0</v>
      </c>
      <c r="BF598">
        <v>15316</v>
      </c>
      <c r="BG598">
        <v>15316</v>
      </c>
      <c r="BH598" t="s">
        <v>560</v>
      </c>
      <c r="BI598" t="s">
        <v>1887</v>
      </c>
      <c r="BJ598">
        <v>0</v>
      </c>
      <c r="BK598">
        <v>0</v>
      </c>
      <c r="BL598">
        <v>15316</v>
      </c>
      <c r="BM598">
        <v>10908</v>
      </c>
      <c r="BN598">
        <v>0</v>
      </c>
      <c r="BO598">
        <v>0</v>
      </c>
      <c r="BP598">
        <v>0</v>
      </c>
      <c r="BQ598">
        <v>10908</v>
      </c>
      <c r="BR598">
        <f t="shared" si="100"/>
        <v>0</v>
      </c>
      <c r="BS598">
        <f t="shared" si="101"/>
        <v>2424</v>
      </c>
    </row>
    <row r="599" spans="1:74" x14ac:dyDescent="0.25">
      <c r="A599" s="5" t="s">
        <v>1661</v>
      </c>
      <c r="B599" s="5" t="s">
        <v>359</v>
      </c>
      <c r="C599" s="5" t="s">
        <v>207</v>
      </c>
      <c r="D599" s="1" t="s">
        <v>75</v>
      </c>
      <c r="E599">
        <v>0</v>
      </c>
      <c r="F599">
        <v>60345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28917</v>
      </c>
      <c r="N599">
        <v>0</v>
      </c>
      <c r="O599">
        <v>0</v>
      </c>
      <c r="P599">
        <v>0</v>
      </c>
      <c r="Q599">
        <v>3213</v>
      </c>
      <c r="R599">
        <v>3213</v>
      </c>
      <c r="S599" s="18">
        <f t="shared" si="92"/>
        <v>9</v>
      </c>
      <c r="T599" s="17">
        <f t="shared" si="93"/>
        <v>3213</v>
      </c>
      <c r="U599" s="17">
        <f t="shared" si="94"/>
        <v>0</v>
      </c>
      <c r="V599" s="17">
        <f t="shared" si="95"/>
        <v>0</v>
      </c>
      <c r="W599" s="17">
        <f t="shared" si="96"/>
        <v>0</v>
      </c>
      <c r="X599" s="17">
        <f t="shared" si="97"/>
        <v>0</v>
      </c>
      <c r="Y599" s="19" t="e">
        <f t="shared" si="98"/>
        <v>#DIV/0!</v>
      </c>
      <c r="Z599">
        <v>60345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f t="shared" si="99"/>
        <v>0</v>
      </c>
      <c r="BF599">
        <v>60345</v>
      </c>
      <c r="BG599">
        <v>60345</v>
      </c>
      <c r="BH599" t="s">
        <v>560</v>
      </c>
      <c r="BI599" t="s">
        <v>1888</v>
      </c>
      <c r="BJ599">
        <v>0</v>
      </c>
      <c r="BK599">
        <v>0</v>
      </c>
      <c r="BL599">
        <v>60345</v>
      </c>
      <c r="BM599">
        <v>28917</v>
      </c>
      <c r="BN599">
        <v>0</v>
      </c>
      <c r="BO599">
        <v>0</v>
      </c>
      <c r="BP599">
        <v>0</v>
      </c>
      <c r="BQ599">
        <v>28917</v>
      </c>
      <c r="BR599">
        <f t="shared" si="100"/>
        <v>0</v>
      </c>
      <c r="BS599">
        <f t="shared" si="101"/>
        <v>6426</v>
      </c>
    </row>
    <row r="600" spans="1:74" x14ac:dyDescent="0.25">
      <c r="A600" s="5" t="s">
        <v>1661</v>
      </c>
      <c r="B600" s="5" t="s">
        <v>359</v>
      </c>
      <c r="C600" s="5" t="s">
        <v>207</v>
      </c>
      <c r="D600" s="1" t="s">
        <v>77</v>
      </c>
      <c r="E600">
        <v>0</v>
      </c>
      <c r="F600">
        <v>9228</v>
      </c>
      <c r="G600">
        <v>0</v>
      </c>
      <c r="H600">
        <v>0</v>
      </c>
      <c r="I600">
        <v>1810</v>
      </c>
      <c r="J600">
        <v>0</v>
      </c>
      <c r="K600">
        <v>560</v>
      </c>
      <c r="L600">
        <v>0</v>
      </c>
      <c r="M600">
        <v>1917</v>
      </c>
      <c r="N600">
        <v>0</v>
      </c>
      <c r="O600">
        <v>0</v>
      </c>
      <c r="P600">
        <v>27090</v>
      </c>
      <c r="Q600">
        <v>3223</v>
      </c>
      <c r="R600">
        <v>3223</v>
      </c>
      <c r="S600" s="18">
        <f t="shared" si="92"/>
        <v>9</v>
      </c>
      <c r="T600" s="17">
        <f t="shared" si="93"/>
        <v>213</v>
      </c>
      <c r="U600" s="17">
        <f t="shared" si="94"/>
        <v>0</v>
      </c>
      <c r="V600" s="17">
        <f t="shared" si="95"/>
        <v>0</v>
      </c>
      <c r="W600" s="17">
        <f t="shared" si="96"/>
        <v>3010</v>
      </c>
      <c r="X600" s="17">
        <f t="shared" si="97"/>
        <v>0</v>
      </c>
      <c r="Y600" s="19" t="e">
        <f t="shared" si="98"/>
        <v>#DIV/0!</v>
      </c>
      <c r="Z600">
        <v>9228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1810</v>
      </c>
      <c r="AH600">
        <v>1810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560</v>
      </c>
      <c r="AP600">
        <v>290</v>
      </c>
      <c r="AQ600">
        <v>560</v>
      </c>
      <c r="AR600">
        <v>270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f t="shared" si="99"/>
        <v>5300</v>
      </c>
      <c r="BF600">
        <v>11818</v>
      </c>
      <c r="BG600">
        <v>11818</v>
      </c>
      <c r="BH600" t="s">
        <v>560</v>
      </c>
      <c r="BI600" t="s">
        <v>1889</v>
      </c>
      <c r="BJ600">
        <v>0</v>
      </c>
      <c r="BK600">
        <v>2370</v>
      </c>
      <c r="BL600">
        <v>11598</v>
      </c>
      <c r="BM600">
        <v>1917</v>
      </c>
      <c r="BN600">
        <v>0</v>
      </c>
      <c r="BO600">
        <v>0</v>
      </c>
      <c r="BP600">
        <v>29460</v>
      </c>
      <c r="BQ600">
        <v>31377</v>
      </c>
      <c r="BR600">
        <f t="shared" si="100"/>
        <v>0</v>
      </c>
      <c r="BS600">
        <f t="shared" si="101"/>
        <v>6446</v>
      </c>
    </row>
    <row r="601" spans="1:74" x14ac:dyDescent="0.25">
      <c r="A601" s="5" t="s">
        <v>1661</v>
      </c>
      <c r="B601" s="5" t="s">
        <v>359</v>
      </c>
      <c r="C601" s="5" t="s">
        <v>207</v>
      </c>
      <c r="D601" s="1" t="s">
        <v>79</v>
      </c>
      <c r="E601">
        <v>0</v>
      </c>
      <c r="F601">
        <v>22149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9387</v>
      </c>
      <c r="N601">
        <v>0</v>
      </c>
      <c r="O601">
        <v>0</v>
      </c>
      <c r="P601">
        <v>0</v>
      </c>
      <c r="Q601">
        <v>1043</v>
      </c>
      <c r="R601">
        <v>1043</v>
      </c>
      <c r="S601" s="18">
        <f t="shared" si="92"/>
        <v>9</v>
      </c>
      <c r="T601" s="17">
        <f t="shared" si="93"/>
        <v>1043</v>
      </c>
      <c r="U601" s="17">
        <f t="shared" si="94"/>
        <v>0</v>
      </c>
      <c r="V601" s="17">
        <f t="shared" si="95"/>
        <v>0</v>
      </c>
      <c r="W601" s="17">
        <f t="shared" si="96"/>
        <v>0</v>
      </c>
      <c r="X601" s="17">
        <f t="shared" si="97"/>
        <v>0</v>
      </c>
      <c r="Y601" s="19" t="e">
        <f t="shared" si="98"/>
        <v>#DIV/0!</v>
      </c>
      <c r="Z601">
        <v>22149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f t="shared" si="99"/>
        <v>0</v>
      </c>
      <c r="BF601">
        <v>22149</v>
      </c>
      <c r="BG601">
        <v>22149</v>
      </c>
      <c r="BH601" t="s">
        <v>560</v>
      </c>
      <c r="BI601" t="s">
        <v>1890</v>
      </c>
      <c r="BJ601">
        <v>0</v>
      </c>
      <c r="BK601">
        <v>0</v>
      </c>
      <c r="BL601">
        <v>22149</v>
      </c>
      <c r="BM601">
        <v>9387</v>
      </c>
      <c r="BN601">
        <v>0</v>
      </c>
      <c r="BO601">
        <v>0</v>
      </c>
      <c r="BP601">
        <v>0</v>
      </c>
      <c r="BQ601">
        <v>9387</v>
      </c>
      <c r="BR601">
        <f t="shared" si="100"/>
        <v>0</v>
      </c>
      <c r="BS601">
        <f t="shared" si="101"/>
        <v>2086</v>
      </c>
    </row>
    <row r="602" spans="1:74" x14ac:dyDescent="0.25">
      <c r="A602" s="5" t="s">
        <v>1661</v>
      </c>
      <c r="B602" s="5" t="s">
        <v>359</v>
      </c>
      <c r="C602" s="5" t="s">
        <v>207</v>
      </c>
      <c r="D602" s="1" t="s">
        <v>81</v>
      </c>
      <c r="E602">
        <v>0</v>
      </c>
      <c r="F602">
        <v>13450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8253</v>
      </c>
      <c r="N602">
        <v>0</v>
      </c>
      <c r="O602">
        <v>0</v>
      </c>
      <c r="P602">
        <v>0</v>
      </c>
      <c r="Q602">
        <v>917</v>
      </c>
      <c r="R602">
        <v>917</v>
      </c>
      <c r="S602" s="18">
        <f t="shared" si="92"/>
        <v>9</v>
      </c>
      <c r="T602" s="17">
        <f t="shared" si="93"/>
        <v>917</v>
      </c>
      <c r="U602" s="17">
        <f t="shared" si="94"/>
        <v>0</v>
      </c>
      <c r="V602" s="17">
        <f t="shared" si="95"/>
        <v>0</v>
      </c>
      <c r="W602" s="17">
        <f t="shared" si="96"/>
        <v>0</v>
      </c>
      <c r="X602" s="17">
        <f t="shared" si="97"/>
        <v>0</v>
      </c>
      <c r="Y602" s="19" t="e">
        <f t="shared" si="98"/>
        <v>#DIV/0!</v>
      </c>
      <c r="Z602">
        <v>13450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f t="shared" si="99"/>
        <v>0</v>
      </c>
      <c r="BF602">
        <v>13450</v>
      </c>
      <c r="BG602">
        <v>13450</v>
      </c>
      <c r="BH602" t="s">
        <v>560</v>
      </c>
      <c r="BI602" t="s">
        <v>1891</v>
      </c>
      <c r="BJ602">
        <v>0</v>
      </c>
      <c r="BK602">
        <v>0</v>
      </c>
      <c r="BL602">
        <v>13450</v>
      </c>
      <c r="BM602">
        <v>8253</v>
      </c>
      <c r="BN602">
        <v>0</v>
      </c>
      <c r="BO602">
        <v>0</v>
      </c>
      <c r="BP602">
        <v>0</v>
      </c>
      <c r="BQ602">
        <v>8253</v>
      </c>
      <c r="BR602">
        <f t="shared" si="100"/>
        <v>0</v>
      </c>
      <c r="BS602">
        <f t="shared" si="101"/>
        <v>1834</v>
      </c>
    </row>
    <row r="603" spans="1:74" x14ac:dyDescent="0.25">
      <c r="A603" s="5" t="s">
        <v>1661</v>
      </c>
      <c r="B603" s="5" t="s">
        <v>359</v>
      </c>
      <c r="C603" s="5" t="s">
        <v>207</v>
      </c>
      <c r="D603" s="1" t="s">
        <v>84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15</v>
      </c>
      <c r="L603">
        <v>26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8" t="e">
        <f t="shared" si="92"/>
        <v>#DIV/0!</v>
      </c>
      <c r="T603" s="17" t="e">
        <f t="shared" si="93"/>
        <v>#DIV/0!</v>
      </c>
      <c r="U603" s="17" t="e">
        <f t="shared" si="94"/>
        <v>#DIV/0!</v>
      </c>
      <c r="V603" s="17" t="e">
        <f t="shared" si="95"/>
        <v>#DIV/0!</v>
      </c>
      <c r="W603" s="17" t="e">
        <f t="shared" si="96"/>
        <v>#DIV/0!</v>
      </c>
      <c r="X603" s="17" t="e">
        <f t="shared" si="97"/>
        <v>#DIV/0!</v>
      </c>
      <c r="Y603" s="19" t="e">
        <f t="shared" si="98"/>
        <v>#DIV/0!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15</v>
      </c>
      <c r="AN603">
        <v>0</v>
      </c>
      <c r="AO603">
        <v>0</v>
      </c>
      <c r="AP603">
        <v>15</v>
      </c>
      <c r="AQ603">
        <v>15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26</v>
      </c>
      <c r="AY603">
        <v>0</v>
      </c>
      <c r="AZ603">
        <v>0</v>
      </c>
      <c r="BA603">
        <v>26</v>
      </c>
      <c r="BB603">
        <v>0</v>
      </c>
      <c r="BC603">
        <v>0</v>
      </c>
      <c r="BD603">
        <v>0</v>
      </c>
      <c r="BE603">
        <f t="shared" si="99"/>
        <v>97</v>
      </c>
      <c r="BF603">
        <v>41</v>
      </c>
      <c r="BG603">
        <v>41</v>
      </c>
      <c r="BH603" t="s">
        <v>199</v>
      </c>
      <c r="BI603" t="s">
        <v>1892</v>
      </c>
      <c r="BJ603">
        <v>0</v>
      </c>
      <c r="BK603">
        <v>41</v>
      </c>
      <c r="BL603">
        <v>41</v>
      </c>
      <c r="BM603">
        <v>41</v>
      </c>
      <c r="BN603">
        <v>0</v>
      </c>
      <c r="BO603">
        <v>0</v>
      </c>
      <c r="BP603">
        <v>0</v>
      </c>
      <c r="BQ603">
        <v>41</v>
      </c>
      <c r="BR603">
        <f t="shared" si="100"/>
        <v>0</v>
      </c>
      <c r="BS603">
        <f t="shared" si="101"/>
        <v>0</v>
      </c>
    </row>
    <row r="604" spans="1:74" x14ac:dyDescent="0.25">
      <c r="A604" s="5" t="s">
        <v>1661</v>
      </c>
      <c r="B604" s="5" t="s">
        <v>359</v>
      </c>
      <c r="C604" s="5" t="s">
        <v>207</v>
      </c>
      <c r="D604" s="1" t="s">
        <v>86</v>
      </c>
      <c r="E604">
        <v>0</v>
      </c>
      <c r="F604">
        <v>397</v>
      </c>
      <c r="G604">
        <v>0</v>
      </c>
      <c r="H604">
        <v>0</v>
      </c>
      <c r="I604">
        <v>16</v>
      </c>
      <c r="J604">
        <v>0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252</v>
      </c>
      <c r="Q604">
        <v>28</v>
      </c>
      <c r="R604">
        <v>28</v>
      </c>
      <c r="S604" s="18">
        <f t="shared" si="92"/>
        <v>9</v>
      </c>
      <c r="T604" s="17">
        <f t="shared" si="93"/>
        <v>0</v>
      </c>
      <c r="U604" s="17">
        <f t="shared" si="94"/>
        <v>0</v>
      </c>
      <c r="V604" s="17">
        <f t="shared" si="95"/>
        <v>0</v>
      </c>
      <c r="W604" s="17">
        <f t="shared" si="96"/>
        <v>28</v>
      </c>
      <c r="X604" s="17">
        <f t="shared" si="97"/>
        <v>0</v>
      </c>
      <c r="Y604" s="19" t="e">
        <f t="shared" si="98"/>
        <v>#DIV/0!</v>
      </c>
      <c r="Z604">
        <v>397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16</v>
      </c>
      <c r="AH604">
        <v>16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</v>
      </c>
      <c r="AP604">
        <v>2</v>
      </c>
      <c r="AQ604">
        <v>2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f t="shared" si="99"/>
        <v>38</v>
      </c>
      <c r="BF604">
        <v>415</v>
      </c>
      <c r="BG604">
        <v>415</v>
      </c>
      <c r="BH604" t="s">
        <v>109</v>
      </c>
      <c r="BI604" t="s">
        <v>1893</v>
      </c>
      <c r="BJ604">
        <v>0</v>
      </c>
      <c r="BK604">
        <v>18</v>
      </c>
      <c r="BL604">
        <v>415</v>
      </c>
      <c r="BM604">
        <v>0</v>
      </c>
      <c r="BN604">
        <v>0</v>
      </c>
      <c r="BO604">
        <v>0</v>
      </c>
      <c r="BP604">
        <v>270</v>
      </c>
      <c r="BQ604">
        <v>270</v>
      </c>
      <c r="BR604">
        <f t="shared" si="100"/>
        <v>0</v>
      </c>
      <c r="BS604">
        <f t="shared" si="101"/>
        <v>56</v>
      </c>
    </row>
    <row r="605" spans="1:74" x14ac:dyDescent="0.25">
      <c r="A605" s="5" t="s">
        <v>1661</v>
      </c>
      <c r="B605" s="5" t="s">
        <v>359</v>
      </c>
      <c r="C605" s="5" t="s">
        <v>207</v>
      </c>
      <c r="D605" s="1" t="s">
        <v>88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278</v>
      </c>
      <c r="R605">
        <v>278</v>
      </c>
      <c r="S605" s="18">
        <f t="shared" si="92"/>
        <v>0</v>
      </c>
      <c r="T605" s="17" t="e">
        <f t="shared" si="93"/>
        <v>#DIV/0!</v>
      </c>
      <c r="U605" s="17" t="e">
        <f t="shared" si="94"/>
        <v>#DIV/0!</v>
      </c>
      <c r="V605" s="17" t="e">
        <f t="shared" si="95"/>
        <v>#DIV/0!</v>
      </c>
      <c r="W605" s="17" t="e">
        <f t="shared" si="96"/>
        <v>#DIV/0!</v>
      </c>
      <c r="X605" s="17" t="e">
        <f t="shared" si="97"/>
        <v>#DIV/0!</v>
      </c>
      <c r="Y605" s="19" t="e">
        <f t="shared" si="98"/>
        <v>#DIV/0!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f t="shared" si="99"/>
        <v>0</v>
      </c>
      <c r="BH605" t="s">
        <v>82</v>
      </c>
      <c r="BI605" t="s">
        <v>1894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f t="shared" si="100"/>
        <v>0</v>
      </c>
      <c r="BS605">
        <f t="shared" si="101"/>
        <v>556</v>
      </c>
    </row>
    <row r="606" spans="1:74" x14ac:dyDescent="0.25">
      <c r="A606" s="5" t="s">
        <v>2090</v>
      </c>
      <c r="B606" s="5" t="s">
        <v>207</v>
      </c>
      <c r="C606" s="5" t="s">
        <v>61</v>
      </c>
      <c r="D606" s="1" t="s">
        <v>67</v>
      </c>
      <c r="E606">
        <v>0</v>
      </c>
      <c r="F606">
        <v>2365</v>
      </c>
      <c r="G606">
        <v>0</v>
      </c>
      <c r="H606">
        <v>0</v>
      </c>
      <c r="I606">
        <v>900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1863</v>
      </c>
      <c r="Q606">
        <v>207</v>
      </c>
      <c r="R606">
        <v>207</v>
      </c>
      <c r="S606" s="18">
        <f t="shared" si="92"/>
        <v>9</v>
      </c>
      <c r="T606" s="17">
        <f t="shared" si="93"/>
        <v>0</v>
      </c>
      <c r="U606" s="17">
        <f t="shared" si="94"/>
        <v>0</v>
      </c>
      <c r="V606" s="17">
        <f t="shared" si="95"/>
        <v>0</v>
      </c>
      <c r="W606" s="17">
        <f t="shared" si="96"/>
        <v>207</v>
      </c>
      <c r="X606" s="17">
        <f t="shared" si="97"/>
        <v>0</v>
      </c>
      <c r="Y606" s="19" t="e">
        <f t="shared" si="98"/>
        <v>#DIV/0!</v>
      </c>
      <c r="Z606">
        <v>2365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900</v>
      </c>
      <c r="AH606">
        <v>900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f t="shared" si="99"/>
        <v>1800</v>
      </c>
      <c r="BF606">
        <v>3265</v>
      </c>
      <c r="BG606">
        <v>3265</v>
      </c>
      <c r="BH606" t="s">
        <v>63</v>
      </c>
      <c r="BI606" t="s">
        <v>2213</v>
      </c>
      <c r="BJ606">
        <v>0</v>
      </c>
      <c r="BK606">
        <v>900</v>
      </c>
      <c r="BL606">
        <v>3265</v>
      </c>
      <c r="BM606">
        <v>0</v>
      </c>
      <c r="BN606">
        <v>0</v>
      </c>
      <c r="BO606">
        <v>0</v>
      </c>
      <c r="BP606">
        <v>2763</v>
      </c>
      <c r="BQ606">
        <v>2763</v>
      </c>
      <c r="BR606">
        <f t="shared" si="100"/>
        <v>0</v>
      </c>
      <c r="BS606">
        <f t="shared" si="101"/>
        <v>414</v>
      </c>
      <c r="BU606">
        <f>R606*9</f>
        <v>1863</v>
      </c>
      <c r="BV606">
        <f>IF(BU606&gt;BG606, 1, 0)</f>
        <v>0</v>
      </c>
    </row>
    <row r="607" spans="1:74" x14ac:dyDescent="0.25">
      <c r="A607" s="5" t="s">
        <v>1661</v>
      </c>
      <c r="B607" s="5" t="s">
        <v>359</v>
      </c>
      <c r="C607" s="5" t="s">
        <v>207</v>
      </c>
      <c r="D607" s="1" t="s">
        <v>92</v>
      </c>
      <c r="E607">
        <v>0</v>
      </c>
      <c r="F607">
        <v>187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2637</v>
      </c>
      <c r="Q607">
        <v>293</v>
      </c>
      <c r="R607">
        <v>293</v>
      </c>
      <c r="S607" s="18">
        <f t="shared" si="92"/>
        <v>9</v>
      </c>
      <c r="T607" s="17">
        <f t="shared" si="93"/>
        <v>0</v>
      </c>
      <c r="U607" s="17">
        <f t="shared" si="94"/>
        <v>0</v>
      </c>
      <c r="V607" s="17">
        <f t="shared" si="95"/>
        <v>0</v>
      </c>
      <c r="W607" s="17">
        <f t="shared" si="96"/>
        <v>293</v>
      </c>
      <c r="X607" s="17">
        <f t="shared" si="97"/>
        <v>0</v>
      </c>
      <c r="Y607" s="19" t="e">
        <f t="shared" si="98"/>
        <v>#DIV/0!</v>
      </c>
      <c r="Z607">
        <v>187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f t="shared" si="99"/>
        <v>0</v>
      </c>
      <c r="BF607">
        <v>187</v>
      </c>
      <c r="BG607">
        <v>187</v>
      </c>
      <c r="BH607" t="s">
        <v>109</v>
      </c>
      <c r="BI607" t="s">
        <v>1896</v>
      </c>
      <c r="BJ607">
        <v>0</v>
      </c>
      <c r="BK607">
        <v>0</v>
      </c>
      <c r="BL607">
        <v>187</v>
      </c>
      <c r="BM607">
        <v>0</v>
      </c>
      <c r="BN607">
        <v>0</v>
      </c>
      <c r="BO607">
        <v>0</v>
      </c>
      <c r="BP607">
        <v>2637</v>
      </c>
      <c r="BQ607">
        <v>2637</v>
      </c>
      <c r="BR607">
        <f t="shared" si="100"/>
        <v>0</v>
      </c>
      <c r="BS607">
        <f t="shared" si="101"/>
        <v>586</v>
      </c>
    </row>
    <row r="608" spans="1:74" x14ac:dyDescent="0.25">
      <c r="A608" s="5" t="s">
        <v>1661</v>
      </c>
      <c r="B608" s="5" t="s">
        <v>359</v>
      </c>
      <c r="C608" s="5" t="s">
        <v>207</v>
      </c>
      <c r="D608" s="1" t="s">
        <v>94</v>
      </c>
      <c r="E608">
        <v>0</v>
      </c>
      <c r="F608">
        <v>293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2637</v>
      </c>
      <c r="Q608">
        <v>293</v>
      </c>
      <c r="R608">
        <v>293</v>
      </c>
      <c r="S608" s="18">
        <f t="shared" si="92"/>
        <v>9</v>
      </c>
      <c r="T608" s="17">
        <f t="shared" si="93"/>
        <v>0</v>
      </c>
      <c r="U608" s="17">
        <f t="shared" si="94"/>
        <v>0</v>
      </c>
      <c r="V608" s="17">
        <f t="shared" si="95"/>
        <v>0</v>
      </c>
      <c r="W608" s="17">
        <f t="shared" si="96"/>
        <v>293</v>
      </c>
      <c r="X608" s="17">
        <f t="shared" si="97"/>
        <v>0</v>
      </c>
      <c r="Y608" s="19" t="e">
        <f t="shared" si="98"/>
        <v>#DIV/0!</v>
      </c>
      <c r="Z608">
        <v>293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f t="shared" si="99"/>
        <v>0</v>
      </c>
      <c r="BF608">
        <v>293</v>
      </c>
      <c r="BG608">
        <v>293</v>
      </c>
      <c r="BH608" t="s">
        <v>109</v>
      </c>
      <c r="BI608" t="s">
        <v>1897</v>
      </c>
      <c r="BJ608">
        <v>0</v>
      </c>
      <c r="BK608">
        <v>0</v>
      </c>
      <c r="BL608">
        <v>293</v>
      </c>
      <c r="BM608">
        <v>0</v>
      </c>
      <c r="BN608">
        <v>0</v>
      </c>
      <c r="BO608">
        <v>0</v>
      </c>
      <c r="BP608">
        <v>2637</v>
      </c>
      <c r="BQ608">
        <v>2637</v>
      </c>
      <c r="BR608">
        <f t="shared" si="100"/>
        <v>0</v>
      </c>
      <c r="BS608">
        <f t="shared" si="101"/>
        <v>586</v>
      </c>
    </row>
    <row r="609" spans="1:74" x14ac:dyDescent="0.25">
      <c r="A609" s="5" t="s">
        <v>1661</v>
      </c>
      <c r="B609" s="5" t="s">
        <v>359</v>
      </c>
      <c r="C609" s="5" t="s">
        <v>207</v>
      </c>
      <c r="D609" s="1" t="s">
        <v>96</v>
      </c>
      <c r="E609">
        <v>0</v>
      </c>
      <c r="F609">
        <v>548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1476</v>
      </c>
      <c r="Q609">
        <v>164</v>
      </c>
      <c r="R609">
        <v>164</v>
      </c>
      <c r="S609" s="18">
        <f t="shared" si="92"/>
        <v>9</v>
      </c>
      <c r="T609" s="17">
        <f t="shared" si="93"/>
        <v>0</v>
      </c>
      <c r="U609" s="17">
        <f t="shared" si="94"/>
        <v>0</v>
      </c>
      <c r="V609" s="17">
        <f t="shared" si="95"/>
        <v>0</v>
      </c>
      <c r="W609" s="17">
        <f t="shared" si="96"/>
        <v>164</v>
      </c>
      <c r="X609" s="17">
        <f t="shared" si="97"/>
        <v>0</v>
      </c>
      <c r="Y609" s="19" t="e">
        <f t="shared" si="98"/>
        <v>#DIV/0!</v>
      </c>
      <c r="Z609">
        <v>548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50</v>
      </c>
      <c r="AH609">
        <v>50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f t="shared" si="99"/>
        <v>100</v>
      </c>
      <c r="BF609">
        <v>598</v>
      </c>
      <c r="BG609">
        <v>598</v>
      </c>
      <c r="BH609" t="s">
        <v>109</v>
      </c>
      <c r="BI609" t="s">
        <v>1898</v>
      </c>
      <c r="BJ609">
        <v>0</v>
      </c>
      <c r="BK609">
        <v>50</v>
      </c>
      <c r="BL609">
        <v>598</v>
      </c>
      <c r="BM609">
        <v>0</v>
      </c>
      <c r="BN609">
        <v>0</v>
      </c>
      <c r="BO609">
        <v>0</v>
      </c>
      <c r="BP609">
        <v>1526</v>
      </c>
      <c r="BQ609">
        <v>1526</v>
      </c>
      <c r="BR609">
        <f t="shared" si="100"/>
        <v>0</v>
      </c>
      <c r="BS609">
        <f t="shared" si="101"/>
        <v>328</v>
      </c>
    </row>
    <row r="610" spans="1:74" x14ac:dyDescent="0.25">
      <c r="A610" s="5" t="s">
        <v>1661</v>
      </c>
      <c r="B610" s="5" t="s">
        <v>359</v>
      </c>
      <c r="C610" s="5" t="s">
        <v>207</v>
      </c>
      <c r="D610" s="1" t="s">
        <v>98</v>
      </c>
      <c r="E610">
        <v>0</v>
      </c>
      <c r="F610">
        <v>138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1377</v>
      </c>
      <c r="Q610">
        <v>153</v>
      </c>
      <c r="R610">
        <v>153</v>
      </c>
      <c r="S610" s="18">
        <f t="shared" si="92"/>
        <v>9</v>
      </c>
      <c r="T610" s="17">
        <f t="shared" si="93"/>
        <v>0</v>
      </c>
      <c r="U610" s="17">
        <f t="shared" si="94"/>
        <v>0</v>
      </c>
      <c r="V610" s="17">
        <f t="shared" si="95"/>
        <v>0</v>
      </c>
      <c r="W610" s="17">
        <f t="shared" si="96"/>
        <v>153</v>
      </c>
      <c r="X610" s="17">
        <f t="shared" si="97"/>
        <v>0</v>
      </c>
      <c r="Y610" s="19" t="e">
        <f t="shared" si="98"/>
        <v>#DIV/0!</v>
      </c>
      <c r="Z610">
        <v>138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f t="shared" si="99"/>
        <v>0</v>
      </c>
      <c r="BF610">
        <v>138</v>
      </c>
      <c r="BG610">
        <v>138</v>
      </c>
      <c r="BH610" t="s">
        <v>109</v>
      </c>
      <c r="BI610" t="s">
        <v>1899</v>
      </c>
      <c r="BJ610">
        <v>0</v>
      </c>
      <c r="BK610">
        <v>0</v>
      </c>
      <c r="BL610">
        <v>138</v>
      </c>
      <c r="BM610">
        <v>0</v>
      </c>
      <c r="BN610">
        <v>0</v>
      </c>
      <c r="BO610">
        <v>0</v>
      </c>
      <c r="BP610">
        <v>1377</v>
      </c>
      <c r="BQ610">
        <v>1377</v>
      </c>
      <c r="BR610">
        <f t="shared" si="100"/>
        <v>0</v>
      </c>
      <c r="BS610">
        <f t="shared" si="101"/>
        <v>306</v>
      </c>
    </row>
    <row r="611" spans="1:74" x14ac:dyDescent="0.25">
      <c r="A611" s="5" t="s">
        <v>1661</v>
      </c>
      <c r="B611" s="5" t="s">
        <v>359</v>
      </c>
      <c r="C611" s="5" t="s">
        <v>207</v>
      </c>
      <c r="D611" s="1" t="s">
        <v>100</v>
      </c>
      <c r="E611">
        <v>0</v>
      </c>
      <c r="F611">
        <v>315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1890</v>
      </c>
      <c r="Q611">
        <v>210</v>
      </c>
      <c r="R611">
        <v>210</v>
      </c>
      <c r="S611" s="18">
        <f t="shared" si="92"/>
        <v>9</v>
      </c>
      <c r="T611" s="17">
        <f t="shared" si="93"/>
        <v>0</v>
      </c>
      <c r="U611" s="17">
        <f t="shared" si="94"/>
        <v>0</v>
      </c>
      <c r="V611" s="17">
        <f t="shared" si="95"/>
        <v>0</v>
      </c>
      <c r="W611" s="17">
        <f t="shared" si="96"/>
        <v>210</v>
      </c>
      <c r="X611" s="17">
        <f t="shared" si="97"/>
        <v>0</v>
      </c>
      <c r="Y611" s="19" t="e">
        <f t="shared" si="98"/>
        <v>#DIV/0!</v>
      </c>
      <c r="Z611">
        <v>315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f t="shared" si="99"/>
        <v>0</v>
      </c>
      <c r="BF611">
        <v>315</v>
      </c>
      <c r="BG611">
        <v>315</v>
      </c>
      <c r="BH611" t="s">
        <v>109</v>
      </c>
      <c r="BI611" t="s">
        <v>1900</v>
      </c>
      <c r="BJ611">
        <v>0</v>
      </c>
      <c r="BK611">
        <v>0</v>
      </c>
      <c r="BL611">
        <v>315</v>
      </c>
      <c r="BM611">
        <v>0</v>
      </c>
      <c r="BN611">
        <v>0</v>
      </c>
      <c r="BO611">
        <v>0</v>
      </c>
      <c r="BP611">
        <v>1890</v>
      </c>
      <c r="BQ611">
        <v>1890</v>
      </c>
      <c r="BR611">
        <f t="shared" si="100"/>
        <v>0</v>
      </c>
      <c r="BS611">
        <f t="shared" si="101"/>
        <v>420</v>
      </c>
    </row>
    <row r="612" spans="1:74" x14ac:dyDescent="0.25">
      <c r="A612" s="5" t="s">
        <v>1661</v>
      </c>
      <c r="B612" s="5" t="s">
        <v>359</v>
      </c>
      <c r="C612" s="5" t="s">
        <v>207</v>
      </c>
      <c r="D612" s="1" t="s">
        <v>102</v>
      </c>
      <c r="E612">
        <v>0</v>
      </c>
      <c r="F612">
        <v>184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2250</v>
      </c>
      <c r="N612">
        <v>0</v>
      </c>
      <c r="O612">
        <v>0</v>
      </c>
      <c r="P612">
        <v>0</v>
      </c>
      <c r="Q612">
        <v>250</v>
      </c>
      <c r="R612">
        <v>250</v>
      </c>
      <c r="S612" s="18">
        <f t="shared" si="92"/>
        <v>9</v>
      </c>
      <c r="T612" s="17">
        <f t="shared" si="93"/>
        <v>250</v>
      </c>
      <c r="U612" s="17">
        <f t="shared" si="94"/>
        <v>0</v>
      </c>
      <c r="V612" s="17">
        <f t="shared" si="95"/>
        <v>0</v>
      </c>
      <c r="W612" s="17">
        <f t="shared" si="96"/>
        <v>0</v>
      </c>
      <c r="X612" s="17">
        <f t="shared" si="97"/>
        <v>0</v>
      </c>
      <c r="Y612" s="19" t="e">
        <f t="shared" si="98"/>
        <v>#DIV/0!</v>
      </c>
      <c r="Z612">
        <v>184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f t="shared" si="99"/>
        <v>0</v>
      </c>
      <c r="BF612">
        <v>184</v>
      </c>
      <c r="BG612">
        <v>184</v>
      </c>
      <c r="BH612" t="s">
        <v>109</v>
      </c>
      <c r="BI612" t="s">
        <v>1901</v>
      </c>
      <c r="BJ612">
        <v>0</v>
      </c>
      <c r="BK612">
        <v>0</v>
      </c>
      <c r="BL612">
        <v>184</v>
      </c>
      <c r="BM612">
        <v>2250</v>
      </c>
      <c r="BN612">
        <v>0</v>
      </c>
      <c r="BO612">
        <v>0</v>
      </c>
      <c r="BP612">
        <v>0</v>
      </c>
      <c r="BQ612">
        <v>2250</v>
      </c>
      <c r="BR612">
        <f t="shared" si="100"/>
        <v>0</v>
      </c>
      <c r="BS612">
        <f t="shared" si="101"/>
        <v>500</v>
      </c>
    </row>
    <row r="613" spans="1:74" x14ac:dyDescent="0.25">
      <c r="A613" s="5" t="s">
        <v>1661</v>
      </c>
      <c r="B613" s="5" t="s">
        <v>359</v>
      </c>
      <c r="C613" s="5" t="s">
        <v>207</v>
      </c>
      <c r="D613" s="1" t="s">
        <v>106</v>
      </c>
      <c r="E613">
        <v>0</v>
      </c>
      <c r="F613">
        <v>1215</v>
      </c>
      <c r="G613">
        <v>0</v>
      </c>
      <c r="H613">
        <v>0</v>
      </c>
      <c r="I613">
        <v>0</v>
      </c>
      <c r="J613">
        <v>0</v>
      </c>
      <c r="K613">
        <v>260</v>
      </c>
      <c r="L613">
        <v>0</v>
      </c>
      <c r="M613">
        <v>0</v>
      </c>
      <c r="N613">
        <v>0</v>
      </c>
      <c r="O613">
        <v>0</v>
      </c>
      <c r="P613">
        <v>2052</v>
      </c>
      <c r="Q613">
        <v>228</v>
      </c>
      <c r="R613">
        <v>228</v>
      </c>
      <c r="S613" s="18">
        <f t="shared" si="92"/>
        <v>9</v>
      </c>
      <c r="T613" s="17">
        <f t="shared" si="93"/>
        <v>0</v>
      </c>
      <c r="U613" s="17">
        <f t="shared" si="94"/>
        <v>0</v>
      </c>
      <c r="V613" s="17">
        <f t="shared" si="95"/>
        <v>0</v>
      </c>
      <c r="W613" s="17">
        <f t="shared" si="96"/>
        <v>228</v>
      </c>
      <c r="X613" s="17">
        <f t="shared" si="97"/>
        <v>0</v>
      </c>
      <c r="Y613" s="19" t="e">
        <f t="shared" si="98"/>
        <v>#DIV/0!</v>
      </c>
      <c r="Z613">
        <v>1215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260</v>
      </c>
      <c r="AP613">
        <v>120</v>
      </c>
      <c r="AQ613">
        <v>260</v>
      </c>
      <c r="AR613">
        <v>140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f t="shared" si="99"/>
        <v>780</v>
      </c>
      <c r="BF613">
        <v>1475</v>
      </c>
      <c r="BG613">
        <v>1475</v>
      </c>
      <c r="BH613" t="s">
        <v>190</v>
      </c>
      <c r="BI613" t="s">
        <v>1903</v>
      </c>
      <c r="BJ613">
        <v>0</v>
      </c>
      <c r="BK613">
        <v>260</v>
      </c>
      <c r="BL613">
        <v>1475</v>
      </c>
      <c r="BM613">
        <v>0</v>
      </c>
      <c r="BN613">
        <v>0</v>
      </c>
      <c r="BO613">
        <v>0</v>
      </c>
      <c r="BP613">
        <v>2312</v>
      </c>
      <c r="BQ613">
        <v>2312</v>
      </c>
      <c r="BR613">
        <f t="shared" si="100"/>
        <v>0</v>
      </c>
      <c r="BS613">
        <f t="shared" si="101"/>
        <v>456</v>
      </c>
    </row>
    <row r="614" spans="1:74" x14ac:dyDescent="0.25">
      <c r="A614" s="5" t="s">
        <v>1661</v>
      </c>
      <c r="B614" s="5" t="s">
        <v>359</v>
      </c>
      <c r="C614" s="5" t="s">
        <v>207</v>
      </c>
      <c r="D614" s="1" t="s">
        <v>111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396</v>
      </c>
      <c r="N614">
        <v>0</v>
      </c>
      <c r="O614">
        <v>0</v>
      </c>
      <c r="P614">
        <v>0</v>
      </c>
      <c r="Q614">
        <v>44</v>
      </c>
      <c r="R614">
        <v>44</v>
      </c>
      <c r="S614" s="18">
        <f t="shared" si="92"/>
        <v>9</v>
      </c>
      <c r="T614" s="17">
        <f t="shared" si="93"/>
        <v>44</v>
      </c>
      <c r="U614" s="17">
        <f t="shared" si="94"/>
        <v>0</v>
      </c>
      <c r="V614" s="17">
        <f t="shared" si="95"/>
        <v>0</v>
      </c>
      <c r="W614" s="17">
        <f t="shared" si="96"/>
        <v>0</v>
      </c>
      <c r="X614" s="17">
        <f t="shared" si="97"/>
        <v>0</v>
      </c>
      <c r="Y614" s="19" t="e">
        <f t="shared" si="98"/>
        <v>#DIV/0!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f t="shared" si="99"/>
        <v>0</v>
      </c>
      <c r="BH614" t="s">
        <v>190</v>
      </c>
      <c r="BI614" t="s">
        <v>1905</v>
      </c>
      <c r="BJ614">
        <v>0</v>
      </c>
      <c r="BK614">
        <v>0</v>
      </c>
      <c r="BL614">
        <v>0</v>
      </c>
      <c r="BM614">
        <v>396</v>
      </c>
      <c r="BN614">
        <v>0</v>
      </c>
      <c r="BO614">
        <v>0</v>
      </c>
      <c r="BP614">
        <v>0</v>
      </c>
      <c r="BQ614">
        <v>396</v>
      </c>
      <c r="BR614">
        <f t="shared" si="100"/>
        <v>0</v>
      </c>
      <c r="BS614">
        <f t="shared" si="101"/>
        <v>88</v>
      </c>
    </row>
    <row r="615" spans="1:74" x14ac:dyDescent="0.25">
      <c r="A615" s="5" t="s">
        <v>1661</v>
      </c>
      <c r="B615" s="5" t="s">
        <v>359</v>
      </c>
      <c r="C615" s="5" t="s">
        <v>207</v>
      </c>
      <c r="D615" s="1" t="s">
        <v>121</v>
      </c>
      <c r="E615">
        <v>0</v>
      </c>
      <c r="F615">
        <v>116</v>
      </c>
      <c r="G615">
        <v>0</v>
      </c>
      <c r="H615">
        <v>0</v>
      </c>
      <c r="I615">
        <v>230</v>
      </c>
      <c r="J615">
        <v>1400</v>
      </c>
      <c r="K615">
        <v>155</v>
      </c>
      <c r="L615">
        <v>71</v>
      </c>
      <c r="M615">
        <v>0</v>
      </c>
      <c r="N615">
        <v>0</v>
      </c>
      <c r="O615">
        <v>0</v>
      </c>
      <c r="P615">
        <v>1152</v>
      </c>
      <c r="Q615">
        <v>128</v>
      </c>
      <c r="R615">
        <v>128</v>
      </c>
      <c r="S615" s="18">
        <f t="shared" si="92"/>
        <v>9</v>
      </c>
      <c r="T615" s="17">
        <f t="shared" si="93"/>
        <v>0</v>
      </c>
      <c r="U615" s="17">
        <f t="shared" si="94"/>
        <v>0</v>
      </c>
      <c r="V615" s="17">
        <f t="shared" si="95"/>
        <v>0</v>
      </c>
      <c r="W615" s="17">
        <f t="shared" si="96"/>
        <v>128</v>
      </c>
      <c r="X615" s="17">
        <f t="shared" si="97"/>
        <v>0</v>
      </c>
      <c r="Y615" s="19" t="e">
        <f t="shared" si="98"/>
        <v>#DIV/0!</v>
      </c>
      <c r="Z615">
        <v>116</v>
      </c>
      <c r="AA615">
        <v>0</v>
      </c>
      <c r="AB615">
        <v>0</v>
      </c>
      <c r="AC615">
        <v>350</v>
      </c>
      <c r="AD615">
        <v>0</v>
      </c>
      <c r="AE615">
        <v>0</v>
      </c>
      <c r="AF615">
        <v>0</v>
      </c>
      <c r="AG615">
        <v>230</v>
      </c>
      <c r="AH615">
        <v>230</v>
      </c>
      <c r="AI615">
        <v>0</v>
      </c>
      <c r="AJ615">
        <v>0</v>
      </c>
      <c r="AK615">
        <v>1400</v>
      </c>
      <c r="AL615">
        <v>1400</v>
      </c>
      <c r="AM615">
        <v>0</v>
      </c>
      <c r="AN615">
        <v>0</v>
      </c>
      <c r="AO615">
        <v>155</v>
      </c>
      <c r="AP615">
        <v>75</v>
      </c>
      <c r="AQ615">
        <v>155</v>
      </c>
      <c r="AR615">
        <v>80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71</v>
      </c>
      <c r="BA615">
        <v>71</v>
      </c>
      <c r="BB615">
        <v>0</v>
      </c>
      <c r="BC615">
        <v>0</v>
      </c>
      <c r="BD615">
        <v>0</v>
      </c>
      <c r="BE615">
        <f t="shared" si="99"/>
        <v>4217</v>
      </c>
      <c r="BF615">
        <v>2322</v>
      </c>
      <c r="BG615">
        <v>2322</v>
      </c>
      <c r="BH615" t="s">
        <v>82</v>
      </c>
      <c r="BI615" t="s">
        <v>1909</v>
      </c>
      <c r="BJ615">
        <v>350</v>
      </c>
      <c r="BK615">
        <v>1856</v>
      </c>
      <c r="BL615">
        <v>2322</v>
      </c>
      <c r="BM615">
        <v>0</v>
      </c>
      <c r="BN615">
        <v>0</v>
      </c>
      <c r="BO615">
        <v>0</v>
      </c>
      <c r="BP615">
        <v>3008</v>
      </c>
      <c r="BQ615">
        <v>3008</v>
      </c>
      <c r="BR615">
        <f t="shared" si="100"/>
        <v>0</v>
      </c>
      <c r="BS615">
        <f t="shared" si="101"/>
        <v>256</v>
      </c>
    </row>
    <row r="616" spans="1:74" x14ac:dyDescent="0.25">
      <c r="A616" s="5" t="s">
        <v>1017</v>
      </c>
      <c r="B616" s="5" t="s">
        <v>61</v>
      </c>
      <c r="C616" s="5" t="s">
        <v>61</v>
      </c>
      <c r="D616" s="1" t="s">
        <v>71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1753</v>
      </c>
      <c r="K616">
        <v>30</v>
      </c>
      <c r="L616">
        <v>80</v>
      </c>
      <c r="M616">
        <v>0</v>
      </c>
      <c r="N616">
        <v>0</v>
      </c>
      <c r="O616">
        <v>0</v>
      </c>
      <c r="P616">
        <v>1836</v>
      </c>
      <c r="Q616">
        <v>139</v>
      </c>
      <c r="R616">
        <v>204</v>
      </c>
      <c r="S616" s="18">
        <f t="shared" si="92"/>
        <v>9</v>
      </c>
      <c r="T616" s="17">
        <f t="shared" si="93"/>
        <v>0</v>
      </c>
      <c r="U616" s="17">
        <f t="shared" si="94"/>
        <v>0</v>
      </c>
      <c r="V616" s="17">
        <f t="shared" si="95"/>
        <v>0</v>
      </c>
      <c r="W616" s="17">
        <f t="shared" si="96"/>
        <v>204</v>
      </c>
      <c r="X616" s="17">
        <f t="shared" si="97"/>
        <v>-65</v>
      </c>
      <c r="Y616" s="19">
        <f t="shared" si="98"/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1753</v>
      </c>
      <c r="AL616">
        <v>1753</v>
      </c>
      <c r="AM616">
        <v>0</v>
      </c>
      <c r="AN616">
        <v>0</v>
      </c>
      <c r="AO616">
        <v>30</v>
      </c>
      <c r="AP616">
        <v>0</v>
      </c>
      <c r="AQ616">
        <v>30</v>
      </c>
      <c r="AR616">
        <v>30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80</v>
      </c>
      <c r="BA616">
        <v>80</v>
      </c>
      <c r="BB616">
        <v>0</v>
      </c>
      <c r="BC616">
        <v>0</v>
      </c>
      <c r="BD616">
        <v>0</v>
      </c>
      <c r="BE616">
        <f t="shared" si="99"/>
        <v>3756</v>
      </c>
      <c r="BF616">
        <v>1863</v>
      </c>
      <c r="BG616">
        <v>1863</v>
      </c>
      <c r="BH616" t="s">
        <v>63</v>
      </c>
      <c r="BI616" t="s">
        <v>887</v>
      </c>
      <c r="BJ616">
        <v>0</v>
      </c>
      <c r="BK616">
        <v>1863</v>
      </c>
      <c r="BL616">
        <v>1863</v>
      </c>
      <c r="BM616">
        <v>0</v>
      </c>
      <c r="BN616">
        <v>0</v>
      </c>
      <c r="BO616">
        <v>0</v>
      </c>
      <c r="BP616">
        <v>3699</v>
      </c>
      <c r="BQ616">
        <v>3699</v>
      </c>
      <c r="BR616">
        <f t="shared" si="100"/>
        <v>65</v>
      </c>
      <c r="BS616">
        <f t="shared" si="101"/>
        <v>343</v>
      </c>
      <c r="BU616">
        <f>R616*9</f>
        <v>1836</v>
      </c>
      <c r="BV616">
        <f>IF(BU616&gt;BG616, 1, 0)</f>
        <v>0</v>
      </c>
    </row>
    <row r="617" spans="1:74" x14ac:dyDescent="0.25">
      <c r="A617" s="5" t="s">
        <v>1661</v>
      </c>
      <c r="B617" s="5" t="s">
        <v>359</v>
      </c>
      <c r="C617" s="5" t="s">
        <v>359</v>
      </c>
      <c r="D617" s="1" t="s">
        <v>73</v>
      </c>
      <c r="E617">
        <v>0</v>
      </c>
      <c r="F617">
        <v>1000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756</v>
      </c>
      <c r="Q617">
        <v>84</v>
      </c>
      <c r="R617">
        <v>84</v>
      </c>
      <c r="S617" s="18">
        <f t="shared" si="92"/>
        <v>9</v>
      </c>
      <c r="T617" s="17">
        <f t="shared" si="93"/>
        <v>0</v>
      </c>
      <c r="U617" s="17">
        <f t="shared" si="94"/>
        <v>0</v>
      </c>
      <c r="V617" s="17">
        <f t="shared" si="95"/>
        <v>0</v>
      </c>
      <c r="W617" s="17">
        <f t="shared" si="96"/>
        <v>84</v>
      </c>
      <c r="X617" s="17">
        <f t="shared" si="97"/>
        <v>0</v>
      </c>
      <c r="Y617" s="19" t="e">
        <f t="shared" si="98"/>
        <v>#DIV/0!</v>
      </c>
      <c r="Z617">
        <v>1000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f t="shared" si="99"/>
        <v>0</v>
      </c>
      <c r="BF617">
        <v>1000</v>
      </c>
      <c r="BG617">
        <v>1000</v>
      </c>
      <c r="BH617" t="s">
        <v>109</v>
      </c>
      <c r="BI617" t="s">
        <v>1925</v>
      </c>
      <c r="BJ617">
        <v>0</v>
      </c>
      <c r="BK617">
        <v>0</v>
      </c>
      <c r="BL617">
        <v>1000</v>
      </c>
      <c r="BM617">
        <v>0</v>
      </c>
      <c r="BN617">
        <v>0</v>
      </c>
      <c r="BO617">
        <v>0</v>
      </c>
      <c r="BP617">
        <v>756</v>
      </c>
      <c r="BQ617">
        <v>756</v>
      </c>
      <c r="BR617">
        <f t="shared" si="100"/>
        <v>0</v>
      </c>
      <c r="BS617">
        <f t="shared" si="101"/>
        <v>168</v>
      </c>
    </row>
    <row r="618" spans="1:74" x14ac:dyDescent="0.25">
      <c r="A618" s="5" t="s">
        <v>1661</v>
      </c>
      <c r="B618" s="5" t="s">
        <v>359</v>
      </c>
      <c r="C618" s="5" t="s">
        <v>359</v>
      </c>
      <c r="D618" s="1" t="s">
        <v>84</v>
      </c>
      <c r="E618">
        <v>0</v>
      </c>
      <c r="F618">
        <v>34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432</v>
      </c>
      <c r="Q618">
        <v>48</v>
      </c>
      <c r="R618">
        <v>48</v>
      </c>
      <c r="S618" s="18">
        <f t="shared" si="92"/>
        <v>9</v>
      </c>
      <c r="T618" s="17">
        <f t="shared" si="93"/>
        <v>0</v>
      </c>
      <c r="U618" s="17">
        <f t="shared" si="94"/>
        <v>0</v>
      </c>
      <c r="V618" s="17">
        <f t="shared" si="95"/>
        <v>0</v>
      </c>
      <c r="W618" s="17">
        <f t="shared" si="96"/>
        <v>48</v>
      </c>
      <c r="X618" s="17">
        <f t="shared" si="97"/>
        <v>0</v>
      </c>
      <c r="Y618" s="19" t="e">
        <f t="shared" si="98"/>
        <v>#DIV/0!</v>
      </c>
      <c r="Z618">
        <v>34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f t="shared" si="99"/>
        <v>0</v>
      </c>
      <c r="BF618">
        <v>34</v>
      </c>
      <c r="BG618">
        <v>34</v>
      </c>
      <c r="BH618" t="s">
        <v>109</v>
      </c>
      <c r="BI618" t="s">
        <v>1769</v>
      </c>
      <c r="BJ618">
        <v>0</v>
      </c>
      <c r="BK618">
        <v>0</v>
      </c>
      <c r="BL618">
        <v>34</v>
      </c>
      <c r="BM618">
        <v>0</v>
      </c>
      <c r="BN618">
        <v>0</v>
      </c>
      <c r="BO618">
        <v>0</v>
      </c>
      <c r="BP618">
        <v>432</v>
      </c>
      <c r="BQ618">
        <v>432</v>
      </c>
      <c r="BR618">
        <f t="shared" si="100"/>
        <v>0</v>
      </c>
      <c r="BS618">
        <f t="shared" si="101"/>
        <v>96</v>
      </c>
    </row>
    <row r="619" spans="1:74" x14ac:dyDescent="0.25">
      <c r="A619" s="5" t="s">
        <v>1661</v>
      </c>
      <c r="B619" s="5" t="s">
        <v>359</v>
      </c>
      <c r="C619" s="5" t="s">
        <v>359</v>
      </c>
      <c r="D619" s="1" t="s">
        <v>86</v>
      </c>
      <c r="E619">
        <v>0</v>
      </c>
      <c r="F619">
        <v>577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2736</v>
      </c>
      <c r="Q619">
        <v>304</v>
      </c>
      <c r="R619">
        <v>304</v>
      </c>
      <c r="S619" s="18">
        <f t="shared" si="92"/>
        <v>9</v>
      </c>
      <c r="T619" s="17">
        <f t="shared" si="93"/>
        <v>0</v>
      </c>
      <c r="U619" s="17">
        <f t="shared" si="94"/>
        <v>0</v>
      </c>
      <c r="V619" s="17">
        <f t="shared" si="95"/>
        <v>0</v>
      </c>
      <c r="W619" s="17">
        <f t="shared" si="96"/>
        <v>304</v>
      </c>
      <c r="X619" s="17">
        <f t="shared" si="97"/>
        <v>0</v>
      </c>
      <c r="Y619" s="19" t="e">
        <f t="shared" si="98"/>
        <v>#DIV/0!</v>
      </c>
      <c r="Z619">
        <v>577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f t="shared" si="99"/>
        <v>0</v>
      </c>
      <c r="BF619">
        <v>577</v>
      </c>
      <c r="BG619">
        <v>577</v>
      </c>
      <c r="BH619" t="s">
        <v>109</v>
      </c>
      <c r="BI619" t="s">
        <v>1928</v>
      </c>
      <c r="BJ619">
        <v>0</v>
      </c>
      <c r="BK619">
        <v>0</v>
      </c>
      <c r="BL619">
        <v>577</v>
      </c>
      <c r="BM619">
        <v>0</v>
      </c>
      <c r="BN619">
        <v>0</v>
      </c>
      <c r="BO619">
        <v>0</v>
      </c>
      <c r="BP619">
        <v>2736</v>
      </c>
      <c r="BQ619">
        <v>2736</v>
      </c>
      <c r="BR619">
        <f t="shared" si="100"/>
        <v>0</v>
      </c>
      <c r="BS619">
        <f t="shared" si="101"/>
        <v>608</v>
      </c>
    </row>
    <row r="620" spans="1:74" x14ac:dyDescent="0.25">
      <c r="A620" s="5" t="s">
        <v>1661</v>
      </c>
      <c r="B620" s="5" t="s">
        <v>359</v>
      </c>
      <c r="C620" s="5" t="s">
        <v>359</v>
      </c>
      <c r="D620" s="1" t="s">
        <v>88</v>
      </c>
      <c r="E620">
        <v>0</v>
      </c>
      <c r="F620">
        <v>738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855</v>
      </c>
      <c r="Q620">
        <v>95</v>
      </c>
      <c r="R620">
        <v>95</v>
      </c>
      <c r="S620" s="18">
        <f t="shared" si="92"/>
        <v>9</v>
      </c>
      <c r="T620" s="17">
        <f t="shared" si="93"/>
        <v>0</v>
      </c>
      <c r="U620" s="17">
        <f t="shared" si="94"/>
        <v>0</v>
      </c>
      <c r="V620" s="17">
        <f t="shared" si="95"/>
        <v>0</v>
      </c>
      <c r="W620" s="17">
        <f t="shared" si="96"/>
        <v>95</v>
      </c>
      <c r="X620" s="17">
        <f t="shared" si="97"/>
        <v>0</v>
      </c>
      <c r="Y620" s="19" t="e">
        <f t="shared" si="98"/>
        <v>#DIV/0!</v>
      </c>
      <c r="Z620">
        <v>738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f t="shared" si="99"/>
        <v>0</v>
      </c>
      <c r="BF620">
        <v>738</v>
      </c>
      <c r="BG620">
        <v>738</v>
      </c>
      <c r="BH620" t="s">
        <v>109</v>
      </c>
      <c r="BI620" t="s">
        <v>1929</v>
      </c>
      <c r="BJ620">
        <v>0</v>
      </c>
      <c r="BK620">
        <v>0</v>
      </c>
      <c r="BL620">
        <v>738</v>
      </c>
      <c r="BM620">
        <v>0</v>
      </c>
      <c r="BN620">
        <v>0</v>
      </c>
      <c r="BO620">
        <v>0</v>
      </c>
      <c r="BP620">
        <v>855</v>
      </c>
      <c r="BQ620">
        <v>855</v>
      </c>
      <c r="BR620">
        <f t="shared" si="100"/>
        <v>0</v>
      </c>
      <c r="BS620">
        <f t="shared" si="101"/>
        <v>190</v>
      </c>
    </row>
    <row r="621" spans="1:74" x14ac:dyDescent="0.25">
      <c r="A621" s="5" t="s">
        <v>1661</v>
      </c>
      <c r="B621" s="5" t="s">
        <v>359</v>
      </c>
      <c r="C621" s="5" t="s">
        <v>359</v>
      </c>
      <c r="D621" s="1" t="s">
        <v>90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90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8" t="e">
        <f t="shared" si="92"/>
        <v>#DIV/0!</v>
      </c>
      <c r="T621" s="17" t="e">
        <f t="shared" si="93"/>
        <v>#DIV/0!</v>
      </c>
      <c r="U621" s="17" t="e">
        <f t="shared" si="94"/>
        <v>#DIV/0!</v>
      </c>
      <c r="V621" s="17" t="e">
        <f t="shared" si="95"/>
        <v>#DIV/0!</v>
      </c>
      <c r="W621" s="17" t="e">
        <f t="shared" si="96"/>
        <v>#DIV/0!</v>
      </c>
      <c r="X621" s="17" t="e">
        <f t="shared" si="97"/>
        <v>#DIV/0!</v>
      </c>
      <c r="Y621" s="19" t="e">
        <f t="shared" si="98"/>
        <v>#DIV/0!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90</v>
      </c>
      <c r="AP621">
        <v>50</v>
      </c>
      <c r="AQ621">
        <v>90</v>
      </c>
      <c r="AR621">
        <v>40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f t="shared" si="99"/>
        <v>270</v>
      </c>
      <c r="BF621">
        <v>90</v>
      </c>
      <c r="BG621">
        <v>90</v>
      </c>
      <c r="BH621" t="s">
        <v>190</v>
      </c>
      <c r="BI621" t="s">
        <v>1930</v>
      </c>
      <c r="BJ621">
        <v>0</v>
      </c>
      <c r="BK621">
        <v>90</v>
      </c>
      <c r="BL621">
        <v>90</v>
      </c>
      <c r="BM621">
        <v>0</v>
      </c>
      <c r="BN621">
        <v>0</v>
      </c>
      <c r="BO621">
        <v>0</v>
      </c>
      <c r="BP621">
        <v>90</v>
      </c>
      <c r="BQ621">
        <v>90</v>
      </c>
      <c r="BR621">
        <f t="shared" si="100"/>
        <v>0</v>
      </c>
      <c r="BS621">
        <f t="shared" si="101"/>
        <v>0</v>
      </c>
    </row>
    <row r="622" spans="1:74" x14ac:dyDescent="0.25">
      <c r="A622" s="5" t="s">
        <v>1661</v>
      </c>
      <c r="B622" s="5" t="s">
        <v>359</v>
      </c>
      <c r="C622" s="5" t="s">
        <v>359</v>
      </c>
      <c r="D622" s="1" t="s">
        <v>92</v>
      </c>
      <c r="E622">
        <v>0</v>
      </c>
      <c r="F622">
        <v>1540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1215</v>
      </c>
      <c r="Q622">
        <v>135</v>
      </c>
      <c r="R622">
        <v>135</v>
      </c>
      <c r="S622" s="18">
        <f t="shared" si="92"/>
        <v>9</v>
      </c>
      <c r="T622" s="17">
        <f t="shared" si="93"/>
        <v>0</v>
      </c>
      <c r="U622" s="17">
        <f t="shared" si="94"/>
        <v>0</v>
      </c>
      <c r="V622" s="17">
        <f t="shared" si="95"/>
        <v>0</v>
      </c>
      <c r="W622" s="17">
        <f t="shared" si="96"/>
        <v>135</v>
      </c>
      <c r="X622" s="17">
        <f t="shared" si="97"/>
        <v>0</v>
      </c>
      <c r="Y622" s="19" t="e">
        <f t="shared" si="98"/>
        <v>#DIV/0!</v>
      </c>
      <c r="Z622">
        <v>1540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f t="shared" si="99"/>
        <v>0</v>
      </c>
      <c r="BF622">
        <v>1540</v>
      </c>
      <c r="BG622">
        <v>1540</v>
      </c>
      <c r="BH622" t="s">
        <v>190</v>
      </c>
      <c r="BI622" t="s">
        <v>1931</v>
      </c>
      <c r="BJ622">
        <v>0</v>
      </c>
      <c r="BK622">
        <v>0</v>
      </c>
      <c r="BL622">
        <v>1540</v>
      </c>
      <c r="BM622">
        <v>0</v>
      </c>
      <c r="BN622">
        <v>0</v>
      </c>
      <c r="BO622">
        <v>0</v>
      </c>
      <c r="BP622">
        <v>1215</v>
      </c>
      <c r="BQ622">
        <v>1215</v>
      </c>
      <c r="BR622">
        <f t="shared" si="100"/>
        <v>0</v>
      </c>
      <c r="BS622">
        <f t="shared" si="101"/>
        <v>270</v>
      </c>
    </row>
    <row r="623" spans="1:74" x14ac:dyDescent="0.25">
      <c r="A623" s="5" t="s">
        <v>1661</v>
      </c>
      <c r="B623" s="5" t="s">
        <v>359</v>
      </c>
      <c r="C623" s="5" t="s">
        <v>359</v>
      </c>
      <c r="D623" s="1" t="s">
        <v>94</v>
      </c>
      <c r="E623">
        <v>0</v>
      </c>
      <c r="F623">
        <v>1773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729</v>
      </c>
      <c r="Q623">
        <v>81</v>
      </c>
      <c r="R623">
        <v>81</v>
      </c>
      <c r="S623" s="18">
        <f t="shared" si="92"/>
        <v>9</v>
      </c>
      <c r="T623" s="17">
        <f t="shared" si="93"/>
        <v>0</v>
      </c>
      <c r="U623" s="17">
        <f t="shared" si="94"/>
        <v>0</v>
      </c>
      <c r="V623" s="17">
        <f t="shared" si="95"/>
        <v>0</v>
      </c>
      <c r="W623" s="17">
        <f t="shared" si="96"/>
        <v>81</v>
      </c>
      <c r="X623" s="17">
        <f t="shared" si="97"/>
        <v>0</v>
      </c>
      <c r="Y623" s="19" t="e">
        <f t="shared" si="98"/>
        <v>#DIV/0!</v>
      </c>
      <c r="Z623">
        <v>1773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f t="shared" si="99"/>
        <v>0</v>
      </c>
      <c r="BF623">
        <v>1773</v>
      </c>
      <c r="BG623">
        <v>1773</v>
      </c>
      <c r="BH623" t="s">
        <v>190</v>
      </c>
      <c r="BI623" t="s">
        <v>1932</v>
      </c>
      <c r="BJ623">
        <v>0</v>
      </c>
      <c r="BK623">
        <v>0</v>
      </c>
      <c r="BL623">
        <v>1773</v>
      </c>
      <c r="BM623">
        <v>0</v>
      </c>
      <c r="BN623">
        <v>0</v>
      </c>
      <c r="BO623">
        <v>0</v>
      </c>
      <c r="BP623">
        <v>729</v>
      </c>
      <c r="BQ623">
        <v>729</v>
      </c>
      <c r="BR623">
        <f t="shared" si="100"/>
        <v>0</v>
      </c>
      <c r="BS623">
        <f t="shared" si="101"/>
        <v>162</v>
      </c>
    </row>
    <row r="624" spans="1:74" x14ac:dyDescent="0.25">
      <c r="A624" s="5" t="s">
        <v>1661</v>
      </c>
      <c r="B624" s="6" t="s">
        <v>359</v>
      </c>
      <c r="C624" s="6" t="s">
        <v>359</v>
      </c>
      <c r="D624" s="1" t="s">
        <v>98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83</v>
      </c>
      <c r="L624">
        <v>48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8" t="e">
        <f t="shared" si="92"/>
        <v>#DIV/0!</v>
      </c>
      <c r="T624" s="17" t="e">
        <f t="shared" si="93"/>
        <v>#DIV/0!</v>
      </c>
      <c r="U624" s="17" t="e">
        <f t="shared" si="94"/>
        <v>#DIV/0!</v>
      </c>
      <c r="V624" s="17" t="e">
        <f t="shared" si="95"/>
        <v>#DIV/0!</v>
      </c>
      <c r="W624" s="17" t="e">
        <f t="shared" si="96"/>
        <v>#DIV/0!</v>
      </c>
      <c r="X624" s="17" t="e">
        <f t="shared" si="97"/>
        <v>#DIV/0!</v>
      </c>
      <c r="Y624" s="19" t="e">
        <f t="shared" si="98"/>
        <v>#DIV/0!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83</v>
      </c>
      <c r="AP624">
        <v>0</v>
      </c>
      <c r="AQ624">
        <v>83</v>
      </c>
      <c r="AR624">
        <v>83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48</v>
      </c>
      <c r="BA624">
        <v>48</v>
      </c>
      <c r="BB624">
        <v>0</v>
      </c>
      <c r="BC624">
        <v>0</v>
      </c>
      <c r="BD624">
        <v>0</v>
      </c>
      <c r="BE624">
        <f t="shared" si="99"/>
        <v>345</v>
      </c>
      <c r="BF624">
        <v>131</v>
      </c>
      <c r="BG624">
        <v>131</v>
      </c>
      <c r="BH624" t="s">
        <v>190</v>
      </c>
      <c r="BI624" t="s">
        <v>1933</v>
      </c>
      <c r="BJ624">
        <v>0</v>
      </c>
      <c r="BK624">
        <v>131</v>
      </c>
      <c r="BL624">
        <v>131</v>
      </c>
      <c r="BM624">
        <v>0</v>
      </c>
      <c r="BN624">
        <v>0</v>
      </c>
      <c r="BO624">
        <v>0</v>
      </c>
      <c r="BP624">
        <v>131</v>
      </c>
      <c r="BQ624">
        <v>131</v>
      </c>
      <c r="BR624">
        <f t="shared" si="100"/>
        <v>0</v>
      </c>
      <c r="BS624">
        <f t="shared" si="101"/>
        <v>0</v>
      </c>
    </row>
    <row r="625" spans="1:74" x14ac:dyDescent="0.25">
      <c r="A625" s="5" t="s">
        <v>1661</v>
      </c>
      <c r="B625" s="7" t="s">
        <v>359</v>
      </c>
      <c r="C625" s="7" t="s">
        <v>359</v>
      </c>
      <c r="D625" s="1" t="s">
        <v>100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77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8" t="e">
        <f t="shared" si="92"/>
        <v>#DIV/0!</v>
      </c>
      <c r="T625" s="17" t="e">
        <f t="shared" si="93"/>
        <v>#DIV/0!</v>
      </c>
      <c r="U625" s="17" t="e">
        <f t="shared" si="94"/>
        <v>#DIV/0!</v>
      </c>
      <c r="V625" s="17" t="e">
        <f t="shared" si="95"/>
        <v>#DIV/0!</v>
      </c>
      <c r="W625" s="17" t="e">
        <f t="shared" si="96"/>
        <v>#DIV/0!</v>
      </c>
      <c r="X625" s="17" t="e">
        <f t="shared" si="97"/>
        <v>#DIV/0!</v>
      </c>
      <c r="Y625" s="19" t="e">
        <f t="shared" si="98"/>
        <v>#DIV/0!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77</v>
      </c>
      <c r="AP625">
        <v>0</v>
      </c>
      <c r="AQ625">
        <v>77</v>
      </c>
      <c r="AR625">
        <v>77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f t="shared" si="99"/>
        <v>231</v>
      </c>
      <c r="BF625">
        <v>77</v>
      </c>
      <c r="BG625">
        <v>77</v>
      </c>
      <c r="BH625" t="s">
        <v>190</v>
      </c>
      <c r="BI625" t="s">
        <v>1934</v>
      </c>
      <c r="BJ625">
        <v>0</v>
      </c>
      <c r="BK625">
        <v>77</v>
      </c>
      <c r="BL625">
        <v>77</v>
      </c>
      <c r="BM625">
        <v>0</v>
      </c>
      <c r="BN625">
        <v>0</v>
      </c>
      <c r="BO625">
        <v>0</v>
      </c>
      <c r="BP625">
        <v>77</v>
      </c>
      <c r="BQ625">
        <v>77</v>
      </c>
      <c r="BR625">
        <f t="shared" si="100"/>
        <v>0</v>
      </c>
      <c r="BS625">
        <f t="shared" si="101"/>
        <v>0</v>
      </c>
    </row>
    <row r="626" spans="1:74" x14ac:dyDescent="0.25">
      <c r="A626" s="5" t="s">
        <v>1661</v>
      </c>
      <c r="B626" s="5" t="s">
        <v>359</v>
      </c>
      <c r="C626" s="5" t="s">
        <v>359</v>
      </c>
      <c r="D626" s="1" t="s">
        <v>104</v>
      </c>
      <c r="E626">
        <v>0</v>
      </c>
      <c r="F626">
        <v>1783</v>
      </c>
      <c r="G626">
        <v>0</v>
      </c>
      <c r="H626">
        <v>0</v>
      </c>
      <c r="I626">
        <v>0</v>
      </c>
      <c r="J626">
        <v>0</v>
      </c>
      <c r="K626">
        <v>11</v>
      </c>
      <c r="L626">
        <v>0</v>
      </c>
      <c r="M626">
        <v>0</v>
      </c>
      <c r="N626">
        <v>0</v>
      </c>
      <c r="O626">
        <v>0</v>
      </c>
      <c r="P626">
        <v>5274</v>
      </c>
      <c r="Q626">
        <v>586</v>
      </c>
      <c r="R626">
        <v>586</v>
      </c>
      <c r="S626" s="18">
        <f t="shared" si="92"/>
        <v>9</v>
      </c>
      <c r="T626" s="17">
        <f t="shared" si="93"/>
        <v>0</v>
      </c>
      <c r="U626" s="17">
        <f t="shared" si="94"/>
        <v>0</v>
      </c>
      <c r="V626" s="17">
        <f t="shared" si="95"/>
        <v>0</v>
      </c>
      <c r="W626" s="17">
        <f t="shared" si="96"/>
        <v>586</v>
      </c>
      <c r="X626" s="17">
        <f t="shared" si="97"/>
        <v>0</v>
      </c>
      <c r="Y626" s="19" t="e">
        <f t="shared" si="98"/>
        <v>#DIV/0!</v>
      </c>
      <c r="Z626">
        <v>1783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11</v>
      </c>
      <c r="AP626">
        <v>0</v>
      </c>
      <c r="AQ626">
        <v>11</v>
      </c>
      <c r="AR626">
        <v>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f t="shared" si="99"/>
        <v>33</v>
      </c>
      <c r="BF626">
        <v>1794</v>
      </c>
      <c r="BG626">
        <v>1794</v>
      </c>
      <c r="BH626" t="s">
        <v>190</v>
      </c>
      <c r="BI626" t="s">
        <v>1936</v>
      </c>
      <c r="BJ626">
        <v>0</v>
      </c>
      <c r="BK626">
        <v>11</v>
      </c>
      <c r="BL626">
        <v>1794</v>
      </c>
      <c r="BM626">
        <v>0</v>
      </c>
      <c r="BN626">
        <v>0</v>
      </c>
      <c r="BO626">
        <v>0</v>
      </c>
      <c r="BP626">
        <v>5285</v>
      </c>
      <c r="BQ626">
        <v>5285</v>
      </c>
      <c r="BR626">
        <f t="shared" si="100"/>
        <v>0</v>
      </c>
      <c r="BS626">
        <f t="shared" si="101"/>
        <v>1172</v>
      </c>
    </row>
    <row r="627" spans="1:74" x14ac:dyDescent="0.25">
      <c r="A627" s="5" t="s">
        <v>1661</v>
      </c>
      <c r="B627" s="5" t="s">
        <v>359</v>
      </c>
      <c r="C627" s="5" t="s">
        <v>359</v>
      </c>
      <c r="D627" s="1" t="s">
        <v>106</v>
      </c>
      <c r="E627">
        <v>0</v>
      </c>
      <c r="F627">
        <v>3650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3834</v>
      </c>
      <c r="Q627">
        <v>426</v>
      </c>
      <c r="R627">
        <v>426</v>
      </c>
      <c r="S627" s="18">
        <f t="shared" si="92"/>
        <v>9</v>
      </c>
      <c r="T627" s="17">
        <f t="shared" si="93"/>
        <v>0</v>
      </c>
      <c r="U627" s="17">
        <f t="shared" si="94"/>
        <v>0</v>
      </c>
      <c r="V627" s="17">
        <f t="shared" si="95"/>
        <v>0</v>
      </c>
      <c r="W627" s="17">
        <f t="shared" si="96"/>
        <v>426</v>
      </c>
      <c r="X627" s="17">
        <f t="shared" si="97"/>
        <v>0</v>
      </c>
      <c r="Y627" s="19" t="e">
        <f t="shared" si="98"/>
        <v>#DIV/0!</v>
      </c>
      <c r="Z627">
        <v>3650</v>
      </c>
      <c r="AA627">
        <v>0</v>
      </c>
      <c r="AB627">
        <v>0</v>
      </c>
      <c r="AC627">
        <v>46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f t="shared" si="99"/>
        <v>46</v>
      </c>
      <c r="BF627">
        <v>3696</v>
      </c>
      <c r="BG627">
        <v>3696</v>
      </c>
      <c r="BH627" t="s">
        <v>190</v>
      </c>
      <c r="BI627" t="s">
        <v>1937</v>
      </c>
      <c r="BJ627">
        <v>46</v>
      </c>
      <c r="BK627">
        <v>0</v>
      </c>
      <c r="BL627">
        <v>3696</v>
      </c>
      <c r="BM627">
        <v>0</v>
      </c>
      <c r="BN627">
        <v>0</v>
      </c>
      <c r="BO627">
        <v>0</v>
      </c>
      <c r="BP627">
        <v>3834</v>
      </c>
      <c r="BQ627">
        <v>3834</v>
      </c>
      <c r="BR627">
        <f t="shared" si="100"/>
        <v>0</v>
      </c>
      <c r="BS627">
        <f t="shared" si="101"/>
        <v>852</v>
      </c>
    </row>
    <row r="628" spans="1:74" x14ac:dyDescent="0.25">
      <c r="A628" s="5" t="s">
        <v>1661</v>
      </c>
      <c r="B628" s="5" t="s">
        <v>359</v>
      </c>
      <c r="C628" s="5" t="s">
        <v>359</v>
      </c>
      <c r="D628" s="1" t="s">
        <v>113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848</v>
      </c>
      <c r="K628">
        <v>91</v>
      </c>
      <c r="L628">
        <v>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8" t="e">
        <f t="shared" si="92"/>
        <v>#DIV/0!</v>
      </c>
      <c r="T628" s="17" t="e">
        <f t="shared" si="93"/>
        <v>#DIV/0!</v>
      </c>
      <c r="U628" s="17" t="e">
        <f t="shared" si="94"/>
        <v>#DIV/0!</v>
      </c>
      <c r="V628" s="17" t="e">
        <f t="shared" si="95"/>
        <v>#DIV/0!</v>
      </c>
      <c r="W628" s="17" t="e">
        <f t="shared" si="96"/>
        <v>#DIV/0!</v>
      </c>
      <c r="X628" s="17" t="e">
        <f t="shared" si="97"/>
        <v>#DIV/0!</v>
      </c>
      <c r="Y628" s="19" t="e">
        <f t="shared" si="98"/>
        <v>#DIV/0!</v>
      </c>
      <c r="Z628">
        <v>0</v>
      </c>
      <c r="AA628">
        <v>0</v>
      </c>
      <c r="AB628">
        <v>0</v>
      </c>
      <c r="AC628">
        <v>275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848</v>
      </c>
      <c r="AL628">
        <v>848</v>
      </c>
      <c r="AM628">
        <v>0</v>
      </c>
      <c r="AN628">
        <v>0</v>
      </c>
      <c r="AO628">
        <v>91</v>
      </c>
      <c r="AP628">
        <v>84</v>
      </c>
      <c r="AQ628">
        <v>91</v>
      </c>
      <c r="AR628">
        <v>7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14</v>
      </c>
      <c r="BA628">
        <v>14</v>
      </c>
      <c r="BB628">
        <v>0</v>
      </c>
      <c r="BC628">
        <v>0</v>
      </c>
      <c r="BD628">
        <v>0</v>
      </c>
      <c r="BE628">
        <f t="shared" si="99"/>
        <v>2272</v>
      </c>
      <c r="BF628">
        <v>1228</v>
      </c>
      <c r="BG628">
        <v>1228</v>
      </c>
      <c r="BH628" t="s">
        <v>199</v>
      </c>
      <c r="BI628" t="s">
        <v>1940</v>
      </c>
      <c r="BJ628">
        <v>275</v>
      </c>
      <c r="BK628">
        <v>953</v>
      </c>
      <c r="BL628">
        <v>1228</v>
      </c>
      <c r="BM628">
        <v>0</v>
      </c>
      <c r="BN628">
        <v>0</v>
      </c>
      <c r="BO628">
        <v>0</v>
      </c>
      <c r="BP628">
        <v>953</v>
      </c>
      <c r="BQ628">
        <v>953</v>
      </c>
      <c r="BR628">
        <f t="shared" si="100"/>
        <v>0</v>
      </c>
      <c r="BS628">
        <f t="shared" si="101"/>
        <v>0</v>
      </c>
    </row>
    <row r="629" spans="1:74" x14ac:dyDescent="0.25">
      <c r="A629" s="5" t="s">
        <v>1451</v>
      </c>
      <c r="B629" s="5" t="s">
        <v>207</v>
      </c>
      <c r="C629" s="5" t="s">
        <v>61</v>
      </c>
      <c r="D629" s="1" t="s">
        <v>69</v>
      </c>
      <c r="E629">
        <v>0</v>
      </c>
      <c r="F629">
        <v>550</v>
      </c>
      <c r="G629">
        <v>0</v>
      </c>
      <c r="H629">
        <v>0</v>
      </c>
      <c r="I629">
        <v>4310</v>
      </c>
      <c r="J629">
        <v>2500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1728</v>
      </c>
      <c r="Q629">
        <v>192</v>
      </c>
      <c r="R629">
        <v>192</v>
      </c>
      <c r="S629" s="18">
        <f t="shared" si="92"/>
        <v>9</v>
      </c>
      <c r="T629" s="17">
        <f t="shared" si="93"/>
        <v>0</v>
      </c>
      <c r="U629" s="17">
        <f t="shared" si="94"/>
        <v>0</v>
      </c>
      <c r="V629" s="17">
        <f t="shared" si="95"/>
        <v>0</v>
      </c>
      <c r="W629" s="17">
        <f t="shared" si="96"/>
        <v>192</v>
      </c>
      <c r="X629" s="17">
        <f t="shared" si="97"/>
        <v>0</v>
      </c>
      <c r="Y629" s="19" t="e">
        <f t="shared" si="98"/>
        <v>#DIV/0!</v>
      </c>
      <c r="Z629">
        <v>550</v>
      </c>
      <c r="AA629">
        <v>0</v>
      </c>
      <c r="AB629">
        <v>0</v>
      </c>
      <c r="AC629">
        <v>330</v>
      </c>
      <c r="AD629">
        <v>0</v>
      </c>
      <c r="AE629">
        <v>0</v>
      </c>
      <c r="AF629">
        <v>0</v>
      </c>
      <c r="AG629">
        <v>4310</v>
      </c>
      <c r="AH629">
        <v>4310</v>
      </c>
      <c r="AI629">
        <v>0</v>
      </c>
      <c r="AJ629">
        <v>0</v>
      </c>
      <c r="AK629">
        <v>2500</v>
      </c>
      <c r="AL629">
        <v>2500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f t="shared" si="99"/>
        <v>13950</v>
      </c>
      <c r="BF629">
        <v>7690</v>
      </c>
      <c r="BG629">
        <v>7690</v>
      </c>
      <c r="BH629" t="s">
        <v>63</v>
      </c>
      <c r="BI629" t="s">
        <v>1474</v>
      </c>
      <c r="BJ629">
        <v>330</v>
      </c>
      <c r="BK629">
        <v>6810</v>
      </c>
      <c r="BL629">
        <v>7690</v>
      </c>
      <c r="BM629">
        <v>0</v>
      </c>
      <c r="BN629">
        <v>0</v>
      </c>
      <c r="BO629">
        <v>0</v>
      </c>
      <c r="BP629">
        <v>8538</v>
      </c>
      <c r="BQ629">
        <v>8538</v>
      </c>
      <c r="BR629">
        <f t="shared" si="100"/>
        <v>0</v>
      </c>
      <c r="BS629">
        <f t="shared" si="101"/>
        <v>384</v>
      </c>
      <c r="BU629">
        <f>R629*9</f>
        <v>1728</v>
      </c>
      <c r="BV629">
        <f>IF(BU629&gt;BG629, 1, 0)</f>
        <v>0</v>
      </c>
    </row>
    <row r="630" spans="1:74" x14ac:dyDescent="0.25">
      <c r="A630" s="5" t="s">
        <v>1946</v>
      </c>
      <c r="B630" s="5" t="s">
        <v>61</v>
      </c>
      <c r="C630" s="5" t="s">
        <v>61</v>
      </c>
      <c r="D630" s="1" t="s">
        <v>94</v>
      </c>
      <c r="E630">
        <v>0</v>
      </c>
      <c r="F630">
        <v>2380</v>
      </c>
      <c r="G630">
        <v>0</v>
      </c>
      <c r="H630">
        <v>0</v>
      </c>
      <c r="I630">
        <v>2500</v>
      </c>
      <c r="J630">
        <v>0</v>
      </c>
      <c r="K630">
        <v>0</v>
      </c>
      <c r="L630">
        <v>0</v>
      </c>
      <c r="M630">
        <v>10620</v>
      </c>
      <c r="N630">
        <v>0</v>
      </c>
      <c r="O630">
        <v>0</v>
      </c>
      <c r="P630">
        <v>0</v>
      </c>
      <c r="Q630">
        <v>1180</v>
      </c>
      <c r="R630">
        <v>1180</v>
      </c>
      <c r="S630" s="18">
        <f t="shared" si="92"/>
        <v>9</v>
      </c>
      <c r="T630" s="17">
        <f t="shared" si="93"/>
        <v>1180</v>
      </c>
      <c r="U630" s="17">
        <f t="shared" si="94"/>
        <v>0</v>
      </c>
      <c r="V630" s="17">
        <f t="shared" si="95"/>
        <v>0</v>
      </c>
      <c r="W630" s="17">
        <f t="shared" si="96"/>
        <v>0</v>
      </c>
      <c r="X630" s="17">
        <f t="shared" si="97"/>
        <v>0</v>
      </c>
      <c r="Y630" s="19" t="e">
        <f t="shared" si="98"/>
        <v>#DIV/0!</v>
      </c>
      <c r="Z630">
        <v>2380</v>
      </c>
      <c r="AA630">
        <v>0</v>
      </c>
      <c r="AB630">
        <v>0</v>
      </c>
      <c r="AC630">
        <v>0</v>
      </c>
      <c r="AD630">
        <v>2500</v>
      </c>
      <c r="AE630">
        <v>0</v>
      </c>
      <c r="AF630">
        <v>0</v>
      </c>
      <c r="AG630">
        <v>0</v>
      </c>
      <c r="AH630">
        <v>2500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f t="shared" si="99"/>
        <v>5000</v>
      </c>
      <c r="BF630">
        <v>4880</v>
      </c>
      <c r="BG630">
        <v>4880</v>
      </c>
      <c r="BH630" t="s">
        <v>109</v>
      </c>
      <c r="BI630" t="s">
        <v>1962</v>
      </c>
      <c r="BJ630">
        <v>0</v>
      </c>
      <c r="BK630">
        <v>2500</v>
      </c>
      <c r="BL630">
        <v>4880</v>
      </c>
      <c r="BM630">
        <v>13120</v>
      </c>
      <c r="BN630">
        <v>0</v>
      </c>
      <c r="BO630">
        <v>0</v>
      </c>
      <c r="BP630">
        <v>0</v>
      </c>
      <c r="BQ630">
        <v>13120</v>
      </c>
      <c r="BR630">
        <f t="shared" si="100"/>
        <v>0</v>
      </c>
      <c r="BS630">
        <f t="shared" si="101"/>
        <v>2360</v>
      </c>
    </row>
    <row r="631" spans="1:74" x14ac:dyDescent="0.25">
      <c r="A631" s="5" t="s">
        <v>1946</v>
      </c>
      <c r="B631" s="5" t="s">
        <v>61</v>
      </c>
      <c r="C631" s="5" t="s">
        <v>61</v>
      </c>
      <c r="D631" s="1" t="s">
        <v>125</v>
      </c>
      <c r="E631">
        <v>0</v>
      </c>
      <c r="F631">
        <v>260</v>
      </c>
      <c r="G631">
        <v>0</v>
      </c>
      <c r="H631">
        <v>0</v>
      </c>
      <c r="I631">
        <v>124</v>
      </c>
      <c r="J631">
        <v>0</v>
      </c>
      <c r="K631">
        <v>11</v>
      </c>
      <c r="L631">
        <v>0</v>
      </c>
      <c r="M631">
        <v>819</v>
      </c>
      <c r="N631">
        <v>0</v>
      </c>
      <c r="O631">
        <v>0</v>
      </c>
      <c r="P631">
        <v>1521</v>
      </c>
      <c r="Q631">
        <v>260</v>
      </c>
      <c r="R631">
        <v>260</v>
      </c>
      <c r="S631" s="18">
        <f t="shared" si="92"/>
        <v>9</v>
      </c>
      <c r="T631" s="17">
        <f t="shared" si="93"/>
        <v>91</v>
      </c>
      <c r="U631" s="17">
        <f t="shared" si="94"/>
        <v>0</v>
      </c>
      <c r="V631" s="17">
        <f t="shared" si="95"/>
        <v>0</v>
      </c>
      <c r="W631" s="17">
        <f t="shared" si="96"/>
        <v>169</v>
      </c>
      <c r="X631" s="17">
        <f t="shared" si="97"/>
        <v>0</v>
      </c>
      <c r="Y631" s="19" t="e">
        <f t="shared" si="98"/>
        <v>#DIV/0!</v>
      </c>
      <c r="Z631">
        <v>260</v>
      </c>
      <c r="AA631">
        <v>0</v>
      </c>
      <c r="AB631">
        <v>0</v>
      </c>
      <c r="AC631">
        <v>0</v>
      </c>
      <c r="AD631">
        <v>41</v>
      </c>
      <c r="AE631">
        <v>0</v>
      </c>
      <c r="AF631">
        <v>0</v>
      </c>
      <c r="AG631">
        <v>83</v>
      </c>
      <c r="AH631">
        <v>124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11</v>
      </c>
      <c r="AP631">
        <v>0</v>
      </c>
      <c r="AQ631">
        <v>11</v>
      </c>
      <c r="AR631">
        <v>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f t="shared" si="99"/>
        <v>281</v>
      </c>
      <c r="BF631">
        <v>395</v>
      </c>
      <c r="BG631">
        <v>395</v>
      </c>
      <c r="BH631" t="s">
        <v>109</v>
      </c>
      <c r="BI631" t="s">
        <v>1975</v>
      </c>
      <c r="BJ631">
        <v>0</v>
      </c>
      <c r="BK631">
        <v>135</v>
      </c>
      <c r="BL631">
        <v>395</v>
      </c>
      <c r="BM631">
        <v>860</v>
      </c>
      <c r="BN631">
        <v>0</v>
      </c>
      <c r="BO631">
        <v>0</v>
      </c>
      <c r="BP631">
        <v>1615</v>
      </c>
      <c r="BQ631">
        <v>2475</v>
      </c>
      <c r="BR631">
        <f t="shared" si="100"/>
        <v>0</v>
      </c>
      <c r="BS631">
        <f t="shared" si="101"/>
        <v>520</v>
      </c>
    </row>
    <row r="632" spans="1:74" x14ac:dyDescent="0.25">
      <c r="A632" s="5" t="s">
        <v>1946</v>
      </c>
      <c r="B632" s="5" t="s">
        <v>61</v>
      </c>
      <c r="C632" s="5" t="s">
        <v>61</v>
      </c>
      <c r="D632" s="1" t="s">
        <v>131</v>
      </c>
      <c r="E632">
        <v>0</v>
      </c>
      <c r="F632">
        <v>1440</v>
      </c>
      <c r="G632">
        <v>0</v>
      </c>
      <c r="H632">
        <v>0</v>
      </c>
      <c r="I632">
        <v>1500</v>
      </c>
      <c r="J632">
        <v>0</v>
      </c>
      <c r="K632">
        <v>0</v>
      </c>
      <c r="L632">
        <v>0</v>
      </c>
      <c r="M632">
        <v>4320</v>
      </c>
      <c r="N632">
        <v>0</v>
      </c>
      <c r="O632">
        <v>0</v>
      </c>
      <c r="P632">
        <v>0</v>
      </c>
      <c r="Q632">
        <v>480</v>
      </c>
      <c r="R632">
        <v>480</v>
      </c>
      <c r="S632" s="18">
        <f t="shared" si="92"/>
        <v>9</v>
      </c>
      <c r="T632" s="17">
        <f t="shared" si="93"/>
        <v>480</v>
      </c>
      <c r="U632" s="17">
        <f t="shared" si="94"/>
        <v>0</v>
      </c>
      <c r="V632" s="17">
        <f t="shared" si="95"/>
        <v>0</v>
      </c>
      <c r="W632" s="17">
        <f t="shared" si="96"/>
        <v>0</v>
      </c>
      <c r="X632" s="17">
        <f t="shared" si="97"/>
        <v>0</v>
      </c>
      <c r="Y632" s="19" t="e">
        <f t="shared" si="98"/>
        <v>#DIV/0!</v>
      </c>
      <c r="Z632">
        <v>1440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1500</v>
      </c>
      <c r="AH632">
        <v>1500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f t="shared" si="99"/>
        <v>3000</v>
      </c>
      <c r="BF632">
        <v>2940</v>
      </c>
      <c r="BG632">
        <v>2940</v>
      </c>
      <c r="BH632" t="s">
        <v>109</v>
      </c>
      <c r="BI632" t="s">
        <v>1978</v>
      </c>
      <c r="BJ632">
        <v>0</v>
      </c>
      <c r="BK632">
        <v>1500</v>
      </c>
      <c r="BL632">
        <v>2940</v>
      </c>
      <c r="BM632">
        <v>4320</v>
      </c>
      <c r="BN632">
        <v>0</v>
      </c>
      <c r="BO632">
        <v>0</v>
      </c>
      <c r="BP632">
        <v>1500</v>
      </c>
      <c r="BQ632">
        <v>5820</v>
      </c>
      <c r="BR632">
        <f t="shared" si="100"/>
        <v>0</v>
      </c>
      <c r="BS632">
        <f t="shared" si="101"/>
        <v>960</v>
      </c>
    </row>
    <row r="633" spans="1:74" x14ac:dyDescent="0.25">
      <c r="A633" s="5" t="s">
        <v>1946</v>
      </c>
      <c r="B633" s="5" t="s">
        <v>61</v>
      </c>
      <c r="C633" s="5" t="s">
        <v>61</v>
      </c>
      <c r="D633" s="1" t="s">
        <v>175</v>
      </c>
      <c r="E633">
        <v>0</v>
      </c>
      <c r="F633">
        <v>2260</v>
      </c>
      <c r="G633">
        <v>0</v>
      </c>
      <c r="H633">
        <v>0</v>
      </c>
      <c r="I633">
        <v>272</v>
      </c>
      <c r="J633">
        <v>0</v>
      </c>
      <c r="K633">
        <v>72</v>
      </c>
      <c r="L633">
        <v>137</v>
      </c>
      <c r="M633">
        <v>3186</v>
      </c>
      <c r="N633">
        <v>0</v>
      </c>
      <c r="O633">
        <v>0</v>
      </c>
      <c r="P633">
        <v>7902</v>
      </c>
      <c r="Q633">
        <v>1232</v>
      </c>
      <c r="R633">
        <v>1232</v>
      </c>
      <c r="S633" s="18">
        <f t="shared" si="92"/>
        <v>9</v>
      </c>
      <c r="T633" s="17">
        <f t="shared" si="93"/>
        <v>354</v>
      </c>
      <c r="U633" s="17">
        <f t="shared" si="94"/>
        <v>0</v>
      </c>
      <c r="V633" s="17">
        <f t="shared" si="95"/>
        <v>0</v>
      </c>
      <c r="W633" s="17">
        <f t="shared" si="96"/>
        <v>878</v>
      </c>
      <c r="X633" s="17">
        <f t="shared" si="97"/>
        <v>0</v>
      </c>
      <c r="Y633" s="19" t="e">
        <f t="shared" si="98"/>
        <v>#DIV/0!</v>
      </c>
      <c r="Z633">
        <v>2260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272</v>
      </c>
      <c r="AH633">
        <v>272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36</v>
      </c>
      <c r="AO633">
        <v>36</v>
      </c>
      <c r="AP633">
        <v>0</v>
      </c>
      <c r="AQ633">
        <v>72</v>
      </c>
      <c r="AR633">
        <v>72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137</v>
      </c>
      <c r="BA633">
        <v>137</v>
      </c>
      <c r="BB633">
        <v>0</v>
      </c>
      <c r="BC633">
        <v>0</v>
      </c>
      <c r="BD633">
        <v>0</v>
      </c>
      <c r="BE633">
        <f t="shared" si="99"/>
        <v>1034</v>
      </c>
      <c r="BF633">
        <v>2741</v>
      </c>
      <c r="BG633">
        <v>2741</v>
      </c>
      <c r="BH633" t="s">
        <v>109</v>
      </c>
      <c r="BI633" t="s">
        <v>1999</v>
      </c>
      <c r="BJ633">
        <v>0</v>
      </c>
      <c r="BK633">
        <v>481</v>
      </c>
      <c r="BL633">
        <v>2741</v>
      </c>
      <c r="BM633">
        <v>3186</v>
      </c>
      <c r="BN633">
        <v>36</v>
      </c>
      <c r="BO633">
        <v>0</v>
      </c>
      <c r="BP633">
        <v>8347</v>
      </c>
      <c r="BQ633">
        <v>11569</v>
      </c>
      <c r="BR633">
        <f t="shared" si="100"/>
        <v>0</v>
      </c>
      <c r="BS633">
        <f t="shared" si="101"/>
        <v>2464</v>
      </c>
    </row>
    <row r="634" spans="1:74" x14ac:dyDescent="0.25">
      <c r="A634" s="5" t="s">
        <v>1946</v>
      </c>
      <c r="B634" s="5" t="s">
        <v>207</v>
      </c>
      <c r="C634" s="5" t="s">
        <v>61</v>
      </c>
      <c r="D634" s="1" t="s">
        <v>96</v>
      </c>
      <c r="E634">
        <v>0</v>
      </c>
      <c r="F634">
        <v>71480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36504</v>
      </c>
      <c r="N634">
        <v>0</v>
      </c>
      <c r="O634">
        <v>0</v>
      </c>
      <c r="P634">
        <v>0</v>
      </c>
      <c r="Q634">
        <v>4056</v>
      </c>
      <c r="R634">
        <v>4056</v>
      </c>
      <c r="S634" s="18">
        <f t="shared" si="92"/>
        <v>9</v>
      </c>
      <c r="T634" s="17">
        <f t="shared" si="93"/>
        <v>4056</v>
      </c>
      <c r="U634" s="17">
        <f t="shared" si="94"/>
        <v>0</v>
      </c>
      <c r="V634" s="17">
        <f t="shared" si="95"/>
        <v>0</v>
      </c>
      <c r="W634" s="17">
        <f t="shared" si="96"/>
        <v>0</v>
      </c>
      <c r="X634" s="17">
        <f t="shared" si="97"/>
        <v>0</v>
      </c>
      <c r="Y634" s="19" t="e">
        <f t="shared" si="98"/>
        <v>#DIV/0!</v>
      </c>
      <c r="Z634">
        <v>71480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f t="shared" si="99"/>
        <v>0</v>
      </c>
      <c r="BF634">
        <v>71480</v>
      </c>
      <c r="BG634">
        <v>71480</v>
      </c>
      <c r="BH634" t="s">
        <v>546</v>
      </c>
      <c r="BI634" t="s">
        <v>2024</v>
      </c>
      <c r="BJ634">
        <v>0</v>
      </c>
      <c r="BK634">
        <v>0</v>
      </c>
      <c r="BL634">
        <v>71480</v>
      </c>
      <c r="BM634">
        <v>36504</v>
      </c>
      <c r="BN634">
        <v>0</v>
      </c>
      <c r="BO634">
        <v>0</v>
      </c>
      <c r="BP634">
        <v>0</v>
      </c>
      <c r="BQ634">
        <v>36504</v>
      </c>
      <c r="BR634">
        <f t="shared" si="100"/>
        <v>0</v>
      </c>
      <c r="BS634">
        <f t="shared" si="101"/>
        <v>8112</v>
      </c>
    </row>
    <row r="635" spans="1:74" x14ac:dyDescent="0.25">
      <c r="A635" s="5" t="s">
        <v>1946</v>
      </c>
      <c r="B635" s="5" t="s">
        <v>207</v>
      </c>
      <c r="C635" s="5" t="s">
        <v>61</v>
      </c>
      <c r="D635" s="1" t="s">
        <v>106</v>
      </c>
      <c r="E635">
        <v>0</v>
      </c>
      <c r="F635">
        <v>550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711</v>
      </c>
      <c r="N635">
        <v>0</v>
      </c>
      <c r="O635">
        <v>0</v>
      </c>
      <c r="P635">
        <v>0</v>
      </c>
      <c r="Q635">
        <v>79</v>
      </c>
      <c r="R635">
        <v>79</v>
      </c>
      <c r="S635" s="18">
        <f t="shared" si="92"/>
        <v>9</v>
      </c>
      <c r="T635" s="17">
        <f t="shared" si="93"/>
        <v>79</v>
      </c>
      <c r="U635" s="17">
        <f t="shared" si="94"/>
        <v>0</v>
      </c>
      <c r="V635" s="17">
        <f t="shared" si="95"/>
        <v>0</v>
      </c>
      <c r="W635" s="17">
        <f t="shared" si="96"/>
        <v>0</v>
      </c>
      <c r="X635" s="17">
        <f t="shared" si="97"/>
        <v>0</v>
      </c>
      <c r="Y635" s="19" t="e">
        <f t="shared" si="98"/>
        <v>#DIV/0!</v>
      </c>
      <c r="Z635">
        <v>550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f t="shared" si="99"/>
        <v>0</v>
      </c>
      <c r="BF635">
        <v>550</v>
      </c>
      <c r="BG635">
        <v>550</v>
      </c>
      <c r="BH635" t="s">
        <v>190</v>
      </c>
      <c r="BI635" t="s">
        <v>2029</v>
      </c>
      <c r="BJ635">
        <v>0</v>
      </c>
      <c r="BK635">
        <v>0</v>
      </c>
      <c r="BL635">
        <v>550</v>
      </c>
      <c r="BM635">
        <v>711</v>
      </c>
      <c r="BN635">
        <v>0</v>
      </c>
      <c r="BO635">
        <v>0</v>
      </c>
      <c r="BP635">
        <v>0</v>
      </c>
      <c r="BQ635">
        <v>711</v>
      </c>
      <c r="BR635">
        <f t="shared" si="100"/>
        <v>0</v>
      </c>
      <c r="BS635">
        <f t="shared" si="101"/>
        <v>158</v>
      </c>
    </row>
    <row r="636" spans="1:74" x14ac:dyDescent="0.25">
      <c r="A636" s="5" t="s">
        <v>1946</v>
      </c>
      <c r="B636" s="5" t="s">
        <v>207</v>
      </c>
      <c r="C636" s="5" t="s">
        <v>61</v>
      </c>
      <c r="D636" s="1" t="s">
        <v>133</v>
      </c>
      <c r="E636">
        <v>0</v>
      </c>
      <c r="F636">
        <v>12500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9270</v>
      </c>
      <c r="N636">
        <v>0</v>
      </c>
      <c r="O636">
        <v>0</v>
      </c>
      <c r="P636">
        <v>0</v>
      </c>
      <c r="Q636">
        <v>1030</v>
      </c>
      <c r="R636">
        <v>1030</v>
      </c>
      <c r="S636" s="18">
        <f t="shared" si="92"/>
        <v>9</v>
      </c>
      <c r="T636" s="17">
        <f t="shared" si="93"/>
        <v>1030</v>
      </c>
      <c r="U636" s="17">
        <f t="shared" si="94"/>
        <v>0</v>
      </c>
      <c r="V636" s="17">
        <f t="shared" si="95"/>
        <v>0</v>
      </c>
      <c r="W636" s="17">
        <f t="shared" si="96"/>
        <v>0</v>
      </c>
      <c r="X636" s="17">
        <f t="shared" si="97"/>
        <v>0</v>
      </c>
      <c r="Y636" s="19" t="e">
        <f t="shared" si="98"/>
        <v>#DIV/0!</v>
      </c>
      <c r="Z636">
        <v>12500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f t="shared" si="99"/>
        <v>0</v>
      </c>
      <c r="BF636">
        <v>12500</v>
      </c>
      <c r="BG636">
        <v>12500</v>
      </c>
      <c r="BH636" t="s">
        <v>546</v>
      </c>
      <c r="BI636" t="s">
        <v>2041</v>
      </c>
      <c r="BJ636">
        <v>0</v>
      </c>
      <c r="BK636">
        <v>0</v>
      </c>
      <c r="BL636">
        <v>12500</v>
      </c>
      <c r="BM636">
        <v>9270</v>
      </c>
      <c r="BN636">
        <v>0</v>
      </c>
      <c r="BO636">
        <v>0</v>
      </c>
      <c r="BP636">
        <v>0</v>
      </c>
      <c r="BQ636">
        <v>9270</v>
      </c>
      <c r="BR636">
        <f t="shared" si="100"/>
        <v>0</v>
      </c>
      <c r="BS636">
        <f t="shared" si="101"/>
        <v>2060</v>
      </c>
    </row>
    <row r="637" spans="1:74" x14ac:dyDescent="0.25">
      <c r="A637" s="5" t="s">
        <v>1946</v>
      </c>
      <c r="B637" s="5" t="s">
        <v>207</v>
      </c>
      <c r="C637" s="5" t="s">
        <v>207</v>
      </c>
      <c r="D637" s="1" t="s">
        <v>119</v>
      </c>
      <c r="E637">
        <v>0</v>
      </c>
      <c r="F637">
        <v>10200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1737</v>
      </c>
      <c r="N637">
        <v>0</v>
      </c>
      <c r="O637">
        <v>0</v>
      </c>
      <c r="P637">
        <v>0</v>
      </c>
      <c r="Q637">
        <v>193</v>
      </c>
      <c r="R637">
        <v>193</v>
      </c>
      <c r="S637" s="18">
        <f t="shared" si="92"/>
        <v>9</v>
      </c>
      <c r="T637" s="17">
        <f t="shared" si="93"/>
        <v>193</v>
      </c>
      <c r="U637" s="17">
        <f t="shared" si="94"/>
        <v>0</v>
      </c>
      <c r="V637" s="17">
        <f t="shared" si="95"/>
        <v>0</v>
      </c>
      <c r="W637" s="17">
        <f t="shared" si="96"/>
        <v>0</v>
      </c>
      <c r="X637" s="17">
        <f t="shared" si="97"/>
        <v>0</v>
      </c>
      <c r="Y637" s="19" t="e">
        <f t="shared" si="98"/>
        <v>#DIV/0!</v>
      </c>
      <c r="Z637">
        <v>10200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f t="shared" si="99"/>
        <v>0</v>
      </c>
      <c r="BF637">
        <v>10200</v>
      </c>
      <c r="BG637">
        <v>10200</v>
      </c>
      <c r="BH637" t="s">
        <v>546</v>
      </c>
      <c r="BI637" t="s">
        <v>2064</v>
      </c>
      <c r="BJ637">
        <v>0</v>
      </c>
      <c r="BK637">
        <v>0</v>
      </c>
      <c r="BL637">
        <v>10200</v>
      </c>
      <c r="BM637">
        <v>1737</v>
      </c>
      <c r="BN637">
        <v>0</v>
      </c>
      <c r="BO637">
        <v>0</v>
      </c>
      <c r="BP637">
        <v>0</v>
      </c>
      <c r="BQ637">
        <v>1737</v>
      </c>
      <c r="BR637">
        <f t="shared" si="100"/>
        <v>0</v>
      </c>
      <c r="BS637">
        <f t="shared" si="101"/>
        <v>386</v>
      </c>
    </row>
    <row r="638" spans="1:74" x14ac:dyDescent="0.25">
      <c r="A638" s="5" t="s">
        <v>1135</v>
      </c>
      <c r="B638" s="5" t="s">
        <v>207</v>
      </c>
      <c r="C638" s="5" t="s">
        <v>61</v>
      </c>
      <c r="D638" s="1" t="s">
        <v>81</v>
      </c>
      <c r="E638">
        <v>0</v>
      </c>
      <c r="F638">
        <v>960</v>
      </c>
      <c r="G638">
        <v>0</v>
      </c>
      <c r="H638">
        <v>0</v>
      </c>
      <c r="I638">
        <v>1422</v>
      </c>
      <c r="J638">
        <v>0</v>
      </c>
      <c r="K638">
        <v>180</v>
      </c>
      <c r="L638">
        <v>110</v>
      </c>
      <c r="M638">
        <v>0</v>
      </c>
      <c r="N638">
        <v>0</v>
      </c>
      <c r="O638">
        <v>0</v>
      </c>
      <c r="P638">
        <v>1710</v>
      </c>
      <c r="Q638">
        <v>190</v>
      </c>
      <c r="R638">
        <v>190</v>
      </c>
      <c r="S638" s="18">
        <f t="shared" si="92"/>
        <v>9</v>
      </c>
      <c r="T638" s="17">
        <f t="shared" si="93"/>
        <v>0</v>
      </c>
      <c r="U638" s="17">
        <f t="shared" si="94"/>
        <v>0</v>
      </c>
      <c r="V638" s="17">
        <f t="shared" si="95"/>
        <v>0</v>
      </c>
      <c r="W638" s="17">
        <f t="shared" si="96"/>
        <v>190</v>
      </c>
      <c r="X638" s="17">
        <f t="shared" si="97"/>
        <v>0</v>
      </c>
      <c r="Y638" s="19" t="e">
        <f t="shared" si="98"/>
        <v>#DIV/0!</v>
      </c>
      <c r="Z638">
        <v>960</v>
      </c>
      <c r="AA638">
        <v>0</v>
      </c>
      <c r="AB638">
        <v>0</v>
      </c>
      <c r="AC638">
        <v>280</v>
      </c>
      <c r="AD638">
        <v>0</v>
      </c>
      <c r="AE638">
        <v>0</v>
      </c>
      <c r="AF638">
        <v>0</v>
      </c>
      <c r="AG638">
        <v>1422</v>
      </c>
      <c r="AH638">
        <v>1422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180</v>
      </c>
      <c r="AP638">
        <v>90</v>
      </c>
      <c r="AQ638">
        <v>180</v>
      </c>
      <c r="AR638">
        <v>90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110</v>
      </c>
      <c r="BA638">
        <v>110</v>
      </c>
      <c r="BB638">
        <v>0</v>
      </c>
      <c r="BC638">
        <v>0</v>
      </c>
      <c r="BD638">
        <v>0</v>
      </c>
      <c r="BE638">
        <f t="shared" si="99"/>
        <v>3884</v>
      </c>
      <c r="BF638">
        <v>2952</v>
      </c>
      <c r="BG638">
        <v>2952</v>
      </c>
      <c r="BH638" t="s">
        <v>63</v>
      </c>
      <c r="BI638" t="s">
        <v>1142</v>
      </c>
      <c r="BJ638">
        <v>280</v>
      </c>
      <c r="BK638">
        <v>1712</v>
      </c>
      <c r="BL638">
        <v>2952</v>
      </c>
      <c r="BM638">
        <v>0</v>
      </c>
      <c r="BN638">
        <v>0</v>
      </c>
      <c r="BO638">
        <v>0</v>
      </c>
      <c r="BP638">
        <v>3422</v>
      </c>
      <c r="BQ638">
        <v>3422</v>
      </c>
      <c r="BR638">
        <f t="shared" si="100"/>
        <v>0</v>
      </c>
      <c r="BS638">
        <f t="shared" si="101"/>
        <v>380</v>
      </c>
      <c r="BU638">
        <f t="shared" ref="BU638:BU645" si="102">R638*9</f>
        <v>1710</v>
      </c>
      <c r="BV638">
        <f t="shared" ref="BV638:BV645" si="103">IF(BU638&gt;BG638, 1, 0)</f>
        <v>0</v>
      </c>
    </row>
    <row r="639" spans="1:74" x14ac:dyDescent="0.25">
      <c r="A639" s="5" t="s">
        <v>1017</v>
      </c>
      <c r="B639" s="5" t="s">
        <v>359</v>
      </c>
      <c r="C639" s="5" t="s">
        <v>61</v>
      </c>
      <c r="D639" s="1" t="s">
        <v>69</v>
      </c>
      <c r="E639">
        <v>0</v>
      </c>
      <c r="F639">
        <v>640</v>
      </c>
      <c r="G639">
        <v>0</v>
      </c>
      <c r="H639">
        <v>0</v>
      </c>
      <c r="I639">
        <v>1589</v>
      </c>
      <c r="J639">
        <v>2653</v>
      </c>
      <c r="K639">
        <v>1766</v>
      </c>
      <c r="L639">
        <v>0</v>
      </c>
      <c r="M639">
        <v>0</v>
      </c>
      <c r="N639">
        <v>0</v>
      </c>
      <c r="O639">
        <v>0</v>
      </c>
      <c r="P639">
        <v>1710</v>
      </c>
      <c r="Q639">
        <v>297</v>
      </c>
      <c r="R639">
        <v>190</v>
      </c>
      <c r="S639" s="18">
        <f t="shared" si="92"/>
        <v>9</v>
      </c>
      <c r="T639" s="17">
        <f t="shared" si="93"/>
        <v>0</v>
      </c>
      <c r="U639" s="17">
        <f t="shared" si="94"/>
        <v>0</v>
      </c>
      <c r="V639" s="17">
        <f t="shared" si="95"/>
        <v>0</v>
      </c>
      <c r="W639" s="17">
        <f t="shared" si="96"/>
        <v>190</v>
      </c>
      <c r="X639" s="17">
        <f t="shared" si="97"/>
        <v>107</v>
      </c>
      <c r="Y639" s="19">
        <f t="shared" si="98"/>
        <v>0</v>
      </c>
      <c r="Z639">
        <v>640</v>
      </c>
      <c r="AA639">
        <v>0</v>
      </c>
      <c r="AB639">
        <v>0</v>
      </c>
      <c r="AC639">
        <v>0</v>
      </c>
      <c r="AD639">
        <v>150</v>
      </c>
      <c r="AE639">
        <v>0</v>
      </c>
      <c r="AF639">
        <v>0</v>
      </c>
      <c r="AG639">
        <v>1439</v>
      </c>
      <c r="AH639">
        <v>1589</v>
      </c>
      <c r="AI639">
        <v>0</v>
      </c>
      <c r="AJ639">
        <v>0</v>
      </c>
      <c r="AK639">
        <v>2653</v>
      </c>
      <c r="AL639">
        <v>2653</v>
      </c>
      <c r="AM639">
        <v>0</v>
      </c>
      <c r="AN639">
        <v>0</v>
      </c>
      <c r="AO639">
        <v>1766</v>
      </c>
      <c r="AP639">
        <v>0</v>
      </c>
      <c r="AQ639">
        <v>1766</v>
      </c>
      <c r="AR639">
        <v>1766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f t="shared" si="99"/>
        <v>13782</v>
      </c>
      <c r="BF639">
        <v>6648</v>
      </c>
      <c r="BG639">
        <v>6648</v>
      </c>
      <c r="BH639" t="s">
        <v>63</v>
      </c>
      <c r="BI639" t="s">
        <v>1122</v>
      </c>
      <c r="BJ639">
        <v>0</v>
      </c>
      <c r="BK639">
        <v>6008</v>
      </c>
      <c r="BL639">
        <v>6648</v>
      </c>
      <c r="BM639">
        <v>150</v>
      </c>
      <c r="BN639">
        <v>0</v>
      </c>
      <c r="BO639">
        <v>0</v>
      </c>
      <c r="BP639">
        <v>7568</v>
      </c>
      <c r="BQ639">
        <v>7718</v>
      </c>
      <c r="BR639">
        <f t="shared" si="100"/>
        <v>-107</v>
      </c>
      <c r="BS639">
        <f t="shared" si="101"/>
        <v>487</v>
      </c>
      <c r="BU639">
        <f t="shared" si="102"/>
        <v>1710</v>
      </c>
      <c r="BV639">
        <f t="shared" si="103"/>
        <v>0</v>
      </c>
    </row>
    <row r="640" spans="1:74" x14ac:dyDescent="0.25">
      <c r="A640" s="5" t="s">
        <v>1451</v>
      </c>
      <c r="B640" s="5" t="s">
        <v>207</v>
      </c>
      <c r="C640" s="5" t="s">
        <v>207</v>
      </c>
      <c r="D640" s="1" t="s">
        <v>79</v>
      </c>
      <c r="E640">
        <v>0</v>
      </c>
      <c r="F640">
        <v>1240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1683</v>
      </c>
      <c r="N640">
        <v>0</v>
      </c>
      <c r="O640">
        <v>0</v>
      </c>
      <c r="P640">
        <v>0</v>
      </c>
      <c r="Q640">
        <v>187</v>
      </c>
      <c r="R640">
        <v>187</v>
      </c>
      <c r="S640" s="18">
        <f t="shared" si="92"/>
        <v>9</v>
      </c>
      <c r="T640" s="17">
        <f t="shared" si="93"/>
        <v>187</v>
      </c>
      <c r="U640" s="17">
        <f t="shared" si="94"/>
        <v>0</v>
      </c>
      <c r="V640" s="17">
        <f t="shared" si="95"/>
        <v>0</v>
      </c>
      <c r="W640" s="17">
        <f t="shared" si="96"/>
        <v>0</v>
      </c>
      <c r="X640" s="17">
        <f t="shared" si="97"/>
        <v>0</v>
      </c>
      <c r="Y640" s="19" t="e">
        <f t="shared" si="98"/>
        <v>#DIV/0!</v>
      </c>
      <c r="Z640">
        <v>1240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f t="shared" si="99"/>
        <v>0</v>
      </c>
      <c r="BF640">
        <v>1240</v>
      </c>
      <c r="BG640">
        <v>1240</v>
      </c>
      <c r="BH640" t="s">
        <v>63</v>
      </c>
      <c r="BI640" t="s">
        <v>1566</v>
      </c>
      <c r="BJ640">
        <v>0</v>
      </c>
      <c r="BK640">
        <v>0</v>
      </c>
      <c r="BL640">
        <v>1240</v>
      </c>
      <c r="BM640">
        <v>1683</v>
      </c>
      <c r="BN640">
        <v>0</v>
      </c>
      <c r="BO640">
        <v>0</v>
      </c>
      <c r="BP640">
        <v>0</v>
      </c>
      <c r="BQ640">
        <v>1683</v>
      </c>
      <c r="BR640">
        <f t="shared" si="100"/>
        <v>0</v>
      </c>
      <c r="BS640">
        <f t="shared" si="101"/>
        <v>374</v>
      </c>
      <c r="BU640">
        <f t="shared" si="102"/>
        <v>1683</v>
      </c>
      <c r="BV640">
        <f t="shared" si="103"/>
        <v>1</v>
      </c>
    </row>
    <row r="641" spans="1:74" x14ac:dyDescent="0.25">
      <c r="A641" s="5" t="s">
        <v>2090</v>
      </c>
      <c r="B641" s="5" t="s">
        <v>207</v>
      </c>
      <c r="C641" s="5" t="s">
        <v>61</v>
      </c>
      <c r="D641" s="1" t="s">
        <v>71</v>
      </c>
      <c r="E641">
        <v>0</v>
      </c>
      <c r="F641">
        <v>2028</v>
      </c>
      <c r="G641">
        <v>0</v>
      </c>
      <c r="H641">
        <v>0</v>
      </c>
      <c r="I641">
        <v>811</v>
      </c>
      <c r="J641">
        <v>0</v>
      </c>
      <c r="K641">
        <v>0</v>
      </c>
      <c r="L641">
        <v>0</v>
      </c>
      <c r="M641">
        <v>216</v>
      </c>
      <c r="N641">
        <v>0</v>
      </c>
      <c r="O641">
        <v>0</v>
      </c>
      <c r="P641">
        <v>1458</v>
      </c>
      <c r="Q641">
        <v>186</v>
      </c>
      <c r="R641">
        <v>186</v>
      </c>
      <c r="S641" s="18">
        <f t="shared" si="92"/>
        <v>9</v>
      </c>
      <c r="T641" s="17">
        <f t="shared" si="93"/>
        <v>24</v>
      </c>
      <c r="U641" s="17">
        <f t="shared" si="94"/>
        <v>0</v>
      </c>
      <c r="V641" s="17">
        <f t="shared" si="95"/>
        <v>0</v>
      </c>
      <c r="W641" s="17">
        <f t="shared" si="96"/>
        <v>162</v>
      </c>
      <c r="X641" s="17">
        <f t="shared" si="97"/>
        <v>0</v>
      </c>
      <c r="Y641" s="19" t="e">
        <f t="shared" si="98"/>
        <v>#DIV/0!</v>
      </c>
      <c r="Z641">
        <v>2028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811</v>
      </c>
      <c r="AH641">
        <v>811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f t="shared" si="99"/>
        <v>1622</v>
      </c>
      <c r="BF641">
        <v>2839</v>
      </c>
      <c r="BG641">
        <v>2839</v>
      </c>
      <c r="BH641" t="s">
        <v>63</v>
      </c>
      <c r="BI641" t="s">
        <v>2215</v>
      </c>
      <c r="BJ641">
        <v>0</v>
      </c>
      <c r="BK641">
        <v>811</v>
      </c>
      <c r="BL641">
        <v>2839</v>
      </c>
      <c r="BM641">
        <v>216</v>
      </c>
      <c r="BN641">
        <v>0</v>
      </c>
      <c r="BO641">
        <v>0</v>
      </c>
      <c r="BP641">
        <v>2269</v>
      </c>
      <c r="BQ641">
        <v>2485</v>
      </c>
      <c r="BR641">
        <f t="shared" si="100"/>
        <v>0</v>
      </c>
      <c r="BS641">
        <f t="shared" si="101"/>
        <v>372</v>
      </c>
      <c r="BU641">
        <f t="shared" si="102"/>
        <v>1674</v>
      </c>
      <c r="BV641">
        <f t="shared" si="103"/>
        <v>0</v>
      </c>
    </row>
    <row r="642" spans="1:74" x14ac:dyDescent="0.25">
      <c r="A642" s="5" t="s">
        <v>207</v>
      </c>
      <c r="B642" s="5" t="s">
        <v>627</v>
      </c>
      <c r="C642" s="5" t="s">
        <v>61</v>
      </c>
      <c r="D642" s="1" t="s">
        <v>67</v>
      </c>
      <c r="E642">
        <v>0</v>
      </c>
      <c r="F642">
        <v>685</v>
      </c>
      <c r="G642">
        <v>0</v>
      </c>
      <c r="H642">
        <v>0</v>
      </c>
      <c r="I642">
        <v>4128</v>
      </c>
      <c r="J642">
        <v>0</v>
      </c>
      <c r="K642">
        <v>605</v>
      </c>
      <c r="L642">
        <v>50</v>
      </c>
      <c r="M642">
        <v>1638</v>
      </c>
      <c r="N642">
        <v>0</v>
      </c>
      <c r="O642">
        <v>0</v>
      </c>
      <c r="P642">
        <v>0</v>
      </c>
      <c r="Q642">
        <v>218</v>
      </c>
      <c r="R642">
        <v>182</v>
      </c>
      <c r="S642" s="18">
        <f t="shared" ref="S642:S705" si="104">(M642+N642+O642+P642)/R642</f>
        <v>9</v>
      </c>
      <c r="T642" s="17">
        <f t="shared" ref="T642:T705" si="105">M642/$S642</f>
        <v>182</v>
      </c>
      <c r="U642" s="17">
        <f t="shared" ref="U642:U705" si="106">N642/$S642</f>
        <v>0</v>
      </c>
      <c r="V642" s="17">
        <f t="shared" ref="V642:V705" si="107">O642/$S642</f>
        <v>0</v>
      </c>
      <c r="W642" s="17">
        <f t="shared" ref="W642:W705" si="108">P642/$S642</f>
        <v>0</v>
      </c>
      <c r="X642" s="17">
        <f t="shared" ref="X642:X705" si="109">Q642-T642-U642-W642</f>
        <v>36</v>
      </c>
      <c r="Y642" s="19">
        <f t="shared" ref="Y642:Y705" si="110">V642/X642</f>
        <v>0</v>
      </c>
      <c r="Z642">
        <v>685</v>
      </c>
      <c r="AA642">
        <v>0</v>
      </c>
      <c r="AB642">
        <v>0</v>
      </c>
      <c r="AC642">
        <v>90</v>
      </c>
      <c r="AD642">
        <v>4128</v>
      </c>
      <c r="AE642">
        <v>0</v>
      </c>
      <c r="AF642">
        <v>0</v>
      </c>
      <c r="AG642">
        <v>0</v>
      </c>
      <c r="AH642">
        <v>4128</v>
      </c>
      <c r="AI642">
        <v>0</v>
      </c>
      <c r="AJ642">
        <v>0</v>
      </c>
      <c r="AK642">
        <v>0</v>
      </c>
      <c r="AL642">
        <v>0</v>
      </c>
      <c r="AM642">
        <v>605</v>
      </c>
      <c r="AN642">
        <v>0</v>
      </c>
      <c r="AO642">
        <v>0</v>
      </c>
      <c r="AP642">
        <v>0</v>
      </c>
      <c r="AQ642">
        <v>605</v>
      </c>
      <c r="AR642">
        <v>605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50</v>
      </c>
      <c r="AY642">
        <v>0</v>
      </c>
      <c r="AZ642">
        <v>0</v>
      </c>
      <c r="BA642">
        <v>50</v>
      </c>
      <c r="BB642">
        <v>0</v>
      </c>
      <c r="BC642">
        <v>0</v>
      </c>
      <c r="BD642">
        <v>0</v>
      </c>
      <c r="BE642">
        <f t="shared" ref="BE642:BE705" si="111">SUM(AC642:BD642)</f>
        <v>10261</v>
      </c>
      <c r="BF642">
        <v>5558</v>
      </c>
      <c r="BG642">
        <v>5558</v>
      </c>
      <c r="BH642" t="s">
        <v>63</v>
      </c>
      <c r="BI642" t="s">
        <v>630</v>
      </c>
      <c r="BJ642">
        <v>90</v>
      </c>
      <c r="BK642">
        <v>4783</v>
      </c>
      <c r="BL642">
        <v>5558</v>
      </c>
      <c r="BM642">
        <v>6421</v>
      </c>
      <c r="BN642">
        <v>0</v>
      </c>
      <c r="BO642">
        <v>0</v>
      </c>
      <c r="BP642">
        <v>0</v>
      </c>
      <c r="BQ642">
        <v>6421</v>
      </c>
      <c r="BR642">
        <f t="shared" ref="BR642:BR705" si="112">R642-Q642</f>
        <v>-36</v>
      </c>
      <c r="BS642">
        <f t="shared" ref="BS642:BS705" si="113">R642+Q642</f>
        <v>400</v>
      </c>
      <c r="BU642">
        <f t="shared" si="102"/>
        <v>1638</v>
      </c>
      <c r="BV642">
        <f t="shared" si="103"/>
        <v>0</v>
      </c>
    </row>
    <row r="643" spans="1:74" x14ac:dyDescent="0.25">
      <c r="A643" s="5" t="s">
        <v>1017</v>
      </c>
      <c r="B643" s="5" t="s">
        <v>207</v>
      </c>
      <c r="C643" s="5" t="s">
        <v>61</v>
      </c>
      <c r="D643" s="1" t="s">
        <v>113</v>
      </c>
      <c r="E643">
        <v>0</v>
      </c>
      <c r="F643">
        <v>2107</v>
      </c>
      <c r="G643">
        <v>0</v>
      </c>
      <c r="H643">
        <v>0</v>
      </c>
      <c r="I643">
        <v>728</v>
      </c>
      <c r="J643">
        <v>3557</v>
      </c>
      <c r="K643">
        <v>1969</v>
      </c>
      <c r="L643">
        <v>0</v>
      </c>
      <c r="M643">
        <v>1368</v>
      </c>
      <c r="N643">
        <v>0</v>
      </c>
      <c r="O643">
        <v>0</v>
      </c>
      <c r="P643">
        <v>225</v>
      </c>
      <c r="Q643">
        <v>483</v>
      </c>
      <c r="R643">
        <v>177</v>
      </c>
      <c r="S643" s="18">
        <f t="shared" si="104"/>
        <v>9</v>
      </c>
      <c r="T643" s="17">
        <f t="shared" si="105"/>
        <v>152</v>
      </c>
      <c r="U643" s="17">
        <f t="shared" si="106"/>
        <v>0</v>
      </c>
      <c r="V643" s="17">
        <f t="shared" si="107"/>
        <v>0</v>
      </c>
      <c r="W643" s="17">
        <f t="shared" si="108"/>
        <v>25</v>
      </c>
      <c r="X643" s="17">
        <f t="shared" si="109"/>
        <v>306</v>
      </c>
      <c r="Y643" s="19">
        <f t="shared" si="110"/>
        <v>0</v>
      </c>
      <c r="Z643">
        <v>2161</v>
      </c>
      <c r="AA643">
        <v>0</v>
      </c>
      <c r="AB643">
        <v>0</v>
      </c>
      <c r="AC643">
        <v>836</v>
      </c>
      <c r="AD643">
        <v>0</v>
      </c>
      <c r="AE643">
        <v>0</v>
      </c>
      <c r="AF643">
        <v>0</v>
      </c>
      <c r="AG643">
        <v>728</v>
      </c>
      <c r="AH643">
        <v>728</v>
      </c>
      <c r="AI643">
        <v>0</v>
      </c>
      <c r="AJ643">
        <v>0</v>
      </c>
      <c r="AK643">
        <v>3557</v>
      </c>
      <c r="AL643">
        <v>3557</v>
      </c>
      <c r="AM643">
        <v>0</v>
      </c>
      <c r="AN643">
        <v>0</v>
      </c>
      <c r="AO643">
        <v>1969</v>
      </c>
      <c r="AP643">
        <v>1352</v>
      </c>
      <c r="AQ643">
        <v>1969</v>
      </c>
      <c r="AR643">
        <v>617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f t="shared" si="111"/>
        <v>15313</v>
      </c>
      <c r="BF643">
        <v>9251</v>
      </c>
      <c r="BG643">
        <v>9251</v>
      </c>
      <c r="BH643" t="s">
        <v>63</v>
      </c>
      <c r="BI643" t="s">
        <v>1107</v>
      </c>
      <c r="BJ643">
        <v>836</v>
      </c>
      <c r="BK643">
        <v>6254</v>
      </c>
      <c r="BL643">
        <v>9251</v>
      </c>
      <c r="BM643">
        <v>1368</v>
      </c>
      <c r="BN643">
        <v>0</v>
      </c>
      <c r="BO643">
        <v>0</v>
      </c>
      <c r="BP643">
        <v>6479</v>
      </c>
      <c r="BQ643">
        <v>7847</v>
      </c>
      <c r="BR643">
        <f t="shared" si="112"/>
        <v>-306</v>
      </c>
      <c r="BS643">
        <f t="shared" si="113"/>
        <v>660</v>
      </c>
      <c r="BU643">
        <f t="shared" si="102"/>
        <v>1593</v>
      </c>
      <c r="BV643">
        <f t="shared" si="103"/>
        <v>0</v>
      </c>
    </row>
    <row r="644" spans="1:74" x14ac:dyDescent="0.25">
      <c r="A644" s="5" t="s">
        <v>1017</v>
      </c>
      <c r="B644" s="5" t="s">
        <v>207</v>
      </c>
      <c r="C644" s="5" t="s">
        <v>61</v>
      </c>
      <c r="D644" s="1" t="s">
        <v>77</v>
      </c>
      <c r="E644">
        <v>0</v>
      </c>
      <c r="F644">
        <v>1172</v>
      </c>
      <c r="G644">
        <v>0</v>
      </c>
      <c r="H644">
        <v>0</v>
      </c>
      <c r="I644">
        <v>0</v>
      </c>
      <c r="J644">
        <v>84</v>
      </c>
      <c r="K644">
        <v>0</v>
      </c>
      <c r="L644">
        <v>0</v>
      </c>
      <c r="M644">
        <v>1512</v>
      </c>
      <c r="N644">
        <v>0</v>
      </c>
      <c r="O644">
        <v>0</v>
      </c>
      <c r="P644">
        <v>0</v>
      </c>
      <c r="Q644">
        <v>168</v>
      </c>
      <c r="R644">
        <v>168</v>
      </c>
      <c r="S644" s="18">
        <f t="shared" si="104"/>
        <v>9</v>
      </c>
      <c r="T644" s="17">
        <f t="shared" si="105"/>
        <v>168</v>
      </c>
      <c r="U644" s="17">
        <f t="shared" si="106"/>
        <v>0</v>
      </c>
      <c r="V644" s="17">
        <f t="shared" si="107"/>
        <v>0</v>
      </c>
      <c r="W644" s="17">
        <f t="shared" si="108"/>
        <v>0</v>
      </c>
      <c r="X644" s="17">
        <f t="shared" si="109"/>
        <v>0</v>
      </c>
      <c r="Y644" s="19" t="e">
        <f t="shared" si="110"/>
        <v>#DIV/0!</v>
      </c>
      <c r="Z644">
        <v>1172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84</v>
      </c>
      <c r="AL644">
        <v>84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f t="shared" si="111"/>
        <v>168</v>
      </c>
      <c r="BF644">
        <v>1256</v>
      </c>
      <c r="BG644">
        <v>1256</v>
      </c>
      <c r="BH644" t="s">
        <v>63</v>
      </c>
      <c r="BI644" t="s">
        <v>1091</v>
      </c>
      <c r="BJ644">
        <v>0</v>
      </c>
      <c r="BK644">
        <v>84</v>
      </c>
      <c r="BL644">
        <v>1256</v>
      </c>
      <c r="BM644">
        <v>1512</v>
      </c>
      <c r="BN644">
        <v>0</v>
      </c>
      <c r="BO644">
        <v>0</v>
      </c>
      <c r="BP644">
        <v>84</v>
      </c>
      <c r="BQ644">
        <v>1596</v>
      </c>
      <c r="BR644">
        <f t="shared" si="112"/>
        <v>0</v>
      </c>
      <c r="BS644">
        <f t="shared" si="113"/>
        <v>336</v>
      </c>
      <c r="BU644">
        <f t="shared" si="102"/>
        <v>1512</v>
      </c>
      <c r="BV644">
        <f t="shared" si="103"/>
        <v>1</v>
      </c>
    </row>
    <row r="645" spans="1:74" x14ac:dyDescent="0.25">
      <c r="A645" s="5" t="s">
        <v>1661</v>
      </c>
      <c r="B645" s="5" t="s">
        <v>61</v>
      </c>
      <c r="C645" s="5" t="s">
        <v>207</v>
      </c>
      <c r="D645" s="1" t="s">
        <v>62</v>
      </c>
      <c r="E645">
        <v>0</v>
      </c>
      <c r="F645">
        <v>4224</v>
      </c>
      <c r="G645">
        <v>0</v>
      </c>
      <c r="H645">
        <v>0</v>
      </c>
      <c r="I645">
        <v>1652</v>
      </c>
      <c r="J645">
        <v>2376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1476</v>
      </c>
      <c r="Q645">
        <v>164</v>
      </c>
      <c r="R645">
        <v>164</v>
      </c>
      <c r="S645" s="18">
        <f t="shared" si="104"/>
        <v>9</v>
      </c>
      <c r="T645" s="17">
        <f t="shared" si="105"/>
        <v>0</v>
      </c>
      <c r="U645" s="17">
        <f t="shared" si="106"/>
        <v>0</v>
      </c>
      <c r="V645" s="17">
        <f t="shared" si="107"/>
        <v>0</v>
      </c>
      <c r="W645" s="17">
        <f t="shared" si="108"/>
        <v>164</v>
      </c>
      <c r="X645" s="17">
        <f t="shared" si="109"/>
        <v>0</v>
      </c>
      <c r="Y645" s="19" t="e">
        <f t="shared" si="110"/>
        <v>#DIV/0!</v>
      </c>
      <c r="Z645">
        <v>4224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1652</v>
      </c>
      <c r="AH645">
        <v>1652</v>
      </c>
      <c r="AI645">
        <v>0</v>
      </c>
      <c r="AJ645">
        <v>0</v>
      </c>
      <c r="AK645">
        <v>2376</v>
      </c>
      <c r="AL645">
        <v>2376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f t="shared" si="111"/>
        <v>8056</v>
      </c>
      <c r="BF645">
        <v>8252</v>
      </c>
      <c r="BG645">
        <v>8252</v>
      </c>
      <c r="BH645" t="s">
        <v>543</v>
      </c>
      <c r="BI645" t="s">
        <v>1698</v>
      </c>
      <c r="BJ645">
        <v>0</v>
      </c>
      <c r="BK645">
        <v>4028</v>
      </c>
      <c r="BL645">
        <v>8252</v>
      </c>
      <c r="BM645">
        <v>0</v>
      </c>
      <c r="BN645">
        <v>0</v>
      </c>
      <c r="BO645">
        <v>0</v>
      </c>
      <c r="BP645">
        <v>5504</v>
      </c>
      <c r="BQ645">
        <v>5504</v>
      </c>
      <c r="BR645">
        <f t="shared" si="112"/>
        <v>0</v>
      </c>
      <c r="BS645">
        <f t="shared" si="113"/>
        <v>328</v>
      </c>
      <c r="BU645">
        <f t="shared" si="102"/>
        <v>1476</v>
      </c>
      <c r="BV645">
        <f t="shared" si="103"/>
        <v>0</v>
      </c>
    </row>
    <row r="646" spans="1:74" x14ac:dyDescent="0.25">
      <c r="A646" s="5" t="s">
        <v>2090</v>
      </c>
      <c r="B646" s="5" t="s">
        <v>61</v>
      </c>
      <c r="C646" s="5" t="s">
        <v>61</v>
      </c>
      <c r="D646" s="1" t="s">
        <v>81</v>
      </c>
      <c r="E646">
        <v>0</v>
      </c>
      <c r="F646">
        <v>216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324</v>
      </c>
      <c r="N646">
        <v>0</v>
      </c>
      <c r="O646">
        <v>0</v>
      </c>
      <c r="P646">
        <v>0</v>
      </c>
      <c r="Q646">
        <v>36</v>
      </c>
      <c r="R646">
        <v>36</v>
      </c>
      <c r="S646" s="18">
        <f t="shared" si="104"/>
        <v>9</v>
      </c>
      <c r="T646" s="17">
        <f t="shared" si="105"/>
        <v>36</v>
      </c>
      <c r="U646" s="17">
        <f t="shared" si="106"/>
        <v>0</v>
      </c>
      <c r="V646" s="17">
        <f t="shared" si="107"/>
        <v>0</v>
      </c>
      <c r="W646" s="17">
        <f t="shared" si="108"/>
        <v>0</v>
      </c>
      <c r="X646" s="17">
        <f t="shared" si="109"/>
        <v>0</v>
      </c>
      <c r="Y646" s="19" t="e">
        <f t="shared" si="110"/>
        <v>#DIV/0!</v>
      </c>
      <c r="Z646">
        <v>216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f t="shared" si="111"/>
        <v>0</v>
      </c>
      <c r="BF646">
        <v>216</v>
      </c>
      <c r="BG646">
        <v>216</v>
      </c>
      <c r="BH646" t="s">
        <v>109</v>
      </c>
      <c r="BI646" t="s">
        <v>2100</v>
      </c>
      <c r="BJ646">
        <v>0</v>
      </c>
      <c r="BK646">
        <v>0</v>
      </c>
      <c r="BL646">
        <v>216</v>
      </c>
      <c r="BM646">
        <v>324</v>
      </c>
      <c r="BN646">
        <v>0</v>
      </c>
      <c r="BO646">
        <v>0</v>
      </c>
      <c r="BP646">
        <v>0</v>
      </c>
      <c r="BQ646">
        <v>324</v>
      </c>
      <c r="BR646">
        <f t="shared" si="112"/>
        <v>0</v>
      </c>
      <c r="BS646">
        <f t="shared" si="113"/>
        <v>72</v>
      </c>
    </row>
    <row r="647" spans="1:74" x14ac:dyDescent="0.25">
      <c r="A647" s="5" t="s">
        <v>2090</v>
      </c>
      <c r="B647" s="5" t="s">
        <v>61</v>
      </c>
      <c r="C647" s="5" t="s">
        <v>61</v>
      </c>
      <c r="D647" s="1" t="s">
        <v>84</v>
      </c>
      <c r="E647">
        <v>0</v>
      </c>
      <c r="F647">
        <v>168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378</v>
      </c>
      <c r="N647">
        <v>0</v>
      </c>
      <c r="O647">
        <v>0</v>
      </c>
      <c r="P647">
        <v>0</v>
      </c>
      <c r="Q647">
        <v>42</v>
      </c>
      <c r="R647">
        <v>42</v>
      </c>
      <c r="S647" s="18">
        <f t="shared" si="104"/>
        <v>9</v>
      </c>
      <c r="T647" s="17">
        <f t="shared" si="105"/>
        <v>42</v>
      </c>
      <c r="U647" s="17">
        <f t="shared" si="106"/>
        <v>0</v>
      </c>
      <c r="V647" s="17">
        <f t="shared" si="107"/>
        <v>0</v>
      </c>
      <c r="W647" s="17">
        <f t="shared" si="108"/>
        <v>0</v>
      </c>
      <c r="X647" s="17">
        <f t="shared" si="109"/>
        <v>0</v>
      </c>
      <c r="Y647" s="19" t="e">
        <f t="shared" si="110"/>
        <v>#DIV/0!</v>
      </c>
      <c r="Z647">
        <v>168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f t="shared" si="111"/>
        <v>0</v>
      </c>
      <c r="BF647">
        <v>168</v>
      </c>
      <c r="BG647">
        <v>168</v>
      </c>
      <c r="BH647" t="s">
        <v>109</v>
      </c>
      <c r="BI647" t="s">
        <v>2101</v>
      </c>
      <c r="BJ647">
        <v>0</v>
      </c>
      <c r="BK647">
        <v>0</v>
      </c>
      <c r="BL647">
        <v>168</v>
      </c>
      <c r="BM647">
        <v>378</v>
      </c>
      <c r="BN647">
        <v>0</v>
      </c>
      <c r="BO647">
        <v>0</v>
      </c>
      <c r="BP647">
        <v>0</v>
      </c>
      <c r="BQ647">
        <v>378</v>
      </c>
      <c r="BR647">
        <f t="shared" si="112"/>
        <v>0</v>
      </c>
      <c r="BS647">
        <f t="shared" si="113"/>
        <v>84</v>
      </c>
    </row>
    <row r="648" spans="1:74" x14ac:dyDescent="0.25">
      <c r="A648" s="5" t="s">
        <v>2090</v>
      </c>
      <c r="B648" s="5" t="s">
        <v>61</v>
      </c>
      <c r="C648" s="5" t="s">
        <v>61</v>
      </c>
      <c r="D648" s="1" t="s">
        <v>86</v>
      </c>
      <c r="E648">
        <v>0</v>
      </c>
      <c r="F648">
        <v>1176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837</v>
      </c>
      <c r="N648">
        <v>0</v>
      </c>
      <c r="O648">
        <v>0</v>
      </c>
      <c r="P648">
        <v>0</v>
      </c>
      <c r="Q648">
        <v>93</v>
      </c>
      <c r="R648">
        <v>93</v>
      </c>
      <c r="S648" s="18">
        <f t="shared" si="104"/>
        <v>9</v>
      </c>
      <c r="T648" s="17">
        <f t="shared" si="105"/>
        <v>93</v>
      </c>
      <c r="U648" s="17">
        <f t="shared" si="106"/>
        <v>0</v>
      </c>
      <c r="V648" s="17">
        <f t="shared" si="107"/>
        <v>0</v>
      </c>
      <c r="W648" s="17">
        <f t="shared" si="108"/>
        <v>0</v>
      </c>
      <c r="X648" s="17">
        <f t="shared" si="109"/>
        <v>0</v>
      </c>
      <c r="Y648" s="19" t="e">
        <f t="shared" si="110"/>
        <v>#DIV/0!</v>
      </c>
      <c r="Z648">
        <v>1176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f t="shared" si="111"/>
        <v>0</v>
      </c>
      <c r="BF648">
        <v>1176</v>
      </c>
      <c r="BG648">
        <v>1176</v>
      </c>
      <c r="BH648" t="s">
        <v>546</v>
      </c>
      <c r="BI648" t="s">
        <v>2102</v>
      </c>
      <c r="BJ648">
        <v>0</v>
      </c>
      <c r="BK648">
        <v>0</v>
      </c>
      <c r="BL648">
        <v>1176</v>
      </c>
      <c r="BM648">
        <v>837</v>
      </c>
      <c r="BN648">
        <v>0</v>
      </c>
      <c r="BO648">
        <v>0</v>
      </c>
      <c r="BP648">
        <v>0</v>
      </c>
      <c r="BQ648">
        <v>837</v>
      </c>
      <c r="BR648">
        <f t="shared" si="112"/>
        <v>0</v>
      </c>
      <c r="BS648">
        <f t="shared" si="113"/>
        <v>186</v>
      </c>
    </row>
    <row r="649" spans="1:74" x14ac:dyDescent="0.25">
      <c r="A649" s="5" t="s">
        <v>2090</v>
      </c>
      <c r="B649" s="5" t="s">
        <v>61</v>
      </c>
      <c r="C649" s="5" t="s">
        <v>61</v>
      </c>
      <c r="D649" s="1" t="s">
        <v>94</v>
      </c>
      <c r="E649">
        <v>0</v>
      </c>
      <c r="F649">
        <v>2800</v>
      </c>
      <c r="G649">
        <v>0</v>
      </c>
      <c r="H649">
        <v>0</v>
      </c>
      <c r="I649">
        <v>57</v>
      </c>
      <c r="J649">
        <v>0</v>
      </c>
      <c r="K649">
        <v>0</v>
      </c>
      <c r="L649">
        <v>6</v>
      </c>
      <c r="M649">
        <v>6300</v>
      </c>
      <c r="N649">
        <v>0</v>
      </c>
      <c r="O649">
        <v>0</v>
      </c>
      <c r="P649">
        <v>0</v>
      </c>
      <c r="Q649">
        <v>700</v>
      </c>
      <c r="R649">
        <v>700</v>
      </c>
      <c r="S649" s="18">
        <f t="shared" si="104"/>
        <v>9</v>
      </c>
      <c r="T649" s="17">
        <f t="shared" si="105"/>
        <v>700</v>
      </c>
      <c r="U649" s="17">
        <f t="shared" si="106"/>
        <v>0</v>
      </c>
      <c r="V649" s="17">
        <f t="shared" si="107"/>
        <v>0</v>
      </c>
      <c r="W649" s="17">
        <f t="shared" si="108"/>
        <v>0</v>
      </c>
      <c r="X649" s="17">
        <f t="shared" si="109"/>
        <v>0</v>
      </c>
      <c r="Y649" s="19" t="e">
        <f t="shared" si="110"/>
        <v>#DIV/0!</v>
      </c>
      <c r="Z649">
        <v>2800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57</v>
      </c>
      <c r="AH649">
        <v>57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6</v>
      </c>
      <c r="BA649">
        <v>6</v>
      </c>
      <c r="BB649">
        <v>0</v>
      </c>
      <c r="BC649">
        <v>0</v>
      </c>
      <c r="BD649">
        <v>0</v>
      </c>
      <c r="BE649">
        <f t="shared" si="111"/>
        <v>126</v>
      </c>
      <c r="BF649">
        <v>2863</v>
      </c>
      <c r="BG649">
        <v>2863</v>
      </c>
      <c r="BH649" t="s">
        <v>109</v>
      </c>
      <c r="BI649" t="s">
        <v>2106</v>
      </c>
      <c r="BJ649">
        <v>0</v>
      </c>
      <c r="BK649">
        <v>63</v>
      </c>
      <c r="BL649">
        <v>2863</v>
      </c>
      <c r="BM649">
        <v>6300</v>
      </c>
      <c r="BN649">
        <v>0</v>
      </c>
      <c r="BO649">
        <v>0</v>
      </c>
      <c r="BP649">
        <v>63</v>
      </c>
      <c r="BQ649">
        <v>6363</v>
      </c>
      <c r="BR649">
        <f t="shared" si="112"/>
        <v>0</v>
      </c>
      <c r="BS649">
        <f t="shared" si="113"/>
        <v>1400</v>
      </c>
    </row>
    <row r="650" spans="1:74" x14ac:dyDescent="0.25">
      <c r="A650" s="5" t="s">
        <v>2090</v>
      </c>
      <c r="B650" s="5" t="s">
        <v>61</v>
      </c>
      <c r="C650" s="5" t="s">
        <v>61</v>
      </c>
      <c r="D650" s="1" t="s">
        <v>96</v>
      </c>
      <c r="E650">
        <v>0</v>
      </c>
      <c r="F650">
        <v>1545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3357</v>
      </c>
      <c r="Q650">
        <v>373</v>
      </c>
      <c r="R650">
        <v>373</v>
      </c>
      <c r="S650" s="18">
        <f t="shared" si="104"/>
        <v>9</v>
      </c>
      <c r="T650" s="17">
        <f t="shared" si="105"/>
        <v>0</v>
      </c>
      <c r="U650" s="17">
        <f t="shared" si="106"/>
        <v>0</v>
      </c>
      <c r="V650" s="17">
        <f t="shared" si="107"/>
        <v>0</v>
      </c>
      <c r="W650" s="17">
        <f t="shared" si="108"/>
        <v>373</v>
      </c>
      <c r="X650" s="17">
        <f t="shared" si="109"/>
        <v>0</v>
      </c>
      <c r="Y650" s="19" t="e">
        <f t="shared" si="110"/>
        <v>#DIV/0!</v>
      </c>
      <c r="Z650">
        <v>1545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f t="shared" si="111"/>
        <v>0</v>
      </c>
      <c r="BF650">
        <v>1545</v>
      </c>
      <c r="BG650">
        <v>1545</v>
      </c>
      <c r="BH650" t="s">
        <v>109</v>
      </c>
      <c r="BI650" t="s">
        <v>2107</v>
      </c>
      <c r="BJ650">
        <v>0</v>
      </c>
      <c r="BK650">
        <v>0</v>
      </c>
      <c r="BL650">
        <v>1545</v>
      </c>
      <c r="BM650">
        <v>0</v>
      </c>
      <c r="BN650">
        <v>0</v>
      </c>
      <c r="BO650">
        <v>0</v>
      </c>
      <c r="BP650">
        <v>3357</v>
      </c>
      <c r="BQ650">
        <v>3357</v>
      </c>
      <c r="BR650">
        <f t="shared" si="112"/>
        <v>0</v>
      </c>
      <c r="BS650">
        <f t="shared" si="113"/>
        <v>746</v>
      </c>
    </row>
    <row r="651" spans="1:74" x14ac:dyDescent="0.25">
      <c r="A651" s="5" t="s">
        <v>2090</v>
      </c>
      <c r="B651" s="5" t="s">
        <v>61</v>
      </c>
      <c r="C651" s="5" t="s">
        <v>61</v>
      </c>
      <c r="D651" s="1" t="s">
        <v>100</v>
      </c>
      <c r="E651">
        <v>0</v>
      </c>
      <c r="F651">
        <v>1484</v>
      </c>
      <c r="G651">
        <v>0</v>
      </c>
      <c r="H651">
        <v>0</v>
      </c>
      <c r="I651">
        <v>75</v>
      </c>
      <c r="J651">
        <v>0</v>
      </c>
      <c r="K651">
        <v>150</v>
      </c>
      <c r="L651">
        <v>88</v>
      </c>
      <c r="M651">
        <v>0</v>
      </c>
      <c r="N651">
        <v>0</v>
      </c>
      <c r="O651">
        <v>0</v>
      </c>
      <c r="P651">
        <v>3339</v>
      </c>
      <c r="Q651">
        <v>371</v>
      </c>
      <c r="R651">
        <v>371</v>
      </c>
      <c r="S651" s="18">
        <f t="shared" si="104"/>
        <v>9</v>
      </c>
      <c r="T651" s="17">
        <f t="shared" si="105"/>
        <v>0</v>
      </c>
      <c r="U651" s="17">
        <f t="shared" si="106"/>
        <v>0</v>
      </c>
      <c r="V651" s="17">
        <f t="shared" si="107"/>
        <v>0</v>
      </c>
      <c r="W651" s="17">
        <f t="shared" si="108"/>
        <v>371</v>
      </c>
      <c r="X651" s="17">
        <f t="shared" si="109"/>
        <v>0</v>
      </c>
      <c r="Y651" s="19" t="e">
        <f t="shared" si="110"/>
        <v>#DIV/0!</v>
      </c>
      <c r="Z651">
        <v>1484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75</v>
      </c>
      <c r="AH651">
        <v>75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150</v>
      </c>
      <c r="AP651">
        <v>150</v>
      </c>
      <c r="AQ651">
        <v>150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88</v>
      </c>
      <c r="BA651">
        <v>88</v>
      </c>
      <c r="BB651">
        <v>0</v>
      </c>
      <c r="BC651">
        <v>0</v>
      </c>
      <c r="BD651">
        <v>0</v>
      </c>
      <c r="BE651">
        <f t="shared" si="111"/>
        <v>776</v>
      </c>
      <c r="BF651">
        <v>1797</v>
      </c>
      <c r="BG651">
        <v>1797</v>
      </c>
      <c r="BH651" t="s">
        <v>109</v>
      </c>
      <c r="BI651" t="s">
        <v>2109</v>
      </c>
      <c r="BJ651">
        <v>0</v>
      </c>
      <c r="BK651">
        <v>313</v>
      </c>
      <c r="BL651">
        <v>1797</v>
      </c>
      <c r="BM651">
        <v>0</v>
      </c>
      <c r="BN651">
        <v>0</v>
      </c>
      <c r="BO651">
        <v>0</v>
      </c>
      <c r="BP651">
        <v>3652</v>
      </c>
      <c r="BQ651">
        <v>3652</v>
      </c>
      <c r="BR651">
        <f t="shared" si="112"/>
        <v>0</v>
      </c>
      <c r="BS651">
        <f t="shared" si="113"/>
        <v>742</v>
      </c>
    </row>
    <row r="652" spans="1:74" x14ac:dyDescent="0.25">
      <c r="A652" s="5" t="s">
        <v>2090</v>
      </c>
      <c r="B652" s="5" t="s">
        <v>61</v>
      </c>
      <c r="C652" s="5" t="s">
        <v>61</v>
      </c>
      <c r="D652" s="1" t="s">
        <v>102</v>
      </c>
      <c r="E652">
        <v>0</v>
      </c>
      <c r="F652">
        <v>2788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10800</v>
      </c>
      <c r="N652">
        <v>0</v>
      </c>
      <c r="O652">
        <v>0</v>
      </c>
      <c r="P652">
        <v>0</v>
      </c>
      <c r="Q652">
        <v>1200</v>
      </c>
      <c r="R652">
        <v>1200</v>
      </c>
      <c r="S652" s="18">
        <f t="shared" si="104"/>
        <v>9</v>
      </c>
      <c r="T652" s="17">
        <f t="shared" si="105"/>
        <v>1200</v>
      </c>
      <c r="U652" s="17">
        <f t="shared" si="106"/>
        <v>0</v>
      </c>
      <c r="V652" s="17">
        <f t="shared" si="107"/>
        <v>0</v>
      </c>
      <c r="W652" s="17">
        <f t="shared" si="108"/>
        <v>0</v>
      </c>
      <c r="X652" s="17">
        <f t="shared" si="109"/>
        <v>0</v>
      </c>
      <c r="Y652" s="19" t="e">
        <f t="shared" si="110"/>
        <v>#DIV/0!</v>
      </c>
      <c r="Z652">
        <v>2788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f t="shared" si="111"/>
        <v>0</v>
      </c>
      <c r="BF652">
        <v>2788</v>
      </c>
      <c r="BG652">
        <v>2788</v>
      </c>
      <c r="BH652" t="s">
        <v>109</v>
      </c>
      <c r="BI652" t="s">
        <v>2110</v>
      </c>
      <c r="BJ652">
        <v>0</v>
      </c>
      <c r="BK652">
        <v>0</v>
      </c>
      <c r="BL652">
        <v>2788</v>
      </c>
      <c r="BM652">
        <v>10800</v>
      </c>
      <c r="BN652">
        <v>0</v>
      </c>
      <c r="BO652">
        <v>0</v>
      </c>
      <c r="BP652">
        <v>0</v>
      </c>
      <c r="BQ652">
        <v>10800</v>
      </c>
      <c r="BR652">
        <f t="shared" si="112"/>
        <v>0</v>
      </c>
      <c r="BS652">
        <f t="shared" si="113"/>
        <v>2400</v>
      </c>
    </row>
    <row r="653" spans="1:74" x14ac:dyDescent="0.25">
      <c r="A653" s="5" t="s">
        <v>2090</v>
      </c>
      <c r="B653" s="5" t="s">
        <v>61</v>
      </c>
      <c r="C653" s="5" t="s">
        <v>61</v>
      </c>
      <c r="D653" s="1" t="s">
        <v>104</v>
      </c>
      <c r="E653">
        <v>0</v>
      </c>
      <c r="F653">
        <v>1710</v>
      </c>
      <c r="G653">
        <v>0</v>
      </c>
      <c r="H653">
        <v>0</v>
      </c>
      <c r="I653">
        <v>100</v>
      </c>
      <c r="J653">
        <v>0</v>
      </c>
      <c r="K653">
        <v>60</v>
      </c>
      <c r="L653">
        <v>0</v>
      </c>
      <c r="M653">
        <v>0</v>
      </c>
      <c r="N653">
        <v>0</v>
      </c>
      <c r="O653">
        <v>0</v>
      </c>
      <c r="P653">
        <v>2124</v>
      </c>
      <c r="Q653">
        <v>236</v>
      </c>
      <c r="R653">
        <v>236</v>
      </c>
      <c r="S653" s="18">
        <f t="shared" si="104"/>
        <v>9</v>
      </c>
      <c r="T653" s="17">
        <f t="shared" si="105"/>
        <v>0</v>
      </c>
      <c r="U653" s="17">
        <f t="shared" si="106"/>
        <v>0</v>
      </c>
      <c r="V653" s="17">
        <f t="shared" si="107"/>
        <v>0</v>
      </c>
      <c r="W653" s="17">
        <f t="shared" si="108"/>
        <v>236</v>
      </c>
      <c r="X653" s="17">
        <f t="shared" si="109"/>
        <v>0</v>
      </c>
      <c r="Y653" s="19" t="e">
        <f t="shared" si="110"/>
        <v>#DIV/0!</v>
      </c>
      <c r="Z653">
        <v>1710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100</v>
      </c>
      <c r="AH653">
        <v>100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60</v>
      </c>
      <c r="AP653">
        <v>0</v>
      </c>
      <c r="AQ653">
        <v>60</v>
      </c>
      <c r="AR653">
        <v>60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f t="shared" si="111"/>
        <v>380</v>
      </c>
      <c r="BF653">
        <v>1870</v>
      </c>
      <c r="BG653">
        <v>1870</v>
      </c>
      <c r="BH653" t="s">
        <v>109</v>
      </c>
      <c r="BI653" t="s">
        <v>2111</v>
      </c>
      <c r="BJ653">
        <v>0</v>
      </c>
      <c r="BK653">
        <v>160</v>
      </c>
      <c r="BL653">
        <v>1870</v>
      </c>
      <c r="BM653">
        <v>0</v>
      </c>
      <c r="BN653">
        <v>0</v>
      </c>
      <c r="BO653">
        <v>0</v>
      </c>
      <c r="BP653">
        <v>2284</v>
      </c>
      <c r="BQ653">
        <v>2284</v>
      </c>
      <c r="BR653">
        <f t="shared" si="112"/>
        <v>0</v>
      </c>
      <c r="BS653">
        <f t="shared" si="113"/>
        <v>472</v>
      </c>
    </row>
    <row r="654" spans="1:74" x14ac:dyDescent="0.25">
      <c r="A654" s="5" t="s">
        <v>2090</v>
      </c>
      <c r="B654" s="5" t="s">
        <v>61</v>
      </c>
      <c r="C654" s="5" t="s">
        <v>61</v>
      </c>
      <c r="D654" s="1" t="s">
        <v>106</v>
      </c>
      <c r="E654">
        <v>0</v>
      </c>
      <c r="F654">
        <v>1000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3663</v>
      </c>
      <c r="Q654">
        <v>407</v>
      </c>
      <c r="R654">
        <v>407</v>
      </c>
      <c r="S654" s="18">
        <f t="shared" si="104"/>
        <v>9</v>
      </c>
      <c r="T654" s="17">
        <f t="shared" si="105"/>
        <v>0</v>
      </c>
      <c r="U654" s="17">
        <f t="shared" si="106"/>
        <v>0</v>
      </c>
      <c r="V654" s="17">
        <f t="shared" si="107"/>
        <v>0</v>
      </c>
      <c r="W654" s="17">
        <f t="shared" si="108"/>
        <v>407</v>
      </c>
      <c r="X654" s="17">
        <f t="shared" si="109"/>
        <v>0</v>
      </c>
      <c r="Y654" s="19" t="e">
        <f t="shared" si="110"/>
        <v>#DIV/0!</v>
      </c>
      <c r="Z654">
        <v>1000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f t="shared" si="111"/>
        <v>0</v>
      </c>
      <c r="BF654">
        <v>1000</v>
      </c>
      <c r="BG654">
        <v>1000</v>
      </c>
      <c r="BH654" t="s">
        <v>109</v>
      </c>
      <c r="BI654" t="s">
        <v>2112</v>
      </c>
      <c r="BJ654">
        <v>0</v>
      </c>
      <c r="BK654">
        <v>0</v>
      </c>
      <c r="BL654">
        <v>1000</v>
      </c>
      <c r="BM654">
        <v>0</v>
      </c>
      <c r="BN654">
        <v>0</v>
      </c>
      <c r="BO654">
        <v>0</v>
      </c>
      <c r="BP654">
        <v>3663</v>
      </c>
      <c r="BQ654">
        <v>3663</v>
      </c>
      <c r="BR654">
        <f t="shared" si="112"/>
        <v>0</v>
      </c>
      <c r="BS654">
        <f t="shared" si="113"/>
        <v>814</v>
      </c>
    </row>
    <row r="655" spans="1:74" x14ac:dyDescent="0.25">
      <c r="A655" s="5" t="s">
        <v>2090</v>
      </c>
      <c r="B655" s="5" t="s">
        <v>61</v>
      </c>
      <c r="C655" s="5" t="s">
        <v>61</v>
      </c>
      <c r="D655" s="1" t="s">
        <v>117</v>
      </c>
      <c r="E655">
        <v>50</v>
      </c>
      <c r="F655">
        <v>148</v>
      </c>
      <c r="G655">
        <v>0</v>
      </c>
      <c r="H655">
        <v>0</v>
      </c>
      <c r="I655">
        <v>120</v>
      </c>
      <c r="J655">
        <v>2095</v>
      </c>
      <c r="K655">
        <v>1876</v>
      </c>
      <c r="L655">
        <v>282</v>
      </c>
      <c r="M655">
        <v>0</v>
      </c>
      <c r="N655">
        <v>0</v>
      </c>
      <c r="O655">
        <v>0</v>
      </c>
      <c r="P655">
        <v>4410</v>
      </c>
      <c r="Q655">
        <v>490</v>
      </c>
      <c r="R655">
        <v>490</v>
      </c>
      <c r="S655" s="18">
        <f t="shared" si="104"/>
        <v>9</v>
      </c>
      <c r="T655" s="17">
        <f t="shared" si="105"/>
        <v>0</v>
      </c>
      <c r="U655" s="17">
        <f t="shared" si="106"/>
        <v>0</v>
      </c>
      <c r="V655" s="17">
        <f t="shared" si="107"/>
        <v>0</v>
      </c>
      <c r="W655" s="17">
        <f t="shared" si="108"/>
        <v>490</v>
      </c>
      <c r="X655" s="17">
        <f t="shared" si="109"/>
        <v>0</v>
      </c>
      <c r="Y655" s="19" t="e">
        <f t="shared" si="110"/>
        <v>#DIV/0!</v>
      </c>
      <c r="Z655">
        <v>148</v>
      </c>
      <c r="AA655">
        <v>25</v>
      </c>
      <c r="AB655">
        <v>130</v>
      </c>
      <c r="AC655">
        <v>2531</v>
      </c>
      <c r="AD655">
        <v>0</v>
      </c>
      <c r="AE655">
        <v>0</v>
      </c>
      <c r="AF655">
        <v>0</v>
      </c>
      <c r="AG655">
        <v>120</v>
      </c>
      <c r="AH655">
        <v>120</v>
      </c>
      <c r="AI655">
        <v>0</v>
      </c>
      <c r="AJ655">
        <v>0</v>
      </c>
      <c r="AK655">
        <v>2095</v>
      </c>
      <c r="AL655">
        <v>2095</v>
      </c>
      <c r="AM655">
        <v>0</v>
      </c>
      <c r="AN655">
        <v>0</v>
      </c>
      <c r="AO655">
        <v>1876</v>
      </c>
      <c r="AP655">
        <v>1461</v>
      </c>
      <c r="AQ655">
        <v>1876</v>
      </c>
      <c r="AR655">
        <v>415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282</v>
      </c>
      <c r="BA655">
        <v>282</v>
      </c>
      <c r="BB655">
        <v>0</v>
      </c>
      <c r="BC655">
        <v>0</v>
      </c>
      <c r="BD655">
        <v>0</v>
      </c>
      <c r="BE655">
        <f t="shared" si="111"/>
        <v>13153</v>
      </c>
      <c r="BF655">
        <v>7390</v>
      </c>
      <c r="BG655">
        <v>7390</v>
      </c>
      <c r="BH655" t="s">
        <v>82</v>
      </c>
      <c r="BI655" t="s">
        <v>2114</v>
      </c>
      <c r="BJ655">
        <v>2736</v>
      </c>
      <c r="BK655">
        <v>4373</v>
      </c>
      <c r="BL655">
        <v>7257</v>
      </c>
      <c r="BM655">
        <v>0</v>
      </c>
      <c r="BN655">
        <v>0</v>
      </c>
      <c r="BO655">
        <v>0</v>
      </c>
      <c r="BP655">
        <v>8783</v>
      </c>
      <c r="BQ655">
        <v>8783</v>
      </c>
      <c r="BR655">
        <f t="shared" si="112"/>
        <v>0</v>
      </c>
      <c r="BS655">
        <f t="shared" si="113"/>
        <v>980</v>
      </c>
    </row>
    <row r="656" spans="1:74" x14ac:dyDescent="0.25">
      <c r="A656" s="5" t="s">
        <v>2090</v>
      </c>
      <c r="B656" s="5" t="s">
        <v>61</v>
      </c>
      <c r="C656" s="5" t="s">
        <v>61</v>
      </c>
      <c r="D656" s="1" t="s">
        <v>123</v>
      </c>
      <c r="E656">
        <v>0</v>
      </c>
      <c r="F656">
        <v>1684</v>
      </c>
      <c r="G656">
        <v>0</v>
      </c>
      <c r="H656">
        <v>0</v>
      </c>
      <c r="I656">
        <v>10</v>
      </c>
      <c r="J656">
        <v>0</v>
      </c>
      <c r="K656">
        <v>0</v>
      </c>
      <c r="L656">
        <v>0</v>
      </c>
      <c r="M656">
        <v>2853</v>
      </c>
      <c r="N656">
        <v>0</v>
      </c>
      <c r="O656">
        <v>0</v>
      </c>
      <c r="P656">
        <v>6201</v>
      </c>
      <c r="Q656">
        <v>1006</v>
      </c>
      <c r="R656">
        <v>1006</v>
      </c>
      <c r="S656" s="18">
        <f t="shared" si="104"/>
        <v>9</v>
      </c>
      <c r="T656" s="17">
        <f t="shared" si="105"/>
        <v>317</v>
      </c>
      <c r="U656" s="17">
        <f t="shared" si="106"/>
        <v>0</v>
      </c>
      <c r="V656" s="17">
        <f t="shared" si="107"/>
        <v>0</v>
      </c>
      <c r="W656" s="17">
        <f t="shared" si="108"/>
        <v>689</v>
      </c>
      <c r="X656" s="17">
        <f t="shared" si="109"/>
        <v>0</v>
      </c>
      <c r="Y656" s="19" t="e">
        <f t="shared" si="110"/>
        <v>#DIV/0!</v>
      </c>
      <c r="Z656">
        <v>1684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</v>
      </c>
      <c r="AH656">
        <v>10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f t="shared" si="111"/>
        <v>20</v>
      </c>
      <c r="BF656">
        <v>1694</v>
      </c>
      <c r="BG656">
        <v>1694</v>
      </c>
      <c r="BH656" t="s">
        <v>109</v>
      </c>
      <c r="BI656" t="s">
        <v>2117</v>
      </c>
      <c r="BJ656">
        <v>0</v>
      </c>
      <c r="BK656">
        <v>10</v>
      </c>
      <c r="BL656">
        <v>1694</v>
      </c>
      <c r="BM656">
        <v>2853</v>
      </c>
      <c r="BN656">
        <v>0</v>
      </c>
      <c r="BO656">
        <v>0</v>
      </c>
      <c r="BP656">
        <v>6211</v>
      </c>
      <c r="BQ656">
        <v>9064</v>
      </c>
      <c r="BR656">
        <f t="shared" si="112"/>
        <v>0</v>
      </c>
      <c r="BS656">
        <f t="shared" si="113"/>
        <v>2012</v>
      </c>
    </row>
    <row r="657" spans="1:71" x14ac:dyDescent="0.25">
      <c r="A657" s="5" t="s">
        <v>2090</v>
      </c>
      <c r="B657" s="5" t="s">
        <v>61</v>
      </c>
      <c r="C657" s="6" t="s">
        <v>61</v>
      </c>
      <c r="D657" s="1" t="s">
        <v>125</v>
      </c>
      <c r="E657">
        <v>0</v>
      </c>
      <c r="F657">
        <v>800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738</v>
      </c>
      <c r="N657">
        <v>0</v>
      </c>
      <c r="O657">
        <v>0</v>
      </c>
      <c r="P657">
        <v>0</v>
      </c>
      <c r="Q657">
        <v>82</v>
      </c>
      <c r="R657">
        <v>82</v>
      </c>
      <c r="S657" s="18">
        <f t="shared" si="104"/>
        <v>9</v>
      </c>
      <c r="T657" s="17">
        <f t="shared" si="105"/>
        <v>82</v>
      </c>
      <c r="U657" s="17">
        <f t="shared" si="106"/>
        <v>0</v>
      </c>
      <c r="V657" s="17">
        <f t="shared" si="107"/>
        <v>0</v>
      </c>
      <c r="W657" s="17">
        <f t="shared" si="108"/>
        <v>0</v>
      </c>
      <c r="X657" s="17">
        <f t="shared" si="109"/>
        <v>0</v>
      </c>
      <c r="Y657" s="19" t="e">
        <f t="shared" si="110"/>
        <v>#DIV/0!</v>
      </c>
      <c r="Z657">
        <v>800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f t="shared" si="111"/>
        <v>0</v>
      </c>
      <c r="BF657">
        <v>800</v>
      </c>
      <c r="BG657">
        <v>800</v>
      </c>
      <c r="BH657" t="s">
        <v>109</v>
      </c>
      <c r="BI657" t="s">
        <v>2118</v>
      </c>
      <c r="BJ657">
        <v>0</v>
      </c>
      <c r="BK657">
        <v>0</v>
      </c>
      <c r="BL657">
        <v>800</v>
      </c>
      <c r="BM657">
        <v>738</v>
      </c>
      <c r="BN657">
        <v>0</v>
      </c>
      <c r="BO657">
        <v>0</v>
      </c>
      <c r="BP657">
        <v>0</v>
      </c>
      <c r="BQ657">
        <v>738</v>
      </c>
      <c r="BR657">
        <f t="shared" si="112"/>
        <v>0</v>
      </c>
      <c r="BS657">
        <f t="shared" si="113"/>
        <v>164</v>
      </c>
    </row>
    <row r="658" spans="1:71" x14ac:dyDescent="0.25">
      <c r="A658" s="5" t="s">
        <v>2090</v>
      </c>
      <c r="B658" s="5" t="s">
        <v>61</v>
      </c>
      <c r="C658" s="7" t="s">
        <v>61</v>
      </c>
      <c r="D658" s="1" t="s">
        <v>127</v>
      </c>
      <c r="E658">
        <v>0</v>
      </c>
      <c r="F658">
        <v>780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1431</v>
      </c>
      <c r="N658">
        <v>0</v>
      </c>
      <c r="O658">
        <v>0</v>
      </c>
      <c r="P658">
        <v>0</v>
      </c>
      <c r="Q658">
        <v>159</v>
      </c>
      <c r="R658">
        <v>159</v>
      </c>
      <c r="S658" s="18">
        <f t="shared" si="104"/>
        <v>9</v>
      </c>
      <c r="T658" s="17">
        <f t="shared" si="105"/>
        <v>159</v>
      </c>
      <c r="U658" s="17">
        <f t="shared" si="106"/>
        <v>0</v>
      </c>
      <c r="V658" s="17">
        <f t="shared" si="107"/>
        <v>0</v>
      </c>
      <c r="W658" s="17">
        <f t="shared" si="108"/>
        <v>0</v>
      </c>
      <c r="X658" s="17">
        <f t="shared" si="109"/>
        <v>0</v>
      </c>
      <c r="Y658" s="19" t="e">
        <f t="shared" si="110"/>
        <v>#DIV/0!</v>
      </c>
      <c r="Z658">
        <v>780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f t="shared" si="111"/>
        <v>0</v>
      </c>
      <c r="BF658">
        <v>780</v>
      </c>
      <c r="BG658">
        <v>780</v>
      </c>
      <c r="BH658" t="s">
        <v>109</v>
      </c>
      <c r="BI658" t="s">
        <v>2119</v>
      </c>
      <c r="BJ658">
        <v>0</v>
      </c>
      <c r="BK658">
        <v>0</v>
      </c>
      <c r="BL658">
        <v>780</v>
      </c>
      <c r="BM658">
        <v>1431</v>
      </c>
      <c r="BN658">
        <v>0</v>
      </c>
      <c r="BO658">
        <v>0</v>
      </c>
      <c r="BP658">
        <v>0</v>
      </c>
      <c r="BQ658">
        <v>1431</v>
      </c>
      <c r="BR658">
        <f t="shared" si="112"/>
        <v>0</v>
      </c>
      <c r="BS658">
        <f t="shared" si="113"/>
        <v>318</v>
      </c>
    </row>
    <row r="659" spans="1:71" x14ac:dyDescent="0.25">
      <c r="A659" s="5" t="s">
        <v>2090</v>
      </c>
      <c r="B659" s="5" t="s">
        <v>61</v>
      </c>
      <c r="C659" s="5" t="s">
        <v>61</v>
      </c>
      <c r="D659" s="1" t="s">
        <v>129</v>
      </c>
      <c r="E659">
        <v>0</v>
      </c>
      <c r="F659">
        <v>440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1008</v>
      </c>
      <c r="N659">
        <v>0</v>
      </c>
      <c r="O659">
        <v>0</v>
      </c>
      <c r="P659">
        <v>0</v>
      </c>
      <c r="Q659">
        <v>112</v>
      </c>
      <c r="R659">
        <v>112</v>
      </c>
      <c r="S659" s="18">
        <f t="shared" si="104"/>
        <v>9</v>
      </c>
      <c r="T659" s="17">
        <f t="shared" si="105"/>
        <v>112</v>
      </c>
      <c r="U659" s="17">
        <f t="shared" si="106"/>
        <v>0</v>
      </c>
      <c r="V659" s="17">
        <f t="shared" si="107"/>
        <v>0</v>
      </c>
      <c r="W659" s="17">
        <f t="shared" si="108"/>
        <v>0</v>
      </c>
      <c r="X659" s="17">
        <f t="shared" si="109"/>
        <v>0</v>
      </c>
      <c r="Y659" s="19" t="e">
        <f t="shared" si="110"/>
        <v>#DIV/0!</v>
      </c>
      <c r="Z659">
        <v>440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f t="shared" si="111"/>
        <v>0</v>
      </c>
      <c r="BF659">
        <v>440</v>
      </c>
      <c r="BG659">
        <v>440</v>
      </c>
      <c r="BH659" t="s">
        <v>109</v>
      </c>
      <c r="BI659" t="s">
        <v>2120</v>
      </c>
      <c r="BJ659">
        <v>0</v>
      </c>
      <c r="BK659">
        <v>0</v>
      </c>
      <c r="BL659">
        <v>440</v>
      </c>
      <c r="BM659">
        <v>1008</v>
      </c>
      <c r="BN659">
        <v>0</v>
      </c>
      <c r="BO659">
        <v>0</v>
      </c>
      <c r="BP659">
        <v>0</v>
      </c>
      <c r="BQ659">
        <v>1008</v>
      </c>
      <c r="BR659">
        <f t="shared" si="112"/>
        <v>0</v>
      </c>
      <c r="BS659">
        <f t="shared" si="113"/>
        <v>224</v>
      </c>
    </row>
    <row r="660" spans="1:71" x14ac:dyDescent="0.25">
      <c r="A660" s="5" t="s">
        <v>2090</v>
      </c>
      <c r="B660" s="6" t="s">
        <v>61</v>
      </c>
      <c r="C660" s="6" t="s">
        <v>61</v>
      </c>
      <c r="D660" s="1" t="s">
        <v>131</v>
      </c>
      <c r="E660">
        <v>0</v>
      </c>
      <c r="F660">
        <v>700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801</v>
      </c>
      <c r="N660">
        <v>0</v>
      </c>
      <c r="O660">
        <v>0</v>
      </c>
      <c r="P660">
        <v>0</v>
      </c>
      <c r="Q660">
        <v>89</v>
      </c>
      <c r="R660">
        <v>89</v>
      </c>
      <c r="S660" s="18">
        <f t="shared" si="104"/>
        <v>9</v>
      </c>
      <c r="T660" s="17">
        <f t="shared" si="105"/>
        <v>89</v>
      </c>
      <c r="U660" s="17">
        <f t="shared" si="106"/>
        <v>0</v>
      </c>
      <c r="V660" s="17">
        <f t="shared" si="107"/>
        <v>0</v>
      </c>
      <c r="W660" s="17">
        <f t="shared" si="108"/>
        <v>0</v>
      </c>
      <c r="X660" s="17">
        <f t="shared" si="109"/>
        <v>0</v>
      </c>
      <c r="Y660" s="19" t="e">
        <f t="shared" si="110"/>
        <v>#DIV/0!</v>
      </c>
      <c r="Z660">
        <v>700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f t="shared" si="111"/>
        <v>0</v>
      </c>
      <c r="BF660">
        <v>700</v>
      </c>
      <c r="BG660">
        <v>700</v>
      </c>
      <c r="BH660" t="s">
        <v>109</v>
      </c>
      <c r="BI660" t="s">
        <v>2121</v>
      </c>
      <c r="BJ660">
        <v>0</v>
      </c>
      <c r="BK660">
        <v>0</v>
      </c>
      <c r="BL660">
        <v>700</v>
      </c>
      <c r="BM660">
        <v>801</v>
      </c>
      <c r="BN660">
        <v>0</v>
      </c>
      <c r="BO660">
        <v>0</v>
      </c>
      <c r="BP660">
        <v>0</v>
      </c>
      <c r="BQ660">
        <v>801</v>
      </c>
      <c r="BR660">
        <f t="shared" si="112"/>
        <v>0</v>
      </c>
      <c r="BS660">
        <f t="shared" si="113"/>
        <v>178</v>
      </c>
    </row>
    <row r="661" spans="1:71" x14ac:dyDescent="0.25">
      <c r="A661" s="5" t="s">
        <v>2090</v>
      </c>
      <c r="B661" s="7" t="s">
        <v>61</v>
      </c>
      <c r="C661" s="7" t="s">
        <v>61</v>
      </c>
      <c r="D661" s="1" t="s">
        <v>133</v>
      </c>
      <c r="E661">
        <v>0</v>
      </c>
      <c r="F661">
        <v>195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1305</v>
      </c>
      <c r="N661">
        <v>0</v>
      </c>
      <c r="O661">
        <v>0</v>
      </c>
      <c r="P661">
        <v>0</v>
      </c>
      <c r="Q661">
        <v>145</v>
      </c>
      <c r="R661">
        <v>145</v>
      </c>
      <c r="S661" s="18">
        <f t="shared" si="104"/>
        <v>9</v>
      </c>
      <c r="T661" s="17">
        <f t="shared" si="105"/>
        <v>145</v>
      </c>
      <c r="U661" s="17">
        <f t="shared" si="106"/>
        <v>0</v>
      </c>
      <c r="V661" s="17">
        <f t="shared" si="107"/>
        <v>0</v>
      </c>
      <c r="W661" s="17">
        <f t="shared" si="108"/>
        <v>0</v>
      </c>
      <c r="X661" s="17">
        <f t="shared" si="109"/>
        <v>0</v>
      </c>
      <c r="Y661" s="19" t="e">
        <f t="shared" si="110"/>
        <v>#DIV/0!</v>
      </c>
      <c r="Z661">
        <v>195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f t="shared" si="111"/>
        <v>0</v>
      </c>
      <c r="BF661">
        <v>195</v>
      </c>
      <c r="BG661">
        <v>195</v>
      </c>
      <c r="BH661" t="s">
        <v>109</v>
      </c>
      <c r="BI661" t="s">
        <v>2122</v>
      </c>
      <c r="BJ661">
        <v>0</v>
      </c>
      <c r="BK661">
        <v>0</v>
      </c>
      <c r="BL661">
        <v>195</v>
      </c>
      <c r="BM661">
        <v>1305</v>
      </c>
      <c r="BN661">
        <v>0</v>
      </c>
      <c r="BO661">
        <v>0</v>
      </c>
      <c r="BP661">
        <v>0</v>
      </c>
      <c r="BQ661">
        <v>1305</v>
      </c>
      <c r="BR661">
        <f t="shared" si="112"/>
        <v>0</v>
      </c>
      <c r="BS661">
        <f t="shared" si="113"/>
        <v>290</v>
      </c>
    </row>
    <row r="662" spans="1:71" x14ac:dyDescent="0.25">
      <c r="A662" s="5" t="s">
        <v>2090</v>
      </c>
      <c r="B662" s="5" t="s">
        <v>61</v>
      </c>
      <c r="C662" s="5" t="s">
        <v>61</v>
      </c>
      <c r="D662" s="1" t="s">
        <v>135</v>
      </c>
      <c r="E662">
        <v>0</v>
      </c>
      <c r="F662">
        <v>1684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3780</v>
      </c>
      <c r="Q662">
        <v>420</v>
      </c>
      <c r="R662">
        <v>420</v>
      </c>
      <c r="S662" s="18">
        <f t="shared" si="104"/>
        <v>9</v>
      </c>
      <c r="T662" s="17">
        <f t="shared" si="105"/>
        <v>0</v>
      </c>
      <c r="U662" s="17">
        <f t="shared" si="106"/>
        <v>0</v>
      </c>
      <c r="V662" s="17">
        <f t="shared" si="107"/>
        <v>0</v>
      </c>
      <c r="W662" s="17">
        <f t="shared" si="108"/>
        <v>420</v>
      </c>
      <c r="X662" s="17">
        <f t="shared" si="109"/>
        <v>0</v>
      </c>
      <c r="Y662" s="19" t="e">
        <f t="shared" si="110"/>
        <v>#DIV/0!</v>
      </c>
      <c r="Z662">
        <v>1684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f t="shared" si="111"/>
        <v>0</v>
      </c>
      <c r="BF662">
        <v>1684</v>
      </c>
      <c r="BG662">
        <v>1684</v>
      </c>
      <c r="BH662" t="s">
        <v>109</v>
      </c>
      <c r="BI662" t="s">
        <v>2123</v>
      </c>
      <c r="BJ662">
        <v>0</v>
      </c>
      <c r="BK662">
        <v>0</v>
      </c>
      <c r="BL662">
        <v>1684</v>
      </c>
      <c r="BM662">
        <v>0</v>
      </c>
      <c r="BN662">
        <v>0</v>
      </c>
      <c r="BO662">
        <v>0</v>
      </c>
      <c r="BP662">
        <v>3780</v>
      </c>
      <c r="BQ662">
        <v>3780</v>
      </c>
      <c r="BR662">
        <f t="shared" si="112"/>
        <v>0</v>
      </c>
      <c r="BS662">
        <f t="shared" si="113"/>
        <v>840</v>
      </c>
    </row>
    <row r="663" spans="1:71" x14ac:dyDescent="0.25">
      <c r="A663" s="5" t="s">
        <v>2090</v>
      </c>
      <c r="B663" s="5" t="s">
        <v>61</v>
      </c>
      <c r="C663" s="5" t="s">
        <v>61</v>
      </c>
      <c r="D663" s="1" t="s">
        <v>137</v>
      </c>
      <c r="E663">
        <v>0</v>
      </c>
      <c r="F663">
        <v>3400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11736</v>
      </c>
      <c r="N663">
        <v>0</v>
      </c>
      <c r="O663">
        <v>0</v>
      </c>
      <c r="P663">
        <v>0</v>
      </c>
      <c r="Q663">
        <v>1304</v>
      </c>
      <c r="R663">
        <v>1304</v>
      </c>
      <c r="S663" s="18">
        <f t="shared" si="104"/>
        <v>9</v>
      </c>
      <c r="T663" s="17">
        <f t="shared" si="105"/>
        <v>1304</v>
      </c>
      <c r="U663" s="17">
        <f t="shared" si="106"/>
        <v>0</v>
      </c>
      <c r="V663" s="17">
        <f t="shared" si="107"/>
        <v>0</v>
      </c>
      <c r="W663" s="17">
        <f t="shared" si="108"/>
        <v>0</v>
      </c>
      <c r="X663" s="17">
        <f t="shared" si="109"/>
        <v>0</v>
      </c>
      <c r="Y663" s="19" t="e">
        <f t="shared" si="110"/>
        <v>#DIV/0!</v>
      </c>
      <c r="Z663">
        <v>3400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f t="shared" si="111"/>
        <v>0</v>
      </c>
      <c r="BF663">
        <v>3400</v>
      </c>
      <c r="BG663">
        <v>3400</v>
      </c>
      <c r="BH663" t="s">
        <v>109</v>
      </c>
      <c r="BI663" t="s">
        <v>2124</v>
      </c>
      <c r="BJ663">
        <v>0</v>
      </c>
      <c r="BK663">
        <v>0</v>
      </c>
      <c r="BL663">
        <v>3400</v>
      </c>
      <c r="BM663">
        <v>11736</v>
      </c>
      <c r="BN663">
        <v>0</v>
      </c>
      <c r="BO663">
        <v>0</v>
      </c>
      <c r="BP663">
        <v>0</v>
      </c>
      <c r="BQ663">
        <v>11736</v>
      </c>
      <c r="BR663">
        <f t="shared" si="112"/>
        <v>0</v>
      </c>
      <c r="BS663">
        <f t="shared" si="113"/>
        <v>2608</v>
      </c>
    </row>
    <row r="664" spans="1:71" x14ac:dyDescent="0.25">
      <c r="A664" s="5" t="s">
        <v>2090</v>
      </c>
      <c r="B664" s="5" t="s">
        <v>61</v>
      </c>
      <c r="C664" s="5" t="s">
        <v>61</v>
      </c>
      <c r="D664" s="1" t="s">
        <v>139</v>
      </c>
      <c r="E664">
        <v>0</v>
      </c>
      <c r="F664">
        <v>196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1764</v>
      </c>
      <c r="N664">
        <v>0</v>
      </c>
      <c r="O664">
        <v>0</v>
      </c>
      <c r="P664">
        <v>0</v>
      </c>
      <c r="Q664">
        <v>196</v>
      </c>
      <c r="R664">
        <v>196</v>
      </c>
      <c r="S664" s="18">
        <f t="shared" si="104"/>
        <v>9</v>
      </c>
      <c r="T664" s="17">
        <f t="shared" si="105"/>
        <v>196</v>
      </c>
      <c r="U664" s="17">
        <f t="shared" si="106"/>
        <v>0</v>
      </c>
      <c r="V664" s="17">
        <f t="shared" si="107"/>
        <v>0</v>
      </c>
      <c r="W664" s="17">
        <f t="shared" si="108"/>
        <v>0</v>
      </c>
      <c r="X664" s="17">
        <f t="shared" si="109"/>
        <v>0</v>
      </c>
      <c r="Y664" s="19" t="e">
        <f t="shared" si="110"/>
        <v>#DIV/0!</v>
      </c>
      <c r="Z664">
        <v>196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f t="shared" si="111"/>
        <v>0</v>
      </c>
      <c r="BF664">
        <v>196</v>
      </c>
      <c r="BG664">
        <v>196</v>
      </c>
      <c r="BH664" t="s">
        <v>109</v>
      </c>
      <c r="BI664" t="s">
        <v>2125</v>
      </c>
      <c r="BJ664">
        <v>0</v>
      </c>
      <c r="BK664">
        <v>0</v>
      </c>
      <c r="BL664">
        <v>196</v>
      </c>
      <c r="BM664">
        <v>1764</v>
      </c>
      <c r="BN664">
        <v>0</v>
      </c>
      <c r="BO664">
        <v>0</v>
      </c>
      <c r="BP664">
        <v>0</v>
      </c>
      <c r="BQ664">
        <v>1764</v>
      </c>
      <c r="BR664">
        <f t="shared" si="112"/>
        <v>0</v>
      </c>
      <c r="BS664">
        <f t="shared" si="113"/>
        <v>392</v>
      </c>
    </row>
    <row r="665" spans="1:71" x14ac:dyDescent="0.25">
      <c r="A665" s="5" t="s">
        <v>2090</v>
      </c>
      <c r="B665" s="5" t="s">
        <v>61</v>
      </c>
      <c r="C665" s="5" t="s">
        <v>61</v>
      </c>
      <c r="D665" s="1" t="s">
        <v>143</v>
      </c>
      <c r="E665">
        <v>0</v>
      </c>
      <c r="F665">
        <v>120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747</v>
      </c>
      <c r="N665">
        <v>0</v>
      </c>
      <c r="O665">
        <v>0</v>
      </c>
      <c r="P665">
        <v>0</v>
      </c>
      <c r="Q665">
        <v>83</v>
      </c>
      <c r="R665">
        <v>83</v>
      </c>
      <c r="S665" s="18">
        <f t="shared" si="104"/>
        <v>9</v>
      </c>
      <c r="T665" s="17">
        <f t="shared" si="105"/>
        <v>83</v>
      </c>
      <c r="U665" s="17">
        <f t="shared" si="106"/>
        <v>0</v>
      </c>
      <c r="V665" s="17">
        <f t="shared" si="107"/>
        <v>0</v>
      </c>
      <c r="W665" s="17">
        <f t="shared" si="108"/>
        <v>0</v>
      </c>
      <c r="X665" s="17">
        <f t="shared" si="109"/>
        <v>0</v>
      </c>
      <c r="Y665" s="19" t="e">
        <f t="shared" si="110"/>
        <v>#DIV/0!</v>
      </c>
      <c r="Z665">
        <v>120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f t="shared" si="111"/>
        <v>0</v>
      </c>
      <c r="BF665">
        <v>120</v>
      </c>
      <c r="BG665">
        <v>120</v>
      </c>
      <c r="BH665" t="s">
        <v>109</v>
      </c>
      <c r="BI665" t="s">
        <v>2127</v>
      </c>
      <c r="BJ665">
        <v>0</v>
      </c>
      <c r="BK665">
        <v>0</v>
      </c>
      <c r="BL665">
        <v>120</v>
      </c>
      <c r="BM665">
        <v>747</v>
      </c>
      <c r="BN665">
        <v>0</v>
      </c>
      <c r="BO665">
        <v>0</v>
      </c>
      <c r="BP665">
        <v>0</v>
      </c>
      <c r="BQ665">
        <v>747</v>
      </c>
      <c r="BR665">
        <f t="shared" si="112"/>
        <v>0</v>
      </c>
      <c r="BS665">
        <f t="shared" si="113"/>
        <v>166</v>
      </c>
    </row>
    <row r="666" spans="1:71" x14ac:dyDescent="0.25">
      <c r="A666" s="5" t="s">
        <v>2090</v>
      </c>
      <c r="B666" s="5" t="s">
        <v>61</v>
      </c>
      <c r="C666" s="5" t="s">
        <v>61</v>
      </c>
      <c r="D666" s="1" t="s">
        <v>145</v>
      </c>
      <c r="E666">
        <v>0</v>
      </c>
      <c r="F666">
        <v>750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2187</v>
      </c>
      <c r="N666">
        <v>0</v>
      </c>
      <c r="O666">
        <v>0</v>
      </c>
      <c r="P666">
        <v>0</v>
      </c>
      <c r="Q666">
        <v>243</v>
      </c>
      <c r="R666">
        <v>243</v>
      </c>
      <c r="S666" s="18">
        <f t="shared" si="104"/>
        <v>9</v>
      </c>
      <c r="T666" s="17">
        <f t="shared" si="105"/>
        <v>243</v>
      </c>
      <c r="U666" s="17">
        <f t="shared" si="106"/>
        <v>0</v>
      </c>
      <c r="V666" s="17">
        <f t="shared" si="107"/>
        <v>0</v>
      </c>
      <c r="W666" s="17">
        <f t="shared" si="108"/>
        <v>0</v>
      </c>
      <c r="X666" s="17">
        <f t="shared" si="109"/>
        <v>0</v>
      </c>
      <c r="Y666" s="19" t="e">
        <f t="shared" si="110"/>
        <v>#DIV/0!</v>
      </c>
      <c r="Z666">
        <v>750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f t="shared" si="111"/>
        <v>0</v>
      </c>
      <c r="BF666">
        <v>750</v>
      </c>
      <c r="BG666">
        <v>750</v>
      </c>
      <c r="BH666" t="s">
        <v>109</v>
      </c>
      <c r="BI666" t="s">
        <v>2128</v>
      </c>
      <c r="BJ666">
        <v>0</v>
      </c>
      <c r="BK666">
        <v>0</v>
      </c>
      <c r="BL666">
        <v>750</v>
      </c>
      <c r="BM666">
        <v>2187</v>
      </c>
      <c r="BN666">
        <v>0</v>
      </c>
      <c r="BO666">
        <v>0</v>
      </c>
      <c r="BP666">
        <v>0</v>
      </c>
      <c r="BQ666">
        <v>2187</v>
      </c>
      <c r="BR666">
        <f t="shared" si="112"/>
        <v>0</v>
      </c>
      <c r="BS666">
        <f t="shared" si="113"/>
        <v>486</v>
      </c>
    </row>
    <row r="667" spans="1:71" x14ac:dyDescent="0.25">
      <c r="A667" s="5" t="s">
        <v>2090</v>
      </c>
      <c r="B667" s="5" t="s">
        <v>61</v>
      </c>
      <c r="C667" s="5" t="s">
        <v>61</v>
      </c>
      <c r="D667" s="1" t="s">
        <v>147</v>
      </c>
      <c r="E667">
        <v>0</v>
      </c>
      <c r="F667">
        <v>1700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2205</v>
      </c>
      <c r="N667">
        <v>0</v>
      </c>
      <c r="O667">
        <v>0</v>
      </c>
      <c r="P667">
        <v>0</v>
      </c>
      <c r="Q667">
        <v>245</v>
      </c>
      <c r="R667">
        <v>245</v>
      </c>
      <c r="S667" s="18">
        <f t="shared" si="104"/>
        <v>9</v>
      </c>
      <c r="T667" s="17">
        <f t="shared" si="105"/>
        <v>245</v>
      </c>
      <c r="U667" s="17">
        <f t="shared" si="106"/>
        <v>0</v>
      </c>
      <c r="V667" s="17">
        <f t="shared" si="107"/>
        <v>0</v>
      </c>
      <c r="W667" s="17">
        <f t="shared" si="108"/>
        <v>0</v>
      </c>
      <c r="X667" s="17">
        <f t="shared" si="109"/>
        <v>0</v>
      </c>
      <c r="Y667" s="19" t="e">
        <f t="shared" si="110"/>
        <v>#DIV/0!</v>
      </c>
      <c r="Z667">
        <v>1700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f t="shared" si="111"/>
        <v>0</v>
      </c>
      <c r="BF667">
        <v>1700</v>
      </c>
      <c r="BG667">
        <v>1700</v>
      </c>
      <c r="BH667" t="s">
        <v>109</v>
      </c>
      <c r="BI667" t="s">
        <v>2129</v>
      </c>
      <c r="BJ667">
        <v>0</v>
      </c>
      <c r="BK667">
        <v>0</v>
      </c>
      <c r="BL667">
        <v>1700</v>
      </c>
      <c r="BM667">
        <v>2205</v>
      </c>
      <c r="BN667">
        <v>0</v>
      </c>
      <c r="BO667">
        <v>0</v>
      </c>
      <c r="BP667">
        <v>0</v>
      </c>
      <c r="BQ667">
        <v>2205</v>
      </c>
      <c r="BR667">
        <f t="shared" si="112"/>
        <v>0</v>
      </c>
      <c r="BS667">
        <f t="shared" si="113"/>
        <v>490</v>
      </c>
    </row>
    <row r="668" spans="1:71" x14ac:dyDescent="0.25">
      <c r="A668" s="5" t="s">
        <v>2090</v>
      </c>
      <c r="B668" s="5" t="s">
        <v>61</v>
      </c>
      <c r="C668" s="5" t="s">
        <v>61</v>
      </c>
      <c r="D668" s="1" t="s">
        <v>149</v>
      </c>
      <c r="E668">
        <v>0</v>
      </c>
      <c r="F668">
        <v>103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927</v>
      </c>
      <c r="N668">
        <v>0</v>
      </c>
      <c r="O668">
        <v>0</v>
      </c>
      <c r="P668">
        <v>0</v>
      </c>
      <c r="Q668">
        <v>103</v>
      </c>
      <c r="R668">
        <v>103</v>
      </c>
      <c r="S668" s="18">
        <f t="shared" si="104"/>
        <v>9</v>
      </c>
      <c r="T668" s="17">
        <f t="shared" si="105"/>
        <v>103</v>
      </c>
      <c r="U668" s="17">
        <f t="shared" si="106"/>
        <v>0</v>
      </c>
      <c r="V668" s="17">
        <f t="shared" si="107"/>
        <v>0</v>
      </c>
      <c r="W668" s="17">
        <f t="shared" si="108"/>
        <v>0</v>
      </c>
      <c r="X668" s="17">
        <f t="shared" si="109"/>
        <v>0</v>
      </c>
      <c r="Y668" s="19" t="e">
        <f t="shared" si="110"/>
        <v>#DIV/0!</v>
      </c>
      <c r="Z668">
        <v>103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f t="shared" si="111"/>
        <v>0</v>
      </c>
      <c r="BF668">
        <v>103</v>
      </c>
      <c r="BG668">
        <v>103</v>
      </c>
      <c r="BH668" t="s">
        <v>109</v>
      </c>
      <c r="BI668" t="s">
        <v>2130</v>
      </c>
      <c r="BJ668">
        <v>0</v>
      </c>
      <c r="BK668">
        <v>0</v>
      </c>
      <c r="BL668">
        <v>103</v>
      </c>
      <c r="BM668">
        <v>927</v>
      </c>
      <c r="BN668">
        <v>0</v>
      </c>
      <c r="BO668">
        <v>0</v>
      </c>
      <c r="BP668">
        <v>0</v>
      </c>
      <c r="BQ668">
        <v>927</v>
      </c>
      <c r="BR668">
        <f t="shared" si="112"/>
        <v>0</v>
      </c>
      <c r="BS668">
        <f t="shared" si="113"/>
        <v>206</v>
      </c>
    </row>
    <row r="669" spans="1:71" x14ac:dyDescent="0.25">
      <c r="A669" s="5" t="s">
        <v>2090</v>
      </c>
      <c r="B669" s="5" t="s">
        <v>61</v>
      </c>
      <c r="C669" s="5" t="s">
        <v>61</v>
      </c>
      <c r="D669" s="1" t="s">
        <v>151</v>
      </c>
      <c r="E669">
        <v>0</v>
      </c>
      <c r="F669">
        <v>400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1467</v>
      </c>
      <c r="N669">
        <v>0</v>
      </c>
      <c r="O669">
        <v>0</v>
      </c>
      <c r="P669">
        <v>0</v>
      </c>
      <c r="Q669">
        <v>163</v>
      </c>
      <c r="R669">
        <v>163</v>
      </c>
      <c r="S669" s="18">
        <f t="shared" si="104"/>
        <v>9</v>
      </c>
      <c r="T669" s="17">
        <f t="shared" si="105"/>
        <v>163</v>
      </c>
      <c r="U669" s="17">
        <f t="shared" si="106"/>
        <v>0</v>
      </c>
      <c r="V669" s="17">
        <f t="shared" si="107"/>
        <v>0</v>
      </c>
      <c r="W669" s="17">
        <f t="shared" si="108"/>
        <v>0</v>
      </c>
      <c r="X669" s="17">
        <f t="shared" si="109"/>
        <v>0</v>
      </c>
      <c r="Y669" s="19" t="e">
        <f t="shared" si="110"/>
        <v>#DIV/0!</v>
      </c>
      <c r="Z669">
        <v>400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f t="shared" si="111"/>
        <v>0</v>
      </c>
      <c r="BF669">
        <v>400</v>
      </c>
      <c r="BG669">
        <v>400</v>
      </c>
      <c r="BH669" t="s">
        <v>109</v>
      </c>
      <c r="BI669" t="s">
        <v>2131</v>
      </c>
      <c r="BJ669">
        <v>0</v>
      </c>
      <c r="BK669">
        <v>0</v>
      </c>
      <c r="BL669">
        <v>400</v>
      </c>
      <c r="BM669">
        <v>1467</v>
      </c>
      <c r="BN669">
        <v>0</v>
      </c>
      <c r="BO669">
        <v>0</v>
      </c>
      <c r="BP669">
        <v>0</v>
      </c>
      <c r="BQ669">
        <v>1467</v>
      </c>
      <c r="BR669">
        <f t="shared" si="112"/>
        <v>0</v>
      </c>
      <c r="BS669">
        <f t="shared" si="113"/>
        <v>326</v>
      </c>
    </row>
    <row r="670" spans="1:71" x14ac:dyDescent="0.25">
      <c r="A670" s="5" t="s">
        <v>2090</v>
      </c>
      <c r="B670" s="5" t="s">
        <v>61</v>
      </c>
      <c r="C670" s="5" t="s">
        <v>61</v>
      </c>
      <c r="D670" s="1" t="s">
        <v>153</v>
      </c>
      <c r="E670">
        <v>0</v>
      </c>
      <c r="F670">
        <v>200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666</v>
      </c>
      <c r="N670">
        <v>0</v>
      </c>
      <c r="O670">
        <v>0</v>
      </c>
      <c r="P670">
        <v>0</v>
      </c>
      <c r="Q670">
        <v>74</v>
      </c>
      <c r="R670">
        <v>74</v>
      </c>
      <c r="S670" s="18">
        <f t="shared" si="104"/>
        <v>9</v>
      </c>
      <c r="T670" s="17">
        <f t="shared" si="105"/>
        <v>74</v>
      </c>
      <c r="U670" s="17">
        <f t="shared" si="106"/>
        <v>0</v>
      </c>
      <c r="V670" s="17">
        <f t="shared" si="107"/>
        <v>0</v>
      </c>
      <c r="W670" s="17">
        <f t="shared" si="108"/>
        <v>0</v>
      </c>
      <c r="X670" s="17">
        <f t="shared" si="109"/>
        <v>0</v>
      </c>
      <c r="Y670" s="19" t="e">
        <f t="shared" si="110"/>
        <v>#DIV/0!</v>
      </c>
      <c r="Z670">
        <v>200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f t="shared" si="111"/>
        <v>0</v>
      </c>
      <c r="BF670">
        <v>200</v>
      </c>
      <c r="BG670">
        <v>200</v>
      </c>
      <c r="BH670" t="s">
        <v>109</v>
      </c>
      <c r="BI670" t="s">
        <v>2132</v>
      </c>
      <c r="BJ670">
        <v>0</v>
      </c>
      <c r="BK670">
        <v>0</v>
      </c>
      <c r="BL670">
        <v>200</v>
      </c>
      <c r="BM670">
        <v>666</v>
      </c>
      <c r="BN670">
        <v>0</v>
      </c>
      <c r="BO670">
        <v>0</v>
      </c>
      <c r="BP670">
        <v>0</v>
      </c>
      <c r="BQ670">
        <v>666</v>
      </c>
      <c r="BR670">
        <f t="shared" si="112"/>
        <v>0</v>
      </c>
      <c r="BS670">
        <f t="shared" si="113"/>
        <v>148</v>
      </c>
    </row>
    <row r="671" spans="1:71" x14ac:dyDescent="0.25">
      <c r="A671" s="5" t="s">
        <v>2090</v>
      </c>
      <c r="B671" s="5" t="s">
        <v>61</v>
      </c>
      <c r="C671" s="5" t="s">
        <v>61</v>
      </c>
      <c r="D671" s="1" t="s">
        <v>155</v>
      </c>
      <c r="E671">
        <v>0</v>
      </c>
      <c r="F671">
        <v>540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1746</v>
      </c>
      <c r="Q671">
        <v>194</v>
      </c>
      <c r="R671">
        <v>194</v>
      </c>
      <c r="S671" s="18">
        <f t="shared" si="104"/>
        <v>9</v>
      </c>
      <c r="T671" s="17">
        <f t="shared" si="105"/>
        <v>0</v>
      </c>
      <c r="U671" s="17">
        <f t="shared" si="106"/>
        <v>0</v>
      </c>
      <c r="V671" s="17">
        <f t="shared" si="107"/>
        <v>0</v>
      </c>
      <c r="W671" s="17">
        <f t="shared" si="108"/>
        <v>194</v>
      </c>
      <c r="X671" s="17">
        <f t="shared" si="109"/>
        <v>0</v>
      </c>
      <c r="Y671" s="19" t="e">
        <f t="shared" si="110"/>
        <v>#DIV/0!</v>
      </c>
      <c r="Z671">
        <v>540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f t="shared" si="111"/>
        <v>0</v>
      </c>
      <c r="BF671">
        <v>540</v>
      </c>
      <c r="BG671">
        <v>540</v>
      </c>
      <c r="BH671" t="s">
        <v>109</v>
      </c>
      <c r="BI671" t="s">
        <v>2133</v>
      </c>
      <c r="BJ671">
        <v>0</v>
      </c>
      <c r="BK671">
        <v>0</v>
      </c>
      <c r="BL671">
        <v>540</v>
      </c>
      <c r="BM671">
        <v>0</v>
      </c>
      <c r="BN671">
        <v>0</v>
      </c>
      <c r="BO671">
        <v>0</v>
      </c>
      <c r="BP671">
        <v>1746</v>
      </c>
      <c r="BQ671">
        <v>1746</v>
      </c>
      <c r="BR671">
        <f t="shared" si="112"/>
        <v>0</v>
      </c>
      <c r="BS671">
        <f t="shared" si="113"/>
        <v>388</v>
      </c>
    </row>
    <row r="672" spans="1:71" x14ac:dyDescent="0.25">
      <c r="A672" s="5" t="s">
        <v>2090</v>
      </c>
      <c r="B672" s="5" t="s">
        <v>61</v>
      </c>
      <c r="C672" s="5" t="s">
        <v>61</v>
      </c>
      <c r="D672" s="1" t="s">
        <v>159</v>
      </c>
      <c r="E672">
        <v>0</v>
      </c>
      <c r="F672">
        <v>200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603</v>
      </c>
      <c r="N672">
        <v>0</v>
      </c>
      <c r="O672">
        <v>0</v>
      </c>
      <c r="P672">
        <v>0</v>
      </c>
      <c r="Q672">
        <v>67</v>
      </c>
      <c r="R672">
        <v>67</v>
      </c>
      <c r="S672" s="18">
        <f t="shared" si="104"/>
        <v>9</v>
      </c>
      <c r="T672" s="17">
        <f t="shared" si="105"/>
        <v>67</v>
      </c>
      <c r="U672" s="17">
        <f t="shared" si="106"/>
        <v>0</v>
      </c>
      <c r="V672" s="17">
        <f t="shared" si="107"/>
        <v>0</v>
      </c>
      <c r="W672" s="17">
        <f t="shared" si="108"/>
        <v>0</v>
      </c>
      <c r="X672" s="17">
        <f t="shared" si="109"/>
        <v>0</v>
      </c>
      <c r="Y672" s="19" t="e">
        <f t="shared" si="110"/>
        <v>#DIV/0!</v>
      </c>
      <c r="Z672">
        <v>200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f t="shared" si="111"/>
        <v>0</v>
      </c>
      <c r="BF672">
        <v>200</v>
      </c>
      <c r="BG672">
        <v>200</v>
      </c>
      <c r="BH672" t="s">
        <v>109</v>
      </c>
      <c r="BI672" t="s">
        <v>2135</v>
      </c>
      <c r="BJ672">
        <v>0</v>
      </c>
      <c r="BK672">
        <v>0</v>
      </c>
      <c r="BL672">
        <v>200</v>
      </c>
      <c r="BM672">
        <v>603</v>
      </c>
      <c r="BN672">
        <v>0</v>
      </c>
      <c r="BO672">
        <v>0</v>
      </c>
      <c r="BP672">
        <v>0</v>
      </c>
      <c r="BQ672">
        <v>603</v>
      </c>
      <c r="BR672">
        <f t="shared" si="112"/>
        <v>0</v>
      </c>
      <c r="BS672">
        <f t="shared" si="113"/>
        <v>134</v>
      </c>
    </row>
    <row r="673" spans="1:71" x14ac:dyDescent="0.25">
      <c r="A673" s="5" t="s">
        <v>2090</v>
      </c>
      <c r="B673" s="5" t="s">
        <v>61</v>
      </c>
      <c r="C673" s="5" t="s">
        <v>61</v>
      </c>
      <c r="D673" s="1" t="s">
        <v>161</v>
      </c>
      <c r="E673">
        <v>0</v>
      </c>
      <c r="F673">
        <v>700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2034</v>
      </c>
      <c r="N673">
        <v>0</v>
      </c>
      <c r="O673">
        <v>0</v>
      </c>
      <c r="P673">
        <v>0</v>
      </c>
      <c r="Q673">
        <v>226</v>
      </c>
      <c r="R673">
        <v>226</v>
      </c>
      <c r="S673" s="18">
        <f t="shared" si="104"/>
        <v>9</v>
      </c>
      <c r="T673" s="17">
        <f t="shared" si="105"/>
        <v>226</v>
      </c>
      <c r="U673" s="17">
        <f t="shared" si="106"/>
        <v>0</v>
      </c>
      <c r="V673" s="17">
        <f t="shared" si="107"/>
        <v>0</v>
      </c>
      <c r="W673" s="17">
        <f t="shared" si="108"/>
        <v>0</v>
      </c>
      <c r="X673" s="17">
        <f t="shared" si="109"/>
        <v>0</v>
      </c>
      <c r="Y673" s="19" t="e">
        <f t="shared" si="110"/>
        <v>#DIV/0!</v>
      </c>
      <c r="Z673">
        <v>700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f t="shared" si="111"/>
        <v>0</v>
      </c>
      <c r="BF673">
        <v>700</v>
      </c>
      <c r="BG673">
        <v>700</v>
      </c>
      <c r="BH673" t="s">
        <v>109</v>
      </c>
      <c r="BI673" t="s">
        <v>2136</v>
      </c>
      <c r="BJ673">
        <v>0</v>
      </c>
      <c r="BK673">
        <v>0</v>
      </c>
      <c r="BL673">
        <v>700</v>
      </c>
      <c r="BM673">
        <v>2034</v>
      </c>
      <c r="BN673">
        <v>0</v>
      </c>
      <c r="BO673">
        <v>0</v>
      </c>
      <c r="BP673">
        <v>0</v>
      </c>
      <c r="BQ673">
        <v>2034</v>
      </c>
      <c r="BR673">
        <f t="shared" si="112"/>
        <v>0</v>
      </c>
      <c r="BS673">
        <f t="shared" si="113"/>
        <v>452</v>
      </c>
    </row>
    <row r="674" spans="1:71" x14ac:dyDescent="0.25">
      <c r="A674" s="5" t="s">
        <v>2090</v>
      </c>
      <c r="B674" s="5" t="s">
        <v>61</v>
      </c>
      <c r="C674" s="5" t="s">
        <v>61</v>
      </c>
      <c r="D674" s="1" t="s">
        <v>163</v>
      </c>
      <c r="E674">
        <v>0</v>
      </c>
      <c r="F674">
        <v>684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1152</v>
      </c>
      <c r="N674">
        <v>0</v>
      </c>
      <c r="O674">
        <v>0</v>
      </c>
      <c r="P674">
        <v>0</v>
      </c>
      <c r="Q674">
        <v>128</v>
      </c>
      <c r="R674">
        <v>128</v>
      </c>
      <c r="S674" s="18">
        <f t="shared" si="104"/>
        <v>9</v>
      </c>
      <c r="T674" s="17">
        <f t="shared" si="105"/>
        <v>128</v>
      </c>
      <c r="U674" s="17">
        <f t="shared" si="106"/>
        <v>0</v>
      </c>
      <c r="V674" s="17">
        <f t="shared" si="107"/>
        <v>0</v>
      </c>
      <c r="W674" s="17">
        <f t="shared" si="108"/>
        <v>0</v>
      </c>
      <c r="X674" s="17">
        <f t="shared" si="109"/>
        <v>0</v>
      </c>
      <c r="Y674" s="19" t="e">
        <f t="shared" si="110"/>
        <v>#DIV/0!</v>
      </c>
      <c r="Z674">
        <v>684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f t="shared" si="111"/>
        <v>0</v>
      </c>
      <c r="BF674">
        <v>684</v>
      </c>
      <c r="BG674">
        <v>684</v>
      </c>
      <c r="BH674" t="s">
        <v>109</v>
      </c>
      <c r="BI674" t="s">
        <v>2137</v>
      </c>
      <c r="BJ674">
        <v>0</v>
      </c>
      <c r="BK674">
        <v>0</v>
      </c>
      <c r="BL674">
        <v>684</v>
      </c>
      <c r="BM674">
        <v>1152</v>
      </c>
      <c r="BN674">
        <v>0</v>
      </c>
      <c r="BO674">
        <v>0</v>
      </c>
      <c r="BP674">
        <v>0</v>
      </c>
      <c r="BQ674">
        <v>1152</v>
      </c>
      <c r="BR674">
        <f t="shared" si="112"/>
        <v>0</v>
      </c>
      <c r="BS674">
        <f t="shared" si="113"/>
        <v>256</v>
      </c>
    </row>
    <row r="675" spans="1:71" x14ac:dyDescent="0.25">
      <c r="A675" s="5" t="s">
        <v>2090</v>
      </c>
      <c r="B675" s="5" t="s">
        <v>61</v>
      </c>
      <c r="C675" s="5" t="s">
        <v>61</v>
      </c>
      <c r="D675" s="1" t="s">
        <v>165</v>
      </c>
      <c r="E675">
        <v>0</v>
      </c>
      <c r="F675">
        <v>750</v>
      </c>
      <c r="G675">
        <v>0</v>
      </c>
      <c r="H675">
        <v>0</v>
      </c>
      <c r="I675">
        <v>100</v>
      </c>
      <c r="J675">
        <v>0</v>
      </c>
      <c r="K675">
        <v>0</v>
      </c>
      <c r="L675">
        <v>0</v>
      </c>
      <c r="M675">
        <v>1755</v>
      </c>
      <c r="N675">
        <v>0</v>
      </c>
      <c r="O675">
        <v>0</v>
      </c>
      <c r="P675">
        <v>0</v>
      </c>
      <c r="Q675">
        <v>195</v>
      </c>
      <c r="R675">
        <v>195</v>
      </c>
      <c r="S675" s="18">
        <f t="shared" si="104"/>
        <v>9</v>
      </c>
      <c r="T675" s="17">
        <f t="shared" si="105"/>
        <v>195</v>
      </c>
      <c r="U675" s="17">
        <f t="shared" si="106"/>
        <v>0</v>
      </c>
      <c r="V675" s="17">
        <f t="shared" si="107"/>
        <v>0</v>
      </c>
      <c r="W675" s="17">
        <f t="shared" si="108"/>
        <v>0</v>
      </c>
      <c r="X675" s="17">
        <f t="shared" si="109"/>
        <v>0</v>
      </c>
      <c r="Y675" s="19" t="e">
        <f t="shared" si="110"/>
        <v>#DIV/0!</v>
      </c>
      <c r="Z675">
        <v>750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100</v>
      </c>
      <c r="AH675">
        <v>100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f t="shared" si="111"/>
        <v>200</v>
      </c>
      <c r="BF675">
        <v>850</v>
      </c>
      <c r="BG675">
        <v>850</v>
      </c>
      <c r="BH675" t="s">
        <v>109</v>
      </c>
      <c r="BI675" t="s">
        <v>2138</v>
      </c>
      <c r="BJ675">
        <v>0</v>
      </c>
      <c r="BK675">
        <v>100</v>
      </c>
      <c r="BL675">
        <v>850</v>
      </c>
      <c r="BM675">
        <v>1755</v>
      </c>
      <c r="BN675">
        <v>0</v>
      </c>
      <c r="BO675">
        <v>0</v>
      </c>
      <c r="BP675">
        <v>100</v>
      </c>
      <c r="BQ675">
        <v>1855</v>
      </c>
      <c r="BR675">
        <f t="shared" si="112"/>
        <v>0</v>
      </c>
      <c r="BS675">
        <f t="shared" si="113"/>
        <v>390</v>
      </c>
    </row>
    <row r="676" spans="1:71" x14ac:dyDescent="0.25">
      <c r="A676" s="5" t="s">
        <v>2090</v>
      </c>
      <c r="B676" s="5" t="s">
        <v>61</v>
      </c>
      <c r="C676" s="5" t="s">
        <v>61</v>
      </c>
      <c r="D676" s="1" t="s">
        <v>167</v>
      </c>
      <c r="E676">
        <v>0</v>
      </c>
      <c r="F676">
        <v>402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603</v>
      </c>
      <c r="N676">
        <v>0</v>
      </c>
      <c r="O676">
        <v>0</v>
      </c>
      <c r="P676">
        <v>0</v>
      </c>
      <c r="Q676">
        <v>67</v>
      </c>
      <c r="R676">
        <v>67</v>
      </c>
      <c r="S676" s="18">
        <f t="shared" si="104"/>
        <v>9</v>
      </c>
      <c r="T676" s="17">
        <f t="shared" si="105"/>
        <v>67</v>
      </c>
      <c r="U676" s="17">
        <f t="shared" si="106"/>
        <v>0</v>
      </c>
      <c r="V676" s="17">
        <f t="shared" si="107"/>
        <v>0</v>
      </c>
      <c r="W676" s="17">
        <f t="shared" si="108"/>
        <v>0</v>
      </c>
      <c r="X676" s="17">
        <f t="shared" si="109"/>
        <v>0</v>
      </c>
      <c r="Y676" s="19" t="e">
        <f t="shared" si="110"/>
        <v>#DIV/0!</v>
      </c>
      <c r="Z676">
        <v>402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f t="shared" si="111"/>
        <v>0</v>
      </c>
      <c r="BF676">
        <v>402</v>
      </c>
      <c r="BG676">
        <v>402</v>
      </c>
      <c r="BH676" t="s">
        <v>109</v>
      </c>
      <c r="BI676" t="s">
        <v>2139</v>
      </c>
      <c r="BJ676">
        <v>0</v>
      </c>
      <c r="BK676">
        <v>0</v>
      </c>
      <c r="BL676">
        <v>402</v>
      </c>
      <c r="BM676">
        <v>603</v>
      </c>
      <c r="BN676">
        <v>0</v>
      </c>
      <c r="BO676">
        <v>0</v>
      </c>
      <c r="BP676">
        <v>0</v>
      </c>
      <c r="BQ676">
        <v>603</v>
      </c>
      <c r="BR676">
        <f t="shared" si="112"/>
        <v>0</v>
      </c>
      <c r="BS676">
        <f t="shared" si="113"/>
        <v>134</v>
      </c>
    </row>
    <row r="677" spans="1:71" x14ac:dyDescent="0.25">
      <c r="A677" s="5" t="s">
        <v>2090</v>
      </c>
      <c r="B677" s="5" t="s">
        <v>61</v>
      </c>
      <c r="C677" s="5" t="s">
        <v>61</v>
      </c>
      <c r="D677" s="1" t="s">
        <v>169</v>
      </c>
      <c r="E677">
        <v>0</v>
      </c>
      <c r="F677">
        <v>25000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22473</v>
      </c>
      <c r="N677">
        <v>0</v>
      </c>
      <c r="O677">
        <v>0</v>
      </c>
      <c r="P677">
        <v>0</v>
      </c>
      <c r="Q677">
        <v>2497</v>
      </c>
      <c r="R677">
        <v>2497</v>
      </c>
      <c r="S677" s="18">
        <f t="shared" si="104"/>
        <v>9</v>
      </c>
      <c r="T677" s="17">
        <f t="shared" si="105"/>
        <v>2497</v>
      </c>
      <c r="U677" s="17">
        <f t="shared" si="106"/>
        <v>0</v>
      </c>
      <c r="V677" s="17">
        <f t="shared" si="107"/>
        <v>0</v>
      </c>
      <c r="W677" s="17">
        <f t="shared" si="108"/>
        <v>0</v>
      </c>
      <c r="X677" s="17">
        <f t="shared" si="109"/>
        <v>0</v>
      </c>
      <c r="Y677" s="19" t="e">
        <f t="shared" si="110"/>
        <v>#DIV/0!</v>
      </c>
      <c r="Z677">
        <v>25000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f t="shared" si="111"/>
        <v>0</v>
      </c>
      <c r="BF677">
        <v>25000</v>
      </c>
      <c r="BG677">
        <v>25000</v>
      </c>
      <c r="BH677" t="s">
        <v>546</v>
      </c>
      <c r="BI677" t="s">
        <v>2140</v>
      </c>
      <c r="BJ677">
        <v>0</v>
      </c>
      <c r="BK677">
        <v>0</v>
      </c>
      <c r="BL677">
        <v>25000</v>
      </c>
      <c r="BM677">
        <v>22473</v>
      </c>
      <c r="BN677">
        <v>0</v>
      </c>
      <c r="BO677">
        <v>0</v>
      </c>
      <c r="BP677">
        <v>0</v>
      </c>
      <c r="BQ677">
        <v>22473</v>
      </c>
      <c r="BR677">
        <f t="shared" si="112"/>
        <v>0</v>
      </c>
      <c r="BS677">
        <f t="shared" si="113"/>
        <v>4994</v>
      </c>
    </row>
    <row r="678" spans="1:71" x14ac:dyDescent="0.25">
      <c r="A678" s="5" t="s">
        <v>2090</v>
      </c>
      <c r="B678" s="5" t="s">
        <v>61</v>
      </c>
      <c r="C678" s="5" t="s">
        <v>61</v>
      </c>
      <c r="D678" s="1" t="s">
        <v>173</v>
      </c>
      <c r="E678">
        <v>0</v>
      </c>
      <c r="F678">
        <v>4700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4032</v>
      </c>
      <c r="N678">
        <v>0</v>
      </c>
      <c r="O678">
        <v>0</v>
      </c>
      <c r="P678">
        <v>0</v>
      </c>
      <c r="Q678">
        <v>448</v>
      </c>
      <c r="R678">
        <v>448</v>
      </c>
      <c r="S678" s="18">
        <f t="shared" si="104"/>
        <v>9</v>
      </c>
      <c r="T678" s="17">
        <f t="shared" si="105"/>
        <v>448</v>
      </c>
      <c r="U678" s="17">
        <f t="shared" si="106"/>
        <v>0</v>
      </c>
      <c r="V678" s="17">
        <f t="shared" si="107"/>
        <v>0</v>
      </c>
      <c r="W678" s="17">
        <f t="shared" si="108"/>
        <v>0</v>
      </c>
      <c r="X678" s="17">
        <f t="shared" si="109"/>
        <v>0</v>
      </c>
      <c r="Y678" s="19" t="e">
        <f t="shared" si="110"/>
        <v>#DIV/0!</v>
      </c>
      <c r="Z678">
        <v>4700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f t="shared" si="111"/>
        <v>0</v>
      </c>
      <c r="BF678">
        <v>4700</v>
      </c>
      <c r="BG678">
        <v>4700</v>
      </c>
      <c r="BH678" t="s">
        <v>546</v>
      </c>
      <c r="BI678" t="s">
        <v>2142</v>
      </c>
      <c r="BJ678">
        <v>0</v>
      </c>
      <c r="BK678">
        <v>0</v>
      </c>
      <c r="BL678">
        <v>4700</v>
      </c>
      <c r="BM678">
        <v>4032</v>
      </c>
      <c r="BN678">
        <v>0</v>
      </c>
      <c r="BO678">
        <v>0</v>
      </c>
      <c r="BP678">
        <v>0</v>
      </c>
      <c r="BQ678">
        <v>4032</v>
      </c>
      <c r="BR678">
        <f t="shared" si="112"/>
        <v>0</v>
      </c>
      <c r="BS678">
        <f t="shared" si="113"/>
        <v>896</v>
      </c>
    </row>
    <row r="679" spans="1:71" x14ac:dyDescent="0.25">
      <c r="A679" s="6" t="s">
        <v>2090</v>
      </c>
      <c r="B679" s="6" t="s">
        <v>61</v>
      </c>
      <c r="C679" s="6" t="s">
        <v>61</v>
      </c>
      <c r="D679" s="1" t="s">
        <v>175</v>
      </c>
      <c r="E679">
        <v>0</v>
      </c>
      <c r="F679">
        <v>1600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1440</v>
      </c>
      <c r="N679">
        <v>0</v>
      </c>
      <c r="O679">
        <v>0</v>
      </c>
      <c r="P679">
        <v>0</v>
      </c>
      <c r="Q679">
        <v>160</v>
      </c>
      <c r="R679">
        <v>160</v>
      </c>
      <c r="S679" s="18">
        <f t="shared" si="104"/>
        <v>9</v>
      </c>
      <c r="T679" s="17">
        <f t="shared" si="105"/>
        <v>160</v>
      </c>
      <c r="U679" s="17">
        <f t="shared" si="106"/>
        <v>0</v>
      </c>
      <c r="V679" s="17">
        <f t="shared" si="107"/>
        <v>0</v>
      </c>
      <c r="W679" s="17">
        <f t="shared" si="108"/>
        <v>0</v>
      </c>
      <c r="X679" s="17">
        <f t="shared" si="109"/>
        <v>0</v>
      </c>
      <c r="Y679" s="19" t="e">
        <f t="shared" si="110"/>
        <v>#DIV/0!</v>
      </c>
      <c r="Z679">
        <v>1600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f t="shared" si="111"/>
        <v>0</v>
      </c>
      <c r="BF679">
        <v>1600</v>
      </c>
      <c r="BG679">
        <v>1600</v>
      </c>
      <c r="BH679" t="s">
        <v>546</v>
      </c>
      <c r="BI679" t="s">
        <v>2143</v>
      </c>
      <c r="BJ679">
        <v>0</v>
      </c>
      <c r="BK679">
        <v>0</v>
      </c>
      <c r="BL679">
        <v>1600</v>
      </c>
      <c r="BM679">
        <v>1440</v>
      </c>
      <c r="BN679">
        <v>0</v>
      </c>
      <c r="BO679">
        <v>0</v>
      </c>
      <c r="BP679">
        <v>0</v>
      </c>
      <c r="BQ679">
        <v>1440</v>
      </c>
      <c r="BR679">
        <f t="shared" si="112"/>
        <v>0</v>
      </c>
      <c r="BS679">
        <f t="shared" si="113"/>
        <v>320</v>
      </c>
    </row>
    <row r="680" spans="1:71" x14ac:dyDescent="0.25">
      <c r="A680" s="7" t="s">
        <v>2090</v>
      </c>
      <c r="B680" s="7" t="s">
        <v>61</v>
      </c>
      <c r="C680" s="7" t="s">
        <v>61</v>
      </c>
      <c r="D680" s="1" t="s">
        <v>177</v>
      </c>
      <c r="E680">
        <v>0</v>
      </c>
      <c r="F680">
        <v>900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882</v>
      </c>
      <c r="N680">
        <v>0</v>
      </c>
      <c r="O680">
        <v>0</v>
      </c>
      <c r="P680">
        <v>0</v>
      </c>
      <c r="Q680">
        <v>98</v>
      </c>
      <c r="R680">
        <v>98</v>
      </c>
      <c r="S680" s="18">
        <f t="shared" si="104"/>
        <v>9</v>
      </c>
      <c r="T680" s="17">
        <f t="shared" si="105"/>
        <v>98</v>
      </c>
      <c r="U680" s="17">
        <f t="shared" si="106"/>
        <v>0</v>
      </c>
      <c r="V680" s="17">
        <f t="shared" si="107"/>
        <v>0</v>
      </c>
      <c r="W680" s="17">
        <f t="shared" si="108"/>
        <v>0</v>
      </c>
      <c r="X680" s="17">
        <f t="shared" si="109"/>
        <v>0</v>
      </c>
      <c r="Y680" s="19" t="e">
        <f t="shared" si="110"/>
        <v>#DIV/0!</v>
      </c>
      <c r="Z680">
        <v>900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f t="shared" si="111"/>
        <v>0</v>
      </c>
      <c r="BF680">
        <v>900</v>
      </c>
      <c r="BG680">
        <v>900</v>
      </c>
      <c r="BH680" t="s">
        <v>546</v>
      </c>
      <c r="BI680" t="s">
        <v>2144</v>
      </c>
      <c r="BJ680">
        <v>0</v>
      </c>
      <c r="BK680">
        <v>0</v>
      </c>
      <c r="BL680">
        <v>900</v>
      </c>
      <c r="BM680">
        <v>882</v>
      </c>
      <c r="BN680">
        <v>0</v>
      </c>
      <c r="BO680">
        <v>0</v>
      </c>
      <c r="BP680">
        <v>0</v>
      </c>
      <c r="BQ680">
        <v>882</v>
      </c>
      <c r="BR680">
        <f t="shared" si="112"/>
        <v>0</v>
      </c>
      <c r="BS680">
        <f t="shared" si="113"/>
        <v>196</v>
      </c>
    </row>
    <row r="681" spans="1:71" x14ac:dyDescent="0.25">
      <c r="A681" s="5" t="s">
        <v>2090</v>
      </c>
      <c r="B681" s="5" t="s">
        <v>61</v>
      </c>
      <c r="C681" s="5" t="s">
        <v>61</v>
      </c>
      <c r="D681" s="1" t="s">
        <v>179</v>
      </c>
      <c r="E681">
        <v>0</v>
      </c>
      <c r="F681">
        <v>1000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972</v>
      </c>
      <c r="N681">
        <v>0</v>
      </c>
      <c r="O681">
        <v>0</v>
      </c>
      <c r="P681">
        <v>0</v>
      </c>
      <c r="Q681">
        <v>108</v>
      </c>
      <c r="R681">
        <v>108</v>
      </c>
      <c r="S681" s="18">
        <f t="shared" si="104"/>
        <v>9</v>
      </c>
      <c r="T681" s="17">
        <f t="shared" si="105"/>
        <v>108</v>
      </c>
      <c r="U681" s="17">
        <f t="shared" si="106"/>
        <v>0</v>
      </c>
      <c r="V681" s="17">
        <f t="shared" si="107"/>
        <v>0</v>
      </c>
      <c r="W681" s="17">
        <f t="shared" si="108"/>
        <v>0</v>
      </c>
      <c r="X681" s="17">
        <f t="shared" si="109"/>
        <v>0</v>
      </c>
      <c r="Y681" s="19" t="e">
        <f t="shared" si="110"/>
        <v>#DIV/0!</v>
      </c>
      <c r="Z681">
        <v>1000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f t="shared" si="111"/>
        <v>0</v>
      </c>
      <c r="BF681">
        <v>1000</v>
      </c>
      <c r="BG681">
        <v>1000</v>
      </c>
      <c r="BH681" t="s">
        <v>546</v>
      </c>
      <c r="BI681" t="s">
        <v>2145</v>
      </c>
      <c r="BJ681">
        <v>0</v>
      </c>
      <c r="BK681">
        <v>0</v>
      </c>
      <c r="BL681">
        <v>1000</v>
      </c>
      <c r="BM681">
        <v>972</v>
      </c>
      <c r="BN681">
        <v>0</v>
      </c>
      <c r="BO681">
        <v>0</v>
      </c>
      <c r="BP681">
        <v>0</v>
      </c>
      <c r="BQ681">
        <v>972</v>
      </c>
      <c r="BR681">
        <f t="shared" si="112"/>
        <v>0</v>
      </c>
      <c r="BS681">
        <f t="shared" si="113"/>
        <v>216</v>
      </c>
    </row>
    <row r="682" spans="1:71" x14ac:dyDescent="0.25">
      <c r="A682" s="5" t="s">
        <v>2090</v>
      </c>
      <c r="B682" s="5" t="s">
        <v>61</v>
      </c>
      <c r="C682" s="5" t="s">
        <v>61</v>
      </c>
      <c r="D682" s="1" t="s">
        <v>181</v>
      </c>
      <c r="E682">
        <v>0</v>
      </c>
      <c r="F682">
        <v>1000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1000</v>
      </c>
      <c r="Q682">
        <v>120</v>
      </c>
      <c r="R682">
        <v>120</v>
      </c>
      <c r="S682" s="18">
        <f t="shared" si="104"/>
        <v>8.3333333333333339</v>
      </c>
      <c r="T682" s="17">
        <f t="shared" si="105"/>
        <v>0</v>
      </c>
      <c r="U682" s="17">
        <f t="shared" si="106"/>
        <v>0</v>
      </c>
      <c r="V682" s="17">
        <f t="shared" si="107"/>
        <v>0</v>
      </c>
      <c r="W682" s="17">
        <f t="shared" si="108"/>
        <v>119.99999999999999</v>
      </c>
      <c r="X682" s="17">
        <f t="shared" si="109"/>
        <v>0</v>
      </c>
      <c r="Y682" s="19" t="e">
        <f t="shared" si="110"/>
        <v>#DIV/0!</v>
      </c>
      <c r="Z682">
        <v>1000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f t="shared" si="111"/>
        <v>0</v>
      </c>
      <c r="BF682">
        <v>1000</v>
      </c>
      <c r="BG682">
        <v>1000</v>
      </c>
      <c r="BH682" t="s">
        <v>546</v>
      </c>
      <c r="BI682" t="s">
        <v>2146</v>
      </c>
      <c r="BJ682">
        <v>0</v>
      </c>
      <c r="BK682">
        <v>0</v>
      </c>
      <c r="BL682">
        <v>1000</v>
      </c>
      <c r="BM682">
        <v>0</v>
      </c>
      <c r="BN682">
        <v>0</v>
      </c>
      <c r="BO682">
        <v>0</v>
      </c>
      <c r="BP682">
        <v>1000</v>
      </c>
      <c r="BQ682">
        <v>1000</v>
      </c>
      <c r="BR682">
        <f t="shared" si="112"/>
        <v>0</v>
      </c>
      <c r="BS682">
        <f t="shared" si="113"/>
        <v>240</v>
      </c>
    </row>
    <row r="683" spans="1:71" x14ac:dyDescent="0.25">
      <c r="A683" s="5" t="s">
        <v>2090</v>
      </c>
      <c r="B683" s="5" t="s">
        <v>61</v>
      </c>
      <c r="C683" s="5" t="s">
        <v>61</v>
      </c>
      <c r="D683" s="1" t="s">
        <v>185</v>
      </c>
      <c r="E683">
        <v>0</v>
      </c>
      <c r="F683">
        <v>3899</v>
      </c>
      <c r="G683">
        <v>0</v>
      </c>
      <c r="H683">
        <v>0</v>
      </c>
      <c r="I683">
        <v>100</v>
      </c>
      <c r="J683">
        <v>0</v>
      </c>
      <c r="K683">
        <v>0</v>
      </c>
      <c r="L683">
        <v>0</v>
      </c>
      <c r="M683">
        <v>3321</v>
      </c>
      <c r="N683">
        <v>0</v>
      </c>
      <c r="O683">
        <v>0</v>
      </c>
      <c r="P683">
        <v>0</v>
      </c>
      <c r="Q683">
        <v>369</v>
      </c>
      <c r="R683">
        <v>369</v>
      </c>
      <c r="S683" s="18">
        <f t="shared" si="104"/>
        <v>9</v>
      </c>
      <c r="T683" s="17">
        <f t="shared" si="105"/>
        <v>369</v>
      </c>
      <c r="U683" s="17">
        <f t="shared" si="106"/>
        <v>0</v>
      </c>
      <c r="V683" s="17">
        <f t="shared" si="107"/>
        <v>0</v>
      </c>
      <c r="W683" s="17">
        <f t="shared" si="108"/>
        <v>0</v>
      </c>
      <c r="X683" s="17">
        <f t="shared" si="109"/>
        <v>0</v>
      </c>
      <c r="Y683" s="19" t="e">
        <f t="shared" si="110"/>
        <v>#DIV/0!</v>
      </c>
      <c r="Z683">
        <v>3899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100</v>
      </c>
      <c r="AH683">
        <v>100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f t="shared" si="111"/>
        <v>200</v>
      </c>
      <c r="BF683">
        <v>1459</v>
      </c>
      <c r="BG683">
        <v>1819.333333333333</v>
      </c>
      <c r="BH683" t="s">
        <v>546</v>
      </c>
      <c r="BI683" t="s">
        <v>2148</v>
      </c>
      <c r="BJ683">
        <v>0</v>
      </c>
      <c r="BK683">
        <v>100</v>
      </c>
      <c r="BL683">
        <v>3999</v>
      </c>
      <c r="BM683">
        <v>3321</v>
      </c>
      <c r="BN683">
        <v>0</v>
      </c>
      <c r="BO683">
        <v>0</v>
      </c>
      <c r="BP683">
        <v>100</v>
      </c>
      <c r="BQ683">
        <v>3421</v>
      </c>
      <c r="BR683">
        <f t="shared" si="112"/>
        <v>0</v>
      </c>
      <c r="BS683">
        <f t="shared" si="113"/>
        <v>738</v>
      </c>
    </row>
    <row r="684" spans="1:71" x14ac:dyDescent="0.25">
      <c r="A684" s="5" t="s">
        <v>2090</v>
      </c>
      <c r="B684" s="5" t="s">
        <v>61</v>
      </c>
      <c r="C684" s="5" t="s">
        <v>61</v>
      </c>
      <c r="D684" s="1" t="s">
        <v>185</v>
      </c>
      <c r="E684">
        <v>0</v>
      </c>
      <c r="F684">
        <v>3899</v>
      </c>
      <c r="G684">
        <v>0</v>
      </c>
      <c r="H684">
        <v>0</v>
      </c>
      <c r="I684">
        <v>100</v>
      </c>
      <c r="J684">
        <v>0</v>
      </c>
      <c r="K684">
        <v>0</v>
      </c>
      <c r="L684">
        <v>0</v>
      </c>
      <c r="M684">
        <v>3321</v>
      </c>
      <c r="N684">
        <v>0</v>
      </c>
      <c r="O684">
        <v>0</v>
      </c>
      <c r="P684">
        <v>0</v>
      </c>
      <c r="Q684">
        <v>369</v>
      </c>
      <c r="R684">
        <v>369</v>
      </c>
      <c r="S684" s="18">
        <f t="shared" si="104"/>
        <v>9</v>
      </c>
      <c r="T684" s="17">
        <f t="shared" si="105"/>
        <v>369</v>
      </c>
      <c r="U684" s="17">
        <f t="shared" si="106"/>
        <v>0</v>
      </c>
      <c r="V684" s="17">
        <f t="shared" si="107"/>
        <v>0</v>
      </c>
      <c r="W684" s="17">
        <f t="shared" si="108"/>
        <v>0</v>
      </c>
      <c r="X684" s="17">
        <f t="shared" si="109"/>
        <v>0</v>
      </c>
      <c r="Y684" s="19" t="e">
        <f t="shared" si="110"/>
        <v>#DIV/0!</v>
      </c>
      <c r="Z684">
        <v>3899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100</v>
      </c>
      <c r="AH684">
        <v>100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f t="shared" si="111"/>
        <v>200</v>
      </c>
      <c r="BF684">
        <v>1459</v>
      </c>
      <c r="BG684">
        <v>1819.333333333333</v>
      </c>
      <c r="BH684" t="s">
        <v>109</v>
      </c>
      <c r="BI684" t="s">
        <v>2148</v>
      </c>
      <c r="BJ684">
        <v>0</v>
      </c>
      <c r="BK684">
        <v>100</v>
      </c>
      <c r="BL684">
        <v>3999</v>
      </c>
      <c r="BM684">
        <v>3321</v>
      </c>
      <c r="BN684">
        <v>0</v>
      </c>
      <c r="BO684">
        <v>0</v>
      </c>
      <c r="BP684">
        <v>100</v>
      </c>
      <c r="BQ684">
        <v>3421</v>
      </c>
      <c r="BR684">
        <f t="shared" si="112"/>
        <v>0</v>
      </c>
      <c r="BS684">
        <f t="shared" si="113"/>
        <v>738</v>
      </c>
    </row>
    <row r="685" spans="1:71" x14ac:dyDescent="0.25">
      <c r="A685" s="5" t="s">
        <v>2090</v>
      </c>
      <c r="B685" s="5" t="s">
        <v>61</v>
      </c>
      <c r="C685" s="5" t="s">
        <v>61</v>
      </c>
      <c r="D685" s="1" t="s">
        <v>187</v>
      </c>
      <c r="E685">
        <v>0</v>
      </c>
      <c r="F685">
        <v>348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522</v>
      </c>
      <c r="N685">
        <v>0</v>
      </c>
      <c r="O685">
        <v>0</v>
      </c>
      <c r="P685">
        <v>0</v>
      </c>
      <c r="Q685">
        <v>58</v>
      </c>
      <c r="R685">
        <v>58</v>
      </c>
      <c r="S685" s="18">
        <f t="shared" si="104"/>
        <v>9</v>
      </c>
      <c r="T685" s="17">
        <f t="shared" si="105"/>
        <v>58</v>
      </c>
      <c r="U685" s="17">
        <f t="shared" si="106"/>
        <v>0</v>
      </c>
      <c r="V685" s="17">
        <f t="shared" si="107"/>
        <v>0</v>
      </c>
      <c r="W685" s="17">
        <f t="shared" si="108"/>
        <v>0</v>
      </c>
      <c r="X685" s="17">
        <f t="shared" si="109"/>
        <v>0</v>
      </c>
      <c r="Y685" s="19" t="e">
        <f t="shared" si="110"/>
        <v>#DIV/0!</v>
      </c>
      <c r="Z685">
        <v>348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f t="shared" si="111"/>
        <v>0</v>
      </c>
      <c r="BF685">
        <v>348</v>
      </c>
      <c r="BG685">
        <v>348</v>
      </c>
      <c r="BH685" t="s">
        <v>109</v>
      </c>
      <c r="BI685" t="s">
        <v>2149</v>
      </c>
      <c r="BJ685">
        <v>0</v>
      </c>
      <c r="BK685">
        <v>0</v>
      </c>
      <c r="BL685">
        <v>348</v>
      </c>
      <c r="BM685">
        <v>522</v>
      </c>
      <c r="BN685">
        <v>0</v>
      </c>
      <c r="BO685">
        <v>0</v>
      </c>
      <c r="BP685">
        <v>0</v>
      </c>
      <c r="BQ685">
        <v>522</v>
      </c>
      <c r="BR685">
        <f t="shared" si="112"/>
        <v>0</v>
      </c>
      <c r="BS685">
        <f t="shared" si="113"/>
        <v>116</v>
      </c>
    </row>
    <row r="686" spans="1:71" x14ac:dyDescent="0.25">
      <c r="A686" s="5" t="s">
        <v>2090</v>
      </c>
      <c r="B686" s="5" t="s">
        <v>61</v>
      </c>
      <c r="C686" s="5" t="s">
        <v>61</v>
      </c>
      <c r="D686" s="1" t="s">
        <v>189</v>
      </c>
      <c r="E686">
        <v>0</v>
      </c>
      <c r="F686">
        <v>3628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2817</v>
      </c>
      <c r="N686">
        <v>0</v>
      </c>
      <c r="O686">
        <v>0</v>
      </c>
      <c r="P686">
        <v>0</v>
      </c>
      <c r="Q686">
        <v>313</v>
      </c>
      <c r="R686">
        <v>313</v>
      </c>
      <c r="S686" s="18">
        <f t="shared" si="104"/>
        <v>9</v>
      </c>
      <c r="T686" s="17">
        <f t="shared" si="105"/>
        <v>313</v>
      </c>
      <c r="U686" s="17">
        <f t="shared" si="106"/>
        <v>0</v>
      </c>
      <c r="V686" s="17">
        <f t="shared" si="107"/>
        <v>0</v>
      </c>
      <c r="W686" s="17">
        <f t="shared" si="108"/>
        <v>0</v>
      </c>
      <c r="X686" s="17">
        <f t="shared" si="109"/>
        <v>0</v>
      </c>
      <c r="Y686" s="19" t="e">
        <f t="shared" si="110"/>
        <v>#DIV/0!</v>
      </c>
      <c r="Z686">
        <v>3628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f t="shared" si="111"/>
        <v>0</v>
      </c>
      <c r="BF686">
        <v>3628</v>
      </c>
      <c r="BG686">
        <v>3628</v>
      </c>
      <c r="BH686" t="s">
        <v>109</v>
      </c>
      <c r="BI686" t="s">
        <v>2150</v>
      </c>
      <c r="BJ686">
        <v>0</v>
      </c>
      <c r="BK686">
        <v>0</v>
      </c>
      <c r="BL686">
        <v>3628</v>
      </c>
      <c r="BM686">
        <v>2817</v>
      </c>
      <c r="BN686">
        <v>0</v>
      </c>
      <c r="BO686">
        <v>0</v>
      </c>
      <c r="BP686">
        <v>0</v>
      </c>
      <c r="BQ686">
        <v>2817</v>
      </c>
      <c r="BR686">
        <f t="shared" si="112"/>
        <v>0</v>
      </c>
      <c r="BS686">
        <f t="shared" si="113"/>
        <v>626</v>
      </c>
    </row>
    <row r="687" spans="1:71" x14ac:dyDescent="0.25">
      <c r="A687" s="5" t="s">
        <v>2090</v>
      </c>
      <c r="B687" s="5" t="s">
        <v>61</v>
      </c>
      <c r="C687" s="5" t="s">
        <v>61</v>
      </c>
      <c r="D687" s="1" t="s">
        <v>192</v>
      </c>
      <c r="E687">
        <v>0</v>
      </c>
      <c r="F687">
        <v>1100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576</v>
      </c>
      <c r="Q687">
        <v>64</v>
      </c>
      <c r="R687">
        <v>64</v>
      </c>
      <c r="S687" s="18">
        <f t="shared" si="104"/>
        <v>9</v>
      </c>
      <c r="T687" s="17">
        <f t="shared" si="105"/>
        <v>0</v>
      </c>
      <c r="U687" s="17">
        <f t="shared" si="106"/>
        <v>0</v>
      </c>
      <c r="V687" s="17">
        <f t="shared" si="107"/>
        <v>0</v>
      </c>
      <c r="W687" s="17">
        <f t="shared" si="108"/>
        <v>64</v>
      </c>
      <c r="X687" s="17">
        <f t="shared" si="109"/>
        <v>0</v>
      </c>
      <c r="Y687" s="19" t="e">
        <f t="shared" si="110"/>
        <v>#DIV/0!</v>
      </c>
      <c r="Z687">
        <v>1100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f t="shared" si="111"/>
        <v>0</v>
      </c>
      <c r="BF687">
        <v>1100</v>
      </c>
      <c r="BG687">
        <v>1100</v>
      </c>
      <c r="BH687" t="s">
        <v>190</v>
      </c>
      <c r="BI687" t="s">
        <v>2151</v>
      </c>
      <c r="BJ687">
        <v>0</v>
      </c>
      <c r="BK687">
        <v>0</v>
      </c>
      <c r="BL687">
        <v>1100</v>
      </c>
      <c r="BM687">
        <v>0</v>
      </c>
      <c r="BN687">
        <v>0</v>
      </c>
      <c r="BO687">
        <v>0</v>
      </c>
      <c r="BP687">
        <v>576</v>
      </c>
      <c r="BQ687">
        <v>576</v>
      </c>
      <c r="BR687">
        <f t="shared" si="112"/>
        <v>0</v>
      </c>
      <c r="BS687">
        <f t="shared" si="113"/>
        <v>128</v>
      </c>
    </row>
    <row r="688" spans="1:71" x14ac:dyDescent="0.25">
      <c r="A688" s="5" t="s">
        <v>2090</v>
      </c>
      <c r="B688" s="5" t="s">
        <v>61</v>
      </c>
      <c r="C688" s="5" t="s">
        <v>61</v>
      </c>
      <c r="D688" s="1" t="s">
        <v>951</v>
      </c>
      <c r="E688">
        <v>0</v>
      </c>
      <c r="F688">
        <v>4300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2601</v>
      </c>
      <c r="Q688">
        <v>289</v>
      </c>
      <c r="R688">
        <v>289</v>
      </c>
      <c r="S688" s="18">
        <f t="shared" si="104"/>
        <v>9</v>
      </c>
      <c r="T688" s="17">
        <f t="shared" si="105"/>
        <v>0</v>
      </c>
      <c r="U688" s="17">
        <f t="shared" si="106"/>
        <v>0</v>
      </c>
      <c r="V688" s="17">
        <f t="shared" si="107"/>
        <v>0</v>
      </c>
      <c r="W688" s="17">
        <f t="shared" si="108"/>
        <v>289</v>
      </c>
      <c r="X688" s="17">
        <f t="shared" si="109"/>
        <v>0</v>
      </c>
      <c r="Y688" s="19" t="e">
        <f t="shared" si="110"/>
        <v>#DIV/0!</v>
      </c>
      <c r="Z688">
        <v>4300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f t="shared" si="111"/>
        <v>0</v>
      </c>
      <c r="BF688">
        <v>4300</v>
      </c>
      <c r="BG688">
        <v>4300</v>
      </c>
      <c r="BH688" t="s">
        <v>546</v>
      </c>
      <c r="BI688" t="s">
        <v>2165</v>
      </c>
      <c r="BJ688">
        <v>0</v>
      </c>
      <c r="BK688">
        <v>0</v>
      </c>
      <c r="BL688">
        <v>4300</v>
      </c>
      <c r="BM688">
        <v>0</v>
      </c>
      <c r="BN688">
        <v>0</v>
      </c>
      <c r="BO688">
        <v>0</v>
      </c>
      <c r="BP688">
        <v>2601</v>
      </c>
      <c r="BQ688">
        <v>2601</v>
      </c>
      <c r="BR688">
        <f t="shared" si="112"/>
        <v>0</v>
      </c>
      <c r="BS688">
        <f t="shared" si="113"/>
        <v>578</v>
      </c>
    </row>
    <row r="689" spans="1:74" x14ac:dyDescent="0.25">
      <c r="A689" s="5" t="s">
        <v>2090</v>
      </c>
      <c r="B689" s="5" t="s">
        <v>61</v>
      </c>
      <c r="C689" s="5" t="s">
        <v>61</v>
      </c>
      <c r="D689" s="1" t="s">
        <v>953</v>
      </c>
      <c r="E689">
        <v>0</v>
      </c>
      <c r="F689">
        <v>1192</v>
      </c>
      <c r="G689">
        <v>0</v>
      </c>
      <c r="H689">
        <v>0</v>
      </c>
      <c r="I689">
        <v>0</v>
      </c>
      <c r="J689">
        <v>0</v>
      </c>
      <c r="K689">
        <v>108</v>
      </c>
      <c r="L689">
        <v>0</v>
      </c>
      <c r="M689">
        <v>3960</v>
      </c>
      <c r="N689">
        <v>0</v>
      </c>
      <c r="O689">
        <v>0</v>
      </c>
      <c r="P689">
        <v>0</v>
      </c>
      <c r="Q689">
        <v>440</v>
      </c>
      <c r="R689">
        <v>440</v>
      </c>
      <c r="S689" s="18">
        <f t="shared" si="104"/>
        <v>9</v>
      </c>
      <c r="T689" s="17">
        <f t="shared" si="105"/>
        <v>440</v>
      </c>
      <c r="U689" s="17">
        <f t="shared" si="106"/>
        <v>0</v>
      </c>
      <c r="V689" s="17">
        <f t="shared" si="107"/>
        <v>0</v>
      </c>
      <c r="W689" s="17">
        <f t="shared" si="108"/>
        <v>0</v>
      </c>
      <c r="X689" s="17">
        <f t="shared" si="109"/>
        <v>0</v>
      </c>
      <c r="Y689" s="19" t="e">
        <f t="shared" si="110"/>
        <v>#DIV/0!</v>
      </c>
      <c r="Z689">
        <v>1192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108</v>
      </c>
      <c r="AN689">
        <v>0</v>
      </c>
      <c r="AO689">
        <v>0</v>
      </c>
      <c r="AP689">
        <v>71</v>
      </c>
      <c r="AQ689">
        <v>108</v>
      </c>
      <c r="AR689">
        <v>37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f t="shared" si="111"/>
        <v>324</v>
      </c>
      <c r="BF689">
        <v>1300</v>
      </c>
      <c r="BG689">
        <v>1300</v>
      </c>
      <c r="BH689" t="s">
        <v>109</v>
      </c>
      <c r="BI689" t="s">
        <v>2166</v>
      </c>
      <c r="BJ689">
        <v>0</v>
      </c>
      <c r="BK689">
        <v>108</v>
      </c>
      <c r="BL689">
        <v>1300</v>
      </c>
      <c r="BM689">
        <v>4068</v>
      </c>
      <c r="BN689">
        <v>0</v>
      </c>
      <c r="BO689">
        <v>0</v>
      </c>
      <c r="BP689">
        <v>0</v>
      </c>
      <c r="BQ689">
        <v>4068</v>
      </c>
      <c r="BR689">
        <f t="shared" si="112"/>
        <v>0</v>
      </c>
      <c r="BS689">
        <f t="shared" si="113"/>
        <v>880</v>
      </c>
    </row>
    <row r="690" spans="1:74" x14ac:dyDescent="0.25">
      <c r="A690" s="5" t="s">
        <v>2090</v>
      </c>
      <c r="B690" s="5" t="s">
        <v>61</v>
      </c>
      <c r="C690" s="5" t="s">
        <v>61</v>
      </c>
      <c r="D690" s="1" t="s">
        <v>955</v>
      </c>
      <c r="E690">
        <v>0</v>
      </c>
      <c r="F690">
        <v>60</v>
      </c>
      <c r="G690">
        <v>0</v>
      </c>
      <c r="H690">
        <v>0</v>
      </c>
      <c r="I690">
        <v>81</v>
      </c>
      <c r="J690">
        <v>200</v>
      </c>
      <c r="K690">
        <v>380</v>
      </c>
      <c r="L690">
        <v>0</v>
      </c>
      <c r="M690">
        <v>0</v>
      </c>
      <c r="N690">
        <v>0</v>
      </c>
      <c r="O690">
        <v>0</v>
      </c>
      <c r="P690">
        <v>90</v>
      </c>
      <c r="Q690">
        <v>10</v>
      </c>
      <c r="R690">
        <v>10</v>
      </c>
      <c r="S690" s="18">
        <f t="shared" si="104"/>
        <v>9</v>
      </c>
      <c r="T690" s="17">
        <f t="shared" si="105"/>
        <v>0</v>
      </c>
      <c r="U690" s="17">
        <f t="shared" si="106"/>
        <v>0</v>
      </c>
      <c r="V690" s="17">
        <f t="shared" si="107"/>
        <v>0</v>
      </c>
      <c r="W690" s="17">
        <f t="shared" si="108"/>
        <v>10</v>
      </c>
      <c r="X690" s="17">
        <f t="shared" si="109"/>
        <v>0</v>
      </c>
      <c r="Y690" s="19" t="e">
        <f t="shared" si="110"/>
        <v>#DIV/0!</v>
      </c>
      <c r="Z690">
        <v>60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81</v>
      </c>
      <c r="AH690">
        <v>81</v>
      </c>
      <c r="AI690">
        <v>0</v>
      </c>
      <c r="AJ690">
        <v>0</v>
      </c>
      <c r="AK690">
        <v>200</v>
      </c>
      <c r="AL690">
        <v>200</v>
      </c>
      <c r="AM690">
        <v>0</v>
      </c>
      <c r="AN690">
        <v>0</v>
      </c>
      <c r="AO690">
        <v>380</v>
      </c>
      <c r="AP690">
        <v>100</v>
      </c>
      <c r="AQ690">
        <v>380</v>
      </c>
      <c r="AR690">
        <v>280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f t="shared" si="111"/>
        <v>1702</v>
      </c>
      <c r="BF690">
        <v>721</v>
      </c>
      <c r="BG690">
        <v>721</v>
      </c>
      <c r="BH690" t="s">
        <v>199</v>
      </c>
      <c r="BI690" t="s">
        <v>2167</v>
      </c>
      <c r="BJ690">
        <v>0</v>
      </c>
      <c r="BK690">
        <v>661</v>
      </c>
      <c r="BL690">
        <v>721</v>
      </c>
      <c r="BM690">
        <v>0</v>
      </c>
      <c r="BN690">
        <v>0</v>
      </c>
      <c r="BO690">
        <v>0</v>
      </c>
      <c r="BP690">
        <v>751</v>
      </c>
      <c r="BQ690">
        <v>751</v>
      </c>
      <c r="BR690">
        <f t="shared" si="112"/>
        <v>0</v>
      </c>
      <c r="BS690">
        <f t="shared" si="113"/>
        <v>20</v>
      </c>
    </row>
    <row r="691" spans="1:74" x14ac:dyDescent="0.25">
      <c r="A691" s="5" t="s">
        <v>2090</v>
      </c>
      <c r="B691" s="5" t="s">
        <v>61</v>
      </c>
      <c r="C691" s="5" t="s">
        <v>61</v>
      </c>
      <c r="D691" s="1" t="s">
        <v>957</v>
      </c>
      <c r="E691">
        <v>0</v>
      </c>
      <c r="F691">
        <v>539</v>
      </c>
      <c r="G691">
        <v>0</v>
      </c>
      <c r="H691">
        <v>0</v>
      </c>
      <c r="I691">
        <v>90</v>
      </c>
      <c r="J691">
        <v>1345</v>
      </c>
      <c r="K691">
        <v>1060</v>
      </c>
      <c r="L691">
        <v>165</v>
      </c>
      <c r="M691">
        <v>0</v>
      </c>
      <c r="N691">
        <v>0</v>
      </c>
      <c r="O691">
        <v>0</v>
      </c>
      <c r="P691">
        <v>540</v>
      </c>
      <c r="Q691">
        <v>60</v>
      </c>
      <c r="R691">
        <v>60</v>
      </c>
      <c r="S691" s="18">
        <f t="shared" si="104"/>
        <v>9</v>
      </c>
      <c r="T691" s="17">
        <f t="shared" si="105"/>
        <v>0</v>
      </c>
      <c r="U691" s="17">
        <f t="shared" si="106"/>
        <v>0</v>
      </c>
      <c r="V691" s="17">
        <f t="shared" si="107"/>
        <v>0</v>
      </c>
      <c r="W691" s="17">
        <f t="shared" si="108"/>
        <v>60</v>
      </c>
      <c r="X691" s="17">
        <f t="shared" si="109"/>
        <v>0</v>
      </c>
      <c r="Y691" s="19" t="e">
        <f t="shared" si="110"/>
        <v>#DIV/0!</v>
      </c>
      <c r="Z691">
        <v>539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90</v>
      </c>
      <c r="AH691">
        <v>90</v>
      </c>
      <c r="AI691">
        <v>0</v>
      </c>
      <c r="AJ691">
        <v>0</v>
      </c>
      <c r="AK691">
        <v>1345</v>
      </c>
      <c r="AL691">
        <v>1345</v>
      </c>
      <c r="AM691">
        <v>0</v>
      </c>
      <c r="AN691">
        <v>0</v>
      </c>
      <c r="AO691">
        <v>1060</v>
      </c>
      <c r="AP691">
        <v>530</v>
      </c>
      <c r="AQ691">
        <v>1060</v>
      </c>
      <c r="AR691">
        <v>530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165</v>
      </c>
      <c r="BA691">
        <v>165</v>
      </c>
      <c r="BB691">
        <v>0</v>
      </c>
      <c r="BC691">
        <v>0</v>
      </c>
      <c r="BD691">
        <v>0</v>
      </c>
      <c r="BE691">
        <f t="shared" si="111"/>
        <v>6380</v>
      </c>
      <c r="BF691">
        <v>3199</v>
      </c>
      <c r="BG691">
        <v>3199</v>
      </c>
      <c r="BH691" t="s">
        <v>199</v>
      </c>
      <c r="BI691" t="s">
        <v>2168</v>
      </c>
      <c r="BJ691">
        <v>0</v>
      </c>
      <c r="BK691">
        <v>2660</v>
      </c>
      <c r="BL691">
        <v>3199</v>
      </c>
      <c r="BM691">
        <v>0</v>
      </c>
      <c r="BN691">
        <v>0</v>
      </c>
      <c r="BO691">
        <v>0</v>
      </c>
      <c r="BP691">
        <v>3200</v>
      </c>
      <c r="BQ691">
        <v>3200</v>
      </c>
      <c r="BR691">
        <f t="shared" si="112"/>
        <v>0</v>
      </c>
      <c r="BS691">
        <f t="shared" si="113"/>
        <v>120</v>
      </c>
    </row>
    <row r="692" spans="1:74" x14ac:dyDescent="0.25">
      <c r="A692" s="5" t="s">
        <v>2090</v>
      </c>
      <c r="B692" s="5" t="s">
        <v>61</v>
      </c>
      <c r="C692" s="5" t="s">
        <v>61</v>
      </c>
      <c r="D692" s="1" t="s">
        <v>2183</v>
      </c>
      <c r="E692">
        <v>0</v>
      </c>
      <c r="F692">
        <v>1100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1100</v>
      </c>
      <c r="N692">
        <v>0</v>
      </c>
      <c r="O692">
        <v>0</v>
      </c>
      <c r="P692">
        <v>0</v>
      </c>
      <c r="Q692">
        <v>144</v>
      </c>
      <c r="R692">
        <v>144</v>
      </c>
      <c r="S692" s="18">
        <f t="shared" si="104"/>
        <v>7.6388888888888893</v>
      </c>
      <c r="T692" s="17">
        <f t="shared" si="105"/>
        <v>144</v>
      </c>
      <c r="U692" s="17">
        <f t="shared" si="106"/>
        <v>0</v>
      </c>
      <c r="V692" s="17">
        <f t="shared" si="107"/>
        <v>0</v>
      </c>
      <c r="W692" s="17">
        <f t="shared" si="108"/>
        <v>0</v>
      </c>
      <c r="X692" s="17">
        <f t="shared" si="109"/>
        <v>0</v>
      </c>
      <c r="Y692" s="19" t="e">
        <f t="shared" si="110"/>
        <v>#DIV/0!</v>
      </c>
      <c r="Z692">
        <v>1100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f t="shared" si="111"/>
        <v>0</v>
      </c>
      <c r="BF692">
        <v>1100</v>
      </c>
      <c r="BG692">
        <v>1100</v>
      </c>
      <c r="BH692" t="s">
        <v>546</v>
      </c>
      <c r="BI692" t="s">
        <v>2184</v>
      </c>
      <c r="BJ692">
        <v>0</v>
      </c>
      <c r="BK692">
        <v>0</v>
      </c>
      <c r="BL692">
        <v>1100</v>
      </c>
      <c r="BM692">
        <v>1100</v>
      </c>
      <c r="BN692">
        <v>0</v>
      </c>
      <c r="BO692">
        <v>0</v>
      </c>
      <c r="BP692">
        <v>0</v>
      </c>
      <c r="BQ692">
        <v>1100</v>
      </c>
      <c r="BR692">
        <f t="shared" si="112"/>
        <v>0</v>
      </c>
      <c r="BS692">
        <f t="shared" si="113"/>
        <v>288</v>
      </c>
    </row>
    <row r="693" spans="1:74" x14ac:dyDescent="0.25">
      <c r="A693" s="5" t="s">
        <v>2090</v>
      </c>
      <c r="B693" s="5" t="s">
        <v>61</v>
      </c>
      <c r="C693" s="5" t="s">
        <v>61</v>
      </c>
      <c r="D693" s="1" t="s">
        <v>2185</v>
      </c>
      <c r="E693">
        <v>0</v>
      </c>
      <c r="F693">
        <v>1600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1485</v>
      </c>
      <c r="N693">
        <v>0</v>
      </c>
      <c r="O693">
        <v>0</v>
      </c>
      <c r="P693">
        <v>0</v>
      </c>
      <c r="Q693">
        <v>165</v>
      </c>
      <c r="R693">
        <v>165</v>
      </c>
      <c r="S693" s="18">
        <f t="shared" si="104"/>
        <v>9</v>
      </c>
      <c r="T693" s="17">
        <f t="shared" si="105"/>
        <v>165</v>
      </c>
      <c r="U693" s="17">
        <f t="shared" si="106"/>
        <v>0</v>
      </c>
      <c r="V693" s="17">
        <f t="shared" si="107"/>
        <v>0</v>
      </c>
      <c r="W693" s="17">
        <f t="shared" si="108"/>
        <v>0</v>
      </c>
      <c r="X693" s="17">
        <f t="shared" si="109"/>
        <v>0</v>
      </c>
      <c r="Y693" s="19" t="e">
        <f t="shared" si="110"/>
        <v>#DIV/0!</v>
      </c>
      <c r="Z693">
        <v>1600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f t="shared" si="111"/>
        <v>0</v>
      </c>
      <c r="BF693">
        <v>1600</v>
      </c>
      <c r="BG693">
        <v>1600</v>
      </c>
      <c r="BH693" t="s">
        <v>546</v>
      </c>
      <c r="BI693" t="s">
        <v>2186</v>
      </c>
      <c r="BJ693">
        <v>0</v>
      </c>
      <c r="BK693">
        <v>0</v>
      </c>
      <c r="BL693">
        <v>1600</v>
      </c>
      <c r="BM693">
        <v>1485</v>
      </c>
      <c r="BN693">
        <v>0</v>
      </c>
      <c r="BO693">
        <v>0</v>
      </c>
      <c r="BP693">
        <v>0</v>
      </c>
      <c r="BQ693">
        <v>1485</v>
      </c>
      <c r="BR693">
        <f t="shared" si="112"/>
        <v>0</v>
      </c>
      <c r="BS693">
        <f t="shared" si="113"/>
        <v>330</v>
      </c>
    </row>
    <row r="694" spans="1:74" x14ac:dyDescent="0.25">
      <c r="A694" s="5" t="s">
        <v>2090</v>
      </c>
      <c r="B694" s="5" t="s">
        <v>61</v>
      </c>
      <c r="C694" s="5" t="s">
        <v>61</v>
      </c>
      <c r="D694" s="1" t="s">
        <v>2203</v>
      </c>
      <c r="E694">
        <v>0</v>
      </c>
      <c r="F694">
        <v>1125</v>
      </c>
      <c r="G694">
        <v>0</v>
      </c>
      <c r="H694">
        <v>0</v>
      </c>
      <c r="I694">
        <v>345</v>
      </c>
      <c r="J694">
        <v>180</v>
      </c>
      <c r="K694">
        <v>435</v>
      </c>
      <c r="L694">
        <v>197</v>
      </c>
      <c r="M694">
        <v>2070.5333333333328</v>
      </c>
      <c r="N694">
        <v>0</v>
      </c>
      <c r="O694">
        <v>0</v>
      </c>
      <c r="P694">
        <v>859.4666666666667</v>
      </c>
      <c r="Q694">
        <v>375</v>
      </c>
      <c r="R694">
        <v>375</v>
      </c>
      <c r="S694" s="18">
        <f t="shared" si="104"/>
        <v>7.8133333333333317</v>
      </c>
      <c r="T694" s="17">
        <f t="shared" si="105"/>
        <v>265</v>
      </c>
      <c r="U694" s="17">
        <f t="shared" si="106"/>
        <v>0</v>
      </c>
      <c r="V694" s="17">
        <f t="shared" si="107"/>
        <v>0</v>
      </c>
      <c r="W694" s="17">
        <f t="shared" si="108"/>
        <v>110.00000000000003</v>
      </c>
      <c r="X694" s="17">
        <f t="shared" si="109"/>
        <v>0</v>
      </c>
      <c r="Y694" s="19" t="e">
        <f t="shared" si="110"/>
        <v>#DIV/0!</v>
      </c>
      <c r="Z694">
        <v>1125</v>
      </c>
      <c r="AA694">
        <v>0</v>
      </c>
      <c r="AB694">
        <v>78</v>
      </c>
      <c r="AC694">
        <v>570</v>
      </c>
      <c r="AD694">
        <v>0</v>
      </c>
      <c r="AE694">
        <v>0</v>
      </c>
      <c r="AF694">
        <v>0</v>
      </c>
      <c r="AG694">
        <v>345</v>
      </c>
      <c r="AH694">
        <v>345</v>
      </c>
      <c r="AI694">
        <v>0</v>
      </c>
      <c r="AJ694">
        <v>0</v>
      </c>
      <c r="AK694">
        <v>180</v>
      </c>
      <c r="AL694">
        <v>180</v>
      </c>
      <c r="AM694">
        <v>75</v>
      </c>
      <c r="AN694">
        <v>0</v>
      </c>
      <c r="AO694">
        <v>360</v>
      </c>
      <c r="AP694">
        <v>180</v>
      </c>
      <c r="AQ694">
        <v>435</v>
      </c>
      <c r="AR694">
        <v>255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197</v>
      </c>
      <c r="BA694">
        <v>197</v>
      </c>
      <c r="BB694">
        <v>0</v>
      </c>
      <c r="BC694">
        <v>0</v>
      </c>
      <c r="BD694">
        <v>0</v>
      </c>
      <c r="BE694">
        <f t="shared" si="111"/>
        <v>3319</v>
      </c>
      <c r="BF694">
        <v>2930</v>
      </c>
      <c r="BG694">
        <v>2930</v>
      </c>
      <c r="BH694" t="s">
        <v>82</v>
      </c>
      <c r="BI694" t="s">
        <v>2204</v>
      </c>
      <c r="BJ694">
        <v>648</v>
      </c>
      <c r="BK694">
        <v>1157</v>
      </c>
      <c r="BL694">
        <v>2930</v>
      </c>
      <c r="BM694">
        <v>2145.5333333333328</v>
      </c>
      <c r="BN694">
        <v>0</v>
      </c>
      <c r="BO694">
        <v>0</v>
      </c>
      <c r="BP694">
        <v>1941.4666666666669</v>
      </c>
      <c r="BQ694">
        <v>4087</v>
      </c>
      <c r="BR694">
        <f t="shared" si="112"/>
        <v>0</v>
      </c>
      <c r="BS694">
        <f t="shared" si="113"/>
        <v>750</v>
      </c>
    </row>
    <row r="695" spans="1:74" x14ac:dyDescent="0.25">
      <c r="A695" s="5" t="s">
        <v>875</v>
      </c>
      <c r="B695" s="5" t="s">
        <v>61</v>
      </c>
      <c r="C695" s="5" t="s">
        <v>207</v>
      </c>
      <c r="D695" s="1" t="s">
        <v>71</v>
      </c>
      <c r="E695">
        <v>0</v>
      </c>
      <c r="F695">
        <v>489</v>
      </c>
      <c r="G695">
        <v>0</v>
      </c>
      <c r="H695">
        <v>0</v>
      </c>
      <c r="I695">
        <v>2200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1467</v>
      </c>
      <c r="Q695">
        <v>163</v>
      </c>
      <c r="R695">
        <v>163</v>
      </c>
      <c r="S695" s="18">
        <f t="shared" si="104"/>
        <v>9</v>
      </c>
      <c r="T695" s="17">
        <f t="shared" si="105"/>
        <v>0</v>
      </c>
      <c r="U695" s="17">
        <f t="shared" si="106"/>
        <v>0</v>
      </c>
      <c r="V695" s="17">
        <f t="shared" si="107"/>
        <v>0</v>
      </c>
      <c r="W695" s="17">
        <f t="shared" si="108"/>
        <v>163</v>
      </c>
      <c r="X695" s="17">
        <f t="shared" si="109"/>
        <v>0</v>
      </c>
      <c r="Y695" s="19" t="e">
        <f t="shared" si="110"/>
        <v>#DIV/0!</v>
      </c>
      <c r="Z695">
        <v>489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2200</v>
      </c>
      <c r="AH695">
        <v>2200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f t="shared" si="111"/>
        <v>4400</v>
      </c>
      <c r="BF695">
        <v>2689</v>
      </c>
      <c r="BG695">
        <v>2689</v>
      </c>
      <c r="BH695" t="s">
        <v>63</v>
      </c>
      <c r="BI695" t="s">
        <v>880</v>
      </c>
      <c r="BJ695">
        <v>0</v>
      </c>
      <c r="BK695">
        <v>2200</v>
      </c>
      <c r="BL695">
        <v>2689</v>
      </c>
      <c r="BM695">
        <v>0</v>
      </c>
      <c r="BN695">
        <v>0</v>
      </c>
      <c r="BO695">
        <v>0</v>
      </c>
      <c r="BP695">
        <v>3667</v>
      </c>
      <c r="BQ695">
        <v>3667</v>
      </c>
      <c r="BR695">
        <f t="shared" si="112"/>
        <v>0</v>
      </c>
      <c r="BS695">
        <f t="shared" si="113"/>
        <v>326</v>
      </c>
      <c r="BU695">
        <f t="shared" ref="BU695:BU700" si="114">R695*9</f>
        <v>1467</v>
      </c>
      <c r="BV695">
        <f t="shared" ref="BV695:BV700" si="115">IF(BU695&gt;BG695, 1, 0)</f>
        <v>0</v>
      </c>
    </row>
    <row r="696" spans="1:74" x14ac:dyDescent="0.25">
      <c r="A696" s="5" t="s">
        <v>1661</v>
      </c>
      <c r="B696" s="5" t="s">
        <v>359</v>
      </c>
      <c r="C696" s="5" t="s">
        <v>207</v>
      </c>
      <c r="D696" s="1" t="s">
        <v>71</v>
      </c>
      <c r="E696">
        <v>0</v>
      </c>
      <c r="F696">
        <v>1123</v>
      </c>
      <c r="G696">
        <v>0</v>
      </c>
      <c r="H696">
        <v>0</v>
      </c>
      <c r="I696">
        <v>650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1431</v>
      </c>
      <c r="Q696">
        <v>159</v>
      </c>
      <c r="R696">
        <v>159</v>
      </c>
      <c r="S696" s="18">
        <f t="shared" si="104"/>
        <v>9</v>
      </c>
      <c r="T696" s="17">
        <f t="shared" si="105"/>
        <v>0</v>
      </c>
      <c r="U696" s="17">
        <f t="shared" si="106"/>
        <v>0</v>
      </c>
      <c r="V696" s="17">
        <f t="shared" si="107"/>
        <v>0</v>
      </c>
      <c r="W696" s="17">
        <f t="shared" si="108"/>
        <v>159</v>
      </c>
      <c r="X696" s="17">
        <f t="shared" si="109"/>
        <v>0</v>
      </c>
      <c r="Y696" s="19" t="e">
        <f t="shared" si="110"/>
        <v>#DIV/0!</v>
      </c>
      <c r="Z696">
        <v>1123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650</v>
      </c>
      <c r="AH696">
        <v>650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f t="shared" si="111"/>
        <v>1300</v>
      </c>
      <c r="BF696">
        <v>1773</v>
      </c>
      <c r="BG696">
        <v>1773</v>
      </c>
      <c r="BH696" t="s">
        <v>63</v>
      </c>
      <c r="BI696" t="s">
        <v>1886</v>
      </c>
      <c r="BJ696">
        <v>0</v>
      </c>
      <c r="BK696">
        <v>650</v>
      </c>
      <c r="BL696">
        <v>1773</v>
      </c>
      <c r="BM696">
        <v>0</v>
      </c>
      <c r="BN696">
        <v>0</v>
      </c>
      <c r="BO696">
        <v>0</v>
      </c>
      <c r="BP696">
        <v>2081</v>
      </c>
      <c r="BQ696">
        <v>2081</v>
      </c>
      <c r="BR696">
        <f t="shared" si="112"/>
        <v>0</v>
      </c>
      <c r="BS696">
        <f t="shared" si="113"/>
        <v>318</v>
      </c>
      <c r="BU696">
        <f t="shared" si="114"/>
        <v>1431</v>
      </c>
      <c r="BV696">
        <f t="shared" si="115"/>
        <v>0</v>
      </c>
    </row>
    <row r="697" spans="1:74" x14ac:dyDescent="0.25">
      <c r="A697" s="5" t="s">
        <v>1661</v>
      </c>
      <c r="B697" s="5" t="s">
        <v>61</v>
      </c>
      <c r="C697" s="5" t="s">
        <v>61</v>
      </c>
      <c r="D697" s="1" t="s">
        <v>75</v>
      </c>
      <c r="E697">
        <v>0</v>
      </c>
      <c r="F697">
        <v>301</v>
      </c>
      <c r="G697">
        <v>0</v>
      </c>
      <c r="H697">
        <v>0</v>
      </c>
      <c r="I697">
        <v>700</v>
      </c>
      <c r="J697">
        <v>1472</v>
      </c>
      <c r="K697">
        <v>87</v>
      </c>
      <c r="L697">
        <v>0</v>
      </c>
      <c r="M697">
        <v>0</v>
      </c>
      <c r="N697">
        <v>0</v>
      </c>
      <c r="O697">
        <v>0</v>
      </c>
      <c r="P697">
        <v>1377</v>
      </c>
      <c r="Q697">
        <v>180</v>
      </c>
      <c r="R697">
        <v>153</v>
      </c>
      <c r="S697" s="18">
        <f t="shared" si="104"/>
        <v>9</v>
      </c>
      <c r="T697" s="17">
        <f t="shared" si="105"/>
        <v>0</v>
      </c>
      <c r="U697" s="17">
        <f t="shared" si="106"/>
        <v>0</v>
      </c>
      <c r="V697" s="17">
        <f t="shared" si="107"/>
        <v>0</v>
      </c>
      <c r="W697" s="17">
        <f t="shared" si="108"/>
        <v>153</v>
      </c>
      <c r="X697" s="17">
        <f t="shared" si="109"/>
        <v>27</v>
      </c>
      <c r="Y697" s="19">
        <f t="shared" si="110"/>
        <v>0</v>
      </c>
      <c r="Z697">
        <v>301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700</v>
      </c>
      <c r="AH697">
        <v>700</v>
      </c>
      <c r="AI697">
        <v>0</v>
      </c>
      <c r="AJ697">
        <v>0</v>
      </c>
      <c r="AK697">
        <v>1472</v>
      </c>
      <c r="AL697">
        <v>1472</v>
      </c>
      <c r="AM697">
        <v>0</v>
      </c>
      <c r="AN697">
        <v>0</v>
      </c>
      <c r="AO697">
        <v>87</v>
      </c>
      <c r="AP697">
        <v>0</v>
      </c>
      <c r="AQ697">
        <v>87</v>
      </c>
      <c r="AR697">
        <v>87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f t="shared" si="111"/>
        <v>4605</v>
      </c>
      <c r="BF697">
        <v>2560</v>
      </c>
      <c r="BG697">
        <v>2560</v>
      </c>
      <c r="BH697" t="s">
        <v>63</v>
      </c>
      <c r="BI697" t="s">
        <v>1668</v>
      </c>
      <c r="BJ697">
        <v>0</v>
      </c>
      <c r="BK697">
        <v>2259</v>
      </c>
      <c r="BL697">
        <v>2560</v>
      </c>
      <c r="BM697">
        <v>0</v>
      </c>
      <c r="BN697">
        <v>0</v>
      </c>
      <c r="BO697">
        <v>0</v>
      </c>
      <c r="BP697">
        <v>3636</v>
      </c>
      <c r="BQ697">
        <v>3636</v>
      </c>
      <c r="BR697">
        <f t="shared" si="112"/>
        <v>-27</v>
      </c>
      <c r="BS697">
        <f t="shared" si="113"/>
        <v>333</v>
      </c>
      <c r="BU697">
        <f t="shared" si="114"/>
        <v>1377</v>
      </c>
      <c r="BV697">
        <f t="shared" si="115"/>
        <v>0</v>
      </c>
    </row>
    <row r="698" spans="1:74" x14ac:dyDescent="0.25">
      <c r="A698" s="5" t="s">
        <v>207</v>
      </c>
      <c r="B698" s="5" t="s">
        <v>207</v>
      </c>
      <c r="C698" s="5" t="s">
        <v>61</v>
      </c>
      <c r="D698" s="1" t="s">
        <v>62</v>
      </c>
      <c r="E698">
        <v>0</v>
      </c>
      <c r="F698">
        <v>1800</v>
      </c>
      <c r="G698">
        <v>0</v>
      </c>
      <c r="H698">
        <v>0</v>
      </c>
      <c r="I698">
        <v>600</v>
      </c>
      <c r="J698">
        <v>0</v>
      </c>
      <c r="K698">
        <v>0</v>
      </c>
      <c r="L698">
        <v>0</v>
      </c>
      <c r="M698">
        <v>1368</v>
      </c>
      <c r="N698">
        <v>0</v>
      </c>
      <c r="O698">
        <v>0</v>
      </c>
      <c r="P698">
        <v>0</v>
      </c>
      <c r="Q698">
        <v>152</v>
      </c>
      <c r="R698">
        <v>152</v>
      </c>
      <c r="S698" s="18">
        <f t="shared" si="104"/>
        <v>9</v>
      </c>
      <c r="T698" s="17">
        <f t="shared" si="105"/>
        <v>152</v>
      </c>
      <c r="U698" s="17">
        <f t="shared" si="106"/>
        <v>0</v>
      </c>
      <c r="V698" s="17">
        <f t="shared" si="107"/>
        <v>0</v>
      </c>
      <c r="W698" s="17">
        <f t="shared" si="108"/>
        <v>0</v>
      </c>
      <c r="X698" s="17">
        <f t="shared" si="109"/>
        <v>0</v>
      </c>
      <c r="Y698" s="19" t="e">
        <f t="shared" si="110"/>
        <v>#DIV/0!</v>
      </c>
      <c r="Z698">
        <v>1800</v>
      </c>
      <c r="AA698">
        <v>0</v>
      </c>
      <c r="AB698">
        <v>0</v>
      </c>
      <c r="AC698">
        <v>0</v>
      </c>
      <c r="AD698">
        <v>600</v>
      </c>
      <c r="AE698">
        <v>0</v>
      </c>
      <c r="AF698">
        <v>0</v>
      </c>
      <c r="AG698">
        <v>0</v>
      </c>
      <c r="AH698">
        <v>600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f t="shared" si="111"/>
        <v>1200</v>
      </c>
      <c r="BF698">
        <v>2400</v>
      </c>
      <c r="BG698">
        <v>2400</v>
      </c>
      <c r="BH698" t="s">
        <v>63</v>
      </c>
      <c r="BI698" t="s">
        <v>539</v>
      </c>
      <c r="BJ698">
        <v>0</v>
      </c>
      <c r="BK698">
        <v>600</v>
      </c>
      <c r="BL698">
        <v>2400</v>
      </c>
      <c r="BM698">
        <v>1968</v>
      </c>
      <c r="BN698">
        <v>0</v>
      </c>
      <c r="BO698">
        <v>0</v>
      </c>
      <c r="BP698">
        <v>0</v>
      </c>
      <c r="BQ698">
        <v>1968</v>
      </c>
      <c r="BR698">
        <f t="shared" si="112"/>
        <v>0</v>
      </c>
      <c r="BS698">
        <f t="shared" si="113"/>
        <v>304</v>
      </c>
      <c r="BU698">
        <f t="shared" si="114"/>
        <v>1368</v>
      </c>
      <c r="BV698">
        <f t="shared" si="115"/>
        <v>0</v>
      </c>
    </row>
    <row r="699" spans="1:74" x14ac:dyDescent="0.25">
      <c r="A699" s="5" t="s">
        <v>1451</v>
      </c>
      <c r="B699" s="5" t="s">
        <v>359</v>
      </c>
      <c r="C699" s="5" t="s">
        <v>61</v>
      </c>
      <c r="D699" s="1" t="s">
        <v>77</v>
      </c>
      <c r="E699">
        <v>0</v>
      </c>
      <c r="F699">
        <v>207</v>
      </c>
      <c r="G699">
        <v>0</v>
      </c>
      <c r="H699">
        <v>0</v>
      </c>
      <c r="I699">
        <v>889</v>
      </c>
      <c r="J699">
        <v>1460</v>
      </c>
      <c r="K699">
        <v>1087</v>
      </c>
      <c r="L699">
        <v>72</v>
      </c>
      <c r="M699">
        <v>0</v>
      </c>
      <c r="N699">
        <v>0</v>
      </c>
      <c r="O699">
        <v>0</v>
      </c>
      <c r="P699">
        <v>1332</v>
      </c>
      <c r="Q699">
        <v>340</v>
      </c>
      <c r="R699">
        <v>148</v>
      </c>
      <c r="S699" s="18">
        <f t="shared" si="104"/>
        <v>9</v>
      </c>
      <c r="T699" s="17">
        <f t="shared" si="105"/>
        <v>0</v>
      </c>
      <c r="U699" s="17">
        <f t="shared" si="106"/>
        <v>0</v>
      </c>
      <c r="V699" s="17">
        <f t="shared" si="107"/>
        <v>0</v>
      </c>
      <c r="W699" s="17">
        <f t="shared" si="108"/>
        <v>148</v>
      </c>
      <c r="X699" s="17">
        <f t="shared" si="109"/>
        <v>192</v>
      </c>
      <c r="Y699" s="19">
        <f t="shared" si="110"/>
        <v>0</v>
      </c>
      <c r="Z699">
        <v>207</v>
      </c>
      <c r="AA699">
        <v>0</v>
      </c>
      <c r="AB699">
        <v>0</v>
      </c>
      <c r="AC699">
        <v>620</v>
      </c>
      <c r="AD699">
        <v>0</v>
      </c>
      <c r="AE699">
        <v>0</v>
      </c>
      <c r="AF699">
        <v>0</v>
      </c>
      <c r="AG699">
        <v>889</v>
      </c>
      <c r="AH699">
        <v>889</v>
      </c>
      <c r="AI699">
        <v>0</v>
      </c>
      <c r="AJ699">
        <v>0</v>
      </c>
      <c r="AK699">
        <v>1460</v>
      </c>
      <c r="AL699">
        <v>1460</v>
      </c>
      <c r="AM699">
        <v>0</v>
      </c>
      <c r="AN699">
        <v>0</v>
      </c>
      <c r="AO699">
        <v>1087</v>
      </c>
      <c r="AP699">
        <v>540</v>
      </c>
      <c r="AQ699">
        <v>1087</v>
      </c>
      <c r="AR699">
        <v>547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72</v>
      </c>
      <c r="BA699">
        <v>72</v>
      </c>
      <c r="BB699">
        <v>0</v>
      </c>
      <c r="BC699">
        <v>0</v>
      </c>
      <c r="BD699">
        <v>0</v>
      </c>
      <c r="BE699">
        <f t="shared" si="111"/>
        <v>8723</v>
      </c>
      <c r="BF699">
        <v>4335</v>
      </c>
      <c r="BG699">
        <v>4335</v>
      </c>
      <c r="BH699" t="s">
        <v>63</v>
      </c>
      <c r="BI699" t="s">
        <v>1561</v>
      </c>
      <c r="BJ699">
        <v>620</v>
      </c>
      <c r="BK699">
        <v>3508</v>
      </c>
      <c r="BL699">
        <v>4335</v>
      </c>
      <c r="BM699">
        <v>0</v>
      </c>
      <c r="BN699">
        <v>0</v>
      </c>
      <c r="BO699">
        <v>0</v>
      </c>
      <c r="BP699">
        <v>4840</v>
      </c>
      <c r="BQ699">
        <v>4840</v>
      </c>
      <c r="BR699">
        <f t="shared" si="112"/>
        <v>-192</v>
      </c>
      <c r="BS699">
        <f t="shared" si="113"/>
        <v>488</v>
      </c>
      <c r="BU699">
        <f t="shared" si="114"/>
        <v>1332</v>
      </c>
      <c r="BV699">
        <f t="shared" si="115"/>
        <v>0</v>
      </c>
    </row>
    <row r="700" spans="1:74" x14ac:dyDescent="0.25">
      <c r="A700" s="5" t="s">
        <v>1661</v>
      </c>
      <c r="B700" s="5" t="s">
        <v>61</v>
      </c>
      <c r="C700" s="5" t="s">
        <v>207</v>
      </c>
      <c r="D700" s="1" t="s">
        <v>65</v>
      </c>
      <c r="E700">
        <v>0</v>
      </c>
      <c r="F700">
        <v>6056</v>
      </c>
      <c r="G700">
        <v>0</v>
      </c>
      <c r="H700">
        <v>0</v>
      </c>
      <c r="I700">
        <v>3280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1296</v>
      </c>
      <c r="Q700">
        <v>144</v>
      </c>
      <c r="R700">
        <v>144</v>
      </c>
      <c r="S700" s="18">
        <f t="shared" si="104"/>
        <v>9</v>
      </c>
      <c r="T700" s="17">
        <f t="shared" si="105"/>
        <v>0</v>
      </c>
      <c r="U700" s="17">
        <f t="shared" si="106"/>
        <v>0</v>
      </c>
      <c r="V700" s="17">
        <f t="shared" si="107"/>
        <v>0</v>
      </c>
      <c r="W700" s="17">
        <f t="shared" si="108"/>
        <v>144</v>
      </c>
      <c r="X700" s="17">
        <f t="shared" si="109"/>
        <v>0</v>
      </c>
      <c r="Y700" s="19" t="e">
        <f t="shared" si="110"/>
        <v>#DIV/0!</v>
      </c>
      <c r="Z700">
        <v>6056</v>
      </c>
      <c r="AA700">
        <v>12</v>
      </c>
      <c r="AB700">
        <v>0</v>
      </c>
      <c r="AC700">
        <v>0</v>
      </c>
      <c r="AD700">
        <v>0</v>
      </c>
      <c r="AE700">
        <v>3280</v>
      </c>
      <c r="AF700">
        <v>0</v>
      </c>
      <c r="AG700">
        <v>0</v>
      </c>
      <c r="AH700">
        <v>3280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f t="shared" si="111"/>
        <v>6560</v>
      </c>
      <c r="BF700">
        <v>9348</v>
      </c>
      <c r="BG700">
        <v>9348</v>
      </c>
      <c r="BH700" t="s">
        <v>543</v>
      </c>
      <c r="BI700" t="s">
        <v>1699</v>
      </c>
      <c r="BJ700">
        <v>12</v>
      </c>
      <c r="BK700">
        <v>3280</v>
      </c>
      <c r="BL700">
        <v>9348</v>
      </c>
      <c r="BM700">
        <v>0</v>
      </c>
      <c r="BN700">
        <v>3280</v>
      </c>
      <c r="BO700">
        <v>0</v>
      </c>
      <c r="BP700">
        <v>1296</v>
      </c>
      <c r="BQ700">
        <v>4576</v>
      </c>
      <c r="BR700">
        <f t="shared" si="112"/>
        <v>0</v>
      </c>
      <c r="BS700">
        <f t="shared" si="113"/>
        <v>288</v>
      </c>
      <c r="BU700">
        <f t="shared" si="114"/>
        <v>1296</v>
      </c>
      <c r="BV700">
        <f t="shared" si="115"/>
        <v>0</v>
      </c>
    </row>
    <row r="701" spans="1:74" x14ac:dyDescent="0.25">
      <c r="A701" s="5" t="s">
        <v>2090</v>
      </c>
      <c r="B701" s="5" t="s">
        <v>207</v>
      </c>
      <c r="C701" s="5" t="s">
        <v>61</v>
      </c>
      <c r="D701" s="1" t="s">
        <v>86</v>
      </c>
      <c r="E701">
        <v>0</v>
      </c>
      <c r="F701">
        <v>415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3735</v>
      </c>
      <c r="N701">
        <v>0</v>
      </c>
      <c r="O701">
        <v>0</v>
      </c>
      <c r="P701">
        <v>0</v>
      </c>
      <c r="Q701">
        <v>415</v>
      </c>
      <c r="R701">
        <v>415</v>
      </c>
      <c r="S701" s="18">
        <f t="shared" si="104"/>
        <v>9</v>
      </c>
      <c r="T701" s="17">
        <f t="shared" si="105"/>
        <v>415</v>
      </c>
      <c r="U701" s="17">
        <f t="shared" si="106"/>
        <v>0</v>
      </c>
      <c r="V701" s="17">
        <f t="shared" si="107"/>
        <v>0</v>
      </c>
      <c r="W701" s="17">
        <f t="shared" si="108"/>
        <v>0</v>
      </c>
      <c r="X701" s="17">
        <f t="shared" si="109"/>
        <v>0</v>
      </c>
      <c r="Y701" s="19" t="e">
        <f t="shared" si="110"/>
        <v>#DIV/0!</v>
      </c>
      <c r="Z701">
        <v>3600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f t="shared" si="111"/>
        <v>0</v>
      </c>
      <c r="BF701">
        <v>3600</v>
      </c>
      <c r="BG701">
        <v>3600</v>
      </c>
      <c r="BH701" t="s">
        <v>109</v>
      </c>
      <c r="BI701" t="s">
        <v>2222</v>
      </c>
      <c r="BJ701">
        <v>0</v>
      </c>
      <c r="BK701">
        <v>0</v>
      </c>
      <c r="BL701">
        <v>3600</v>
      </c>
      <c r="BM701">
        <v>3735</v>
      </c>
      <c r="BN701">
        <v>0</v>
      </c>
      <c r="BO701">
        <v>0</v>
      </c>
      <c r="BP701">
        <v>0</v>
      </c>
      <c r="BQ701">
        <v>3735</v>
      </c>
      <c r="BR701">
        <f t="shared" si="112"/>
        <v>0</v>
      </c>
      <c r="BS701">
        <f t="shared" si="113"/>
        <v>830</v>
      </c>
    </row>
    <row r="702" spans="1:74" x14ac:dyDescent="0.25">
      <c r="A702" s="5" t="s">
        <v>2090</v>
      </c>
      <c r="B702" s="6" t="s">
        <v>207</v>
      </c>
      <c r="C702" s="6" t="s">
        <v>61</v>
      </c>
      <c r="D702" s="1" t="s">
        <v>96</v>
      </c>
      <c r="E702">
        <v>0</v>
      </c>
      <c r="F702">
        <v>25885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19332</v>
      </c>
      <c r="Q702">
        <v>2148</v>
      </c>
      <c r="R702">
        <v>2148</v>
      </c>
      <c r="S702" s="18">
        <f t="shared" si="104"/>
        <v>9</v>
      </c>
      <c r="T702" s="17">
        <f t="shared" si="105"/>
        <v>0</v>
      </c>
      <c r="U702" s="17">
        <f t="shared" si="106"/>
        <v>0</v>
      </c>
      <c r="V702" s="17">
        <f t="shared" si="107"/>
        <v>0</v>
      </c>
      <c r="W702" s="17">
        <f t="shared" si="108"/>
        <v>2148</v>
      </c>
      <c r="X702" s="17">
        <f t="shared" si="109"/>
        <v>0</v>
      </c>
      <c r="Y702" s="19" t="e">
        <f t="shared" si="110"/>
        <v>#DIV/0!</v>
      </c>
      <c r="Z702">
        <v>25885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f t="shared" si="111"/>
        <v>0</v>
      </c>
      <c r="BF702">
        <v>25885</v>
      </c>
      <c r="BG702">
        <v>25885</v>
      </c>
      <c r="BH702" t="s">
        <v>546</v>
      </c>
      <c r="BI702" t="s">
        <v>2227</v>
      </c>
      <c r="BJ702">
        <v>0</v>
      </c>
      <c r="BK702">
        <v>0</v>
      </c>
      <c r="BL702">
        <v>25885</v>
      </c>
      <c r="BM702">
        <v>0</v>
      </c>
      <c r="BN702">
        <v>0</v>
      </c>
      <c r="BO702">
        <v>0</v>
      </c>
      <c r="BP702">
        <v>19332</v>
      </c>
      <c r="BQ702">
        <v>19332</v>
      </c>
      <c r="BR702">
        <f t="shared" si="112"/>
        <v>0</v>
      </c>
      <c r="BS702">
        <f t="shared" si="113"/>
        <v>4296</v>
      </c>
    </row>
    <row r="703" spans="1:74" x14ac:dyDescent="0.25">
      <c r="A703" s="5" t="s">
        <v>2090</v>
      </c>
      <c r="B703" s="7" t="s">
        <v>207</v>
      </c>
      <c r="C703" s="7" t="s">
        <v>61</v>
      </c>
      <c r="D703" s="1" t="s">
        <v>98</v>
      </c>
      <c r="E703">
        <v>0</v>
      </c>
      <c r="F703">
        <v>2128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1782</v>
      </c>
      <c r="Q703">
        <v>198</v>
      </c>
      <c r="R703">
        <v>198</v>
      </c>
      <c r="S703" s="18">
        <f t="shared" si="104"/>
        <v>9</v>
      </c>
      <c r="T703" s="17">
        <f t="shared" si="105"/>
        <v>0</v>
      </c>
      <c r="U703" s="17">
        <f t="shared" si="106"/>
        <v>0</v>
      </c>
      <c r="V703" s="17">
        <f t="shared" si="107"/>
        <v>0</v>
      </c>
      <c r="W703" s="17">
        <f t="shared" si="108"/>
        <v>198</v>
      </c>
      <c r="X703" s="17">
        <f t="shared" si="109"/>
        <v>0</v>
      </c>
      <c r="Y703" s="19" t="e">
        <f t="shared" si="110"/>
        <v>#DIV/0!</v>
      </c>
      <c r="Z703">
        <v>2128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f t="shared" si="111"/>
        <v>0</v>
      </c>
      <c r="BF703">
        <v>2128</v>
      </c>
      <c r="BG703">
        <v>2128</v>
      </c>
      <c r="BH703" t="s">
        <v>546</v>
      </c>
      <c r="BI703" t="s">
        <v>2228</v>
      </c>
      <c r="BJ703">
        <v>0</v>
      </c>
      <c r="BK703">
        <v>0</v>
      </c>
      <c r="BL703">
        <v>2128</v>
      </c>
      <c r="BM703">
        <v>0</v>
      </c>
      <c r="BN703">
        <v>0</v>
      </c>
      <c r="BO703">
        <v>0</v>
      </c>
      <c r="BP703">
        <v>1782</v>
      </c>
      <c r="BQ703">
        <v>1782</v>
      </c>
      <c r="BR703">
        <f t="shared" si="112"/>
        <v>0</v>
      </c>
      <c r="BS703">
        <f t="shared" si="113"/>
        <v>396</v>
      </c>
    </row>
    <row r="704" spans="1:74" x14ac:dyDescent="0.25">
      <c r="A704" s="5" t="s">
        <v>2090</v>
      </c>
      <c r="B704" s="5" t="s">
        <v>207</v>
      </c>
      <c r="C704" s="5" t="s">
        <v>61</v>
      </c>
      <c r="D704" s="1" t="s">
        <v>104</v>
      </c>
      <c r="E704">
        <v>0</v>
      </c>
      <c r="F704">
        <v>1288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1143</v>
      </c>
      <c r="Q704">
        <v>127</v>
      </c>
      <c r="R704">
        <v>127</v>
      </c>
      <c r="S704" s="18">
        <f t="shared" si="104"/>
        <v>9</v>
      </c>
      <c r="T704" s="17">
        <f t="shared" si="105"/>
        <v>0</v>
      </c>
      <c r="U704" s="17">
        <f t="shared" si="106"/>
        <v>0</v>
      </c>
      <c r="V704" s="17">
        <f t="shared" si="107"/>
        <v>0</v>
      </c>
      <c r="W704" s="17">
        <f t="shared" si="108"/>
        <v>127</v>
      </c>
      <c r="X704" s="17">
        <f t="shared" si="109"/>
        <v>0</v>
      </c>
      <c r="Y704" s="19" t="e">
        <f t="shared" si="110"/>
        <v>#DIV/0!</v>
      </c>
      <c r="Z704">
        <v>1288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f t="shared" si="111"/>
        <v>0</v>
      </c>
      <c r="BF704">
        <v>1288</v>
      </c>
      <c r="BG704">
        <v>1288</v>
      </c>
      <c r="BH704" t="s">
        <v>546</v>
      </c>
      <c r="BI704" t="s">
        <v>2231</v>
      </c>
      <c r="BJ704">
        <v>0</v>
      </c>
      <c r="BK704">
        <v>0</v>
      </c>
      <c r="BL704">
        <v>1288</v>
      </c>
      <c r="BM704">
        <v>0</v>
      </c>
      <c r="BN704">
        <v>0</v>
      </c>
      <c r="BO704">
        <v>0</v>
      </c>
      <c r="BP704">
        <v>1143</v>
      </c>
      <c r="BQ704">
        <v>1143</v>
      </c>
      <c r="BR704">
        <f t="shared" si="112"/>
        <v>0</v>
      </c>
      <c r="BS704">
        <f t="shared" si="113"/>
        <v>254</v>
      </c>
    </row>
    <row r="705" spans="1:71" x14ac:dyDescent="0.25">
      <c r="A705" s="5" t="s">
        <v>2090</v>
      </c>
      <c r="B705" s="5" t="s">
        <v>207</v>
      </c>
      <c r="C705" s="5" t="s">
        <v>61</v>
      </c>
      <c r="D705" s="1" t="s">
        <v>129</v>
      </c>
      <c r="E705">
        <v>0</v>
      </c>
      <c r="F705">
        <v>18600</v>
      </c>
      <c r="G705">
        <v>0</v>
      </c>
      <c r="H705">
        <v>0</v>
      </c>
      <c r="I705">
        <v>1500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9972</v>
      </c>
      <c r="Q705">
        <v>1108</v>
      </c>
      <c r="R705">
        <v>1108</v>
      </c>
      <c r="S705" s="18">
        <f t="shared" si="104"/>
        <v>9</v>
      </c>
      <c r="T705" s="17">
        <f t="shared" si="105"/>
        <v>0</v>
      </c>
      <c r="U705" s="17">
        <f t="shared" si="106"/>
        <v>0</v>
      </c>
      <c r="V705" s="17">
        <f t="shared" si="107"/>
        <v>0</v>
      </c>
      <c r="W705" s="17">
        <f t="shared" si="108"/>
        <v>1108</v>
      </c>
      <c r="X705" s="17">
        <f t="shared" si="109"/>
        <v>0</v>
      </c>
      <c r="Y705" s="19" t="e">
        <f t="shared" si="110"/>
        <v>#DIV/0!</v>
      </c>
      <c r="Z705">
        <v>18600</v>
      </c>
      <c r="AA705">
        <v>15</v>
      </c>
      <c r="AB705">
        <v>227</v>
      </c>
      <c r="AC705">
        <v>0</v>
      </c>
      <c r="AD705">
        <v>0</v>
      </c>
      <c r="AE705">
        <v>0</v>
      </c>
      <c r="AF705">
        <v>0</v>
      </c>
      <c r="AG705">
        <v>1500</v>
      </c>
      <c r="AH705">
        <v>1500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f t="shared" si="111"/>
        <v>3000</v>
      </c>
      <c r="BF705">
        <v>20342</v>
      </c>
      <c r="BG705">
        <v>20342</v>
      </c>
      <c r="BH705" t="s">
        <v>546</v>
      </c>
      <c r="BI705" t="s">
        <v>2243</v>
      </c>
      <c r="BJ705">
        <v>242</v>
      </c>
      <c r="BK705">
        <v>1500</v>
      </c>
      <c r="BL705">
        <v>20342</v>
      </c>
      <c r="BM705">
        <v>0</v>
      </c>
      <c r="BN705">
        <v>0</v>
      </c>
      <c r="BO705">
        <v>0</v>
      </c>
      <c r="BP705">
        <v>11472</v>
      </c>
      <c r="BQ705">
        <v>11472</v>
      </c>
      <c r="BR705">
        <f t="shared" si="112"/>
        <v>0</v>
      </c>
      <c r="BS705">
        <f t="shared" si="113"/>
        <v>2216</v>
      </c>
    </row>
    <row r="706" spans="1:71" x14ac:dyDescent="0.25">
      <c r="A706" s="5" t="s">
        <v>2090</v>
      </c>
      <c r="B706" s="5" t="s">
        <v>207</v>
      </c>
      <c r="C706" s="5" t="s">
        <v>61</v>
      </c>
      <c r="D706" s="1" t="s">
        <v>133</v>
      </c>
      <c r="E706">
        <v>0</v>
      </c>
      <c r="F706">
        <v>2992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4473</v>
      </c>
      <c r="Q706">
        <v>497</v>
      </c>
      <c r="R706">
        <v>497</v>
      </c>
      <c r="S706" s="18">
        <f t="shared" ref="S706:S769" si="116">(M706+N706+O706+P706)/R706</f>
        <v>9</v>
      </c>
      <c r="T706" s="17">
        <f t="shared" ref="T706:T769" si="117">M706/$S706</f>
        <v>0</v>
      </c>
      <c r="U706" s="17">
        <f t="shared" ref="U706:U769" si="118">N706/$S706</f>
        <v>0</v>
      </c>
      <c r="V706" s="17">
        <f t="shared" ref="V706:V769" si="119">O706/$S706</f>
        <v>0</v>
      </c>
      <c r="W706" s="17">
        <f t="shared" ref="W706:W769" si="120">P706/$S706</f>
        <v>497</v>
      </c>
      <c r="X706" s="17">
        <f t="shared" ref="X706:X769" si="121">Q706-T706-U706-W706</f>
        <v>0</v>
      </c>
      <c r="Y706" s="19" t="e">
        <f t="shared" ref="Y706:Y769" si="122">V706/X706</f>
        <v>#DIV/0!</v>
      </c>
      <c r="Z706">
        <v>2992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f t="shared" ref="BE706:BE769" si="123">SUM(AC706:BD706)</f>
        <v>0</v>
      </c>
      <c r="BF706">
        <v>2992</v>
      </c>
      <c r="BG706">
        <v>2992</v>
      </c>
      <c r="BH706" t="s">
        <v>109</v>
      </c>
      <c r="BI706" t="s">
        <v>2245</v>
      </c>
      <c r="BJ706">
        <v>0</v>
      </c>
      <c r="BK706">
        <v>0</v>
      </c>
      <c r="BL706">
        <v>2992</v>
      </c>
      <c r="BM706">
        <v>0</v>
      </c>
      <c r="BN706">
        <v>0</v>
      </c>
      <c r="BO706">
        <v>0</v>
      </c>
      <c r="BP706">
        <v>4473</v>
      </c>
      <c r="BQ706">
        <v>4473</v>
      </c>
      <c r="BR706">
        <f t="shared" ref="BR706:BR769" si="124">R706-Q706</f>
        <v>0</v>
      </c>
      <c r="BS706">
        <f t="shared" ref="BS706:BS769" si="125">R706+Q706</f>
        <v>994</v>
      </c>
    </row>
    <row r="707" spans="1:71" x14ac:dyDescent="0.25">
      <c r="A707" s="5" t="s">
        <v>2090</v>
      </c>
      <c r="B707" s="5" t="s">
        <v>207</v>
      </c>
      <c r="C707" s="5" t="s">
        <v>61</v>
      </c>
      <c r="D707" s="1" t="s">
        <v>135</v>
      </c>
      <c r="E707">
        <v>0</v>
      </c>
      <c r="F707">
        <v>3930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5895</v>
      </c>
      <c r="N707">
        <v>0</v>
      </c>
      <c r="O707">
        <v>0</v>
      </c>
      <c r="P707">
        <v>0</v>
      </c>
      <c r="Q707">
        <v>655</v>
      </c>
      <c r="R707">
        <v>655</v>
      </c>
      <c r="S707" s="18">
        <f t="shared" si="116"/>
        <v>9</v>
      </c>
      <c r="T707" s="17">
        <f t="shared" si="117"/>
        <v>655</v>
      </c>
      <c r="U707" s="17">
        <f t="shared" si="118"/>
        <v>0</v>
      </c>
      <c r="V707" s="17">
        <f t="shared" si="119"/>
        <v>0</v>
      </c>
      <c r="W707" s="17">
        <f t="shared" si="120"/>
        <v>0</v>
      </c>
      <c r="X707" s="17">
        <f t="shared" si="121"/>
        <v>0</v>
      </c>
      <c r="Y707" s="19" t="e">
        <f t="shared" si="122"/>
        <v>#DIV/0!</v>
      </c>
      <c r="Z707">
        <v>3930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f t="shared" si="123"/>
        <v>0</v>
      </c>
      <c r="BF707">
        <v>3930</v>
      </c>
      <c r="BG707">
        <v>3930</v>
      </c>
      <c r="BH707" t="s">
        <v>109</v>
      </c>
      <c r="BI707" t="s">
        <v>2246</v>
      </c>
      <c r="BJ707">
        <v>0</v>
      </c>
      <c r="BK707">
        <v>0</v>
      </c>
      <c r="BL707">
        <v>3930</v>
      </c>
      <c r="BM707">
        <v>5895</v>
      </c>
      <c r="BN707">
        <v>0</v>
      </c>
      <c r="BO707">
        <v>0</v>
      </c>
      <c r="BP707">
        <v>0</v>
      </c>
      <c r="BQ707">
        <v>5895</v>
      </c>
      <c r="BR707">
        <f t="shared" si="124"/>
        <v>0</v>
      </c>
      <c r="BS707">
        <f t="shared" si="125"/>
        <v>1310</v>
      </c>
    </row>
    <row r="708" spans="1:71" x14ac:dyDescent="0.25">
      <c r="A708" s="5" t="s">
        <v>2090</v>
      </c>
      <c r="B708" s="5" t="s">
        <v>207</v>
      </c>
      <c r="C708" s="5" t="s">
        <v>61</v>
      </c>
      <c r="D708" s="1" t="s">
        <v>137</v>
      </c>
      <c r="E708">
        <v>0</v>
      </c>
      <c r="F708">
        <v>4894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14598</v>
      </c>
      <c r="N708">
        <v>0</v>
      </c>
      <c r="O708">
        <v>0</v>
      </c>
      <c r="P708">
        <v>0</v>
      </c>
      <c r="Q708">
        <v>1622</v>
      </c>
      <c r="R708">
        <v>1622</v>
      </c>
      <c r="S708" s="18">
        <f t="shared" si="116"/>
        <v>9</v>
      </c>
      <c r="T708" s="17">
        <f t="shared" si="117"/>
        <v>1622</v>
      </c>
      <c r="U708" s="17">
        <f t="shared" si="118"/>
        <v>0</v>
      </c>
      <c r="V708" s="17">
        <f t="shared" si="119"/>
        <v>0</v>
      </c>
      <c r="W708" s="17">
        <f t="shared" si="120"/>
        <v>0</v>
      </c>
      <c r="X708" s="17">
        <f t="shared" si="121"/>
        <v>0</v>
      </c>
      <c r="Y708" s="19" t="e">
        <f t="shared" si="122"/>
        <v>#DIV/0!</v>
      </c>
      <c r="Z708">
        <v>4894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f t="shared" si="123"/>
        <v>0</v>
      </c>
      <c r="BF708">
        <v>4894</v>
      </c>
      <c r="BG708">
        <v>4894</v>
      </c>
      <c r="BH708" t="s">
        <v>109</v>
      </c>
      <c r="BI708" t="s">
        <v>2247</v>
      </c>
      <c r="BJ708">
        <v>0</v>
      </c>
      <c r="BK708">
        <v>0</v>
      </c>
      <c r="BL708">
        <v>4894</v>
      </c>
      <c r="BM708">
        <v>14598</v>
      </c>
      <c r="BN708">
        <v>0</v>
      </c>
      <c r="BO708">
        <v>0</v>
      </c>
      <c r="BP708">
        <v>0</v>
      </c>
      <c r="BQ708">
        <v>14598</v>
      </c>
      <c r="BR708">
        <f t="shared" si="124"/>
        <v>0</v>
      </c>
      <c r="BS708">
        <f t="shared" si="125"/>
        <v>3244</v>
      </c>
    </row>
    <row r="709" spans="1:71" x14ac:dyDescent="0.25">
      <c r="A709" s="5" t="s">
        <v>2090</v>
      </c>
      <c r="B709" s="5" t="s">
        <v>207</v>
      </c>
      <c r="C709" s="5" t="s">
        <v>61</v>
      </c>
      <c r="D709" s="1" t="s">
        <v>139</v>
      </c>
      <c r="E709">
        <v>0</v>
      </c>
      <c r="F709">
        <v>1041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1359</v>
      </c>
      <c r="N709">
        <v>0</v>
      </c>
      <c r="O709">
        <v>0</v>
      </c>
      <c r="P709">
        <v>1062</v>
      </c>
      <c r="Q709">
        <v>269</v>
      </c>
      <c r="R709">
        <v>269</v>
      </c>
      <c r="S709" s="18">
        <f t="shared" si="116"/>
        <v>9</v>
      </c>
      <c r="T709" s="17">
        <f t="shared" si="117"/>
        <v>151</v>
      </c>
      <c r="U709" s="17">
        <f t="shared" si="118"/>
        <v>0</v>
      </c>
      <c r="V709" s="17">
        <f t="shared" si="119"/>
        <v>0</v>
      </c>
      <c r="W709" s="17">
        <f t="shared" si="120"/>
        <v>118</v>
      </c>
      <c r="X709" s="17">
        <f t="shared" si="121"/>
        <v>0</v>
      </c>
      <c r="Y709" s="19" t="e">
        <f t="shared" si="122"/>
        <v>#DIV/0!</v>
      </c>
      <c r="Z709">
        <v>1041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f t="shared" si="123"/>
        <v>0</v>
      </c>
      <c r="BF709">
        <v>1041</v>
      </c>
      <c r="BG709">
        <v>1041</v>
      </c>
      <c r="BH709" t="s">
        <v>109</v>
      </c>
      <c r="BI709" t="s">
        <v>2248</v>
      </c>
      <c r="BJ709">
        <v>0</v>
      </c>
      <c r="BK709">
        <v>0</v>
      </c>
      <c r="BL709">
        <v>1041</v>
      </c>
      <c r="BM709">
        <v>1359</v>
      </c>
      <c r="BN709">
        <v>0</v>
      </c>
      <c r="BO709">
        <v>0</v>
      </c>
      <c r="BP709">
        <v>1062</v>
      </c>
      <c r="BQ709">
        <v>2421</v>
      </c>
      <c r="BR709">
        <f t="shared" si="124"/>
        <v>0</v>
      </c>
      <c r="BS709">
        <f t="shared" si="125"/>
        <v>538</v>
      </c>
    </row>
    <row r="710" spans="1:71" x14ac:dyDescent="0.25">
      <c r="A710" s="5" t="s">
        <v>2090</v>
      </c>
      <c r="B710" s="5" t="s">
        <v>207</v>
      </c>
      <c r="C710" s="5" t="s">
        <v>61</v>
      </c>
      <c r="D710" s="1" t="s">
        <v>141</v>
      </c>
      <c r="E710">
        <v>0</v>
      </c>
      <c r="F710">
        <v>656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1134</v>
      </c>
      <c r="N710">
        <v>0</v>
      </c>
      <c r="O710">
        <v>0</v>
      </c>
      <c r="P710">
        <v>0</v>
      </c>
      <c r="Q710">
        <v>126</v>
      </c>
      <c r="R710">
        <v>126</v>
      </c>
      <c r="S710" s="18">
        <f t="shared" si="116"/>
        <v>9</v>
      </c>
      <c r="T710" s="17">
        <f t="shared" si="117"/>
        <v>126</v>
      </c>
      <c r="U710" s="17">
        <f t="shared" si="118"/>
        <v>0</v>
      </c>
      <c r="V710" s="17">
        <f t="shared" si="119"/>
        <v>0</v>
      </c>
      <c r="W710" s="17">
        <f t="shared" si="120"/>
        <v>0</v>
      </c>
      <c r="X710" s="17">
        <f t="shared" si="121"/>
        <v>0</v>
      </c>
      <c r="Y710" s="19" t="e">
        <f t="shared" si="122"/>
        <v>#DIV/0!</v>
      </c>
      <c r="Z710">
        <v>656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f t="shared" si="123"/>
        <v>0</v>
      </c>
      <c r="BF710">
        <v>656</v>
      </c>
      <c r="BG710">
        <v>656</v>
      </c>
      <c r="BH710" t="s">
        <v>109</v>
      </c>
      <c r="BI710" t="s">
        <v>2249</v>
      </c>
      <c r="BJ710">
        <v>0</v>
      </c>
      <c r="BK710">
        <v>0</v>
      </c>
      <c r="BL710">
        <v>656</v>
      </c>
      <c r="BM710">
        <v>1134</v>
      </c>
      <c r="BN710">
        <v>0</v>
      </c>
      <c r="BO710">
        <v>0</v>
      </c>
      <c r="BP710">
        <v>0</v>
      </c>
      <c r="BQ710">
        <v>1134</v>
      </c>
      <c r="BR710">
        <f t="shared" si="124"/>
        <v>0</v>
      </c>
      <c r="BS710">
        <f t="shared" si="125"/>
        <v>252</v>
      </c>
    </row>
    <row r="711" spans="1:71" x14ac:dyDescent="0.25">
      <c r="A711" s="5" t="s">
        <v>2090</v>
      </c>
      <c r="B711" s="5" t="s">
        <v>207</v>
      </c>
      <c r="C711" s="5" t="s">
        <v>61</v>
      </c>
      <c r="D711" s="1" t="s">
        <v>143</v>
      </c>
      <c r="E711">
        <v>0</v>
      </c>
      <c r="F711">
        <v>1028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1989</v>
      </c>
      <c r="N711">
        <v>0</v>
      </c>
      <c r="O711">
        <v>0</v>
      </c>
      <c r="P711">
        <v>0</v>
      </c>
      <c r="Q711">
        <v>221</v>
      </c>
      <c r="R711">
        <v>221</v>
      </c>
      <c r="S711" s="18">
        <f t="shared" si="116"/>
        <v>9</v>
      </c>
      <c r="T711" s="17">
        <f t="shared" si="117"/>
        <v>221</v>
      </c>
      <c r="U711" s="17">
        <f t="shared" si="118"/>
        <v>0</v>
      </c>
      <c r="V711" s="17">
        <f t="shared" si="119"/>
        <v>0</v>
      </c>
      <c r="W711" s="17">
        <f t="shared" si="120"/>
        <v>0</v>
      </c>
      <c r="X711" s="17">
        <f t="shared" si="121"/>
        <v>0</v>
      </c>
      <c r="Y711" s="19" t="e">
        <f t="shared" si="122"/>
        <v>#DIV/0!</v>
      </c>
      <c r="Z711">
        <v>1028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f t="shared" si="123"/>
        <v>0</v>
      </c>
      <c r="BF711">
        <v>1028</v>
      </c>
      <c r="BG711">
        <v>1028</v>
      </c>
      <c r="BH711" t="s">
        <v>109</v>
      </c>
      <c r="BI711" t="s">
        <v>2250</v>
      </c>
      <c r="BJ711">
        <v>0</v>
      </c>
      <c r="BK711">
        <v>0</v>
      </c>
      <c r="BL711">
        <v>1028</v>
      </c>
      <c r="BM711">
        <v>1989</v>
      </c>
      <c r="BN711">
        <v>0</v>
      </c>
      <c r="BO711">
        <v>0</v>
      </c>
      <c r="BP711">
        <v>0</v>
      </c>
      <c r="BQ711">
        <v>1989</v>
      </c>
      <c r="BR711">
        <f t="shared" si="124"/>
        <v>0</v>
      </c>
      <c r="BS711">
        <f t="shared" si="125"/>
        <v>442</v>
      </c>
    </row>
    <row r="712" spans="1:71" x14ac:dyDescent="0.25">
      <c r="A712" s="5" t="s">
        <v>2090</v>
      </c>
      <c r="B712" s="5" t="s">
        <v>207</v>
      </c>
      <c r="C712" s="5" t="s">
        <v>61</v>
      </c>
      <c r="D712" s="1" t="s">
        <v>145</v>
      </c>
      <c r="E712">
        <v>0</v>
      </c>
      <c r="F712">
        <v>1300</v>
      </c>
      <c r="G712">
        <v>0</v>
      </c>
      <c r="H712">
        <v>0</v>
      </c>
      <c r="I712">
        <v>72</v>
      </c>
      <c r="J712">
        <v>0</v>
      </c>
      <c r="K712">
        <v>0</v>
      </c>
      <c r="L712">
        <v>0</v>
      </c>
      <c r="M712">
        <v>2646</v>
      </c>
      <c r="N712">
        <v>0</v>
      </c>
      <c r="O712">
        <v>0</v>
      </c>
      <c r="P712">
        <v>0</v>
      </c>
      <c r="Q712">
        <v>294</v>
      </c>
      <c r="R712">
        <v>294</v>
      </c>
      <c r="S712" s="18">
        <f t="shared" si="116"/>
        <v>9</v>
      </c>
      <c r="T712" s="17">
        <f t="shared" si="117"/>
        <v>294</v>
      </c>
      <c r="U712" s="17">
        <f t="shared" si="118"/>
        <v>0</v>
      </c>
      <c r="V712" s="17">
        <f t="shared" si="119"/>
        <v>0</v>
      </c>
      <c r="W712" s="17">
        <f t="shared" si="120"/>
        <v>0</v>
      </c>
      <c r="X712" s="17">
        <f t="shared" si="121"/>
        <v>0</v>
      </c>
      <c r="Y712" s="19" t="e">
        <f t="shared" si="122"/>
        <v>#DIV/0!</v>
      </c>
      <c r="Z712">
        <v>1300</v>
      </c>
      <c r="AA712">
        <v>0</v>
      </c>
      <c r="AB712">
        <v>0</v>
      </c>
      <c r="AC712">
        <v>0</v>
      </c>
      <c r="AD712">
        <v>72</v>
      </c>
      <c r="AE712">
        <v>0</v>
      </c>
      <c r="AF712">
        <v>0</v>
      </c>
      <c r="AG712">
        <v>0</v>
      </c>
      <c r="AH712">
        <v>72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f t="shared" si="123"/>
        <v>144</v>
      </c>
      <c r="BF712">
        <v>1372</v>
      </c>
      <c r="BG712">
        <v>1372</v>
      </c>
      <c r="BH712" t="s">
        <v>109</v>
      </c>
      <c r="BI712" t="s">
        <v>2251</v>
      </c>
      <c r="BJ712">
        <v>0</v>
      </c>
      <c r="BK712">
        <v>72</v>
      </c>
      <c r="BL712">
        <v>1372</v>
      </c>
      <c r="BM712">
        <v>2718</v>
      </c>
      <c r="BN712">
        <v>0</v>
      </c>
      <c r="BO712">
        <v>0</v>
      </c>
      <c r="BP712">
        <v>0</v>
      </c>
      <c r="BQ712">
        <v>2718</v>
      </c>
      <c r="BR712">
        <f t="shared" si="124"/>
        <v>0</v>
      </c>
      <c r="BS712">
        <f t="shared" si="125"/>
        <v>588</v>
      </c>
    </row>
    <row r="713" spans="1:71" x14ac:dyDescent="0.25">
      <c r="A713" s="5" t="s">
        <v>2090</v>
      </c>
      <c r="B713" s="5" t="s">
        <v>207</v>
      </c>
      <c r="C713" s="5" t="s">
        <v>61</v>
      </c>
      <c r="D713" s="1" t="s">
        <v>151</v>
      </c>
      <c r="E713">
        <v>0</v>
      </c>
      <c r="F713">
        <v>5848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7722</v>
      </c>
      <c r="N713">
        <v>0</v>
      </c>
      <c r="O713">
        <v>0</v>
      </c>
      <c r="P713">
        <v>1179</v>
      </c>
      <c r="Q713">
        <v>989</v>
      </c>
      <c r="R713">
        <v>989</v>
      </c>
      <c r="S713" s="18">
        <f t="shared" si="116"/>
        <v>9</v>
      </c>
      <c r="T713" s="17">
        <f t="shared" si="117"/>
        <v>858</v>
      </c>
      <c r="U713" s="17">
        <f t="shared" si="118"/>
        <v>0</v>
      </c>
      <c r="V713" s="17">
        <f t="shared" si="119"/>
        <v>0</v>
      </c>
      <c r="W713" s="17">
        <f t="shared" si="120"/>
        <v>131</v>
      </c>
      <c r="X713" s="17">
        <f t="shared" si="121"/>
        <v>0</v>
      </c>
      <c r="Y713" s="19" t="e">
        <f t="shared" si="122"/>
        <v>#DIV/0!</v>
      </c>
      <c r="Z713">
        <v>5848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f t="shared" si="123"/>
        <v>0</v>
      </c>
      <c r="BF713">
        <v>5848</v>
      </c>
      <c r="BG713">
        <v>5848</v>
      </c>
      <c r="BH713" t="s">
        <v>109</v>
      </c>
      <c r="BI713" t="s">
        <v>2254</v>
      </c>
      <c r="BJ713">
        <v>0</v>
      </c>
      <c r="BK713">
        <v>0</v>
      </c>
      <c r="BL713">
        <v>5848</v>
      </c>
      <c r="BM713">
        <v>7722</v>
      </c>
      <c r="BN713">
        <v>0</v>
      </c>
      <c r="BO713">
        <v>0</v>
      </c>
      <c r="BP713">
        <v>1179</v>
      </c>
      <c r="BQ713">
        <v>8901</v>
      </c>
      <c r="BR713">
        <f t="shared" si="124"/>
        <v>0</v>
      </c>
      <c r="BS713">
        <f t="shared" si="125"/>
        <v>1978</v>
      </c>
    </row>
    <row r="714" spans="1:71" x14ac:dyDescent="0.25">
      <c r="A714" s="5" t="s">
        <v>2090</v>
      </c>
      <c r="B714" s="5" t="s">
        <v>207</v>
      </c>
      <c r="C714" s="5" t="s">
        <v>61</v>
      </c>
      <c r="D714" s="1" t="s">
        <v>153</v>
      </c>
      <c r="E714">
        <v>0</v>
      </c>
      <c r="F714">
        <v>8032</v>
      </c>
      <c r="G714">
        <v>0</v>
      </c>
      <c r="H714">
        <v>0</v>
      </c>
      <c r="I714">
        <v>0</v>
      </c>
      <c r="J714">
        <v>0</v>
      </c>
      <c r="K714">
        <v>60</v>
      </c>
      <c r="L714">
        <v>0</v>
      </c>
      <c r="M714">
        <v>11448</v>
      </c>
      <c r="N714">
        <v>0</v>
      </c>
      <c r="O714">
        <v>0</v>
      </c>
      <c r="P714">
        <v>4392</v>
      </c>
      <c r="Q714">
        <v>1760</v>
      </c>
      <c r="R714">
        <v>1760</v>
      </c>
      <c r="S714" s="18">
        <f t="shared" si="116"/>
        <v>9</v>
      </c>
      <c r="T714" s="17">
        <f t="shared" si="117"/>
        <v>1272</v>
      </c>
      <c r="U714" s="17">
        <f t="shared" si="118"/>
        <v>0</v>
      </c>
      <c r="V714" s="17">
        <f t="shared" si="119"/>
        <v>0</v>
      </c>
      <c r="W714" s="17">
        <f t="shared" si="120"/>
        <v>488</v>
      </c>
      <c r="X714" s="17">
        <f t="shared" si="121"/>
        <v>0</v>
      </c>
      <c r="Y714" s="19" t="e">
        <f t="shared" si="122"/>
        <v>#DIV/0!</v>
      </c>
      <c r="Z714">
        <v>8032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60</v>
      </c>
      <c r="AN714">
        <v>0</v>
      </c>
      <c r="AO714">
        <v>0</v>
      </c>
      <c r="AP714">
        <v>0</v>
      </c>
      <c r="AQ714">
        <v>60</v>
      </c>
      <c r="AR714">
        <v>60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f t="shared" si="123"/>
        <v>180</v>
      </c>
      <c r="BF714">
        <v>8092</v>
      </c>
      <c r="BG714">
        <v>8092</v>
      </c>
      <c r="BH714" t="s">
        <v>109</v>
      </c>
      <c r="BI714" t="s">
        <v>2255</v>
      </c>
      <c r="BJ714">
        <v>0</v>
      </c>
      <c r="BK714">
        <v>60</v>
      </c>
      <c r="BL714">
        <v>8092</v>
      </c>
      <c r="BM714">
        <v>11508</v>
      </c>
      <c r="BN714">
        <v>0</v>
      </c>
      <c r="BO714">
        <v>0</v>
      </c>
      <c r="BP714">
        <v>4392</v>
      </c>
      <c r="BQ714">
        <v>15900</v>
      </c>
      <c r="BR714">
        <f t="shared" si="124"/>
        <v>0</v>
      </c>
      <c r="BS714">
        <f t="shared" si="125"/>
        <v>3520</v>
      </c>
    </row>
    <row r="715" spans="1:71" x14ac:dyDescent="0.25">
      <c r="A715" s="5" t="s">
        <v>2090</v>
      </c>
      <c r="B715" s="5" t="s">
        <v>207</v>
      </c>
      <c r="C715" s="5" t="s">
        <v>61</v>
      </c>
      <c r="D715" s="1" t="s">
        <v>155</v>
      </c>
      <c r="E715">
        <v>0</v>
      </c>
      <c r="F715">
        <v>1568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2196</v>
      </c>
      <c r="N715">
        <v>0</v>
      </c>
      <c r="O715">
        <v>0</v>
      </c>
      <c r="P715">
        <v>0</v>
      </c>
      <c r="Q715">
        <v>244</v>
      </c>
      <c r="R715">
        <v>244</v>
      </c>
      <c r="S715" s="18">
        <f t="shared" si="116"/>
        <v>9</v>
      </c>
      <c r="T715" s="17">
        <f t="shared" si="117"/>
        <v>244</v>
      </c>
      <c r="U715" s="17">
        <f t="shared" si="118"/>
        <v>0</v>
      </c>
      <c r="V715" s="17">
        <f t="shared" si="119"/>
        <v>0</v>
      </c>
      <c r="W715" s="17">
        <f t="shared" si="120"/>
        <v>0</v>
      </c>
      <c r="X715" s="17">
        <f t="shared" si="121"/>
        <v>0</v>
      </c>
      <c r="Y715" s="19" t="e">
        <f t="shared" si="122"/>
        <v>#DIV/0!</v>
      </c>
      <c r="Z715">
        <v>1568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f t="shared" si="123"/>
        <v>0</v>
      </c>
      <c r="BF715">
        <v>1568</v>
      </c>
      <c r="BG715">
        <v>1568</v>
      </c>
      <c r="BH715" t="s">
        <v>109</v>
      </c>
      <c r="BI715" t="s">
        <v>2256</v>
      </c>
      <c r="BJ715">
        <v>0</v>
      </c>
      <c r="BK715">
        <v>0</v>
      </c>
      <c r="BL715">
        <v>1568</v>
      </c>
      <c r="BM715">
        <v>2196</v>
      </c>
      <c r="BN715">
        <v>0</v>
      </c>
      <c r="BO715">
        <v>0</v>
      </c>
      <c r="BP715">
        <v>0</v>
      </c>
      <c r="BQ715">
        <v>2196</v>
      </c>
      <c r="BR715">
        <f t="shared" si="124"/>
        <v>0</v>
      </c>
      <c r="BS715">
        <f t="shared" si="125"/>
        <v>488</v>
      </c>
    </row>
    <row r="716" spans="1:71" x14ac:dyDescent="0.25">
      <c r="A716" s="5" t="s">
        <v>2090</v>
      </c>
      <c r="B716" s="5" t="s">
        <v>207</v>
      </c>
      <c r="C716" s="5" t="s">
        <v>61</v>
      </c>
      <c r="D716" s="1" t="s">
        <v>159</v>
      </c>
      <c r="E716">
        <v>0</v>
      </c>
      <c r="F716">
        <v>2516</v>
      </c>
      <c r="G716">
        <v>0</v>
      </c>
      <c r="H716">
        <v>0</v>
      </c>
      <c r="I716">
        <v>127</v>
      </c>
      <c r="J716">
        <v>6010</v>
      </c>
      <c r="K716">
        <v>578</v>
      </c>
      <c r="L716">
        <v>875</v>
      </c>
      <c r="M716">
        <v>0</v>
      </c>
      <c r="N716">
        <v>0</v>
      </c>
      <c r="O716">
        <v>0</v>
      </c>
      <c r="P716">
        <v>4329</v>
      </c>
      <c r="Q716">
        <v>481</v>
      </c>
      <c r="R716">
        <v>481</v>
      </c>
      <c r="S716" s="18">
        <f t="shared" si="116"/>
        <v>9</v>
      </c>
      <c r="T716" s="17">
        <f t="shared" si="117"/>
        <v>0</v>
      </c>
      <c r="U716" s="17">
        <f t="shared" si="118"/>
        <v>0</v>
      </c>
      <c r="V716" s="17">
        <f t="shared" si="119"/>
        <v>0</v>
      </c>
      <c r="W716" s="17">
        <f t="shared" si="120"/>
        <v>481</v>
      </c>
      <c r="X716" s="17">
        <f t="shared" si="121"/>
        <v>0</v>
      </c>
      <c r="Y716" s="19" t="e">
        <f t="shared" si="122"/>
        <v>#DIV/0!</v>
      </c>
      <c r="Z716">
        <v>2516</v>
      </c>
      <c r="AA716">
        <v>0</v>
      </c>
      <c r="AB716">
        <v>0</v>
      </c>
      <c r="AC716">
        <v>1765</v>
      </c>
      <c r="AD716">
        <v>0</v>
      </c>
      <c r="AE716">
        <v>0</v>
      </c>
      <c r="AF716">
        <v>0</v>
      </c>
      <c r="AG716">
        <v>127</v>
      </c>
      <c r="AH716">
        <v>127</v>
      </c>
      <c r="AI716">
        <v>0</v>
      </c>
      <c r="AJ716">
        <v>6010</v>
      </c>
      <c r="AK716">
        <v>0</v>
      </c>
      <c r="AL716">
        <v>6010</v>
      </c>
      <c r="AM716">
        <v>0</v>
      </c>
      <c r="AN716">
        <v>300</v>
      </c>
      <c r="AO716">
        <v>278</v>
      </c>
      <c r="AP716">
        <v>403</v>
      </c>
      <c r="AQ716">
        <v>578</v>
      </c>
      <c r="AR716">
        <v>463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875</v>
      </c>
      <c r="BA716">
        <v>875</v>
      </c>
      <c r="BB716">
        <v>0</v>
      </c>
      <c r="BC716">
        <v>0</v>
      </c>
      <c r="BD716">
        <v>0</v>
      </c>
      <c r="BE716">
        <f t="shared" si="123"/>
        <v>17811</v>
      </c>
      <c r="BF716">
        <v>11871</v>
      </c>
      <c r="BG716">
        <v>11871</v>
      </c>
      <c r="BH716" t="s">
        <v>190</v>
      </c>
      <c r="BI716" t="s">
        <v>2258</v>
      </c>
      <c r="BJ716">
        <v>1765</v>
      </c>
      <c r="BK716">
        <v>7590</v>
      </c>
      <c r="BL716">
        <v>11871</v>
      </c>
      <c r="BM716">
        <v>0</v>
      </c>
      <c r="BN716">
        <v>6310</v>
      </c>
      <c r="BO716">
        <v>0</v>
      </c>
      <c r="BP716">
        <v>5609</v>
      </c>
      <c r="BQ716">
        <v>11919</v>
      </c>
      <c r="BR716">
        <f t="shared" si="124"/>
        <v>0</v>
      </c>
      <c r="BS716">
        <f t="shared" si="125"/>
        <v>962</v>
      </c>
    </row>
    <row r="717" spans="1:71" x14ac:dyDescent="0.25">
      <c r="A717" s="5" t="s">
        <v>2090</v>
      </c>
      <c r="B717" s="5" t="s">
        <v>207</v>
      </c>
      <c r="C717" s="5" t="s">
        <v>61</v>
      </c>
      <c r="D717" s="1" t="s">
        <v>169</v>
      </c>
      <c r="E717">
        <v>0</v>
      </c>
      <c r="F717">
        <v>125</v>
      </c>
      <c r="G717">
        <v>0</v>
      </c>
      <c r="H717">
        <v>0</v>
      </c>
      <c r="I717">
        <v>0</v>
      </c>
      <c r="J717">
        <v>66</v>
      </c>
      <c r="K717">
        <v>76</v>
      </c>
      <c r="L717">
        <v>53</v>
      </c>
      <c r="M717">
        <v>0</v>
      </c>
      <c r="N717">
        <v>0</v>
      </c>
      <c r="O717">
        <v>0</v>
      </c>
      <c r="P717">
        <v>990</v>
      </c>
      <c r="Q717">
        <v>110</v>
      </c>
      <c r="R717">
        <v>110</v>
      </c>
      <c r="S717" s="18">
        <f t="shared" si="116"/>
        <v>9</v>
      </c>
      <c r="T717" s="17">
        <f t="shared" si="117"/>
        <v>0</v>
      </c>
      <c r="U717" s="17">
        <f t="shared" si="118"/>
        <v>0</v>
      </c>
      <c r="V717" s="17">
        <f t="shared" si="119"/>
        <v>0</v>
      </c>
      <c r="W717" s="17">
        <f t="shared" si="120"/>
        <v>110</v>
      </c>
      <c r="X717" s="17">
        <f t="shared" si="121"/>
        <v>0</v>
      </c>
      <c r="Y717" s="19" t="e">
        <f t="shared" si="122"/>
        <v>#DIV/0!</v>
      </c>
      <c r="Z717">
        <v>125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66</v>
      </c>
      <c r="AL717">
        <v>66</v>
      </c>
      <c r="AM717">
        <v>0</v>
      </c>
      <c r="AN717">
        <v>0</v>
      </c>
      <c r="AO717">
        <v>76</v>
      </c>
      <c r="AP717">
        <v>57</v>
      </c>
      <c r="AQ717">
        <v>76</v>
      </c>
      <c r="AR717">
        <v>19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53</v>
      </c>
      <c r="BA717">
        <v>53</v>
      </c>
      <c r="BB717">
        <v>0</v>
      </c>
      <c r="BC717">
        <v>0</v>
      </c>
      <c r="BD717">
        <v>0</v>
      </c>
      <c r="BE717">
        <f t="shared" si="123"/>
        <v>466</v>
      </c>
      <c r="BF717">
        <v>418</v>
      </c>
      <c r="BG717">
        <v>418</v>
      </c>
      <c r="BH717" t="s">
        <v>190</v>
      </c>
      <c r="BI717" t="s">
        <v>2263</v>
      </c>
      <c r="BJ717">
        <v>0</v>
      </c>
      <c r="BK717">
        <v>195</v>
      </c>
      <c r="BL717">
        <v>320</v>
      </c>
      <c r="BM717">
        <v>0</v>
      </c>
      <c r="BN717">
        <v>0</v>
      </c>
      <c r="BO717">
        <v>0</v>
      </c>
      <c r="BP717">
        <v>1185</v>
      </c>
      <c r="BQ717">
        <v>1185</v>
      </c>
      <c r="BR717">
        <f t="shared" si="124"/>
        <v>0</v>
      </c>
      <c r="BS717">
        <f t="shared" si="125"/>
        <v>220</v>
      </c>
    </row>
    <row r="718" spans="1:71" x14ac:dyDescent="0.25">
      <c r="A718" s="5" t="s">
        <v>2090</v>
      </c>
      <c r="B718" s="6" t="s">
        <v>207</v>
      </c>
      <c r="C718" s="6" t="s">
        <v>61</v>
      </c>
      <c r="D718" s="1" t="s">
        <v>179</v>
      </c>
      <c r="E718">
        <v>0</v>
      </c>
      <c r="F718">
        <v>43</v>
      </c>
      <c r="G718">
        <v>0</v>
      </c>
      <c r="H718">
        <v>0</v>
      </c>
      <c r="I718">
        <v>0</v>
      </c>
      <c r="J718">
        <v>0</v>
      </c>
      <c r="K718">
        <v>118</v>
      </c>
      <c r="L718">
        <v>0</v>
      </c>
      <c r="M718">
        <v>180</v>
      </c>
      <c r="N718">
        <v>0</v>
      </c>
      <c r="O718">
        <v>0</v>
      </c>
      <c r="P718">
        <v>0</v>
      </c>
      <c r="Q718">
        <v>20</v>
      </c>
      <c r="R718">
        <v>20</v>
      </c>
      <c r="S718" s="18">
        <f t="shared" si="116"/>
        <v>9</v>
      </c>
      <c r="T718" s="17">
        <f t="shared" si="117"/>
        <v>20</v>
      </c>
      <c r="U718" s="17">
        <f t="shared" si="118"/>
        <v>0</v>
      </c>
      <c r="V718" s="17">
        <f t="shared" si="119"/>
        <v>0</v>
      </c>
      <c r="W718" s="17">
        <f t="shared" si="120"/>
        <v>0</v>
      </c>
      <c r="X718" s="17">
        <f t="shared" si="121"/>
        <v>0</v>
      </c>
      <c r="Y718" s="19" t="e">
        <f t="shared" si="122"/>
        <v>#DIV/0!</v>
      </c>
      <c r="Z718">
        <v>43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23</v>
      </c>
      <c r="AN718">
        <v>0</v>
      </c>
      <c r="AO718">
        <v>95</v>
      </c>
      <c r="AP718">
        <v>118</v>
      </c>
      <c r="AQ718">
        <v>118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f t="shared" si="123"/>
        <v>354</v>
      </c>
      <c r="BF718">
        <v>161</v>
      </c>
      <c r="BG718">
        <v>161</v>
      </c>
      <c r="BH718" t="s">
        <v>190</v>
      </c>
      <c r="BI718" t="s">
        <v>2268</v>
      </c>
      <c r="BJ718">
        <v>0</v>
      </c>
      <c r="BK718">
        <v>118</v>
      </c>
      <c r="BL718">
        <v>161</v>
      </c>
      <c r="BM718">
        <v>203</v>
      </c>
      <c r="BN718">
        <v>0</v>
      </c>
      <c r="BO718">
        <v>0</v>
      </c>
      <c r="BP718">
        <v>95</v>
      </c>
      <c r="BQ718">
        <v>298</v>
      </c>
      <c r="BR718">
        <f t="shared" si="124"/>
        <v>0</v>
      </c>
      <c r="BS718">
        <f t="shared" si="125"/>
        <v>40</v>
      </c>
    </row>
    <row r="719" spans="1:71" x14ac:dyDescent="0.25">
      <c r="A719" s="5" t="s">
        <v>2090</v>
      </c>
      <c r="B719" s="7" t="s">
        <v>207</v>
      </c>
      <c r="C719" s="7" t="s">
        <v>61</v>
      </c>
      <c r="D719" s="1" t="s">
        <v>183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8" t="e">
        <f t="shared" si="116"/>
        <v>#DIV/0!</v>
      </c>
      <c r="T719" s="17" t="e">
        <f t="shared" si="117"/>
        <v>#DIV/0!</v>
      </c>
      <c r="U719" s="17" t="e">
        <f t="shared" si="118"/>
        <v>#DIV/0!</v>
      </c>
      <c r="V719" s="17" t="e">
        <f t="shared" si="119"/>
        <v>#DIV/0!</v>
      </c>
      <c r="W719" s="17" t="e">
        <f t="shared" si="120"/>
        <v>#DIV/0!</v>
      </c>
      <c r="X719" s="17" t="e">
        <f t="shared" si="121"/>
        <v>#DIV/0!</v>
      </c>
      <c r="Y719" s="19" t="e">
        <f t="shared" si="122"/>
        <v>#DIV/0!</v>
      </c>
      <c r="Z719">
        <v>0</v>
      </c>
      <c r="AA719">
        <v>0</v>
      </c>
      <c r="AB719">
        <v>0</v>
      </c>
      <c r="AC719">
        <v>2547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f t="shared" si="123"/>
        <v>2547</v>
      </c>
      <c r="BH719" t="s">
        <v>190</v>
      </c>
      <c r="BI719" t="s">
        <v>2163</v>
      </c>
      <c r="BJ719">
        <v>2547</v>
      </c>
      <c r="BK719">
        <v>0</v>
      </c>
      <c r="BL719">
        <v>2547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f t="shared" si="124"/>
        <v>0</v>
      </c>
      <c r="BS719">
        <f t="shared" si="125"/>
        <v>0</v>
      </c>
    </row>
    <row r="720" spans="1:71" x14ac:dyDescent="0.25">
      <c r="A720" s="5" t="s">
        <v>2090</v>
      </c>
      <c r="B720" s="5" t="s">
        <v>207</v>
      </c>
      <c r="C720" s="5" t="s">
        <v>61</v>
      </c>
      <c r="D720" s="1" t="s">
        <v>185</v>
      </c>
      <c r="E720">
        <v>0</v>
      </c>
      <c r="F720">
        <v>188</v>
      </c>
      <c r="G720">
        <v>0</v>
      </c>
      <c r="H720">
        <v>0</v>
      </c>
      <c r="I720">
        <v>26</v>
      </c>
      <c r="J720">
        <v>0</v>
      </c>
      <c r="K720">
        <v>243</v>
      </c>
      <c r="L720">
        <v>0</v>
      </c>
      <c r="M720">
        <v>252</v>
      </c>
      <c r="N720">
        <v>0</v>
      </c>
      <c r="O720">
        <v>0</v>
      </c>
      <c r="P720">
        <v>0</v>
      </c>
      <c r="Q720">
        <v>28</v>
      </c>
      <c r="R720">
        <v>28</v>
      </c>
      <c r="S720" s="18">
        <f t="shared" si="116"/>
        <v>9</v>
      </c>
      <c r="T720" s="17">
        <f t="shared" si="117"/>
        <v>28</v>
      </c>
      <c r="U720" s="17">
        <f t="shared" si="118"/>
        <v>0</v>
      </c>
      <c r="V720" s="17">
        <f t="shared" si="119"/>
        <v>0</v>
      </c>
      <c r="W720" s="17">
        <f t="shared" si="120"/>
        <v>0</v>
      </c>
      <c r="X720" s="17">
        <f t="shared" si="121"/>
        <v>0</v>
      </c>
      <c r="Y720" s="19" t="e">
        <f t="shared" si="122"/>
        <v>#DIV/0!</v>
      </c>
      <c r="Z720">
        <v>188</v>
      </c>
      <c r="AA720">
        <v>0</v>
      </c>
      <c r="AB720">
        <v>0</v>
      </c>
      <c r="AC720">
        <v>0</v>
      </c>
      <c r="AD720">
        <v>26</v>
      </c>
      <c r="AE720">
        <v>0</v>
      </c>
      <c r="AF720">
        <v>0</v>
      </c>
      <c r="AG720">
        <v>0</v>
      </c>
      <c r="AH720">
        <v>26</v>
      </c>
      <c r="AI720">
        <v>0</v>
      </c>
      <c r="AJ720">
        <v>0</v>
      </c>
      <c r="AK720">
        <v>0</v>
      </c>
      <c r="AL720">
        <v>0</v>
      </c>
      <c r="AM720">
        <v>243</v>
      </c>
      <c r="AN720">
        <v>0</v>
      </c>
      <c r="AO720">
        <v>0</v>
      </c>
      <c r="AP720">
        <v>174</v>
      </c>
      <c r="AQ720">
        <v>243</v>
      </c>
      <c r="AR720">
        <v>69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f t="shared" si="123"/>
        <v>781</v>
      </c>
      <c r="BF720">
        <v>457</v>
      </c>
      <c r="BG720">
        <v>457</v>
      </c>
      <c r="BH720" t="s">
        <v>199</v>
      </c>
      <c r="BI720" t="s">
        <v>2270</v>
      </c>
      <c r="BJ720">
        <v>0</v>
      </c>
      <c r="BK720">
        <v>269</v>
      </c>
      <c r="BL720">
        <v>457</v>
      </c>
      <c r="BM720">
        <v>521</v>
      </c>
      <c r="BN720">
        <v>0</v>
      </c>
      <c r="BO720">
        <v>0</v>
      </c>
      <c r="BP720">
        <v>0</v>
      </c>
      <c r="BQ720">
        <v>521</v>
      </c>
      <c r="BR720">
        <f t="shared" si="124"/>
        <v>0</v>
      </c>
      <c r="BS720">
        <f t="shared" si="125"/>
        <v>56</v>
      </c>
    </row>
    <row r="721" spans="1:74" x14ac:dyDescent="0.25">
      <c r="A721" s="5" t="s">
        <v>2090</v>
      </c>
      <c r="B721" s="5" t="s">
        <v>207</v>
      </c>
      <c r="C721" s="5" t="s">
        <v>61</v>
      </c>
      <c r="D721" s="1" t="s">
        <v>196</v>
      </c>
      <c r="E721">
        <v>0</v>
      </c>
      <c r="F721">
        <v>96</v>
      </c>
      <c r="G721">
        <v>0</v>
      </c>
      <c r="H721">
        <v>0</v>
      </c>
      <c r="I721">
        <v>20</v>
      </c>
      <c r="J721">
        <v>1950</v>
      </c>
      <c r="K721">
        <v>200</v>
      </c>
      <c r="L721">
        <v>250</v>
      </c>
      <c r="M721">
        <v>0</v>
      </c>
      <c r="N721">
        <v>0</v>
      </c>
      <c r="O721">
        <v>0</v>
      </c>
      <c r="P721">
        <v>441</v>
      </c>
      <c r="Q721">
        <v>49</v>
      </c>
      <c r="R721">
        <v>49</v>
      </c>
      <c r="S721" s="18">
        <f t="shared" si="116"/>
        <v>9</v>
      </c>
      <c r="T721" s="17">
        <f t="shared" si="117"/>
        <v>0</v>
      </c>
      <c r="U721" s="17">
        <f t="shared" si="118"/>
        <v>0</v>
      </c>
      <c r="V721" s="17">
        <f t="shared" si="119"/>
        <v>0</v>
      </c>
      <c r="W721" s="17">
        <f t="shared" si="120"/>
        <v>49</v>
      </c>
      <c r="X721" s="17">
        <f t="shared" si="121"/>
        <v>0</v>
      </c>
      <c r="Y721" s="19" t="e">
        <f t="shared" si="122"/>
        <v>#DIV/0!</v>
      </c>
      <c r="Z721">
        <v>96</v>
      </c>
      <c r="AA721">
        <v>0</v>
      </c>
      <c r="AB721">
        <v>132</v>
      </c>
      <c r="AC721">
        <v>1500</v>
      </c>
      <c r="AD721">
        <v>0</v>
      </c>
      <c r="AE721">
        <v>0</v>
      </c>
      <c r="AF721">
        <v>0</v>
      </c>
      <c r="AG721">
        <v>20</v>
      </c>
      <c r="AH721">
        <v>20</v>
      </c>
      <c r="AI721">
        <v>0</v>
      </c>
      <c r="AJ721">
        <v>0</v>
      </c>
      <c r="AK721">
        <v>1950</v>
      </c>
      <c r="AL721">
        <v>1950</v>
      </c>
      <c r="AM721">
        <v>0</v>
      </c>
      <c r="AN721">
        <v>0</v>
      </c>
      <c r="AO721">
        <v>200</v>
      </c>
      <c r="AP721">
        <v>70</v>
      </c>
      <c r="AQ721">
        <v>200</v>
      </c>
      <c r="AR721">
        <v>130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250</v>
      </c>
      <c r="BA721">
        <v>250</v>
      </c>
      <c r="BB721">
        <v>0</v>
      </c>
      <c r="BC721">
        <v>0</v>
      </c>
      <c r="BD721">
        <v>0</v>
      </c>
      <c r="BE721">
        <f t="shared" si="123"/>
        <v>6540</v>
      </c>
      <c r="BF721">
        <v>5373</v>
      </c>
      <c r="BG721">
        <v>5373</v>
      </c>
      <c r="BH721" t="s">
        <v>82</v>
      </c>
      <c r="BI721" t="s">
        <v>2274</v>
      </c>
      <c r="BJ721">
        <v>1632</v>
      </c>
      <c r="BK721">
        <v>2420</v>
      </c>
      <c r="BL721">
        <v>4148</v>
      </c>
      <c r="BM721">
        <v>0</v>
      </c>
      <c r="BN721">
        <v>0</v>
      </c>
      <c r="BO721">
        <v>0</v>
      </c>
      <c r="BP721">
        <v>2861</v>
      </c>
      <c r="BQ721">
        <v>2861</v>
      </c>
      <c r="BR721">
        <f t="shared" si="124"/>
        <v>0</v>
      </c>
      <c r="BS721">
        <f t="shared" si="125"/>
        <v>98</v>
      </c>
    </row>
    <row r="722" spans="1:74" x14ac:dyDescent="0.25">
      <c r="A722" s="5" t="s">
        <v>2090</v>
      </c>
      <c r="B722" s="5" t="s">
        <v>207</v>
      </c>
      <c r="C722" s="5" t="s">
        <v>61</v>
      </c>
      <c r="D722" s="1" t="s">
        <v>353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8" t="e">
        <f t="shared" si="116"/>
        <v>#DIV/0!</v>
      </c>
      <c r="T722" s="17" t="e">
        <f t="shared" si="117"/>
        <v>#DIV/0!</v>
      </c>
      <c r="U722" s="17" t="e">
        <f t="shared" si="118"/>
        <v>#DIV/0!</v>
      </c>
      <c r="V722" s="17" t="e">
        <f t="shared" si="119"/>
        <v>#DIV/0!</v>
      </c>
      <c r="W722" s="17" t="e">
        <f t="shared" si="120"/>
        <v>#DIV/0!</v>
      </c>
      <c r="X722" s="17" t="e">
        <f t="shared" si="121"/>
        <v>#DIV/0!</v>
      </c>
      <c r="Y722" s="19" t="e">
        <f t="shared" si="122"/>
        <v>#DIV/0!</v>
      </c>
      <c r="Z722">
        <v>0</v>
      </c>
      <c r="AA722">
        <v>0</v>
      </c>
      <c r="AB722">
        <v>0</v>
      </c>
      <c r="AC722">
        <v>800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f t="shared" si="123"/>
        <v>800</v>
      </c>
      <c r="BH722" t="s">
        <v>82</v>
      </c>
      <c r="BI722" t="s">
        <v>2278</v>
      </c>
      <c r="BJ722">
        <v>800</v>
      </c>
      <c r="BK722">
        <v>0</v>
      </c>
      <c r="BL722">
        <v>800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f t="shared" si="124"/>
        <v>0</v>
      </c>
      <c r="BS722">
        <f t="shared" si="125"/>
        <v>0</v>
      </c>
    </row>
    <row r="723" spans="1:74" x14ac:dyDescent="0.25">
      <c r="A723" s="5" t="s">
        <v>627</v>
      </c>
      <c r="B723" s="5" t="s">
        <v>359</v>
      </c>
      <c r="C723" s="5" t="s">
        <v>61</v>
      </c>
      <c r="D723" s="1" t="s">
        <v>62</v>
      </c>
      <c r="E723">
        <v>0</v>
      </c>
      <c r="F723">
        <v>152</v>
      </c>
      <c r="G723">
        <v>0</v>
      </c>
      <c r="H723">
        <v>0</v>
      </c>
      <c r="I723">
        <v>451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1278</v>
      </c>
      <c r="Q723">
        <v>142</v>
      </c>
      <c r="R723">
        <v>142</v>
      </c>
      <c r="S723" s="18">
        <f t="shared" si="116"/>
        <v>9</v>
      </c>
      <c r="T723" s="17">
        <f t="shared" si="117"/>
        <v>0</v>
      </c>
      <c r="U723" s="17">
        <f t="shared" si="118"/>
        <v>0</v>
      </c>
      <c r="V723" s="17">
        <f t="shared" si="119"/>
        <v>0</v>
      </c>
      <c r="W723" s="17">
        <f t="shared" si="120"/>
        <v>142</v>
      </c>
      <c r="X723" s="17">
        <f t="shared" si="121"/>
        <v>0</v>
      </c>
      <c r="Y723" s="19" t="e">
        <f t="shared" si="122"/>
        <v>#DIV/0!</v>
      </c>
      <c r="Z723">
        <v>152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451</v>
      </c>
      <c r="AH723">
        <v>451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f t="shared" si="123"/>
        <v>902</v>
      </c>
      <c r="BF723">
        <v>603</v>
      </c>
      <c r="BG723">
        <v>603</v>
      </c>
      <c r="BH723" t="s">
        <v>63</v>
      </c>
      <c r="BI723" t="s">
        <v>846</v>
      </c>
      <c r="BJ723">
        <v>0</v>
      </c>
      <c r="BK723">
        <v>451</v>
      </c>
      <c r="BL723">
        <v>603</v>
      </c>
      <c r="BM723">
        <v>0</v>
      </c>
      <c r="BN723">
        <v>0</v>
      </c>
      <c r="BO723">
        <v>0</v>
      </c>
      <c r="BP723">
        <v>1729</v>
      </c>
      <c r="BQ723">
        <v>1729</v>
      </c>
      <c r="BR723">
        <f t="shared" si="124"/>
        <v>0</v>
      </c>
      <c r="BS723">
        <f t="shared" si="125"/>
        <v>284</v>
      </c>
      <c r="BU723">
        <f>R723*9</f>
        <v>1278</v>
      </c>
      <c r="BV723">
        <f>IF(BU723&gt;BG723, 1, 0)</f>
        <v>1</v>
      </c>
    </row>
    <row r="724" spans="1:74" x14ac:dyDescent="0.25">
      <c r="A724" s="5" t="s">
        <v>1661</v>
      </c>
      <c r="B724" s="5" t="s">
        <v>359</v>
      </c>
      <c r="C724" s="5" t="s">
        <v>359</v>
      </c>
      <c r="D724" s="1" t="s">
        <v>65</v>
      </c>
      <c r="E724">
        <v>318</v>
      </c>
      <c r="F724">
        <v>15</v>
      </c>
      <c r="G724">
        <v>0</v>
      </c>
      <c r="H724">
        <v>0</v>
      </c>
      <c r="I724">
        <v>2967</v>
      </c>
      <c r="J724">
        <v>1091</v>
      </c>
      <c r="K724">
        <v>12</v>
      </c>
      <c r="L724">
        <v>25</v>
      </c>
      <c r="M724">
        <v>0</v>
      </c>
      <c r="N724">
        <v>0</v>
      </c>
      <c r="O724">
        <v>0</v>
      </c>
      <c r="P724">
        <v>1161</v>
      </c>
      <c r="Q724">
        <v>347</v>
      </c>
      <c r="R724">
        <v>129</v>
      </c>
      <c r="S724" s="18">
        <f t="shared" si="116"/>
        <v>9</v>
      </c>
      <c r="T724" s="17">
        <f t="shared" si="117"/>
        <v>0</v>
      </c>
      <c r="U724" s="17">
        <f t="shared" si="118"/>
        <v>0</v>
      </c>
      <c r="V724" s="17">
        <f t="shared" si="119"/>
        <v>0</v>
      </c>
      <c r="W724" s="17">
        <f t="shared" si="120"/>
        <v>129</v>
      </c>
      <c r="X724" s="17">
        <f t="shared" si="121"/>
        <v>218</v>
      </c>
      <c r="Y724" s="19">
        <f t="shared" si="122"/>
        <v>0</v>
      </c>
      <c r="Z724">
        <v>15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2967</v>
      </c>
      <c r="AH724">
        <v>2967</v>
      </c>
      <c r="AI724">
        <v>0</v>
      </c>
      <c r="AJ724">
        <v>0</v>
      </c>
      <c r="AK724">
        <v>1091</v>
      </c>
      <c r="AL724">
        <v>1091</v>
      </c>
      <c r="AM724">
        <v>0</v>
      </c>
      <c r="AN724">
        <v>0</v>
      </c>
      <c r="AO724">
        <v>12</v>
      </c>
      <c r="AP724">
        <v>7</v>
      </c>
      <c r="AQ724">
        <v>12</v>
      </c>
      <c r="AR724">
        <v>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25</v>
      </c>
      <c r="BA724">
        <v>25</v>
      </c>
      <c r="BB724">
        <v>0</v>
      </c>
      <c r="BC724">
        <v>0</v>
      </c>
      <c r="BD724">
        <v>0</v>
      </c>
      <c r="BE724">
        <f t="shared" si="123"/>
        <v>8202</v>
      </c>
      <c r="BF724">
        <v>4428</v>
      </c>
      <c r="BG724">
        <v>4428</v>
      </c>
      <c r="BH724" t="s">
        <v>63</v>
      </c>
      <c r="BI724" t="s">
        <v>1922</v>
      </c>
      <c r="BJ724">
        <v>318</v>
      </c>
      <c r="BK724">
        <v>4095</v>
      </c>
      <c r="BL724">
        <v>4428</v>
      </c>
      <c r="BM724">
        <v>0</v>
      </c>
      <c r="BN724">
        <v>0</v>
      </c>
      <c r="BO724">
        <v>0</v>
      </c>
      <c r="BP724">
        <v>5256</v>
      </c>
      <c r="BQ724">
        <v>5256</v>
      </c>
      <c r="BR724">
        <f t="shared" si="124"/>
        <v>-218</v>
      </c>
      <c r="BS724">
        <f t="shared" si="125"/>
        <v>476</v>
      </c>
      <c r="BU724">
        <f>R724*9</f>
        <v>1161</v>
      </c>
      <c r="BV724">
        <f>IF(BU724&gt;BG724, 1, 0)</f>
        <v>0</v>
      </c>
    </row>
    <row r="725" spans="1:74" x14ac:dyDescent="0.25">
      <c r="A725" s="5" t="s">
        <v>2090</v>
      </c>
      <c r="B725" s="5" t="s">
        <v>359</v>
      </c>
      <c r="C725" s="5" t="s">
        <v>61</v>
      </c>
      <c r="D725" s="1" t="s">
        <v>69</v>
      </c>
      <c r="E725">
        <v>348</v>
      </c>
      <c r="F725">
        <v>8650</v>
      </c>
      <c r="G725">
        <v>0</v>
      </c>
      <c r="H725">
        <v>0</v>
      </c>
      <c r="I725">
        <v>3000</v>
      </c>
      <c r="J725">
        <v>10500</v>
      </c>
      <c r="K725">
        <v>6680</v>
      </c>
      <c r="L725">
        <v>280</v>
      </c>
      <c r="M725">
        <v>0</v>
      </c>
      <c r="N725">
        <v>3924</v>
      </c>
      <c r="O725">
        <v>0</v>
      </c>
      <c r="P725">
        <v>7839</v>
      </c>
      <c r="Q725">
        <v>1307</v>
      </c>
      <c r="R725">
        <v>1307</v>
      </c>
      <c r="S725" s="18">
        <f t="shared" si="116"/>
        <v>9</v>
      </c>
      <c r="T725" s="17">
        <f t="shared" si="117"/>
        <v>0</v>
      </c>
      <c r="U725" s="17">
        <f t="shared" si="118"/>
        <v>436</v>
      </c>
      <c r="V725" s="17">
        <f t="shared" si="119"/>
        <v>0</v>
      </c>
      <c r="W725" s="17">
        <f t="shared" si="120"/>
        <v>871</v>
      </c>
      <c r="X725" s="17">
        <f t="shared" si="121"/>
        <v>0</v>
      </c>
      <c r="Y725" s="19" t="e">
        <f t="shared" si="122"/>
        <v>#DIV/0!</v>
      </c>
      <c r="Z725">
        <v>8650</v>
      </c>
      <c r="AA725">
        <v>444</v>
      </c>
      <c r="AB725">
        <v>0</v>
      </c>
      <c r="AC725">
        <v>0</v>
      </c>
      <c r="AD725">
        <v>0</v>
      </c>
      <c r="AE725">
        <v>800</v>
      </c>
      <c r="AF725">
        <v>0</v>
      </c>
      <c r="AG725">
        <v>2200</v>
      </c>
      <c r="AH725">
        <v>3000</v>
      </c>
      <c r="AI725">
        <v>0</v>
      </c>
      <c r="AJ725">
        <v>6920</v>
      </c>
      <c r="AK725">
        <v>3580</v>
      </c>
      <c r="AL725">
        <v>10500</v>
      </c>
      <c r="AM725">
        <v>0</v>
      </c>
      <c r="AN725">
        <v>3600</v>
      </c>
      <c r="AO725">
        <v>3080</v>
      </c>
      <c r="AP725">
        <v>5600</v>
      </c>
      <c r="AQ725">
        <v>6680</v>
      </c>
      <c r="AR725">
        <v>1080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280</v>
      </c>
      <c r="BA725">
        <v>280</v>
      </c>
      <c r="BB725">
        <v>0</v>
      </c>
      <c r="BC725">
        <v>0</v>
      </c>
      <c r="BD725">
        <v>0</v>
      </c>
      <c r="BE725">
        <f t="shared" si="123"/>
        <v>47600</v>
      </c>
      <c r="BF725">
        <v>57402</v>
      </c>
      <c r="BG725">
        <v>57402</v>
      </c>
      <c r="BH725" t="s">
        <v>82</v>
      </c>
      <c r="BI725" t="s">
        <v>2283</v>
      </c>
      <c r="BJ725">
        <v>792</v>
      </c>
      <c r="BK725">
        <v>20460</v>
      </c>
      <c r="BL725">
        <v>29902</v>
      </c>
      <c r="BM725">
        <v>0</v>
      </c>
      <c r="BN725">
        <v>15244</v>
      </c>
      <c r="BO725">
        <v>0</v>
      </c>
      <c r="BP725">
        <v>16979</v>
      </c>
      <c r="BQ725">
        <v>32223</v>
      </c>
      <c r="BR725">
        <f t="shared" si="124"/>
        <v>0</v>
      </c>
      <c r="BS725">
        <f t="shared" si="125"/>
        <v>2614</v>
      </c>
    </row>
    <row r="726" spans="1:74" x14ac:dyDescent="0.25">
      <c r="A726" s="5" t="s">
        <v>2090</v>
      </c>
      <c r="B726" s="5" t="s">
        <v>359</v>
      </c>
      <c r="C726" s="5" t="s">
        <v>61</v>
      </c>
      <c r="D726" s="1" t="s">
        <v>73</v>
      </c>
      <c r="E726">
        <v>0</v>
      </c>
      <c r="F726">
        <v>33000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21600</v>
      </c>
      <c r="Q726">
        <v>2400</v>
      </c>
      <c r="R726">
        <v>2400</v>
      </c>
      <c r="S726" s="18">
        <f t="shared" si="116"/>
        <v>9</v>
      </c>
      <c r="T726" s="17">
        <f t="shared" si="117"/>
        <v>0</v>
      </c>
      <c r="U726" s="17">
        <f t="shared" si="118"/>
        <v>0</v>
      </c>
      <c r="V726" s="17">
        <f t="shared" si="119"/>
        <v>0</v>
      </c>
      <c r="W726" s="17">
        <f t="shared" si="120"/>
        <v>2400</v>
      </c>
      <c r="X726" s="17">
        <f t="shared" si="121"/>
        <v>0</v>
      </c>
      <c r="Y726" s="19" t="e">
        <f t="shared" si="122"/>
        <v>#DIV/0!</v>
      </c>
      <c r="Z726">
        <v>33000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f t="shared" si="123"/>
        <v>0</v>
      </c>
      <c r="BF726">
        <v>33000</v>
      </c>
      <c r="BG726">
        <v>33000</v>
      </c>
      <c r="BH726" t="s">
        <v>109</v>
      </c>
      <c r="BI726" t="s">
        <v>2285</v>
      </c>
      <c r="BJ726">
        <v>0</v>
      </c>
      <c r="BK726">
        <v>0</v>
      </c>
      <c r="BL726">
        <v>33000</v>
      </c>
      <c r="BM726">
        <v>0</v>
      </c>
      <c r="BN726">
        <v>0</v>
      </c>
      <c r="BO726">
        <v>0</v>
      </c>
      <c r="BP726">
        <v>21600</v>
      </c>
      <c r="BQ726">
        <v>21600</v>
      </c>
      <c r="BR726">
        <f t="shared" si="124"/>
        <v>0</v>
      </c>
      <c r="BS726">
        <f t="shared" si="125"/>
        <v>4800</v>
      </c>
    </row>
    <row r="727" spans="1:74" x14ac:dyDescent="0.25">
      <c r="A727" s="5" t="s">
        <v>2090</v>
      </c>
      <c r="B727" s="5" t="s">
        <v>359</v>
      </c>
      <c r="C727" s="5" t="s">
        <v>61</v>
      </c>
      <c r="D727" s="1" t="s">
        <v>81</v>
      </c>
      <c r="E727">
        <v>0</v>
      </c>
      <c r="F727">
        <v>80</v>
      </c>
      <c r="G727">
        <v>0</v>
      </c>
      <c r="H727">
        <v>0</v>
      </c>
      <c r="I727">
        <v>0</v>
      </c>
      <c r="J727">
        <v>0</v>
      </c>
      <c r="K727">
        <v>280</v>
      </c>
      <c r="L727">
        <v>0</v>
      </c>
      <c r="M727">
        <v>540</v>
      </c>
      <c r="N727">
        <v>0</v>
      </c>
      <c r="O727">
        <v>0</v>
      </c>
      <c r="P727">
        <v>0</v>
      </c>
      <c r="Q727">
        <v>60</v>
      </c>
      <c r="R727">
        <v>60</v>
      </c>
      <c r="S727" s="18">
        <f t="shared" si="116"/>
        <v>9</v>
      </c>
      <c r="T727" s="17">
        <f t="shared" si="117"/>
        <v>60</v>
      </c>
      <c r="U727" s="17">
        <f t="shared" si="118"/>
        <v>0</v>
      </c>
      <c r="V727" s="17">
        <f t="shared" si="119"/>
        <v>0</v>
      </c>
      <c r="W727" s="17">
        <f t="shared" si="120"/>
        <v>0</v>
      </c>
      <c r="X727" s="17">
        <f t="shared" si="121"/>
        <v>0</v>
      </c>
      <c r="Y727" s="19" t="e">
        <f t="shared" si="122"/>
        <v>#DIV/0!</v>
      </c>
      <c r="Z727">
        <v>80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280</v>
      </c>
      <c r="AN727">
        <v>0</v>
      </c>
      <c r="AO727">
        <v>0</v>
      </c>
      <c r="AP727">
        <v>160</v>
      </c>
      <c r="AQ727">
        <v>280</v>
      </c>
      <c r="AR727">
        <v>120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f t="shared" si="123"/>
        <v>840</v>
      </c>
      <c r="BF727">
        <v>360</v>
      </c>
      <c r="BG727">
        <v>360</v>
      </c>
      <c r="BH727" t="s">
        <v>190</v>
      </c>
      <c r="BI727" t="s">
        <v>2289</v>
      </c>
      <c r="BJ727">
        <v>0</v>
      </c>
      <c r="BK727">
        <v>280</v>
      </c>
      <c r="BL727">
        <v>360</v>
      </c>
      <c r="BM727">
        <v>820</v>
      </c>
      <c r="BN727">
        <v>0</v>
      </c>
      <c r="BO727">
        <v>0</v>
      </c>
      <c r="BP727">
        <v>0</v>
      </c>
      <c r="BQ727">
        <v>820</v>
      </c>
      <c r="BR727">
        <f t="shared" si="124"/>
        <v>0</v>
      </c>
      <c r="BS727">
        <f t="shared" si="125"/>
        <v>120</v>
      </c>
    </row>
    <row r="728" spans="1:74" x14ac:dyDescent="0.25">
      <c r="A728" s="5" t="s">
        <v>359</v>
      </c>
      <c r="B728" s="5" t="s">
        <v>359</v>
      </c>
      <c r="C728" s="5" t="s">
        <v>61</v>
      </c>
      <c r="D728" s="1" t="s">
        <v>79</v>
      </c>
      <c r="E728">
        <v>0</v>
      </c>
      <c r="F728">
        <v>161</v>
      </c>
      <c r="G728">
        <v>0</v>
      </c>
      <c r="H728">
        <v>0</v>
      </c>
      <c r="I728">
        <v>194</v>
      </c>
      <c r="J728">
        <v>3200</v>
      </c>
      <c r="K728">
        <v>0</v>
      </c>
      <c r="L728">
        <v>22</v>
      </c>
      <c r="M728">
        <v>567</v>
      </c>
      <c r="N728">
        <v>0</v>
      </c>
      <c r="O728">
        <v>0</v>
      </c>
      <c r="P728">
        <v>576</v>
      </c>
      <c r="Q728">
        <v>283</v>
      </c>
      <c r="R728">
        <v>127</v>
      </c>
      <c r="S728" s="18">
        <f t="shared" si="116"/>
        <v>9</v>
      </c>
      <c r="T728" s="17">
        <f t="shared" si="117"/>
        <v>63</v>
      </c>
      <c r="U728" s="17">
        <f t="shared" si="118"/>
        <v>0</v>
      </c>
      <c r="V728" s="17">
        <f t="shared" si="119"/>
        <v>0</v>
      </c>
      <c r="W728" s="17">
        <f t="shared" si="120"/>
        <v>64</v>
      </c>
      <c r="X728" s="17">
        <f t="shared" si="121"/>
        <v>156</v>
      </c>
      <c r="Y728" s="19">
        <f t="shared" si="122"/>
        <v>0</v>
      </c>
      <c r="Z728">
        <v>161</v>
      </c>
      <c r="AA728">
        <v>0</v>
      </c>
      <c r="AB728">
        <v>0</v>
      </c>
      <c r="AC728">
        <v>250</v>
      </c>
      <c r="AD728">
        <v>0</v>
      </c>
      <c r="AE728">
        <v>0</v>
      </c>
      <c r="AF728">
        <v>0</v>
      </c>
      <c r="AG728">
        <v>194</v>
      </c>
      <c r="AH728">
        <v>194</v>
      </c>
      <c r="AI728">
        <v>0</v>
      </c>
      <c r="AJ728">
        <v>0</v>
      </c>
      <c r="AK728">
        <v>3200</v>
      </c>
      <c r="AL728">
        <v>3200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22</v>
      </c>
      <c r="BA728">
        <v>22</v>
      </c>
      <c r="BB728">
        <v>0</v>
      </c>
      <c r="BC728">
        <v>0</v>
      </c>
      <c r="BD728">
        <v>0</v>
      </c>
      <c r="BE728">
        <f t="shared" si="123"/>
        <v>7082</v>
      </c>
      <c r="BF728">
        <v>3827</v>
      </c>
      <c r="BG728">
        <v>3827</v>
      </c>
      <c r="BH728" t="s">
        <v>63</v>
      </c>
      <c r="BI728" t="s">
        <v>764</v>
      </c>
      <c r="BJ728">
        <v>250</v>
      </c>
      <c r="BK728">
        <v>3416</v>
      </c>
      <c r="BL728">
        <v>3827</v>
      </c>
      <c r="BM728">
        <v>567</v>
      </c>
      <c r="BN728">
        <v>0</v>
      </c>
      <c r="BO728">
        <v>0</v>
      </c>
      <c r="BP728">
        <v>3992</v>
      </c>
      <c r="BQ728">
        <v>4559</v>
      </c>
      <c r="BR728">
        <f t="shared" si="124"/>
        <v>-156</v>
      </c>
      <c r="BS728">
        <f t="shared" si="125"/>
        <v>410</v>
      </c>
      <c r="BU728">
        <f>R728*9</f>
        <v>1143</v>
      </c>
      <c r="BV728">
        <f>IF(BU728&gt;BG728, 1, 0)</f>
        <v>0</v>
      </c>
    </row>
    <row r="729" spans="1:74" x14ac:dyDescent="0.25">
      <c r="A729" s="5" t="s">
        <v>1135</v>
      </c>
      <c r="B729" s="5" t="s">
        <v>207</v>
      </c>
      <c r="C729" s="5" t="s">
        <v>61</v>
      </c>
      <c r="D729" s="1" t="s">
        <v>67</v>
      </c>
      <c r="E729">
        <v>0</v>
      </c>
      <c r="F729">
        <v>625</v>
      </c>
      <c r="G729">
        <v>0</v>
      </c>
      <c r="H729">
        <v>0</v>
      </c>
      <c r="I729">
        <v>1764</v>
      </c>
      <c r="J729">
        <v>0</v>
      </c>
      <c r="K729">
        <v>285</v>
      </c>
      <c r="L729">
        <v>0</v>
      </c>
      <c r="M729">
        <v>0</v>
      </c>
      <c r="N729">
        <v>0</v>
      </c>
      <c r="O729">
        <v>0</v>
      </c>
      <c r="P729">
        <v>1125</v>
      </c>
      <c r="Q729">
        <v>125</v>
      </c>
      <c r="R729">
        <v>125</v>
      </c>
      <c r="S729" s="18">
        <f t="shared" si="116"/>
        <v>9</v>
      </c>
      <c r="T729" s="17">
        <f t="shared" si="117"/>
        <v>0</v>
      </c>
      <c r="U729" s="17">
        <f t="shared" si="118"/>
        <v>0</v>
      </c>
      <c r="V729" s="17">
        <f t="shared" si="119"/>
        <v>0</v>
      </c>
      <c r="W729" s="17">
        <f t="shared" si="120"/>
        <v>125</v>
      </c>
      <c r="X729" s="17">
        <f t="shared" si="121"/>
        <v>0</v>
      </c>
      <c r="Y729" s="19" t="e">
        <f t="shared" si="122"/>
        <v>#DIV/0!</v>
      </c>
      <c r="Z729">
        <v>625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1764</v>
      </c>
      <c r="AH729">
        <v>1764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285</v>
      </c>
      <c r="AP729">
        <v>100</v>
      </c>
      <c r="AQ729">
        <v>285</v>
      </c>
      <c r="AR729">
        <v>185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f t="shared" si="123"/>
        <v>4383</v>
      </c>
      <c r="BF729">
        <v>2674</v>
      </c>
      <c r="BG729">
        <v>2674</v>
      </c>
      <c r="BH729" t="s">
        <v>63</v>
      </c>
      <c r="BI729" t="s">
        <v>1199</v>
      </c>
      <c r="BJ729">
        <v>0</v>
      </c>
      <c r="BK729">
        <v>2049</v>
      </c>
      <c r="BL729">
        <v>2674</v>
      </c>
      <c r="BM729">
        <v>0</v>
      </c>
      <c r="BN729">
        <v>0</v>
      </c>
      <c r="BO729">
        <v>0</v>
      </c>
      <c r="BP729">
        <v>3174</v>
      </c>
      <c r="BQ729">
        <v>3174</v>
      </c>
      <c r="BR729">
        <f t="shared" si="124"/>
        <v>0</v>
      </c>
      <c r="BS729">
        <f t="shared" si="125"/>
        <v>250</v>
      </c>
      <c r="BU729">
        <f>R729*9</f>
        <v>1125</v>
      </c>
      <c r="BV729">
        <f>IF(BU729&gt;BG729, 1, 0)</f>
        <v>0</v>
      </c>
    </row>
    <row r="730" spans="1:74" x14ac:dyDescent="0.25">
      <c r="A730" s="5" t="s">
        <v>2294</v>
      </c>
      <c r="B730" s="5" t="s">
        <v>61</v>
      </c>
      <c r="C730" s="5" t="s">
        <v>61</v>
      </c>
      <c r="D730" s="1" t="s">
        <v>88</v>
      </c>
      <c r="E730">
        <v>0</v>
      </c>
      <c r="F730">
        <v>389</v>
      </c>
      <c r="G730">
        <v>0</v>
      </c>
      <c r="H730">
        <v>0</v>
      </c>
      <c r="I730">
        <v>356</v>
      </c>
      <c r="J730">
        <v>0</v>
      </c>
      <c r="K730">
        <v>0</v>
      </c>
      <c r="L730">
        <v>0</v>
      </c>
      <c r="M730">
        <v>3501</v>
      </c>
      <c r="N730">
        <v>0</v>
      </c>
      <c r="O730">
        <v>0</v>
      </c>
      <c r="P730">
        <v>0</v>
      </c>
      <c r="Q730">
        <v>389</v>
      </c>
      <c r="R730">
        <v>389</v>
      </c>
      <c r="S730" s="18">
        <f t="shared" si="116"/>
        <v>9</v>
      </c>
      <c r="T730" s="17">
        <f t="shared" si="117"/>
        <v>389</v>
      </c>
      <c r="U730" s="17">
        <f t="shared" si="118"/>
        <v>0</v>
      </c>
      <c r="V730" s="17">
        <f t="shared" si="119"/>
        <v>0</v>
      </c>
      <c r="W730" s="17">
        <f t="shared" si="120"/>
        <v>0</v>
      </c>
      <c r="X730" s="17">
        <f t="shared" si="121"/>
        <v>0</v>
      </c>
      <c r="Y730" s="19" t="e">
        <f t="shared" si="122"/>
        <v>#DIV/0!</v>
      </c>
      <c r="Z730">
        <v>389</v>
      </c>
      <c r="AA730">
        <v>0</v>
      </c>
      <c r="AB730">
        <v>0</v>
      </c>
      <c r="AC730">
        <v>0</v>
      </c>
      <c r="AD730">
        <v>356</v>
      </c>
      <c r="AE730">
        <v>0</v>
      </c>
      <c r="AF730">
        <v>0</v>
      </c>
      <c r="AG730">
        <v>0</v>
      </c>
      <c r="AH730">
        <v>356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f t="shared" si="123"/>
        <v>712</v>
      </c>
      <c r="BF730">
        <v>745</v>
      </c>
      <c r="BG730">
        <v>745</v>
      </c>
      <c r="BH730" t="s">
        <v>109</v>
      </c>
      <c r="BI730" t="s">
        <v>2306</v>
      </c>
      <c r="BJ730">
        <v>0</v>
      </c>
      <c r="BK730">
        <v>356</v>
      </c>
      <c r="BL730">
        <v>745</v>
      </c>
      <c r="BM730">
        <v>3857</v>
      </c>
      <c r="BN730">
        <v>0</v>
      </c>
      <c r="BO730">
        <v>0</v>
      </c>
      <c r="BP730">
        <v>0</v>
      </c>
      <c r="BQ730">
        <v>3857</v>
      </c>
      <c r="BR730">
        <f t="shared" si="124"/>
        <v>0</v>
      </c>
      <c r="BS730">
        <f t="shared" si="125"/>
        <v>778</v>
      </c>
    </row>
    <row r="731" spans="1:74" x14ac:dyDescent="0.25">
      <c r="A731" s="5" t="s">
        <v>2294</v>
      </c>
      <c r="B731" s="5" t="s">
        <v>207</v>
      </c>
      <c r="C731" s="5" t="s">
        <v>61</v>
      </c>
      <c r="D731" s="1" t="s">
        <v>71</v>
      </c>
      <c r="E731">
        <v>0</v>
      </c>
      <c r="F731">
        <v>22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198</v>
      </c>
      <c r="Q731">
        <v>22</v>
      </c>
      <c r="R731">
        <v>22</v>
      </c>
      <c r="S731" s="18">
        <f t="shared" si="116"/>
        <v>9</v>
      </c>
      <c r="T731" s="17">
        <f t="shared" si="117"/>
        <v>0</v>
      </c>
      <c r="U731" s="17">
        <f t="shared" si="118"/>
        <v>0</v>
      </c>
      <c r="V731" s="17">
        <f t="shared" si="119"/>
        <v>0</v>
      </c>
      <c r="W731" s="17">
        <f t="shared" si="120"/>
        <v>22</v>
      </c>
      <c r="X731" s="17">
        <f t="shared" si="121"/>
        <v>0</v>
      </c>
      <c r="Y731" s="19" t="e">
        <f t="shared" si="122"/>
        <v>#DIV/0!</v>
      </c>
      <c r="Z731">
        <v>22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4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f t="shared" si="123"/>
        <v>4</v>
      </c>
      <c r="BF731">
        <v>22</v>
      </c>
      <c r="BG731">
        <v>22</v>
      </c>
      <c r="BH731" t="s">
        <v>109</v>
      </c>
      <c r="BI731" t="s">
        <v>2327</v>
      </c>
      <c r="BJ731">
        <v>0</v>
      </c>
      <c r="BK731">
        <v>0</v>
      </c>
      <c r="BL731">
        <v>22</v>
      </c>
      <c r="BM731">
        <v>0</v>
      </c>
      <c r="BN731">
        <v>0</v>
      </c>
      <c r="BO731">
        <v>0</v>
      </c>
      <c r="BP731">
        <v>198</v>
      </c>
      <c r="BQ731">
        <v>198</v>
      </c>
      <c r="BR731">
        <f t="shared" si="124"/>
        <v>0</v>
      </c>
      <c r="BS731">
        <f t="shared" si="125"/>
        <v>44</v>
      </c>
    </row>
    <row r="732" spans="1:74" x14ac:dyDescent="0.25">
      <c r="A732" s="5" t="s">
        <v>2294</v>
      </c>
      <c r="B732" s="5" t="s">
        <v>207</v>
      </c>
      <c r="C732" s="5" t="s">
        <v>61</v>
      </c>
      <c r="D732" s="1" t="s">
        <v>73</v>
      </c>
      <c r="E732">
        <v>0</v>
      </c>
      <c r="F732">
        <v>48</v>
      </c>
      <c r="G732">
        <v>0</v>
      </c>
      <c r="H732">
        <v>0</v>
      </c>
      <c r="I732">
        <v>92</v>
      </c>
      <c r="J732">
        <v>0</v>
      </c>
      <c r="K732">
        <v>402</v>
      </c>
      <c r="L732">
        <v>0</v>
      </c>
      <c r="M732">
        <v>0</v>
      </c>
      <c r="N732">
        <v>0</v>
      </c>
      <c r="O732">
        <v>0</v>
      </c>
      <c r="P732">
        <v>432</v>
      </c>
      <c r="Q732">
        <v>48</v>
      </c>
      <c r="R732">
        <v>48</v>
      </c>
      <c r="S732" s="18">
        <f t="shared" si="116"/>
        <v>9</v>
      </c>
      <c r="T732" s="17">
        <f t="shared" si="117"/>
        <v>0</v>
      </c>
      <c r="U732" s="17">
        <f t="shared" si="118"/>
        <v>0</v>
      </c>
      <c r="V732" s="17">
        <f t="shared" si="119"/>
        <v>0</v>
      </c>
      <c r="W732" s="17">
        <f t="shared" si="120"/>
        <v>48</v>
      </c>
      <c r="X732" s="17">
        <f t="shared" si="121"/>
        <v>0</v>
      </c>
      <c r="Y732" s="19" t="e">
        <f t="shared" si="122"/>
        <v>#DIV/0!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92</v>
      </c>
      <c r="AH732">
        <v>92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402</v>
      </c>
      <c r="AP732">
        <v>91</v>
      </c>
      <c r="AQ732">
        <v>402</v>
      </c>
      <c r="AR732">
        <v>311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f t="shared" si="123"/>
        <v>1390</v>
      </c>
      <c r="BF732">
        <v>995</v>
      </c>
      <c r="BG732">
        <v>995</v>
      </c>
      <c r="BH732" t="s">
        <v>82</v>
      </c>
      <c r="BI732" t="s">
        <v>2328</v>
      </c>
      <c r="BJ732">
        <v>0</v>
      </c>
      <c r="BK732">
        <v>494</v>
      </c>
      <c r="BL732">
        <v>494</v>
      </c>
      <c r="BM732">
        <v>0</v>
      </c>
      <c r="BN732">
        <v>0</v>
      </c>
      <c r="BO732">
        <v>0</v>
      </c>
      <c r="BP732">
        <v>926</v>
      </c>
      <c r="BQ732">
        <v>926</v>
      </c>
      <c r="BR732">
        <f t="shared" si="124"/>
        <v>0</v>
      </c>
      <c r="BS732">
        <f t="shared" si="125"/>
        <v>96</v>
      </c>
    </row>
    <row r="733" spans="1:74" x14ac:dyDescent="0.25">
      <c r="A733" s="5" t="s">
        <v>2294</v>
      </c>
      <c r="B733" s="5" t="s">
        <v>207</v>
      </c>
      <c r="C733" s="5" t="s">
        <v>61</v>
      </c>
      <c r="D733" s="1" t="s">
        <v>75</v>
      </c>
      <c r="E733">
        <v>0</v>
      </c>
      <c r="F733">
        <v>34</v>
      </c>
      <c r="G733">
        <v>0</v>
      </c>
      <c r="H733">
        <v>0</v>
      </c>
      <c r="I733">
        <v>120</v>
      </c>
      <c r="J733">
        <v>0</v>
      </c>
      <c r="K733">
        <v>95</v>
      </c>
      <c r="L733">
        <v>8</v>
      </c>
      <c r="M733">
        <v>0</v>
      </c>
      <c r="N733">
        <v>0</v>
      </c>
      <c r="O733">
        <v>0</v>
      </c>
      <c r="P733">
        <v>306</v>
      </c>
      <c r="Q733">
        <v>34</v>
      </c>
      <c r="R733">
        <v>34</v>
      </c>
      <c r="S733" s="18">
        <f t="shared" si="116"/>
        <v>9</v>
      </c>
      <c r="T733" s="17">
        <f t="shared" si="117"/>
        <v>0</v>
      </c>
      <c r="U733" s="17">
        <f t="shared" si="118"/>
        <v>0</v>
      </c>
      <c r="V733" s="17">
        <f t="shared" si="119"/>
        <v>0</v>
      </c>
      <c r="W733" s="17">
        <f t="shared" si="120"/>
        <v>34</v>
      </c>
      <c r="X733" s="17">
        <f t="shared" si="121"/>
        <v>0</v>
      </c>
      <c r="Y733" s="19" t="e">
        <f t="shared" si="122"/>
        <v>#DIV/0!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120</v>
      </c>
      <c r="AH733">
        <v>120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95</v>
      </c>
      <c r="AP733">
        <v>72</v>
      </c>
      <c r="AQ733">
        <v>95</v>
      </c>
      <c r="AR733">
        <v>23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8</v>
      </c>
      <c r="BA733">
        <v>8</v>
      </c>
      <c r="BB733">
        <v>0</v>
      </c>
      <c r="BC733">
        <v>0</v>
      </c>
      <c r="BD733">
        <v>0</v>
      </c>
      <c r="BE733">
        <f t="shared" si="123"/>
        <v>541</v>
      </c>
      <c r="BF733">
        <v>780</v>
      </c>
      <c r="BG733">
        <v>780</v>
      </c>
      <c r="BH733" t="s">
        <v>82</v>
      </c>
      <c r="BI733" t="s">
        <v>2329</v>
      </c>
      <c r="BJ733">
        <v>0</v>
      </c>
      <c r="BK733">
        <v>223</v>
      </c>
      <c r="BL733">
        <v>223</v>
      </c>
      <c r="BM733">
        <v>0</v>
      </c>
      <c r="BN733">
        <v>0</v>
      </c>
      <c r="BO733">
        <v>0</v>
      </c>
      <c r="BP733">
        <v>529</v>
      </c>
      <c r="BQ733">
        <v>529</v>
      </c>
      <c r="BR733">
        <f t="shared" si="124"/>
        <v>0</v>
      </c>
      <c r="BS733">
        <f t="shared" si="125"/>
        <v>68</v>
      </c>
    </row>
    <row r="734" spans="1:74" x14ac:dyDescent="0.25">
      <c r="A734" s="5" t="s">
        <v>2294</v>
      </c>
      <c r="B734" s="5" t="s">
        <v>207</v>
      </c>
      <c r="C734" s="5" t="s">
        <v>61</v>
      </c>
      <c r="D734" s="1" t="s">
        <v>81</v>
      </c>
      <c r="E734">
        <v>0</v>
      </c>
      <c r="F734">
        <v>355</v>
      </c>
      <c r="G734">
        <v>0</v>
      </c>
      <c r="H734">
        <v>0</v>
      </c>
      <c r="I734">
        <v>0</v>
      </c>
      <c r="J734">
        <v>0</v>
      </c>
      <c r="K734">
        <v>233</v>
      </c>
      <c r="L734">
        <v>0</v>
      </c>
      <c r="M734">
        <v>0</v>
      </c>
      <c r="N734">
        <v>0</v>
      </c>
      <c r="O734">
        <v>0</v>
      </c>
      <c r="P734">
        <v>3195</v>
      </c>
      <c r="Q734">
        <v>355</v>
      </c>
      <c r="R734">
        <v>355</v>
      </c>
      <c r="S734" s="18">
        <f t="shared" si="116"/>
        <v>9</v>
      </c>
      <c r="T734" s="17">
        <f t="shared" si="117"/>
        <v>0</v>
      </c>
      <c r="U734" s="17">
        <f t="shared" si="118"/>
        <v>0</v>
      </c>
      <c r="V734" s="17">
        <f t="shared" si="119"/>
        <v>0</v>
      </c>
      <c r="W734" s="17">
        <f t="shared" si="120"/>
        <v>355</v>
      </c>
      <c r="X734" s="17">
        <f t="shared" si="121"/>
        <v>0</v>
      </c>
      <c r="Y734" s="19" t="e">
        <f t="shared" si="122"/>
        <v>#DIV/0!</v>
      </c>
      <c r="Z734">
        <v>355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233</v>
      </c>
      <c r="AP734">
        <v>233</v>
      </c>
      <c r="AQ734">
        <v>233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f t="shared" si="123"/>
        <v>699</v>
      </c>
      <c r="BF734">
        <v>588</v>
      </c>
      <c r="BG734">
        <v>588</v>
      </c>
      <c r="BH734" t="s">
        <v>109</v>
      </c>
      <c r="BI734" t="s">
        <v>2332</v>
      </c>
      <c r="BJ734">
        <v>0</v>
      </c>
      <c r="BK734">
        <v>233</v>
      </c>
      <c r="BL734">
        <v>588</v>
      </c>
      <c r="BM734">
        <v>0</v>
      </c>
      <c r="BN734">
        <v>0</v>
      </c>
      <c r="BO734">
        <v>0</v>
      </c>
      <c r="BP734">
        <v>3428</v>
      </c>
      <c r="BQ734">
        <v>3428</v>
      </c>
      <c r="BR734">
        <f t="shared" si="124"/>
        <v>0</v>
      </c>
      <c r="BS734">
        <f t="shared" si="125"/>
        <v>710</v>
      </c>
    </row>
    <row r="735" spans="1:74" x14ac:dyDescent="0.25">
      <c r="A735" s="5" t="s">
        <v>2294</v>
      </c>
      <c r="B735" s="5" t="s">
        <v>207</v>
      </c>
      <c r="C735" s="5" t="s">
        <v>61</v>
      </c>
      <c r="D735" s="1" t="s">
        <v>88</v>
      </c>
      <c r="E735">
        <v>148</v>
      </c>
      <c r="F735">
        <v>169</v>
      </c>
      <c r="G735">
        <v>360</v>
      </c>
      <c r="H735">
        <v>0</v>
      </c>
      <c r="I735">
        <v>207</v>
      </c>
      <c r="J735">
        <v>400</v>
      </c>
      <c r="K735">
        <v>0</v>
      </c>
      <c r="L735">
        <v>66</v>
      </c>
      <c r="M735">
        <v>0</v>
      </c>
      <c r="N735">
        <v>0</v>
      </c>
      <c r="O735">
        <v>0</v>
      </c>
      <c r="P735">
        <v>1521</v>
      </c>
      <c r="Q735">
        <v>169</v>
      </c>
      <c r="R735">
        <v>169</v>
      </c>
      <c r="S735" s="18">
        <f t="shared" si="116"/>
        <v>9</v>
      </c>
      <c r="T735" s="17">
        <f t="shared" si="117"/>
        <v>0</v>
      </c>
      <c r="U735" s="17">
        <f t="shared" si="118"/>
        <v>0</v>
      </c>
      <c r="V735" s="17">
        <f t="shared" si="119"/>
        <v>0</v>
      </c>
      <c r="W735" s="17">
        <f t="shared" si="120"/>
        <v>169</v>
      </c>
      <c r="X735" s="17">
        <f t="shared" si="121"/>
        <v>0</v>
      </c>
      <c r="Y735" s="19" t="e">
        <f t="shared" si="122"/>
        <v>#DIV/0!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207</v>
      </c>
      <c r="AH735">
        <v>207</v>
      </c>
      <c r="AI735">
        <v>0</v>
      </c>
      <c r="AJ735">
        <v>0</v>
      </c>
      <c r="AK735">
        <v>400</v>
      </c>
      <c r="AL735">
        <v>400</v>
      </c>
      <c r="AM735">
        <v>0</v>
      </c>
      <c r="AN735">
        <v>0</v>
      </c>
      <c r="AO735">
        <v>360</v>
      </c>
      <c r="AP735">
        <v>0</v>
      </c>
      <c r="AQ735">
        <v>360</v>
      </c>
      <c r="AR735">
        <v>360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66</v>
      </c>
      <c r="BA735">
        <v>66</v>
      </c>
      <c r="BB735">
        <v>0</v>
      </c>
      <c r="BC735">
        <v>0</v>
      </c>
      <c r="BD735">
        <v>0</v>
      </c>
      <c r="BE735">
        <f t="shared" si="123"/>
        <v>2426</v>
      </c>
      <c r="BF735">
        <v>5561</v>
      </c>
      <c r="BG735">
        <v>5561</v>
      </c>
      <c r="BH735" t="s">
        <v>82</v>
      </c>
      <c r="BI735" t="s">
        <v>2334</v>
      </c>
      <c r="BJ735">
        <v>148</v>
      </c>
      <c r="BK735">
        <v>1033</v>
      </c>
      <c r="BL735">
        <v>1181</v>
      </c>
      <c r="BM735">
        <v>0</v>
      </c>
      <c r="BN735">
        <v>0</v>
      </c>
      <c r="BO735">
        <v>0</v>
      </c>
      <c r="BP735">
        <v>2554</v>
      </c>
      <c r="BQ735">
        <v>2554</v>
      </c>
      <c r="BR735">
        <f t="shared" si="124"/>
        <v>0</v>
      </c>
      <c r="BS735">
        <f t="shared" si="125"/>
        <v>338</v>
      </c>
    </row>
    <row r="736" spans="1:74" x14ac:dyDescent="0.25">
      <c r="A736" s="5" t="s">
        <v>2294</v>
      </c>
      <c r="B736" s="5" t="s">
        <v>207</v>
      </c>
      <c r="C736" s="5" t="s">
        <v>61</v>
      </c>
      <c r="D736" s="1" t="s">
        <v>90</v>
      </c>
      <c r="E736">
        <v>16</v>
      </c>
      <c r="F736">
        <v>37</v>
      </c>
      <c r="G736">
        <v>0</v>
      </c>
      <c r="H736">
        <v>0</v>
      </c>
      <c r="I736">
        <v>211</v>
      </c>
      <c r="J736">
        <v>0</v>
      </c>
      <c r="K736">
        <v>460</v>
      </c>
      <c r="L736">
        <v>2</v>
      </c>
      <c r="M736">
        <v>0</v>
      </c>
      <c r="N736">
        <v>0</v>
      </c>
      <c r="O736">
        <v>0</v>
      </c>
      <c r="P736">
        <v>333</v>
      </c>
      <c r="Q736">
        <v>37</v>
      </c>
      <c r="R736">
        <v>37</v>
      </c>
      <c r="S736" s="18">
        <f t="shared" si="116"/>
        <v>9</v>
      </c>
      <c r="T736" s="17">
        <f t="shared" si="117"/>
        <v>0</v>
      </c>
      <c r="U736" s="17">
        <f t="shared" si="118"/>
        <v>0</v>
      </c>
      <c r="V736" s="17">
        <f t="shared" si="119"/>
        <v>0</v>
      </c>
      <c r="W736" s="17">
        <f t="shared" si="120"/>
        <v>37</v>
      </c>
      <c r="X736" s="17">
        <f t="shared" si="121"/>
        <v>0</v>
      </c>
      <c r="Y736" s="19" t="e">
        <f t="shared" si="122"/>
        <v>#DIV/0!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211</v>
      </c>
      <c r="AH736">
        <v>211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460</v>
      </c>
      <c r="AP736">
        <v>251</v>
      </c>
      <c r="AQ736">
        <v>460</v>
      </c>
      <c r="AR736">
        <v>209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2</v>
      </c>
      <c r="BA736">
        <v>2</v>
      </c>
      <c r="BB736">
        <v>0</v>
      </c>
      <c r="BC736">
        <v>0</v>
      </c>
      <c r="BD736">
        <v>0</v>
      </c>
      <c r="BE736">
        <f t="shared" si="123"/>
        <v>1806</v>
      </c>
      <c r="BF736">
        <v>1532</v>
      </c>
      <c r="BG736">
        <v>1532</v>
      </c>
      <c r="BH736" t="s">
        <v>82</v>
      </c>
      <c r="BI736" t="s">
        <v>2335</v>
      </c>
      <c r="BJ736">
        <v>16</v>
      </c>
      <c r="BK736">
        <v>673</v>
      </c>
      <c r="BL736">
        <v>689</v>
      </c>
      <c r="BM736">
        <v>0</v>
      </c>
      <c r="BN736">
        <v>0</v>
      </c>
      <c r="BO736">
        <v>0</v>
      </c>
      <c r="BP736">
        <v>1006</v>
      </c>
      <c r="BQ736">
        <v>1006</v>
      </c>
      <c r="BR736">
        <f t="shared" si="124"/>
        <v>0</v>
      </c>
      <c r="BS736">
        <f t="shared" si="125"/>
        <v>74</v>
      </c>
    </row>
    <row r="737" spans="1:71" x14ac:dyDescent="0.25">
      <c r="A737" s="5" t="s">
        <v>2294</v>
      </c>
      <c r="B737" s="5" t="s">
        <v>207</v>
      </c>
      <c r="C737" s="5" t="s">
        <v>61</v>
      </c>
      <c r="D737" s="1" t="s">
        <v>108</v>
      </c>
      <c r="E737">
        <v>0</v>
      </c>
      <c r="F737">
        <v>134</v>
      </c>
      <c r="G737">
        <v>0</v>
      </c>
      <c r="H737">
        <v>0</v>
      </c>
      <c r="I737">
        <v>53</v>
      </c>
      <c r="J737">
        <v>255</v>
      </c>
      <c r="K737">
        <v>452</v>
      </c>
      <c r="L737">
        <v>2</v>
      </c>
      <c r="M737">
        <v>0</v>
      </c>
      <c r="N737">
        <v>0</v>
      </c>
      <c r="O737">
        <v>0</v>
      </c>
      <c r="P737">
        <v>1206</v>
      </c>
      <c r="Q737">
        <v>134</v>
      </c>
      <c r="R737">
        <v>134</v>
      </c>
      <c r="S737" s="18">
        <f t="shared" si="116"/>
        <v>9</v>
      </c>
      <c r="T737" s="17">
        <f t="shared" si="117"/>
        <v>0</v>
      </c>
      <c r="U737" s="17">
        <f t="shared" si="118"/>
        <v>0</v>
      </c>
      <c r="V737" s="17">
        <f t="shared" si="119"/>
        <v>0</v>
      </c>
      <c r="W737" s="17">
        <f t="shared" si="120"/>
        <v>134</v>
      </c>
      <c r="X737" s="17">
        <f t="shared" si="121"/>
        <v>0</v>
      </c>
      <c r="Y737" s="19" t="e">
        <f t="shared" si="122"/>
        <v>#DIV/0!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53</v>
      </c>
      <c r="AH737">
        <v>53</v>
      </c>
      <c r="AI737">
        <v>0</v>
      </c>
      <c r="AJ737">
        <v>0</v>
      </c>
      <c r="AK737">
        <v>255</v>
      </c>
      <c r="AL737">
        <v>255</v>
      </c>
      <c r="AM737">
        <v>0</v>
      </c>
      <c r="AN737">
        <v>0</v>
      </c>
      <c r="AO737">
        <v>452</v>
      </c>
      <c r="AP737">
        <v>205</v>
      </c>
      <c r="AQ737">
        <v>452</v>
      </c>
      <c r="AR737">
        <v>247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2</v>
      </c>
      <c r="BA737">
        <v>2</v>
      </c>
      <c r="BB737">
        <v>0</v>
      </c>
      <c r="BC737">
        <v>0</v>
      </c>
      <c r="BD737">
        <v>0</v>
      </c>
      <c r="BE737">
        <f t="shared" si="123"/>
        <v>1976</v>
      </c>
      <c r="BF737">
        <v>1254</v>
      </c>
      <c r="BG737">
        <v>1254</v>
      </c>
      <c r="BH737" t="s">
        <v>82</v>
      </c>
      <c r="BI737" t="s">
        <v>2344</v>
      </c>
      <c r="BJ737">
        <v>0</v>
      </c>
      <c r="BK737">
        <v>762</v>
      </c>
      <c r="BL737">
        <v>762</v>
      </c>
      <c r="BM737">
        <v>0</v>
      </c>
      <c r="BN737">
        <v>0</v>
      </c>
      <c r="BO737">
        <v>0</v>
      </c>
      <c r="BP737">
        <v>1968</v>
      </c>
      <c r="BQ737">
        <v>1968</v>
      </c>
      <c r="BR737">
        <f t="shared" si="124"/>
        <v>0</v>
      </c>
      <c r="BS737">
        <f t="shared" si="125"/>
        <v>268</v>
      </c>
    </row>
    <row r="738" spans="1:71" x14ac:dyDescent="0.25">
      <c r="A738" s="5" t="s">
        <v>2294</v>
      </c>
      <c r="B738" s="5" t="s">
        <v>207</v>
      </c>
      <c r="C738" s="5" t="s">
        <v>61</v>
      </c>
      <c r="D738" s="1" t="s">
        <v>127</v>
      </c>
      <c r="E738">
        <v>134</v>
      </c>
      <c r="F738">
        <v>190</v>
      </c>
      <c r="G738">
        <v>0</v>
      </c>
      <c r="H738">
        <v>0</v>
      </c>
      <c r="I738">
        <v>135</v>
      </c>
      <c r="J738">
        <v>175</v>
      </c>
      <c r="K738">
        <v>559</v>
      </c>
      <c r="L738">
        <v>77</v>
      </c>
      <c r="M738">
        <v>0</v>
      </c>
      <c r="N738">
        <v>0</v>
      </c>
      <c r="O738">
        <v>0</v>
      </c>
      <c r="P738">
        <v>1710</v>
      </c>
      <c r="Q738">
        <v>190</v>
      </c>
      <c r="R738">
        <v>190</v>
      </c>
      <c r="S738" s="18">
        <f t="shared" si="116"/>
        <v>9</v>
      </c>
      <c r="T738" s="17">
        <f t="shared" si="117"/>
        <v>0</v>
      </c>
      <c r="U738" s="17">
        <f t="shared" si="118"/>
        <v>0</v>
      </c>
      <c r="V738" s="17">
        <f t="shared" si="119"/>
        <v>0</v>
      </c>
      <c r="W738" s="17">
        <f t="shared" si="120"/>
        <v>190</v>
      </c>
      <c r="X738" s="17">
        <f t="shared" si="121"/>
        <v>0</v>
      </c>
      <c r="Y738" s="19" t="e">
        <f t="shared" si="122"/>
        <v>#DIV/0!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135</v>
      </c>
      <c r="AH738">
        <v>135</v>
      </c>
      <c r="AI738">
        <v>0</v>
      </c>
      <c r="AJ738">
        <v>0</v>
      </c>
      <c r="AK738">
        <v>175</v>
      </c>
      <c r="AL738">
        <v>175</v>
      </c>
      <c r="AM738">
        <v>0</v>
      </c>
      <c r="AN738">
        <v>0</v>
      </c>
      <c r="AO738">
        <v>559</v>
      </c>
      <c r="AP738">
        <v>478</v>
      </c>
      <c r="AQ738">
        <v>559</v>
      </c>
      <c r="AR738">
        <v>81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77</v>
      </c>
      <c r="BA738">
        <v>77</v>
      </c>
      <c r="BB738">
        <v>0</v>
      </c>
      <c r="BC738">
        <v>0</v>
      </c>
      <c r="BD738">
        <v>0</v>
      </c>
      <c r="BE738">
        <f t="shared" si="123"/>
        <v>2451</v>
      </c>
      <c r="BF738">
        <v>1868</v>
      </c>
      <c r="BG738">
        <v>1868</v>
      </c>
      <c r="BH738" t="s">
        <v>199</v>
      </c>
      <c r="BI738" t="s">
        <v>2352</v>
      </c>
      <c r="BJ738">
        <v>134</v>
      </c>
      <c r="BK738">
        <v>946</v>
      </c>
      <c r="BL738">
        <v>1080</v>
      </c>
      <c r="BM738">
        <v>0</v>
      </c>
      <c r="BN738">
        <v>0</v>
      </c>
      <c r="BO738">
        <v>0</v>
      </c>
      <c r="BP738">
        <v>2656</v>
      </c>
      <c r="BQ738">
        <v>2656</v>
      </c>
      <c r="BR738">
        <f t="shared" si="124"/>
        <v>0</v>
      </c>
      <c r="BS738">
        <f t="shared" si="125"/>
        <v>380</v>
      </c>
    </row>
    <row r="739" spans="1:71" x14ac:dyDescent="0.25">
      <c r="A739" s="5" t="s">
        <v>2294</v>
      </c>
      <c r="B739" s="5" t="s">
        <v>207</v>
      </c>
      <c r="C739" s="5" t="s">
        <v>61</v>
      </c>
      <c r="D739" s="1" t="s">
        <v>137</v>
      </c>
      <c r="E739">
        <v>40</v>
      </c>
      <c r="F739">
        <v>219</v>
      </c>
      <c r="G739">
        <v>0</v>
      </c>
      <c r="H739">
        <v>0</v>
      </c>
      <c r="I739">
        <v>657</v>
      </c>
      <c r="J739">
        <v>1701</v>
      </c>
      <c r="K739">
        <v>344</v>
      </c>
      <c r="L739">
        <v>177</v>
      </c>
      <c r="M739">
        <v>0</v>
      </c>
      <c r="N739">
        <v>0</v>
      </c>
      <c r="O739">
        <v>0</v>
      </c>
      <c r="P739">
        <v>1971</v>
      </c>
      <c r="Q739">
        <v>219</v>
      </c>
      <c r="R739">
        <v>219</v>
      </c>
      <c r="S739" s="18">
        <f t="shared" si="116"/>
        <v>9</v>
      </c>
      <c r="T739" s="17">
        <f t="shared" si="117"/>
        <v>0</v>
      </c>
      <c r="U739" s="17">
        <f t="shared" si="118"/>
        <v>0</v>
      </c>
      <c r="V739" s="17">
        <f t="shared" si="119"/>
        <v>0</v>
      </c>
      <c r="W739" s="17">
        <f t="shared" si="120"/>
        <v>219</v>
      </c>
      <c r="X739" s="17">
        <f t="shared" si="121"/>
        <v>0</v>
      </c>
      <c r="Y739" s="19" t="e">
        <f t="shared" si="122"/>
        <v>#DIV/0!</v>
      </c>
      <c r="Z739">
        <v>0</v>
      </c>
      <c r="AA739">
        <v>0</v>
      </c>
      <c r="AB739">
        <v>35</v>
      </c>
      <c r="AC739">
        <v>150</v>
      </c>
      <c r="AD739">
        <v>0</v>
      </c>
      <c r="AE739">
        <v>0</v>
      </c>
      <c r="AF739">
        <v>0</v>
      </c>
      <c r="AG739">
        <v>657</v>
      </c>
      <c r="AH739">
        <v>657</v>
      </c>
      <c r="AI739">
        <v>0</v>
      </c>
      <c r="AJ739">
        <v>0</v>
      </c>
      <c r="AK739">
        <v>1701</v>
      </c>
      <c r="AL739">
        <v>1701</v>
      </c>
      <c r="AM739">
        <v>0</v>
      </c>
      <c r="AN739">
        <v>0</v>
      </c>
      <c r="AO739">
        <v>344</v>
      </c>
      <c r="AP739">
        <v>90</v>
      </c>
      <c r="AQ739">
        <v>344</v>
      </c>
      <c r="AR739">
        <v>254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177</v>
      </c>
      <c r="BA739">
        <v>177</v>
      </c>
      <c r="BB739">
        <v>0</v>
      </c>
      <c r="BC739">
        <v>0</v>
      </c>
      <c r="BD739">
        <v>0</v>
      </c>
      <c r="BE739">
        <f t="shared" si="123"/>
        <v>6252</v>
      </c>
      <c r="BF739">
        <v>6626</v>
      </c>
      <c r="BG739">
        <v>6626</v>
      </c>
      <c r="BH739" t="s">
        <v>82</v>
      </c>
      <c r="BI739" t="s">
        <v>2357</v>
      </c>
      <c r="BJ739">
        <v>225</v>
      </c>
      <c r="BK739">
        <v>2879</v>
      </c>
      <c r="BL739">
        <v>3104</v>
      </c>
      <c r="BM739">
        <v>0</v>
      </c>
      <c r="BN739">
        <v>0</v>
      </c>
      <c r="BO739">
        <v>0</v>
      </c>
      <c r="BP739">
        <v>4850</v>
      </c>
      <c r="BQ739">
        <v>4850</v>
      </c>
      <c r="BR739">
        <f t="shared" si="124"/>
        <v>0</v>
      </c>
      <c r="BS739">
        <f t="shared" si="125"/>
        <v>438</v>
      </c>
    </row>
    <row r="740" spans="1:71" x14ac:dyDescent="0.25">
      <c r="A740" s="5" t="s">
        <v>2359</v>
      </c>
      <c r="B740" s="5" t="s">
        <v>1661</v>
      </c>
      <c r="C740" s="5" t="s">
        <v>207</v>
      </c>
      <c r="D740" s="1" t="s">
        <v>62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8" t="e">
        <f t="shared" si="116"/>
        <v>#DIV/0!</v>
      </c>
      <c r="T740" s="17" t="e">
        <f t="shared" si="117"/>
        <v>#DIV/0!</v>
      </c>
      <c r="U740" s="17" t="e">
        <f t="shared" si="118"/>
        <v>#DIV/0!</v>
      </c>
      <c r="V740" s="17" t="e">
        <f t="shared" si="119"/>
        <v>#DIV/0!</v>
      </c>
      <c r="W740" s="17" t="e">
        <f t="shared" si="120"/>
        <v>#DIV/0!</v>
      </c>
      <c r="X740" s="17" t="e">
        <f t="shared" si="121"/>
        <v>#DIV/0!</v>
      </c>
      <c r="Y740" s="19" t="e">
        <f t="shared" si="122"/>
        <v>#DIV/0!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378</v>
      </c>
      <c r="AF740">
        <v>0</v>
      </c>
      <c r="AG740">
        <v>0</v>
      </c>
      <c r="AH740">
        <v>378</v>
      </c>
      <c r="AI740">
        <v>0</v>
      </c>
      <c r="AJ740">
        <v>8950</v>
      </c>
      <c r="AK740">
        <v>0</v>
      </c>
      <c r="AL740">
        <v>8950</v>
      </c>
      <c r="AM740">
        <v>0</v>
      </c>
      <c r="AN740">
        <v>2440</v>
      </c>
      <c r="AO740">
        <v>0</v>
      </c>
      <c r="AP740">
        <v>0</v>
      </c>
      <c r="AQ740">
        <v>2440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1660</v>
      </c>
      <c r="AZ740">
        <v>0</v>
      </c>
      <c r="BA740">
        <v>1660</v>
      </c>
      <c r="BB740">
        <v>0</v>
      </c>
      <c r="BC740">
        <v>0</v>
      </c>
      <c r="BD740">
        <v>0</v>
      </c>
      <c r="BE740">
        <f t="shared" si="123"/>
        <v>26856</v>
      </c>
      <c r="BF740">
        <v>0</v>
      </c>
      <c r="BG740">
        <v>13428</v>
      </c>
      <c r="BH740" t="s">
        <v>82</v>
      </c>
      <c r="BI740" t="s">
        <v>1366</v>
      </c>
      <c r="BJ740">
        <v>0</v>
      </c>
      <c r="BK740">
        <v>13428</v>
      </c>
      <c r="BL740">
        <v>13428</v>
      </c>
      <c r="BM740">
        <v>0</v>
      </c>
      <c r="BN740">
        <v>13428</v>
      </c>
      <c r="BO740">
        <v>0</v>
      </c>
      <c r="BP740">
        <v>0</v>
      </c>
      <c r="BQ740">
        <v>13428</v>
      </c>
      <c r="BR740">
        <f t="shared" si="124"/>
        <v>0</v>
      </c>
      <c r="BS740">
        <f t="shared" si="125"/>
        <v>0</v>
      </c>
    </row>
    <row r="741" spans="1:71" x14ac:dyDescent="0.25">
      <c r="A741" s="5" t="s">
        <v>2359</v>
      </c>
      <c r="B741" s="5" t="s">
        <v>1946</v>
      </c>
      <c r="C741" s="5" t="s">
        <v>207</v>
      </c>
      <c r="D741" s="1" t="s">
        <v>62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8" t="e">
        <f t="shared" si="116"/>
        <v>#DIV/0!</v>
      </c>
      <c r="T741" s="17" t="e">
        <f t="shared" si="117"/>
        <v>#DIV/0!</v>
      </c>
      <c r="U741" s="17" t="e">
        <f t="shared" si="118"/>
        <v>#DIV/0!</v>
      </c>
      <c r="V741" s="17" t="e">
        <f t="shared" si="119"/>
        <v>#DIV/0!</v>
      </c>
      <c r="W741" s="17" t="e">
        <f t="shared" si="120"/>
        <v>#DIV/0!</v>
      </c>
      <c r="X741" s="17" t="e">
        <f t="shared" si="121"/>
        <v>#DIV/0!</v>
      </c>
      <c r="Y741" s="19" t="e">
        <f t="shared" si="122"/>
        <v>#DIV/0!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750</v>
      </c>
      <c r="AH741">
        <v>750</v>
      </c>
      <c r="AI741">
        <v>0</v>
      </c>
      <c r="AJ741">
        <v>0</v>
      </c>
      <c r="AK741">
        <v>7000</v>
      </c>
      <c r="AL741">
        <v>7000</v>
      </c>
      <c r="AM741">
        <v>0</v>
      </c>
      <c r="AN741">
        <v>0</v>
      </c>
      <c r="AO741">
        <v>2094</v>
      </c>
      <c r="AP741">
        <v>0</v>
      </c>
      <c r="AQ741">
        <v>2094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3490</v>
      </c>
      <c r="BA741">
        <v>3490</v>
      </c>
      <c r="BB741">
        <v>0</v>
      </c>
      <c r="BC741">
        <v>0</v>
      </c>
      <c r="BD741">
        <v>0</v>
      </c>
      <c r="BE741">
        <f t="shared" si="123"/>
        <v>26668</v>
      </c>
      <c r="BF741">
        <v>0</v>
      </c>
      <c r="BG741">
        <v>13334</v>
      </c>
      <c r="BH741" t="s">
        <v>82</v>
      </c>
      <c r="BI741" t="s">
        <v>2362</v>
      </c>
      <c r="BJ741">
        <v>0</v>
      </c>
      <c r="BK741">
        <v>13334</v>
      </c>
      <c r="BL741">
        <v>13334</v>
      </c>
      <c r="BM741">
        <v>0</v>
      </c>
      <c r="BN741">
        <v>0</v>
      </c>
      <c r="BO741">
        <v>0</v>
      </c>
      <c r="BP741">
        <v>13334</v>
      </c>
      <c r="BQ741">
        <v>13334</v>
      </c>
      <c r="BR741">
        <f t="shared" si="124"/>
        <v>0</v>
      </c>
      <c r="BS741">
        <f t="shared" si="125"/>
        <v>0</v>
      </c>
    </row>
    <row r="742" spans="1:71" x14ac:dyDescent="0.25">
      <c r="A742" s="5" t="s">
        <v>2359</v>
      </c>
      <c r="B742" s="5" t="s">
        <v>2090</v>
      </c>
      <c r="C742" s="5" t="s">
        <v>207</v>
      </c>
      <c r="D742" s="1" t="s">
        <v>62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8" t="e">
        <f t="shared" si="116"/>
        <v>#DIV/0!</v>
      </c>
      <c r="T742" s="17" t="e">
        <f t="shared" si="117"/>
        <v>#DIV/0!</v>
      </c>
      <c r="U742" s="17" t="e">
        <f t="shared" si="118"/>
        <v>#DIV/0!</v>
      </c>
      <c r="V742" s="17" t="e">
        <f t="shared" si="119"/>
        <v>#DIV/0!</v>
      </c>
      <c r="W742" s="17" t="e">
        <f t="shared" si="120"/>
        <v>#DIV/0!</v>
      </c>
      <c r="X742" s="17" t="e">
        <f t="shared" si="121"/>
        <v>#DIV/0!</v>
      </c>
      <c r="Y742" s="19" t="e">
        <f t="shared" si="122"/>
        <v>#DIV/0!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42000</v>
      </c>
      <c r="AL742">
        <v>42000</v>
      </c>
      <c r="AM742">
        <v>0</v>
      </c>
      <c r="AN742">
        <v>0</v>
      </c>
      <c r="AO742">
        <v>12000</v>
      </c>
      <c r="AP742">
        <v>0</v>
      </c>
      <c r="AQ742">
        <v>12000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f t="shared" si="123"/>
        <v>108000</v>
      </c>
      <c r="BF742">
        <v>0</v>
      </c>
      <c r="BG742">
        <v>54000</v>
      </c>
      <c r="BH742" t="s">
        <v>82</v>
      </c>
      <c r="BI742" t="s">
        <v>2363</v>
      </c>
      <c r="BJ742">
        <v>0</v>
      </c>
      <c r="BK742">
        <v>54000</v>
      </c>
      <c r="BL742">
        <v>54000</v>
      </c>
      <c r="BM742">
        <v>0</v>
      </c>
      <c r="BN742">
        <v>0</v>
      </c>
      <c r="BO742">
        <v>0</v>
      </c>
      <c r="BP742">
        <v>54000</v>
      </c>
      <c r="BQ742">
        <v>54000</v>
      </c>
      <c r="BR742">
        <f t="shared" si="124"/>
        <v>0</v>
      </c>
      <c r="BS742">
        <f t="shared" si="125"/>
        <v>0</v>
      </c>
    </row>
    <row r="743" spans="1:71" x14ac:dyDescent="0.25">
      <c r="A743" s="5" t="s">
        <v>61</v>
      </c>
      <c r="B743" s="5" t="s">
        <v>359</v>
      </c>
      <c r="C743" s="5" t="s">
        <v>61</v>
      </c>
      <c r="D743" s="1" t="s">
        <v>165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70</v>
      </c>
      <c r="K743">
        <v>30</v>
      </c>
      <c r="L743">
        <v>170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 s="18" t="e">
        <f t="shared" si="116"/>
        <v>#DIV/0!</v>
      </c>
      <c r="T743" s="17" t="e">
        <f t="shared" si="117"/>
        <v>#DIV/0!</v>
      </c>
      <c r="U743" s="17" t="e">
        <f t="shared" si="118"/>
        <v>#DIV/0!</v>
      </c>
      <c r="V743" s="17" t="e">
        <f t="shared" si="119"/>
        <v>#DIV/0!</v>
      </c>
      <c r="W743" s="17" t="e">
        <f t="shared" si="120"/>
        <v>#DIV/0!</v>
      </c>
      <c r="X743" s="17" t="e">
        <f t="shared" si="121"/>
        <v>#DIV/0!</v>
      </c>
      <c r="Y743" s="19" t="e">
        <f t="shared" si="122"/>
        <v>#DIV/0!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70</v>
      </c>
      <c r="AL743">
        <v>70</v>
      </c>
      <c r="AM743">
        <v>0</v>
      </c>
      <c r="AN743">
        <v>0</v>
      </c>
      <c r="AO743">
        <v>30</v>
      </c>
      <c r="AP743">
        <v>10</v>
      </c>
      <c r="AQ743">
        <v>30</v>
      </c>
      <c r="AR743">
        <v>20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170</v>
      </c>
      <c r="BA743">
        <v>170</v>
      </c>
      <c r="BB743">
        <v>0</v>
      </c>
      <c r="BC743">
        <v>0</v>
      </c>
      <c r="BD743">
        <v>0</v>
      </c>
      <c r="BE743">
        <f t="shared" si="123"/>
        <v>570</v>
      </c>
      <c r="BF743">
        <v>270</v>
      </c>
      <c r="BG743">
        <v>270</v>
      </c>
      <c r="BH743" t="s">
        <v>190</v>
      </c>
      <c r="BI743" t="s">
        <v>410</v>
      </c>
      <c r="BJ743">
        <v>0</v>
      </c>
      <c r="BK743">
        <v>270</v>
      </c>
      <c r="BL743">
        <v>270</v>
      </c>
      <c r="BM743">
        <v>0</v>
      </c>
      <c r="BN743">
        <v>0</v>
      </c>
      <c r="BO743">
        <v>0</v>
      </c>
      <c r="BP743">
        <v>270</v>
      </c>
      <c r="BQ743">
        <v>270</v>
      </c>
      <c r="BR743">
        <f t="shared" si="124"/>
        <v>-1</v>
      </c>
      <c r="BS743">
        <f t="shared" si="125"/>
        <v>1</v>
      </c>
    </row>
    <row r="744" spans="1:71" x14ac:dyDescent="0.25">
      <c r="A744" s="5" t="s">
        <v>207</v>
      </c>
      <c r="B744" s="5" t="s">
        <v>207</v>
      </c>
      <c r="C744" s="5" t="s">
        <v>61</v>
      </c>
      <c r="D744" s="1" t="s">
        <v>135</v>
      </c>
      <c r="E744">
        <v>0</v>
      </c>
      <c r="F744">
        <v>20</v>
      </c>
      <c r="G744">
        <v>0</v>
      </c>
      <c r="H744">
        <v>0</v>
      </c>
      <c r="I744">
        <v>62</v>
      </c>
      <c r="J744">
        <v>2600</v>
      </c>
      <c r="K744">
        <v>185</v>
      </c>
      <c r="L744">
        <v>200</v>
      </c>
      <c r="M744">
        <v>0</v>
      </c>
      <c r="N744">
        <v>0</v>
      </c>
      <c r="O744">
        <v>0</v>
      </c>
      <c r="P744">
        <v>135</v>
      </c>
      <c r="Q744">
        <v>16</v>
      </c>
      <c r="R744">
        <v>15</v>
      </c>
      <c r="S744" s="18">
        <f t="shared" si="116"/>
        <v>9</v>
      </c>
      <c r="T744" s="17">
        <f t="shared" si="117"/>
        <v>0</v>
      </c>
      <c r="U744" s="17">
        <f t="shared" si="118"/>
        <v>0</v>
      </c>
      <c r="V744" s="17">
        <f t="shared" si="119"/>
        <v>0</v>
      </c>
      <c r="W744" s="17">
        <f t="shared" si="120"/>
        <v>15</v>
      </c>
      <c r="X744" s="17">
        <f t="shared" si="121"/>
        <v>1</v>
      </c>
      <c r="Y744" s="19">
        <f t="shared" si="122"/>
        <v>0</v>
      </c>
      <c r="Z744">
        <v>20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62</v>
      </c>
      <c r="AH744">
        <v>62</v>
      </c>
      <c r="AI744">
        <v>0</v>
      </c>
      <c r="AJ744">
        <v>0</v>
      </c>
      <c r="AK744">
        <v>2600</v>
      </c>
      <c r="AL744">
        <v>2600</v>
      </c>
      <c r="AM744">
        <v>0</v>
      </c>
      <c r="AN744">
        <v>0</v>
      </c>
      <c r="AO744">
        <v>185</v>
      </c>
      <c r="AP744">
        <v>85</v>
      </c>
      <c r="AQ744">
        <v>185</v>
      </c>
      <c r="AR744">
        <v>100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200</v>
      </c>
      <c r="BA744">
        <v>200</v>
      </c>
      <c r="BB744">
        <v>0</v>
      </c>
      <c r="BC744">
        <v>0</v>
      </c>
      <c r="BD744">
        <v>0</v>
      </c>
      <c r="BE744">
        <f t="shared" si="123"/>
        <v>6279</v>
      </c>
      <c r="BF744">
        <v>3067</v>
      </c>
      <c r="BG744">
        <v>3067</v>
      </c>
      <c r="BH744" t="s">
        <v>199</v>
      </c>
      <c r="BI744" t="s">
        <v>577</v>
      </c>
      <c r="BJ744">
        <v>0</v>
      </c>
      <c r="BK744">
        <v>3047</v>
      </c>
      <c r="BL744">
        <v>3067</v>
      </c>
      <c r="BM744">
        <v>0</v>
      </c>
      <c r="BN744">
        <v>0</v>
      </c>
      <c r="BO744">
        <v>0</v>
      </c>
      <c r="BP744">
        <v>3182</v>
      </c>
      <c r="BQ744">
        <v>3182</v>
      </c>
      <c r="BR744">
        <f t="shared" si="124"/>
        <v>-1</v>
      </c>
      <c r="BS744">
        <f t="shared" si="125"/>
        <v>31</v>
      </c>
    </row>
    <row r="745" spans="1:71" x14ac:dyDescent="0.25">
      <c r="A745" s="5" t="s">
        <v>2090</v>
      </c>
      <c r="B745" s="5" t="s">
        <v>207</v>
      </c>
      <c r="C745" s="5" t="s">
        <v>61</v>
      </c>
      <c r="D745" s="1" t="s">
        <v>90</v>
      </c>
      <c r="E745">
        <v>0</v>
      </c>
      <c r="F745">
        <v>1900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s="16">
        <v>1900</v>
      </c>
      <c r="P745">
        <v>0</v>
      </c>
      <c r="Q745">
        <v>192</v>
      </c>
      <c r="R745">
        <v>800</v>
      </c>
      <c r="S745" s="18">
        <f t="shared" si="116"/>
        <v>2.375</v>
      </c>
      <c r="T745" s="17">
        <f t="shared" si="117"/>
        <v>0</v>
      </c>
      <c r="U745" s="17">
        <f t="shared" si="118"/>
        <v>0</v>
      </c>
      <c r="V745" s="17">
        <f t="shared" si="119"/>
        <v>800</v>
      </c>
      <c r="W745" s="17">
        <f t="shared" si="120"/>
        <v>0</v>
      </c>
      <c r="X745" s="17">
        <f t="shared" si="121"/>
        <v>192</v>
      </c>
      <c r="Y745" s="19">
        <f t="shared" si="122"/>
        <v>4.166666666666667</v>
      </c>
      <c r="Z745">
        <v>1900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f t="shared" si="123"/>
        <v>0</v>
      </c>
      <c r="BF745">
        <v>1900</v>
      </c>
      <c r="BG745">
        <v>1900</v>
      </c>
      <c r="BH745" t="s">
        <v>546</v>
      </c>
      <c r="BI745" t="s">
        <v>2224</v>
      </c>
      <c r="BJ745">
        <v>0</v>
      </c>
      <c r="BK745">
        <v>0</v>
      </c>
      <c r="BL745">
        <v>1900</v>
      </c>
      <c r="BM745">
        <v>0</v>
      </c>
      <c r="BN745">
        <v>0</v>
      </c>
      <c r="BO745">
        <v>1900</v>
      </c>
      <c r="BP745">
        <v>0</v>
      </c>
      <c r="BQ745">
        <v>1900</v>
      </c>
      <c r="BR745">
        <f t="shared" si="124"/>
        <v>608</v>
      </c>
      <c r="BS745">
        <f t="shared" si="125"/>
        <v>992</v>
      </c>
    </row>
    <row r="746" spans="1:71" x14ac:dyDescent="0.25">
      <c r="A746" s="5" t="s">
        <v>627</v>
      </c>
      <c r="B746" s="5" t="s">
        <v>207</v>
      </c>
      <c r="C746" s="5" t="s">
        <v>61</v>
      </c>
      <c r="D746" s="1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150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 s="18" t="e">
        <f t="shared" si="116"/>
        <v>#DIV/0!</v>
      </c>
      <c r="T746" s="17" t="e">
        <f t="shared" si="117"/>
        <v>#DIV/0!</v>
      </c>
      <c r="U746" s="17" t="e">
        <f t="shared" si="118"/>
        <v>#DIV/0!</v>
      </c>
      <c r="V746" s="17" t="e">
        <f t="shared" si="119"/>
        <v>#DIV/0!</v>
      </c>
      <c r="W746" s="17" t="e">
        <f t="shared" si="120"/>
        <v>#DIV/0!</v>
      </c>
      <c r="X746" s="17" t="e">
        <f t="shared" si="121"/>
        <v>#DIV/0!</v>
      </c>
      <c r="Y746" s="19" t="e">
        <f t="shared" si="122"/>
        <v>#DIV/0!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150</v>
      </c>
      <c r="AL746">
        <v>150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f t="shared" si="123"/>
        <v>300</v>
      </c>
      <c r="BF746">
        <v>150</v>
      </c>
      <c r="BG746">
        <v>150</v>
      </c>
      <c r="BH746" t="s">
        <v>199</v>
      </c>
      <c r="BI746" t="s">
        <v>841</v>
      </c>
      <c r="BJ746">
        <v>0</v>
      </c>
      <c r="BK746">
        <v>150</v>
      </c>
      <c r="BL746">
        <v>150</v>
      </c>
      <c r="BM746">
        <v>0</v>
      </c>
      <c r="BN746">
        <v>0</v>
      </c>
      <c r="BO746">
        <v>0</v>
      </c>
      <c r="BP746">
        <v>150</v>
      </c>
      <c r="BQ746">
        <v>150</v>
      </c>
      <c r="BR746">
        <f t="shared" si="124"/>
        <v>-1</v>
      </c>
      <c r="BS746">
        <f t="shared" si="125"/>
        <v>1</v>
      </c>
    </row>
    <row r="747" spans="1:71" x14ac:dyDescent="0.25">
      <c r="A747" s="5" t="s">
        <v>1661</v>
      </c>
      <c r="B747" s="5" t="s">
        <v>61</v>
      </c>
      <c r="C747" s="5" t="s">
        <v>61</v>
      </c>
      <c r="D747" s="1" t="s">
        <v>135</v>
      </c>
      <c r="E747">
        <v>16.5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204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 s="18" t="e">
        <f t="shared" si="116"/>
        <v>#DIV/0!</v>
      </c>
      <c r="T747" s="17" t="e">
        <f t="shared" si="117"/>
        <v>#DIV/0!</v>
      </c>
      <c r="U747" s="17" t="e">
        <f t="shared" si="118"/>
        <v>#DIV/0!</v>
      </c>
      <c r="V747" s="17" t="e">
        <f t="shared" si="119"/>
        <v>#DIV/0!</v>
      </c>
      <c r="W747" s="17" t="e">
        <f t="shared" si="120"/>
        <v>#DIV/0!</v>
      </c>
      <c r="X747" s="17" t="e">
        <f t="shared" si="121"/>
        <v>#DIV/0!</v>
      </c>
      <c r="Y747" s="19" t="e">
        <f t="shared" si="122"/>
        <v>#DIV/0!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204</v>
      </c>
      <c r="BA747">
        <v>204</v>
      </c>
      <c r="BB747">
        <v>0</v>
      </c>
      <c r="BC747">
        <v>0</v>
      </c>
      <c r="BD747">
        <v>0</v>
      </c>
      <c r="BE747">
        <f t="shared" si="123"/>
        <v>408</v>
      </c>
      <c r="BF747">
        <v>220.5</v>
      </c>
      <c r="BG747">
        <v>220.5</v>
      </c>
      <c r="BH747" t="s">
        <v>190</v>
      </c>
      <c r="BI747" t="s">
        <v>1693</v>
      </c>
      <c r="BJ747">
        <v>16.5</v>
      </c>
      <c r="BK747">
        <v>204</v>
      </c>
      <c r="BL747">
        <v>220.5</v>
      </c>
      <c r="BM747">
        <v>0</v>
      </c>
      <c r="BN747">
        <v>0</v>
      </c>
      <c r="BO747">
        <v>0</v>
      </c>
      <c r="BP747">
        <v>204</v>
      </c>
      <c r="BQ747">
        <v>204</v>
      </c>
      <c r="BR747">
        <f t="shared" si="124"/>
        <v>-1</v>
      </c>
      <c r="BS747">
        <f t="shared" si="125"/>
        <v>1</v>
      </c>
    </row>
    <row r="748" spans="1:71" x14ac:dyDescent="0.25">
      <c r="A748" s="6" t="s">
        <v>2090</v>
      </c>
      <c r="B748" s="6" t="s">
        <v>61</v>
      </c>
      <c r="C748" s="6" t="s">
        <v>61</v>
      </c>
      <c r="D748" s="1" t="s">
        <v>196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40</v>
      </c>
      <c r="L748">
        <v>11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 s="18" t="e">
        <f t="shared" si="116"/>
        <v>#DIV/0!</v>
      </c>
      <c r="T748" s="17" t="e">
        <f t="shared" si="117"/>
        <v>#DIV/0!</v>
      </c>
      <c r="U748" s="17" t="e">
        <f t="shared" si="118"/>
        <v>#DIV/0!</v>
      </c>
      <c r="V748" s="17" t="e">
        <f t="shared" si="119"/>
        <v>#DIV/0!</v>
      </c>
      <c r="W748" s="17" t="e">
        <f t="shared" si="120"/>
        <v>#DIV/0!</v>
      </c>
      <c r="X748" s="17" t="e">
        <f t="shared" si="121"/>
        <v>#DIV/0!</v>
      </c>
      <c r="Y748" s="19" t="e">
        <f t="shared" si="122"/>
        <v>#DIV/0!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40</v>
      </c>
      <c r="AP748">
        <v>2</v>
      </c>
      <c r="AQ748">
        <v>40</v>
      </c>
      <c r="AR748">
        <v>38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11</v>
      </c>
      <c r="BA748">
        <v>11</v>
      </c>
      <c r="BB748">
        <v>0</v>
      </c>
      <c r="BC748">
        <v>0</v>
      </c>
      <c r="BD748">
        <v>0</v>
      </c>
      <c r="BE748">
        <f t="shared" si="123"/>
        <v>142</v>
      </c>
      <c r="BF748">
        <v>51</v>
      </c>
      <c r="BG748">
        <v>51</v>
      </c>
      <c r="BH748" t="s">
        <v>190</v>
      </c>
      <c r="BI748" t="s">
        <v>2153</v>
      </c>
      <c r="BJ748">
        <v>0</v>
      </c>
      <c r="BK748">
        <v>51</v>
      </c>
      <c r="BL748">
        <v>51</v>
      </c>
      <c r="BM748">
        <v>0</v>
      </c>
      <c r="BN748">
        <v>0</v>
      </c>
      <c r="BO748">
        <v>0</v>
      </c>
      <c r="BP748">
        <v>51</v>
      </c>
      <c r="BQ748">
        <v>51</v>
      </c>
      <c r="BR748">
        <f t="shared" si="124"/>
        <v>-1</v>
      </c>
      <c r="BS748">
        <f t="shared" si="125"/>
        <v>1</v>
      </c>
    </row>
    <row r="749" spans="1:71" x14ac:dyDescent="0.25">
      <c r="A749" s="7" t="s">
        <v>61</v>
      </c>
      <c r="B749" s="7" t="s">
        <v>359</v>
      </c>
      <c r="C749" s="1" t="s">
        <v>61</v>
      </c>
      <c r="D749" s="1" t="s">
        <v>194</v>
      </c>
      <c r="E749">
        <v>13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121</v>
      </c>
      <c r="L749">
        <v>50</v>
      </c>
      <c r="M749">
        <v>0</v>
      </c>
      <c r="N749">
        <v>0</v>
      </c>
      <c r="O749">
        <v>0</v>
      </c>
      <c r="P749">
        <v>0</v>
      </c>
      <c r="Q749">
        <v>2</v>
      </c>
      <c r="R749">
        <v>0</v>
      </c>
      <c r="S749" s="18" t="e">
        <f t="shared" si="116"/>
        <v>#DIV/0!</v>
      </c>
      <c r="T749" s="17" t="e">
        <f t="shared" si="117"/>
        <v>#DIV/0!</v>
      </c>
      <c r="U749" s="17" t="e">
        <f t="shared" si="118"/>
        <v>#DIV/0!</v>
      </c>
      <c r="V749" s="17" t="e">
        <f t="shared" si="119"/>
        <v>#DIV/0!</v>
      </c>
      <c r="W749" s="17" t="e">
        <f t="shared" si="120"/>
        <v>#DIV/0!</v>
      </c>
      <c r="X749" s="17" t="e">
        <f t="shared" si="121"/>
        <v>#DIV/0!</v>
      </c>
      <c r="Y749" s="19" t="e">
        <f t="shared" si="122"/>
        <v>#DIV/0!</v>
      </c>
      <c r="Z749">
        <v>0</v>
      </c>
      <c r="AA749">
        <v>0</v>
      </c>
      <c r="AB749">
        <v>0</v>
      </c>
      <c r="AC749">
        <v>125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121</v>
      </c>
      <c r="AP749">
        <v>21</v>
      </c>
      <c r="AQ749">
        <v>121</v>
      </c>
      <c r="AR749">
        <v>100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50</v>
      </c>
      <c r="BA749">
        <v>50</v>
      </c>
      <c r="BB749">
        <v>0</v>
      </c>
      <c r="BC749">
        <v>0</v>
      </c>
      <c r="BD749">
        <v>0</v>
      </c>
      <c r="BE749">
        <f t="shared" si="123"/>
        <v>588</v>
      </c>
      <c r="BF749">
        <v>309</v>
      </c>
      <c r="BG749">
        <v>309</v>
      </c>
      <c r="BH749" t="s">
        <v>199</v>
      </c>
      <c r="BI749" t="s">
        <v>424</v>
      </c>
      <c r="BJ749">
        <v>138</v>
      </c>
      <c r="BK749">
        <v>171</v>
      </c>
      <c r="BL749">
        <v>309</v>
      </c>
      <c r="BM749">
        <v>0</v>
      </c>
      <c r="BN749">
        <v>0</v>
      </c>
      <c r="BO749">
        <v>0</v>
      </c>
      <c r="BP749">
        <v>171</v>
      </c>
      <c r="BQ749">
        <v>171</v>
      </c>
      <c r="BR749">
        <f t="shared" si="124"/>
        <v>-2</v>
      </c>
      <c r="BS749">
        <f t="shared" si="125"/>
        <v>2</v>
      </c>
    </row>
    <row r="750" spans="1:71" x14ac:dyDescent="0.25">
      <c r="A750" s="5" t="s">
        <v>207</v>
      </c>
      <c r="B750" s="5" t="s">
        <v>61</v>
      </c>
      <c r="C750" s="7" t="s">
        <v>359</v>
      </c>
      <c r="D750" s="1" t="s">
        <v>125</v>
      </c>
      <c r="E750">
        <v>0</v>
      </c>
      <c r="F750">
        <v>0</v>
      </c>
      <c r="G750">
        <v>0</v>
      </c>
      <c r="H750">
        <v>0</v>
      </c>
      <c r="I750">
        <v>10</v>
      </c>
      <c r="J750">
        <v>158</v>
      </c>
      <c r="K750">
        <v>0</v>
      </c>
      <c r="L750">
        <v>29</v>
      </c>
      <c r="M750">
        <v>0</v>
      </c>
      <c r="N750">
        <v>0</v>
      </c>
      <c r="O750">
        <v>0</v>
      </c>
      <c r="P750">
        <v>0</v>
      </c>
      <c r="Q750">
        <v>2</v>
      </c>
      <c r="R750">
        <v>0</v>
      </c>
      <c r="S750" s="18" t="e">
        <f t="shared" si="116"/>
        <v>#DIV/0!</v>
      </c>
      <c r="T750" s="17" t="e">
        <f t="shared" si="117"/>
        <v>#DIV/0!</v>
      </c>
      <c r="U750" s="17" t="e">
        <f t="shared" si="118"/>
        <v>#DIV/0!</v>
      </c>
      <c r="V750" s="17" t="e">
        <f t="shared" si="119"/>
        <v>#DIV/0!</v>
      </c>
      <c r="W750" s="17" t="e">
        <f t="shared" si="120"/>
        <v>#DIV/0!</v>
      </c>
      <c r="X750" s="17" t="e">
        <f t="shared" si="121"/>
        <v>#DIV/0!</v>
      </c>
      <c r="Y750" s="19" t="e">
        <f t="shared" si="122"/>
        <v>#DIV/0!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10</v>
      </c>
      <c r="AH750">
        <v>10</v>
      </c>
      <c r="AI750">
        <v>0</v>
      </c>
      <c r="AJ750">
        <v>0</v>
      </c>
      <c r="AK750">
        <v>158</v>
      </c>
      <c r="AL750">
        <v>158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29</v>
      </c>
      <c r="BA750">
        <v>29</v>
      </c>
      <c r="BB750">
        <v>0</v>
      </c>
      <c r="BC750">
        <v>0</v>
      </c>
      <c r="BD750">
        <v>0</v>
      </c>
      <c r="BE750">
        <f t="shared" si="123"/>
        <v>394</v>
      </c>
      <c r="BF750">
        <v>197</v>
      </c>
      <c r="BG750">
        <v>197</v>
      </c>
      <c r="BH750" t="s">
        <v>190</v>
      </c>
      <c r="BI750" t="s">
        <v>528</v>
      </c>
      <c r="BJ750">
        <v>0</v>
      </c>
      <c r="BK750">
        <v>197</v>
      </c>
      <c r="BL750">
        <v>197</v>
      </c>
      <c r="BM750">
        <v>0</v>
      </c>
      <c r="BN750">
        <v>0</v>
      </c>
      <c r="BO750">
        <v>0</v>
      </c>
      <c r="BP750">
        <v>197</v>
      </c>
      <c r="BQ750">
        <v>197</v>
      </c>
      <c r="BR750">
        <f t="shared" si="124"/>
        <v>-2</v>
      </c>
      <c r="BS750">
        <f t="shared" si="125"/>
        <v>2</v>
      </c>
    </row>
    <row r="751" spans="1:71" x14ac:dyDescent="0.25">
      <c r="A751" s="5" t="s">
        <v>207</v>
      </c>
      <c r="B751" s="5" t="s">
        <v>359</v>
      </c>
      <c r="C751" s="5" t="s">
        <v>61</v>
      </c>
      <c r="D751" s="1" t="s">
        <v>113</v>
      </c>
      <c r="E751">
        <v>0</v>
      </c>
      <c r="F751">
        <v>50</v>
      </c>
      <c r="G751">
        <v>0</v>
      </c>
      <c r="H751">
        <v>0</v>
      </c>
      <c r="I751">
        <v>0</v>
      </c>
      <c r="J751">
        <v>200</v>
      </c>
      <c r="K751">
        <v>0</v>
      </c>
      <c r="L751">
        <v>14</v>
      </c>
      <c r="M751">
        <v>0</v>
      </c>
      <c r="N751">
        <v>0</v>
      </c>
      <c r="O751">
        <v>0</v>
      </c>
      <c r="P751">
        <v>297</v>
      </c>
      <c r="Q751">
        <v>35</v>
      </c>
      <c r="R751">
        <v>33</v>
      </c>
      <c r="S751" s="18">
        <f t="shared" si="116"/>
        <v>9</v>
      </c>
      <c r="T751" s="17">
        <f t="shared" si="117"/>
        <v>0</v>
      </c>
      <c r="U751" s="17">
        <f t="shared" si="118"/>
        <v>0</v>
      </c>
      <c r="V751" s="17">
        <f t="shared" si="119"/>
        <v>0</v>
      </c>
      <c r="W751" s="17">
        <f t="shared" si="120"/>
        <v>33</v>
      </c>
      <c r="X751" s="17">
        <f t="shared" si="121"/>
        <v>2</v>
      </c>
      <c r="Y751" s="19">
        <f t="shared" si="122"/>
        <v>0</v>
      </c>
      <c r="Z751">
        <v>50</v>
      </c>
      <c r="AA751">
        <v>0</v>
      </c>
      <c r="AB751">
        <v>0</v>
      </c>
      <c r="AC751">
        <v>50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200</v>
      </c>
      <c r="AL751">
        <v>200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14</v>
      </c>
      <c r="BA751">
        <v>14</v>
      </c>
      <c r="BB751">
        <v>0</v>
      </c>
      <c r="BC751">
        <v>0</v>
      </c>
      <c r="BD751">
        <v>0</v>
      </c>
      <c r="BE751">
        <f t="shared" si="123"/>
        <v>478</v>
      </c>
      <c r="BF751">
        <v>314</v>
      </c>
      <c r="BG751">
        <v>314</v>
      </c>
      <c r="BH751" t="s">
        <v>190</v>
      </c>
      <c r="BI751" t="s">
        <v>614</v>
      </c>
      <c r="BJ751">
        <v>50</v>
      </c>
      <c r="BK751">
        <v>214</v>
      </c>
      <c r="BL751">
        <v>314</v>
      </c>
      <c r="BM751">
        <v>0</v>
      </c>
      <c r="BN751">
        <v>0</v>
      </c>
      <c r="BO751">
        <v>0</v>
      </c>
      <c r="BP751">
        <v>511</v>
      </c>
      <c r="BQ751">
        <v>511</v>
      </c>
      <c r="BR751">
        <f t="shared" si="124"/>
        <v>-2</v>
      </c>
      <c r="BS751">
        <f t="shared" si="125"/>
        <v>68</v>
      </c>
    </row>
    <row r="752" spans="1:71" x14ac:dyDescent="0.25">
      <c r="A752" s="5" t="s">
        <v>359</v>
      </c>
      <c r="B752" s="5" t="s">
        <v>207</v>
      </c>
      <c r="C752" s="5" t="s">
        <v>61</v>
      </c>
      <c r="D752" s="1" t="s">
        <v>117</v>
      </c>
      <c r="E752">
        <v>0</v>
      </c>
      <c r="F752">
        <v>0</v>
      </c>
      <c r="G752">
        <v>0</v>
      </c>
      <c r="H752">
        <v>0</v>
      </c>
      <c r="I752">
        <v>20</v>
      </c>
      <c r="J752">
        <v>0</v>
      </c>
      <c r="K752">
        <v>300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0</v>
      </c>
      <c r="S752" s="18" t="e">
        <f t="shared" si="116"/>
        <v>#DIV/0!</v>
      </c>
      <c r="T752" s="17" t="e">
        <f t="shared" si="117"/>
        <v>#DIV/0!</v>
      </c>
      <c r="U752" s="17" t="e">
        <f t="shared" si="118"/>
        <v>#DIV/0!</v>
      </c>
      <c r="V752" s="17" t="e">
        <f t="shared" si="119"/>
        <v>#DIV/0!</v>
      </c>
      <c r="W752" s="17" t="e">
        <f t="shared" si="120"/>
        <v>#DIV/0!</v>
      </c>
      <c r="X752" s="17" t="e">
        <f t="shared" si="121"/>
        <v>#DIV/0!</v>
      </c>
      <c r="Y752" s="19" t="e">
        <f t="shared" si="122"/>
        <v>#DIV/0!</v>
      </c>
      <c r="Z752">
        <v>0</v>
      </c>
      <c r="AA752">
        <v>0</v>
      </c>
      <c r="AB752">
        <v>0</v>
      </c>
      <c r="AC752">
        <v>220</v>
      </c>
      <c r="AD752">
        <v>0</v>
      </c>
      <c r="AE752">
        <v>0</v>
      </c>
      <c r="AF752">
        <v>0</v>
      </c>
      <c r="AG752">
        <v>20</v>
      </c>
      <c r="AH752">
        <v>20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300</v>
      </c>
      <c r="AP752">
        <v>0</v>
      </c>
      <c r="AQ752">
        <v>300</v>
      </c>
      <c r="AR752">
        <v>300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f t="shared" si="123"/>
        <v>1160</v>
      </c>
      <c r="BF752">
        <v>540</v>
      </c>
      <c r="BG752">
        <v>540</v>
      </c>
      <c r="BH752" t="s">
        <v>190</v>
      </c>
      <c r="BI752" t="s">
        <v>755</v>
      </c>
      <c r="BJ752">
        <v>220</v>
      </c>
      <c r="BK752">
        <v>320</v>
      </c>
      <c r="BL752">
        <v>540</v>
      </c>
      <c r="BM752">
        <v>0</v>
      </c>
      <c r="BN752">
        <v>0</v>
      </c>
      <c r="BO752">
        <v>0</v>
      </c>
      <c r="BP752">
        <v>320</v>
      </c>
      <c r="BQ752">
        <v>320</v>
      </c>
      <c r="BR752">
        <f t="shared" si="124"/>
        <v>-2</v>
      </c>
      <c r="BS752">
        <f t="shared" si="125"/>
        <v>2</v>
      </c>
    </row>
    <row r="753" spans="1:74" x14ac:dyDescent="0.25">
      <c r="A753" s="5" t="s">
        <v>627</v>
      </c>
      <c r="B753" s="5" t="s">
        <v>61</v>
      </c>
      <c r="C753" s="5" t="s">
        <v>61</v>
      </c>
      <c r="D753" s="1" t="s">
        <v>104</v>
      </c>
      <c r="E753">
        <v>20</v>
      </c>
      <c r="F753">
        <v>0</v>
      </c>
      <c r="G753">
        <v>0</v>
      </c>
      <c r="H753">
        <v>0</v>
      </c>
      <c r="I753">
        <v>80</v>
      </c>
      <c r="J753">
        <v>640</v>
      </c>
      <c r="K753">
        <v>110</v>
      </c>
      <c r="L753">
        <v>205</v>
      </c>
      <c r="M753">
        <v>0</v>
      </c>
      <c r="N753">
        <v>0</v>
      </c>
      <c r="O753">
        <v>0</v>
      </c>
      <c r="P753">
        <v>0</v>
      </c>
      <c r="Q753">
        <v>2</v>
      </c>
      <c r="R753">
        <v>0</v>
      </c>
      <c r="S753" s="18" t="e">
        <f t="shared" si="116"/>
        <v>#DIV/0!</v>
      </c>
      <c r="T753" s="17" t="e">
        <f t="shared" si="117"/>
        <v>#DIV/0!</v>
      </c>
      <c r="U753" s="17" t="e">
        <f t="shared" si="118"/>
        <v>#DIV/0!</v>
      </c>
      <c r="V753" s="17" t="e">
        <f t="shared" si="119"/>
        <v>#DIV/0!</v>
      </c>
      <c r="W753" s="17" t="e">
        <f t="shared" si="120"/>
        <v>#DIV/0!</v>
      </c>
      <c r="X753" s="17" t="e">
        <f t="shared" si="121"/>
        <v>#DIV/0!</v>
      </c>
      <c r="Y753" s="19" t="e">
        <f t="shared" si="122"/>
        <v>#DIV/0!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80</v>
      </c>
      <c r="AH753">
        <v>80</v>
      </c>
      <c r="AI753">
        <v>0</v>
      </c>
      <c r="AJ753">
        <v>0</v>
      </c>
      <c r="AK753">
        <v>640</v>
      </c>
      <c r="AL753">
        <v>640</v>
      </c>
      <c r="AM753">
        <v>0</v>
      </c>
      <c r="AN753">
        <v>0</v>
      </c>
      <c r="AO753">
        <v>110</v>
      </c>
      <c r="AP753">
        <v>110</v>
      </c>
      <c r="AQ753">
        <v>110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205</v>
      </c>
      <c r="BA753">
        <v>205</v>
      </c>
      <c r="BB753">
        <v>0</v>
      </c>
      <c r="BC753">
        <v>0</v>
      </c>
      <c r="BD753">
        <v>0</v>
      </c>
      <c r="BE753">
        <f t="shared" si="123"/>
        <v>2180</v>
      </c>
      <c r="BF753">
        <v>1162</v>
      </c>
      <c r="BG753">
        <v>1162</v>
      </c>
      <c r="BH753" t="s">
        <v>199</v>
      </c>
      <c r="BI753" t="s">
        <v>829</v>
      </c>
      <c r="BJ753">
        <v>20</v>
      </c>
      <c r="BK753">
        <v>1035</v>
      </c>
      <c r="BL753">
        <v>1055</v>
      </c>
      <c r="BM753">
        <v>0</v>
      </c>
      <c r="BN753">
        <v>0</v>
      </c>
      <c r="BO753">
        <v>0</v>
      </c>
      <c r="BP753">
        <v>1035</v>
      </c>
      <c r="BQ753">
        <v>1035</v>
      </c>
      <c r="BR753">
        <f t="shared" si="124"/>
        <v>-2</v>
      </c>
      <c r="BS753">
        <f t="shared" si="125"/>
        <v>2</v>
      </c>
    </row>
    <row r="754" spans="1:74" x14ac:dyDescent="0.25">
      <c r="A754" s="5" t="s">
        <v>875</v>
      </c>
      <c r="B754" s="5" t="s">
        <v>61</v>
      </c>
      <c r="C754" s="5" t="s">
        <v>207</v>
      </c>
      <c r="D754" s="1" t="s">
        <v>192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60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</v>
      </c>
      <c r="S754" s="18" t="e">
        <f t="shared" si="116"/>
        <v>#DIV/0!</v>
      </c>
      <c r="T754" s="17" t="e">
        <f t="shared" si="117"/>
        <v>#DIV/0!</v>
      </c>
      <c r="U754" s="17" t="e">
        <f t="shared" si="118"/>
        <v>#DIV/0!</v>
      </c>
      <c r="V754" s="17" t="e">
        <f t="shared" si="119"/>
        <v>#DIV/0!</v>
      </c>
      <c r="W754" s="17" t="e">
        <f t="shared" si="120"/>
        <v>#DIV/0!</v>
      </c>
      <c r="X754" s="17" t="e">
        <f t="shared" si="121"/>
        <v>#DIV/0!</v>
      </c>
      <c r="Y754" s="19" t="e">
        <f t="shared" si="122"/>
        <v>#DIV/0!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60</v>
      </c>
      <c r="AN754">
        <v>0</v>
      </c>
      <c r="AO754">
        <v>0</v>
      </c>
      <c r="AP754">
        <v>25</v>
      </c>
      <c r="AQ754">
        <v>60</v>
      </c>
      <c r="AR754">
        <v>35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f t="shared" si="123"/>
        <v>180</v>
      </c>
      <c r="BF754">
        <v>60</v>
      </c>
      <c r="BG754">
        <v>60</v>
      </c>
      <c r="BH754" t="s">
        <v>190</v>
      </c>
      <c r="BI754" t="s">
        <v>935</v>
      </c>
      <c r="BJ754">
        <v>0</v>
      </c>
      <c r="BK754">
        <v>60</v>
      </c>
      <c r="BL754">
        <v>60</v>
      </c>
      <c r="BM754">
        <v>60</v>
      </c>
      <c r="BN754">
        <v>0</v>
      </c>
      <c r="BO754">
        <v>0</v>
      </c>
      <c r="BP754">
        <v>0</v>
      </c>
      <c r="BQ754">
        <v>60</v>
      </c>
      <c r="BR754">
        <f t="shared" si="124"/>
        <v>-2</v>
      </c>
      <c r="BS754">
        <f t="shared" si="125"/>
        <v>2</v>
      </c>
    </row>
    <row r="755" spans="1:74" x14ac:dyDescent="0.25">
      <c r="A755" s="5" t="s">
        <v>1135</v>
      </c>
      <c r="B755" s="5" t="s">
        <v>207</v>
      </c>
      <c r="C755" s="5" t="s">
        <v>61</v>
      </c>
      <c r="D755" s="1" t="s">
        <v>77</v>
      </c>
      <c r="E755">
        <v>0</v>
      </c>
      <c r="F755">
        <v>330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1125</v>
      </c>
      <c r="Q755">
        <v>125</v>
      </c>
      <c r="R755">
        <v>125</v>
      </c>
      <c r="S755" s="18">
        <f t="shared" si="116"/>
        <v>9</v>
      </c>
      <c r="T755" s="17">
        <f t="shared" si="117"/>
        <v>0</v>
      </c>
      <c r="U755" s="17">
        <f t="shared" si="118"/>
        <v>0</v>
      </c>
      <c r="V755" s="17">
        <f t="shared" si="119"/>
        <v>0</v>
      </c>
      <c r="W755" s="17">
        <f t="shared" si="120"/>
        <v>125</v>
      </c>
      <c r="X755" s="17">
        <f t="shared" si="121"/>
        <v>0</v>
      </c>
      <c r="Y755" s="19" t="e">
        <f t="shared" si="122"/>
        <v>#DIV/0!</v>
      </c>
      <c r="Z755">
        <v>330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f t="shared" si="123"/>
        <v>0</v>
      </c>
      <c r="BF755">
        <v>330</v>
      </c>
      <c r="BG755">
        <v>330</v>
      </c>
      <c r="BH755" t="s">
        <v>63</v>
      </c>
      <c r="BI755" t="s">
        <v>1204</v>
      </c>
      <c r="BJ755">
        <v>0</v>
      </c>
      <c r="BK755">
        <v>0</v>
      </c>
      <c r="BL755">
        <v>330</v>
      </c>
      <c r="BM755">
        <v>0</v>
      </c>
      <c r="BN755">
        <v>0</v>
      </c>
      <c r="BO755">
        <v>0</v>
      </c>
      <c r="BP755">
        <v>1125</v>
      </c>
      <c r="BQ755">
        <v>1125</v>
      </c>
      <c r="BR755">
        <f t="shared" si="124"/>
        <v>0</v>
      </c>
      <c r="BS755">
        <f t="shared" si="125"/>
        <v>250</v>
      </c>
      <c r="BU755">
        <f>R755*9</f>
        <v>1125</v>
      </c>
      <c r="BV755">
        <f>IF(BU755&gt;BG755, 1, 0)</f>
        <v>1</v>
      </c>
    </row>
    <row r="756" spans="1:74" x14ac:dyDescent="0.25">
      <c r="A756" s="5" t="s">
        <v>2090</v>
      </c>
      <c r="B756" s="5" t="s">
        <v>61</v>
      </c>
      <c r="C756" s="5" t="s">
        <v>61</v>
      </c>
      <c r="D756" s="1" t="s">
        <v>183</v>
      </c>
      <c r="E756">
        <v>0</v>
      </c>
      <c r="F756">
        <v>600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600</v>
      </c>
      <c r="N756">
        <v>0</v>
      </c>
      <c r="O756">
        <v>0</v>
      </c>
      <c r="P756">
        <v>0</v>
      </c>
      <c r="Q756">
        <v>74</v>
      </c>
      <c r="R756">
        <v>72</v>
      </c>
      <c r="S756" s="18">
        <f t="shared" si="116"/>
        <v>8.3333333333333339</v>
      </c>
      <c r="T756" s="17">
        <f t="shared" si="117"/>
        <v>72</v>
      </c>
      <c r="U756" s="17">
        <f t="shared" si="118"/>
        <v>0</v>
      </c>
      <c r="V756" s="17">
        <f t="shared" si="119"/>
        <v>0</v>
      </c>
      <c r="W756" s="17">
        <f t="shared" si="120"/>
        <v>0</v>
      </c>
      <c r="X756" s="17">
        <f t="shared" si="121"/>
        <v>2</v>
      </c>
      <c r="Y756" s="19">
        <f t="shared" si="122"/>
        <v>0</v>
      </c>
      <c r="Z756">
        <v>600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f t="shared" si="123"/>
        <v>0</v>
      </c>
      <c r="BF756">
        <v>600</v>
      </c>
      <c r="BG756">
        <v>600</v>
      </c>
      <c r="BH756" t="s">
        <v>546</v>
      </c>
      <c r="BI756" t="s">
        <v>2147</v>
      </c>
      <c r="BJ756">
        <v>0</v>
      </c>
      <c r="BK756">
        <v>0</v>
      </c>
      <c r="BL756">
        <v>600</v>
      </c>
      <c r="BM756">
        <v>600</v>
      </c>
      <c r="BN756">
        <v>0</v>
      </c>
      <c r="BO756">
        <v>0</v>
      </c>
      <c r="BP756">
        <v>0</v>
      </c>
      <c r="BQ756">
        <v>600</v>
      </c>
      <c r="BR756">
        <f t="shared" si="124"/>
        <v>-2</v>
      </c>
      <c r="BS756">
        <f t="shared" si="125"/>
        <v>146</v>
      </c>
    </row>
    <row r="757" spans="1:74" x14ac:dyDescent="0.25">
      <c r="A757" s="5" t="s">
        <v>2090</v>
      </c>
      <c r="B757" s="5" t="s">
        <v>61</v>
      </c>
      <c r="C757" s="5" t="s">
        <v>61</v>
      </c>
      <c r="D757" s="1" t="s">
        <v>959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190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</v>
      </c>
      <c r="S757" s="18" t="e">
        <f t="shared" si="116"/>
        <v>#DIV/0!</v>
      </c>
      <c r="T757" s="17" t="e">
        <f t="shared" si="117"/>
        <v>#DIV/0!</v>
      </c>
      <c r="U757" s="17" t="e">
        <f t="shared" si="118"/>
        <v>#DIV/0!</v>
      </c>
      <c r="V757" s="17" t="e">
        <f t="shared" si="119"/>
        <v>#DIV/0!</v>
      </c>
      <c r="W757" s="17" t="e">
        <f t="shared" si="120"/>
        <v>#DIV/0!</v>
      </c>
      <c r="X757" s="17" t="e">
        <f t="shared" si="121"/>
        <v>#DIV/0!</v>
      </c>
      <c r="Y757" s="19" t="e">
        <f t="shared" si="122"/>
        <v>#DIV/0!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190</v>
      </c>
      <c r="AP757">
        <v>0</v>
      </c>
      <c r="AQ757">
        <v>190</v>
      </c>
      <c r="AR757">
        <v>190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f t="shared" si="123"/>
        <v>570</v>
      </c>
      <c r="BF757">
        <v>190</v>
      </c>
      <c r="BG757">
        <v>190</v>
      </c>
      <c r="BH757" t="s">
        <v>199</v>
      </c>
      <c r="BI757" t="s">
        <v>2169</v>
      </c>
      <c r="BJ757">
        <v>0</v>
      </c>
      <c r="BK757">
        <v>190</v>
      </c>
      <c r="BL757">
        <v>190</v>
      </c>
      <c r="BM757">
        <v>0</v>
      </c>
      <c r="BN757">
        <v>0</v>
      </c>
      <c r="BO757">
        <v>0</v>
      </c>
      <c r="BP757">
        <v>190</v>
      </c>
      <c r="BQ757">
        <v>190</v>
      </c>
      <c r="BR757">
        <f t="shared" si="124"/>
        <v>-2</v>
      </c>
      <c r="BS757">
        <f t="shared" si="125"/>
        <v>2</v>
      </c>
    </row>
    <row r="758" spans="1:74" x14ac:dyDescent="0.25">
      <c r="A758" s="5" t="s">
        <v>61</v>
      </c>
      <c r="B758" s="5" t="s">
        <v>207</v>
      </c>
      <c r="C758" s="5" t="s">
        <v>61</v>
      </c>
      <c r="D758" s="1" t="s">
        <v>194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32</v>
      </c>
      <c r="K758">
        <v>18</v>
      </c>
      <c r="L758">
        <v>10</v>
      </c>
      <c r="M758">
        <v>0</v>
      </c>
      <c r="N758">
        <v>0</v>
      </c>
      <c r="O758">
        <v>0</v>
      </c>
      <c r="P758">
        <v>0</v>
      </c>
      <c r="Q758">
        <v>3</v>
      </c>
      <c r="R758">
        <v>0</v>
      </c>
      <c r="S758" s="18" t="e">
        <f t="shared" si="116"/>
        <v>#DIV/0!</v>
      </c>
      <c r="T758" s="17" t="e">
        <f t="shared" si="117"/>
        <v>#DIV/0!</v>
      </c>
      <c r="U758" s="17" t="e">
        <f t="shared" si="118"/>
        <v>#DIV/0!</v>
      </c>
      <c r="V758" s="17" t="e">
        <f t="shared" si="119"/>
        <v>#DIV/0!</v>
      </c>
      <c r="W758" s="17" t="e">
        <f t="shared" si="120"/>
        <v>#DIV/0!</v>
      </c>
      <c r="X758" s="17" t="e">
        <f t="shared" si="121"/>
        <v>#DIV/0!</v>
      </c>
      <c r="Y758" s="19" t="e">
        <f t="shared" si="122"/>
        <v>#DIV/0!</v>
      </c>
      <c r="Z758">
        <v>0</v>
      </c>
      <c r="AA758">
        <v>0</v>
      </c>
      <c r="AB758">
        <v>0</v>
      </c>
      <c r="AC758">
        <v>12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32</v>
      </c>
      <c r="AL758">
        <v>32</v>
      </c>
      <c r="AM758">
        <v>0</v>
      </c>
      <c r="AN758">
        <v>0</v>
      </c>
      <c r="AO758">
        <v>18</v>
      </c>
      <c r="AP758">
        <v>3</v>
      </c>
      <c r="AQ758">
        <v>18</v>
      </c>
      <c r="AR758">
        <v>15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10</v>
      </c>
      <c r="BA758">
        <v>10</v>
      </c>
      <c r="BB758">
        <v>0</v>
      </c>
      <c r="BC758">
        <v>0</v>
      </c>
      <c r="BD758">
        <v>0</v>
      </c>
      <c r="BE758">
        <f t="shared" si="123"/>
        <v>150</v>
      </c>
      <c r="BF758">
        <v>72</v>
      </c>
      <c r="BG758">
        <v>72</v>
      </c>
      <c r="BH758" t="s">
        <v>190</v>
      </c>
      <c r="BI758" t="s">
        <v>273</v>
      </c>
      <c r="BJ758">
        <v>12</v>
      </c>
      <c r="BK758">
        <v>60</v>
      </c>
      <c r="BL758">
        <v>72</v>
      </c>
      <c r="BM758">
        <v>0</v>
      </c>
      <c r="BN758">
        <v>0</v>
      </c>
      <c r="BO758">
        <v>0</v>
      </c>
      <c r="BP758">
        <v>60</v>
      </c>
      <c r="BQ758">
        <v>60</v>
      </c>
      <c r="BR758">
        <f t="shared" si="124"/>
        <v>-3</v>
      </c>
      <c r="BS758">
        <f t="shared" si="125"/>
        <v>3</v>
      </c>
    </row>
    <row r="759" spans="1:74" x14ac:dyDescent="0.25">
      <c r="A759" s="5" t="s">
        <v>61</v>
      </c>
      <c r="B759" s="5" t="s">
        <v>359</v>
      </c>
      <c r="C759" s="5" t="s">
        <v>61</v>
      </c>
      <c r="D759" s="1" t="s">
        <v>106</v>
      </c>
      <c r="E759">
        <v>0</v>
      </c>
      <c r="F759">
        <v>395</v>
      </c>
      <c r="G759">
        <v>0</v>
      </c>
      <c r="H759">
        <v>0</v>
      </c>
      <c r="I759">
        <v>50</v>
      </c>
      <c r="J759">
        <v>0</v>
      </c>
      <c r="K759">
        <v>0</v>
      </c>
      <c r="L759">
        <v>0</v>
      </c>
      <c r="M759">
        <v>1170</v>
      </c>
      <c r="N759">
        <v>0</v>
      </c>
      <c r="O759">
        <v>0</v>
      </c>
      <c r="P759">
        <v>0</v>
      </c>
      <c r="Q759">
        <v>133</v>
      </c>
      <c r="R759">
        <v>130</v>
      </c>
      <c r="S759" s="18">
        <f t="shared" si="116"/>
        <v>9</v>
      </c>
      <c r="T759" s="17">
        <f t="shared" si="117"/>
        <v>130</v>
      </c>
      <c r="U759" s="17">
        <f t="shared" si="118"/>
        <v>0</v>
      </c>
      <c r="V759" s="17">
        <f t="shared" si="119"/>
        <v>0</v>
      </c>
      <c r="W759" s="17">
        <f t="shared" si="120"/>
        <v>0</v>
      </c>
      <c r="X759" s="17">
        <f t="shared" si="121"/>
        <v>3</v>
      </c>
      <c r="Y759" s="19">
        <f t="shared" si="122"/>
        <v>0</v>
      </c>
      <c r="Z759">
        <v>395</v>
      </c>
      <c r="AA759">
        <v>0</v>
      </c>
      <c r="AB759">
        <v>0</v>
      </c>
      <c r="AC759">
        <v>0</v>
      </c>
      <c r="AD759">
        <v>50</v>
      </c>
      <c r="AE759">
        <v>0</v>
      </c>
      <c r="AF759">
        <v>0</v>
      </c>
      <c r="AG759">
        <v>0</v>
      </c>
      <c r="AH759">
        <v>50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f t="shared" si="123"/>
        <v>100</v>
      </c>
      <c r="BF759">
        <v>445</v>
      </c>
      <c r="BG759">
        <v>445</v>
      </c>
      <c r="BH759" t="s">
        <v>109</v>
      </c>
      <c r="BI759" t="s">
        <v>381</v>
      </c>
      <c r="BJ759">
        <v>0</v>
      </c>
      <c r="BK759">
        <v>50</v>
      </c>
      <c r="BL759">
        <v>445</v>
      </c>
      <c r="BM759">
        <v>1220</v>
      </c>
      <c r="BN759">
        <v>0</v>
      </c>
      <c r="BO759">
        <v>0</v>
      </c>
      <c r="BP759">
        <v>0</v>
      </c>
      <c r="BQ759">
        <v>1220</v>
      </c>
      <c r="BR759">
        <f t="shared" si="124"/>
        <v>-3</v>
      </c>
      <c r="BS759">
        <f t="shared" si="125"/>
        <v>263</v>
      </c>
    </row>
    <row r="760" spans="1:74" x14ac:dyDescent="0.25">
      <c r="A760" s="5" t="s">
        <v>207</v>
      </c>
      <c r="B760" s="5" t="s">
        <v>61</v>
      </c>
      <c r="C760" s="5" t="s">
        <v>61</v>
      </c>
      <c r="D760" s="1" t="s">
        <v>92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70</v>
      </c>
      <c r="L760">
        <v>65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0</v>
      </c>
      <c r="S760" s="18" t="e">
        <f t="shared" si="116"/>
        <v>#DIV/0!</v>
      </c>
      <c r="T760" s="17" t="e">
        <f t="shared" si="117"/>
        <v>#DIV/0!</v>
      </c>
      <c r="U760" s="17" t="e">
        <f t="shared" si="118"/>
        <v>#DIV/0!</v>
      </c>
      <c r="V760" s="17" t="e">
        <f t="shared" si="119"/>
        <v>#DIV/0!</v>
      </c>
      <c r="W760" s="17" t="e">
        <f t="shared" si="120"/>
        <v>#DIV/0!</v>
      </c>
      <c r="X760" s="17" t="e">
        <f t="shared" si="121"/>
        <v>#DIV/0!</v>
      </c>
      <c r="Y760" s="19" t="e">
        <f t="shared" si="122"/>
        <v>#DIV/0!</v>
      </c>
      <c r="Z760">
        <v>0</v>
      </c>
      <c r="AA760">
        <v>0</v>
      </c>
      <c r="AB760">
        <v>0</v>
      </c>
      <c r="AC760">
        <v>125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70</v>
      </c>
      <c r="AP760">
        <v>45</v>
      </c>
      <c r="AQ760">
        <v>70</v>
      </c>
      <c r="AR760">
        <v>25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65</v>
      </c>
      <c r="BA760">
        <v>65</v>
      </c>
      <c r="BB760">
        <v>0</v>
      </c>
      <c r="BC760">
        <v>0</v>
      </c>
      <c r="BD760">
        <v>0</v>
      </c>
      <c r="BE760">
        <f t="shared" si="123"/>
        <v>465</v>
      </c>
      <c r="BF760">
        <v>260</v>
      </c>
      <c r="BG760">
        <v>260</v>
      </c>
      <c r="BH760" t="s">
        <v>190</v>
      </c>
      <c r="BI760" t="s">
        <v>440</v>
      </c>
      <c r="BJ760">
        <v>125</v>
      </c>
      <c r="BK760">
        <v>135</v>
      </c>
      <c r="BL760">
        <v>260</v>
      </c>
      <c r="BM760">
        <v>0</v>
      </c>
      <c r="BN760">
        <v>0</v>
      </c>
      <c r="BO760">
        <v>0</v>
      </c>
      <c r="BP760">
        <v>135</v>
      </c>
      <c r="BQ760">
        <v>135</v>
      </c>
      <c r="BR760">
        <f t="shared" si="124"/>
        <v>-3</v>
      </c>
      <c r="BS760">
        <f t="shared" si="125"/>
        <v>3</v>
      </c>
    </row>
    <row r="761" spans="1:74" x14ac:dyDescent="0.25">
      <c r="A761" s="5" t="s">
        <v>207</v>
      </c>
      <c r="B761" s="5" t="s">
        <v>61</v>
      </c>
      <c r="C761" s="5" t="s">
        <v>61</v>
      </c>
      <c r="D761" s="1" t="s">
        <v>104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25</v>
      </c>
      <c r="L761">
        <v>47</v>
      </c>
      <c r="M761">
        <v>0</v>
      </c>
      <c r="N761">
        <v>0</v>
      </c>
      <c r="O761">
        <v>0</v>
      </c>
      <c r="P761">
        <v>0</v>
      </c>
      <c r="Q761">
        <v>3</v>
      </c>
      <c r="R761">
        <v>0</v>
      </c>
      <c r="S761" s="18" t="e">
        <f t="shared" si="116"/>
        <v>#DIV/0!</v>
      </c>
      <c r="T761" s="17" t="e">
        <f t="shared" si="117"/>
        <v>#DIV/0!</v>
      </c>
      <c r="U761" s="17" t="e">
        <f t="shared" si="118"/>
        <v>#DIV/0!</v>
      </c>
      <c r="V761" s="17" t="e">
        <f t="shared" si="119"/>
        <v>#DIV/0!</v>
      </c>
      <c r="W761" s="17" t="e">
        <f t="shared" si="120"/>
        <v>#DIV/0!</v>
      </c>
      <c r="X761" s="17" t="e">
        <f t="shared" si="121"/>
        <v>#DIV/0!</v>
      </c>
      <c r="Y761" s="19" t="e">
        <f t="shared" si="122"/>
        <v>#DIV/0!</v>
      </c>
      <c r="Z761">
        <v>0</v>
      </c>
      <c r="AA761">
        <v>0</v>
      </c>
      <c r="AB761">
        <v>0</v>
      </c>
      <c r="AC761">
        <v>120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25</v>
      </c>
      <c r="AN761">
        <v>0</v>
      </c>
      <c r="AO761">
        <v>0</v>
      </c>
      <c r="AP761">
        <v>0</v>
      </c>
      <c r="AQ761">
        <v>25</v>
      </c>
      <c r="AR761">
        <v>25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47</v>
      </c>
      <c r="AY761">
        <v>0</v>
      </c>
      <c r="AZ761">
        <v>0</v>
      </c>
      <c r="BA761">
        <v>47</v>
      </c>
      <c r="BB761">
        <v>0</v>
      </c>
      <c r="BC761">
        <v>0</v>
      </c>
      <c r="BD761">
        <v>0</v>
      </c>
      <c r="BE761">
        <f t="shared" si="123"/>
        <v>289</v>
      </c>
      <c r="BF761">
        <v>192</v>
      </c>
      <c r="BG761">
        <v>192</v>
      </c>
      <c r="BH761" t="s">
        <v>190</v>
      </c>
      <c r="BI761" t="s">
        <v>446</v>
      </c>
      <c r="BJ761">
        <v>120</v>
      </c>
      <c r="BK761">
        <v>72</v>
      </c>
      <c r="BL761">
        <v>192</v>
      </c>
      <c r="BM761">
        <v>72</v>
      </c>
      <c r="BN761">
        <v>0</v>
      </c>
      <c r="BO761">
        <v>0</v>
      </c>
      <c r="BP761">
        <v>0</v>
      </c>
      <c r="BQ761">
        <v>72</v>
      </c>
      <c r="BR761">
        <f t="shared" si="124"/>
        <v>-3</v>
      </c>
      <c r="BS761">
        <f t="shared" si="125"/>
        <v>3</v>
      </c>
    </row>
    <row r="762" spans="1:74" x14ac:dyDescent="0.25">
      <c r="A762" s="5" t="s">
        <v>207</v>
      </c>
      <c r="B762" s="5" t="s">
        <v>207</v>
      </c>
      <c r="C762" s="5" t="s">
        <v>61</v>
      </c>
      <c r="D762" s="1" t="s">
        <v>88</v>
      </c>
      <c r="E762">
        <v>0</v>
      </c>
      <c r="F762">
        <v>4500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4500</v>
      </c>
      <c r="N762">
        <v>0</v>
      </c>
      <c r="O762">
        <v>0</v>
      </c>
      <c r="P762">
        <v>0</v>
      </c>
      <c r="Q762">
        <v>977</v>
      </c>
      <c r="R762">
        <v>974</v>
      </c>
      <c r="S762" s="18">
        <f t="shared" si="116"/>
        <v>4.6201232032854209</v>
      </c>
      <c r="T762" s="17">
        <f t="shared" si="117"/>
        <v>974</v>
      </c>
      <c r="U762" s="17">
        <f t="shared" si="118"/>
        <v>0</v>
      </c>
      <c r="V762" s="17">
        <f t="shared" si="119"/>
        <v>0</v>
      </c>
      <c r="W762" s="17">
        <f t="shared" si="120"/>
        <v>0</v>
      </c>
      <c r="X762" s="17">
        <f t="shared" si="121"/>
        <v>3</v>
      </c>
      <c r="Y762" s="19">
        <f t="shared" si="122"/>
        <v>0</v>
      </c>
      <c r="Z762">
        <v>4500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f t="shared" si="123"/>
        <v>0</v>
      </c>
      <c r="BF762">
        <v>4500</v>
      </c>
      <c r="BG762">
        <v>4500</v>
      </c>
      <c r="BH762" t="s">
        <v>546</v>
      </c>
      <c r="BI762" t="s">
        <v>553</v>
      </c>
      <c r="BJ762">
        <v>0</v>
      </c>
      <c r="BK762">
        <v>0</v>
      </c>
      <c r="BL762">
        <v>4500</v>
      </c>
      <c r="BM762">
        <v>4500</v>
      </c>
      <c r="BN762">
        <v>0</v>
      </c>
      <c r="BO762">
        <v>0</v>
      </c>
      <c r="BP762">
        <v>0</v>
      </c>
      <c r="BQ762">
        <v>4500</v>
      </c>
      <c r="BR762">
        <f t="shared" si="124"/>
        <v>-3</v>
      </c>
      <c r="BS762">
        <f t="shared" si="125"/>
        <v>1951</v>
      </c>
    </row>
    <row r="763" spans="1:74" x14ac:dyDescent="0.25">
      <c r="A763" s="5" t="s">
        <v>875</v>
      </c>
      <c r="B763" s="5" t="s">
        <v>61</v>
      </c>
      <c r="C763" s="5" t="s">
        <v>207</v>
      </c>
      <c r="D763" s="1" t="s">
        <v>198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12</v>
      </c>
      <c r="L763">
        <v>15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 s="18" t="e">
        <f t="shared" si="116"/>
        <v>#DIV/0!</v>
      </c>
      <c r="T763" s="17" t="e">
        <f t="shared" si="117"/>
        <v>#DIV/0!</v>
      </c>
      <c r="U763" s="17" t="e">
        <f t="shared" si="118"/>
        <v>#DIV/0!</v>
      </c>
      <c r="V763" s="17" t="e">
        <f t="shared" si="119"/>
        <v>#DIV/0!</v>
      </c>
      <c r="W763" s="17" t="e">
        <f t="shared" si="120"/>
        <v>#DIV/0!</v>
      </c>
      <c r="X763" s="17" t="e">
        <f t="shared" si="121"/>
        <v>#DIV/0!</v>
      </c>
      <c r="Y763" s="19" t="e">
        <f t="shared" si="122"/>
        <v>#DIV/0!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12</v>
      </c>
      <c r="AP763">
        <v>0</v>
      </c>
      <c r="AQ763">
        <v>12</v>
      </c>
      <c r="AR763">
        <v>12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15</v>
      </c>
      <c r="BA763">
        <v>15</v>
      </c>
      <c r="BB763">
        <v>0</v>
      </c>
      <c r="BC763">
        <v>0</v>
      </c>
      <c r="BD763">
        <v>0</v>
      </c>
      <c r="BE763">
        <f t="shared" si="123"/>
        <v>66</v>
      </c>
      <c r="BF763">
        <v>27</v>
      </c>
      <c r="BG763">
        <v>27</v>
      </c>
      <c r="BH763" t="s">
        <v>190</v>
      </c>
      <c r="BI763" t="s">
        <v>938</v>
      </c>
      <c r="BJ763">
        <v>0</v>
      </c>
      <c r="BK763">
        <v>27</v>
      </c>
      <c r="BL763">
        <v>27</v>
      </c>
      <c r="BM763">
        <v>0</v>
      </c>
      <c r="BN763">
        <v>0</v>
      </c>
      <c r="BO763">
        <v>0</v>
      </c>
      <c r="BP763">
        <v>27</v>
      </c>
      <c r="BQ763">
        <v>27</v>
      </c>
      <c r="BR763">
        <f t="shared" si="124"/>
        <v>-3</v>
      </c>
      <c r="BS763">
        <f t="shared" si="125"/>
        <v>3</v>
      </c>
    </row>
    <row r="764" spans="1:74" x14ac:dyDescent="0.25">
      <c r="A764" s="5" t="s">
        <v>875</v>
      </c>
      <c r="B764" s="5" t="s">
        <v>61</v>
      </c>
      <c r="C764" s="5" t="s">
        <v>207</v>
      </c>
      <c r="D764" s="1" t="s">
        <v>351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25</v>
      </c>
      <c r="L764">
        <v>20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0</v>
      </c>
      <c r="S764" s="18" t="e">
        <f t="shared" si="116"/>
        <v>#DIV/0!</v>
      </c>
      <c r="T764" s="17" t="e">
        <f t="shared" si="117"/>
        <v>#DIV/0!</v>
      </c>
      <c r="U764" s="17" t="e">
        <f t="shared" si="118"/>
        <v>#DIV/0!</v>
      </c>
      <c r="V764" s="17" t="e">
        <f t="shared" si="119"/>
        <v>#DIV/0!</v>
      </c>
      <c r="W764" s="17" t="e">
        <f t="shared" si="120"/>
        <v>#DIV/0!</v>
      </c>
      <c r="X764" s="17" t="e">
        <f t="shared" si="121"/>
        <v>#DIV/0!</v>
      </c>
      <c r="Y764" s="19" t="e">
        <f t="shared" si="122"/>
        <v>#DIV/0!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25</v>
      </c>
      <c r="AP764">
        <v>15</v>
      </c>
      <c r="AQ764">
        <v>25</v>
      </c>
      <c r="AR764">
        <v>10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20</v>
      </c>
      <c r="BA764">
        <v>20</v>
      </c>
      <c r="BB764">
        <v>0</v>
      </c>
      <c r="BC764">
        <v>0</v>
      </c>
      <c r="BD764">
        <v>0</v>
      </c>
      <c r="BE764">
        <f t="shared" si="123"/>
        <v>115</v>
      </c>
      <c r="BF764">
        <v>45</v>
      </c>
      <c r="BG764">
        <v>45</v>
      </c>
      <c r="BH764" t="s">
        <v>190</v>
      </c>
      <c r="BI764" t="s">
        <v>943</v>
      </c>
      <c r="BJ764">
        <v>0</v>
      </c>
      <c r="BK764">
        <v>45</v>
      </c>
      <c r="BL764">
        <v>45</v>
      </c>
      <c r="BM764">
        <v>0</v>
      </c>
      <c r="BN764">
        <v>0</v>
      </c>
      <c r="BO764">
        <v>0</v>
      </c>
      <c r="BP764">
        <v>45</v>
      </c>
      <c r="BQ764">
        <v>45</v>
      </c>
      <c r="BR764">
        <f t="shared" si="124"/>
        <v>-3</v>
      </c>
      <c r="BS764">
        <f t="shared" si="125"/>
        <v>3</v>
      </c>
    </row>
    <row r="765" spans="1:74" x14ac:dyDescent="0.25">
      <c r="A765" s="5" t="s">
        <v>875</v>
      </c>
      <c r="B765" s="5" t="s">
        <v>61</v>
      </c>
      <c r="C765" s="5" t="s">
        <v>207</v>
      </c>
      <c r="D765" s="1" t="s">
        <v>951</v>
      </c>
      <c r="E765">
        <v>40</v>
      </c>
      <c r="F765">
        <v>0</v>
      </c>
      <c r="G765">
        <v>0</v>
      </c>
      <c r="H765">
        <v>0</v>
      </c>
      <c r="I765">
        <v>0</v>
      </c>
      <c r="J765">
        <v>417</v>
      </c>
      <c r="K765">
        <v>0</v>
      </c>
      <c r="L765">
        <v>107</v>
      </c>
      <c r="M765">
        <v>0</v>
      </c>
      <c r="N765">
        <v>0</v>
      </c>
      <c r="O765">
        <v>0</v>
      </c>
      <c r="P765">
        <v>0</v>
      </c>
      <c r="Q765">
        <v>3</v>
      </c>
      <c r="R765">
        <v>0</v>
      </c>
      <c r="S765" s="18" t="e">
        <f t="shared" si="116"/>
        <v>#DIV/0!</v>
      </c>
      <c r="T765" s="17" t="e">
        <f t="shared" si="117"/>
        <v>#DIV/0!</v>
      </c>
      <c r="U765" s="17" t="e">
        <f t="shared" si="118"/>
        <v>#DIV/0!</v>
      </c>
      <c r="V765" s="17" t="e">
        <f t="shared" si="119"/>
        <v>#DIV/0!</v>
      </c>
      <c r="W765" s="17" t="e">
        <f t="shared" si="120"/>
        <v>#DIV/0!</v>
      </c>
      <c r="X765" s="17" t="e">
        <f t="shared" si="121"/>
        <v>#DIV/0!</v>
      </c>
      <c r="Y765" s="19" t="e">
        <f t="shared" si="122"/>
        <v>#DIV/0!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417</v>
      </c>
      <c r="AL765">
        <v>417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107</v>
      </c>
      <c r="BA765">
        <v>107</v>
      </c>
      <c r="BB765">
        <v>0</v>
      </c>
      <c r="BC765">
        <v>0</v>
      </c>
      <c r="BD765">
        <v>0</v>
      </c>
      <c r="BE765">
        <f t="shared" si="123"/>
        <v>1048</v>
      </c>
      <c r="BF765">
        <v>564</v>
      </c>
      <c r="BG765">
        <v>564</v>
      </c>
      <c r="BH765" t="s">
        <v>199</v>
      </c>
      <c r="BI765" t="s">
        <v>952</v>
      </c>
      <c r="BJ765">
        <v>40</v>
      </c>
      <c r="BK765">
        <v>524</v>
      </c>
      <c r="BL765">
        <v>564</v>
      </c>
      <c r="BM765">
        <v>0</v>
      </c>
      <c r="BN765">
        <v>0</v>
      </c>
      <c r="BO765">
        <v>0</v>
      </c>
      <c r="BP765">
        <v>524</v>
      </c>
      <c r="BQ765">
        <v>524</v>
      </c>
      <c r="BR765">
        <f t="shared" si="124"/>
        <v>-3</v>
      </c>
      <c r="BS765">
        <f t="shared" si="125"/>
        <v>3</v>
      </c>
    </row>
    <row r="766" spans="1:74" x14ac:dyDescent="0.25">
      <c r="A766" s="5" t="s">
        <v>1451</v>
      </c>
      <c r="B766" s="5" t="s">
        <v>207</v>
      </c>
      <c r="C766" s="5" t="s">
        <v>207</v>
      </c>
      <c r="D766" s="1" t="s">
        <v>135</v>
      </c>
      <c r="E766">
        <v>0</v>
      </c>
      <c r="F766">
        <v>240</v>
      </c>
      <c r="G766">
        <v>0</v>
      </c>
      <c r="H766">
        <v>0</v>
      </c>
      <c r="I766">
        <v>0</v>
      </c>
      <c r="J766">
        <v>0</v>
      </c>
      <c r="K766">
        <v>65</v>
      </c>
      <c r="L766">
        <v>0</v>
      </c>
      <c r="M766">
        <v>819</v>
      </c>
      <c r="N766">
        <v>0</v>
      </c>
      <c r="O766">
        <v>0</v>
      </c>
      <c r="P766">
        <v>0</v>
      </c>
      <c r="Q766">
        <v>94</v>
      </c>
      <c r="R766">
        <v>91</v>
      </c>
      <c r="S766" s="18">
        <f t="shared" si="116"/>
        <v>9</v>
      </c>
      <c r="T766" s="17">
        <f t="shared" si="117"/>
        <v>91</v>
      </c>
      <c r="U766" s="17">
        <f t="shared" si="118"/>
        <v>0</v>
      </c>
      <c r="V766" s="17">
        <f t="shared" si="119"/>
        <v>0</v>
      </c>
      <c r="W766" s="17">
        <f t="shared" si="120"/>
        <v>0</v>
      </c>
      <c r="X766" s="17">
        <f t="shared" si="121"/>
        <v>3</v>
      </c>
      <c r="Y766" s="19">
        <f t="shared" si="122"/>
        <v>0</v>
      </c>
      <c r="Z766">
        <v>240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65</v>
      </c>
      <c r="AP766">
        <v>0</v>
      </c>
      <c r="AQ766">
        <v>65</v>
      </c>
      <c r="AR766">
        <v>65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f t="shared" si="123"/>
        <v>195</v>
      </c>
      <c r="BF766">
        <v>305</v>
      </c>
      <c r="BG766">
        <v>305</v>
      </c>
      <c r="BH766" t="s">
        <v>109</v>
      </c>
      <c r="BI766" t="s">
        <v>1587</v>
      </c>
      <c r="BJ766">
        <v>0</v>
      </c>
      <c r="BK766">
        <v>65</v>
      </c>
      <c r="BL766">
        <v>305</v>
      </c>
      <c r="BM766">
        <v>819</v>
      </c>
      <c r="BN766">
        <v>0</v>
      </c>
      <c r="BO766">
        <v>0</v>
      </c>
      <c r="BP766">
        <v>65</v>
      </c>
      <c r="BQ766">
        <v>884</v>
      </c>
      <c r="BR766">
        <f t="shared" si="124"/>
        <v>-3</v>
      </c>
      <c r="BS766">
        <f t="shared" si="125"/>
        <v>185</v>
      </c>
    </row>
    <row r="767" spans="1:74" x14ac:dyDescent="0.25">
      <c r="A767" s="5" t="s">
        <v>1946</v>
      </c>
      <c r="B767" s="5" t="s">
        <v>61</v>
      </c>
      <c r="C767" s="5" t="s">
        <v>61</v>
      </c>
      <c r="D767" s="1" t="s">
        <v>147</v>
      </c>
      <c r="E767">
        <v>130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250</v>
      </c>
      <c r="M767">
        <v>0</v>
      </c>
      <c r="N767">
        <v>0</v>
      </c>
      <c r="O767">
        <v>0</v>
      </c>
      <c r="P767">
        <v>0</v>
      </c>
      <c r="Q767">
        <v>3</v>
      </c>
      <c r="R767">
        <v>0</v>
      </c>
      <c r="S767" s="18" t="e">
        <f t="shared" si="116"/>
        <v>#DIV/0!</v>
      </c>
      <c r="T767" s="17" t="e">
        <f t="shared" si="117"/>
        <v>#DIV/0!</v>
      </c>
      <c r="U767" s="17" t="e">
        <f t="shared" si="118"/>
        <v>#DIV/0!</v>
      </c>
      <c r="V767" s="17" t="e">
        <f t="shared" si="119"/>
        <v>#DIV/0!</v>
      </c>
      <c r="W767" s="17" t="e">
        <f t="shared" si="120"/>
        <v>#DIV/0!</v>
      </c>
      <c r="X767" s="17" t="e">
        <f t="shared" si="121"/>
        <v>#DIV/0!</v>
      </c>
      <c r="Y767" s="19" t="e">
        <f t="shared" si="122"/>
        <v>#DIV/0!</v>
      </c>
      <c r="Z767">
        <v>0</v>
      </c>
      <c r="AA767">
        <v>0</v>
      </c>
      <c r="AB767">
        <v>0</v>
      </c>
      <c r="AC767">
        <v>130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250</v>
      </c>
      <c r="BA767">
        <v>250</v>
      </c>
      <c r="BB767">
        <v>0</v>
      </c>
      <c r="BC767">
        <v>0</v>
      </c>
      <c r="BD767">
        <v>0</v>
      </c>
      <c r="BE767">
        <f t="shared" si="123"/>
        <v>630</v>
      </c>
      <c r="BF767">
        <v>510</v>
      </c>
      <c r="BG767">
        <v>510</v>
      </c>
      <c r="BH767" t="s">
        <v>190</v>
      </c>
      <c r="BI767" t="s">
        <v>1986</v>
      </c>
      <c r="BJ767">
        <v>260</v>
      </c>
      <c r="BK767">
        <v>250</v>
      </c>
      <c r="BL767">
        <v>510</v>
      </c>
      <c r="BM767">
        <v>0</v>
      </c>
      <c r="BN767">
        <v>0</v>
      </c>
      <c r="BO767">
        <v>0</v>
      </c>
      <c r="BP767">
        <v>250</v>
      </c>
      <c r="BQ767">
        <v>250</v>
      </c>
      <c r="BR767">
        <f t="shared" si="124"/>
        <v>-3</v>
      </c>
      <c r="BS767">
        <f t="shared" si="125"/>
        <v>3</v>
      </c>
    </row>
    <row r="768" spans="1:74" x14ac:dyDescent="0.25">
      <c r="A768" s="5" t="s">
        <v>2090</v>
      </c>
      <c r="B768" s="5" t="s">
        <v>359</v>
      </c>
      <c r="C768" s="5" t="s">
        <v>61</v>
      </c>
      <c r="D768" s="1" t="s">
        <v>84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40</v>
      </c>
      <c r="L768">
        <v>10</v>
      </c>
      <c r="M768">
        <v>0</v>
      </c>
      <c r="N768">
        <v>0</v>
      </c>
      <c r="O768">
        <v>0</v>
      </c>
      <c r="P768">
        <v>0</v>
      </c>
      <c r="Q768">
        <v>3</v>
      </c>
      <c r="R768">
        <v>0</v>
      </c>
      <c r="S768" s="18" t="e">
        <f t="shared" si="116"/>
        <v>#DIV/0!</v>
      </c>
      <c r="T768" s="17" t="e">
        <f t="shared" si="117"/>
        <v>#DIV/0!</v>
      </c>
      <c r="U768" s="17" t="e">
        <f t="shared" si="118"/>
        <v>#DIV/0!</v>
      </c>
      <c r="V768" s="17" t="e">
        <f t="shared" si="119"/>
        <v>#DIV/0!</v>
      </c>
      <c r="W768" s="17" t="e">
        <f t="shared" si="120"/>
        <v>#DIV/0!</v>
      </c>
      <c r="X768" s="17" t="e">
        <f t="shared" si="121"/>
        <v>#DIV/0!</v>
      </c>
      <c r="Y768" s="19" t="e">
        <f t="shared" si="122"/>
        <v>#DIV/0!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40</v>
      </c>
      <c r="AP768">
        <v>20</v>
      </c>
      <c r="AQ768">
        <v>40</v>
      </c>
      <c r="AR768">
        <v>20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10</v>
      </c>
      <c r="BA768">
        <v>10</v>
      </c>
      <c r="BB768">
        <v>0</v>
      </c>
      <c r="BC768">
        <v>0</v>
      </c>
      <c r="BD768">
        <v>0</v>
      </c>
      <c r="BE768">
        <f t="shared" si="123"/>
        <v>140</v>
      </c>
      <c r="BF768">
        <v>50</v>
      </c>
      <c r="BG768">
        <v>50</v>
      </c>
      <c r="BH768" t="s">
        <v>190</v>
      </c>
      <c r="BI768" t="s">
        <v>2290</v>
      </c>
      <c r="BJ768">
        <v>0</v>
      </c>
      <c r="BK768">
        <v>50</v>
      </c>
      <c r="BL768">
        <v>50</v>
      </c>
      <c r="BM768">
        <v>0</v>
      </c>
      <c r="BN768">
        <v>0</v>
      </c>
      <c r="BO768">
        <v>0</v>
      </c>
      <c r="BP768">
        <v>50</v>
      </c>
      <c r="BQ768">
        <v>50</v>
      </c>
      <c r="BR768">
        <f t="shared" si="124"/>
        <v>-3</v>
      </c>
      <c r="BS768">
        <f t="shared" si="125"/>
        <v>3</v>
      </c>
    </row>
    <row r="769" spans="1:71" x14ac:dyDescent="0.25">
      <c r="A769" s="5" t="s">
        <v>2294</v>
      </c>
      <c r="B769" s="5" t="s">
        <v>61</v>
      </c>
      <c r="C769" s="5" t="s">
        <v>61</v>
      </c>
      <c r="D769" s="1" t="s">
        <v>71</v>
      </c>
      <c r="E769">
        <v>0</v>
      </c>
      <c r="F769">
        <v>38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342</v>
      </c>
      <c r="N769">
        <v>0</v>
      </c>
      <c r="O769">
        <v>0</v>
      </c>
      <c r="P769">
        <v>0</v>
      </c>
      <c r="Q769">
        <v>41</v>
      </c>
      <c r="R769">
        <v>38</v>
      </c>
      <c r="S769" s="18">
        <f t="shared" si="116"/>
        <v>9</v>
      </c>
      <c r="T769" s="17">
        <f t="shared" si="117"/>
        <v>38</v>
      </c>
      <c r="U769" s="17">
        <f t="shared" si="118"/>
        <v>0</v>
      </c>
      <c r="V769" s="17">
        <f t="shared" si="119"/>
        <v>0</v>
      </c>
      <c r="W769" s="17">
        <f t="shared" si="120"/>
        <v>0</v>
      </c>
      <c r="X769" s="17">
        <f t="shared" si="121"/>
        <v>3</v>
      </c>
      <c r="Y769" s="19">
        <f t="shared" si="122"/>
        <v>0</v>
      </c>
      <c r="Z769">
        <v>38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f t="shared" si="123"/>
        <v>0</v>
      </c>
      <c r="BF769">
        <v>38</v>
      </c>
      <c r="BG769">
        <v>38</v>
      </c>
      <c r="BH769" t="s">
        <v>109</v>
      </c>
      <c r="BI769" t="s">
        <v>2299</v>
      </c>
      <c r="BJ769">
        <v>0</v>
      </c>
      <c r="BK769">
        <v>0</v>
      </c>
      <c r="BL769">
        <v>38</v>
      </c>
      <c r="BM769">
        <v>342</v>
      </c>
      <c r="BN769">
        <v>0</v>
      </c>
      <c r="BO769">
        <v>0</v>
      </c>
      <c r="BP769">
        <v>0</v>
      </c>
      <c r="BQ769">
        <v>342</v>
      </c>
      <c r="BR769">
        <f t="shared" si="124"/>
        <v>-3</v>
      </c>
      <c r="BS769">
        <f t="shared" si="125"/>
        <v>79</v>
      </c>
    </row>
    <row r="770" spans="1:71" x14ac:dyDescent="0.25">
      <c r="A770" s="5" t="s">
        <v>2294</v>
      </c>
      <c r="B770" s="5" t="s">
        <v>61</v>
      </c>
      <c r="C770" s="5" t="s">
        <v>61</v>
      </c>
      <c r="D770" s="1" t="s">
        <v>119</v>
      </c>
      <c r="E770">
        <v>0</v>
      </c>
      <c r="F770">
        <v>2</v>
      </c>
      <c r="G770">
        <v>0</v>
      </c>
      <c r="H770">
        <v>0</v>
      </c>
      <c r="I770">
        <v>17</v>
      </c>
      <c r="J770">
        <v>68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18</v>
      </c>
      <c r="Q770">
        <v>5</v>
      </c>
      <c r="R770">
        <v>2</v>
      </c>
      <c r="S770" s="18">
        <f t="shared" ref="S770:S833" si="126">(M770+N770+O770+P770)/R770</f>
        <v>9</v>
      </c>
      <c r="T770" s="17">
        <f t="shared" ref="T770:T833" si="127">M770/$S770</f>
        <v>0</v>
      </c>
      <c r="U770" s="17">
        <f t="shared" ref="U770:U833" si="128">N770/$S770</f>
        <v>0</v>
      </c>
      <c r="V770" s="17">
        <f t="shared" ref="V770:V833" si="129">O770/$S770</f>
        <v>0</v>
      </c>
      <c r="W770" s="17">
        <f t="shared" ref="W770:W833" si="130">P770/$S770</f>
        <v>2</v>
      </c>
      <c r="X770" s="17">
        <f t="shared" ref="X770:X833" si="131">Q770-T770-U770-W770</f>
        <v>3</v>
      </c>
      <c r="Y770" s="19">
        <f t="shared" ref="Y770:Y833" si="132">V770/X770</f>
        <v>0</v>
      </c>
      <c r="Z770">
        <v>2</v>
      </c>
      <c r="AA770">
        <v>0</v>
      </c>
      <c r="AB770">
        <v>0</v>
      </c>
      <c r="AC770">
        <v>60</v>
      </c>
      <c r="AD770">
        <v>0</v>
      </c>
      <c r="AE770">
        <v>0</v>
      </c>
      <c r="AF770">
        <v>0</v>
      </c>
      <c r="AG770">
        <v>17</v>
      </c>
      <c r="AH770">
        <v>17</v>
      </c>
      <c r="AI770">
        <v>0</v>
      </c>
      <c r="AJ770">
        <v>0</v>
      </c>
      <c r="AK770">
        <v>68</v>
      </c>
      <c r="AL770">
        <v>68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f t="shared" ref="BE770:BE833" si="133">SUM(AC770:BD770)</f>
        <v>230</v>
      </c>
      <c r="BF770">
        <v>147</v>
      </c>
      <c r="BG770">
        <v>147</v>
      </c>
      <c r="BH770" t="s">
        <v>82</v>
      </c>
      <c r="BI770" t="s">
        <v>2320</v>
      </c>
      <c r="BJ770">
        <v>60</v>
      </c>
      <c r="BK770">
        <v>85</v>
      </c>
      <c r="BL770">
        <v>147</v>
      </c>
      <c r="BM770">
        <v>0</v>
      </c>
      <c r="BN770">
        <v>0</v>
      </c>
      <c r="BO770">
        <v>0</v>
      </c>
      <c r="BP770">
        <v>103</v>
      </c>
      <c r="BQ770">
        <v>103</v>
      </c>
      <c r="BR770">
        <f t="shared" ref="BR770:BR833" si="134">R770-Q770</f>
        <v>-3</v>
      </c>
      <c r="BS770">
        <f t="shared" ref="BS770:BS833" si="135">R770+Q770</f>
        <v>7</v>
      </c>
    </row>
    <row r="771" spans="1:71" x14ac:dyDescent="0.25">
      <c r="A771" s="5" t="s">
        <v>2294</v>
      </c>
      <c r="B771" s="5" t="s">
        <v>207</v>
      </c>
      <c r="C771" s="5" t="s">
        <v>61</v>
      </c>
      <c r="D771" s="1" t="s">
        <v>84</v>
      </c>
      <c r="E771">
        <v>0</v>
      </c>
      <c r="F771">
        <v>217</v>
      </c>
      <c r="G771">
        <v>0</v>
      </c>
      <c r="H771">
        <v>0</v>
      </c>
      <c r="I771">
        <v>388</v>
      </c>
      <c r="J771">
        <v>0</v>
      </c>
      <c r="K771">
        <v>0</v>
      </c>
      <c r="L771">
        <v>0</v>
      </c>
      <c r="M771">
        <v>1926</v>
      </c>
      <c r="N771">
        <v>0</v>
      </c>
      <c r="O771">
        <v>0</v>
      </c>
      <c r="P771">
        <v>0</v>
      </c>
      <c r="Q771">
        <v>217</v>
      </c>
      <c r="R771">
        <v>214</v>
      </c>
      <c r="S771" s="18">
        <f t="shared" si="126"/>
        <v>9</v>
      </c>
      <c r="T771" s="17">
        <f t="shared" si="127"/>
        <v>214</v>
      </c>
      <c r="U771" s="17">
        <f t="shared" si="128"/>
        <v>0</v>
      </c>
      <c r="V771" s="17">
        <f t="shared" si="129"/>
        <v>0</v>
      </c>
      <c r="W771" s="17">
        <f t="shared" si="130"/>
        <v>0</v>
      </c>
      <c r="X771" s="17">
        <f t="shared" si="131"/>
        <v>3</v>
      </c>
      <c r="Y771" s="19">
        <f t="shared" si="132"/>
        <v>0</v>
      </c>
      <c r="Z771">
        <v>217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388</v>
      </c>
      <c r="AH771">
        <v>388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f t="shared" si="133"/>
        <v>776</v>
      </c>
      <c r="BF771">
        <v>605</v>
      </c>
      <c r="BG771">
        <v>605</v>
      </c>
      <c r="BH771" t="s">
        <v>109</v>
      </c>
      <c r="BI771" t="s">
        <v>2333</v>
      </c>
      <c r="BJ771">
        <v>0</v>
      </c>
      <c r="BK771">
        <v>388</v>
      </c>
      <c r="BL771">
        <v>605</v>
      </c>
      <c r="BM771">
        <v>1926</v>
      </c>
      <c r="BN771">
        <v>0</v>
      </c>
      <c r="BO771">
        <v>0</v>
      </c>
      <c r="BP771">
        <v>388</v>
      </c>
      <c r="BQ771">
        <v>2314</v>
      </c>
      <c r="BR771">
        <f t="shared" si="134"/>
        <v>-3</v>
      </c>
      <c r="BS771">
        <f t="shared" si="135"/>
        <v>431</v>
      </c>
    </row>
    <row r="772" spans="1:71" x14ac:dyDescent="0.25">
      <c r="A772" s="5" t="s">
        <v>61</v>
      </c>
      <c r="B772" s="5" t="s">
        <v>61</v>
      </c>
      <c r="C772" s="5" t="s">
        <v>61</v>
      </c>
      <c r="D772" s="1" t="s">
        <v>203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100</v>
      </c>
      <c r="K772">
        <v>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</v>
      </c>
      <c r="R772">
        <v>0</v>
      </c>
      <c r="S772" s="18" t="e">
        <f t="shared" si="126"/>
        <v>#DIV/0!</v>
      </c>
      <c r="T772" s="17" t="e">
        <f t="shared" si="127"/>
        <v>#DIV/0!</v>
      </c>
      <c r="U772" s="17" t="e">
        <f t="shared" si="128"/>
        <v>#DIV/0!</v>
      </c>
      <c r="V772" s="17" t="e">
        <f t="shared" si="129"/>
        <v>#DIV/0!</v>
      </c>
      <c r="W772" s="17" t="e">
        <f t="shared" si="130"/>
        <v>#DIV/0!</v>
      </c>
      <c r="X772" s="17" t="e">
        <f t="shared" si="131"/>
        <v>#DIV/0!</v>
      </c>
      <c r="Y772" s="19" t="e">
        <f t="shared" si="132"/>
        <v>#DIV/0!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100</v>
      </c>
      <c r="AL772">
        <v>100</v>
      </c>
      <c r="AM772">
        <v>0</v>
      </c>
      <c r="AN772">
        <v>0</v>
      </c>
      <c r="AO772">
        <v>7</v>
      </c>
      <c r="AP772">
        <v>0</v>
      </c>
      <c r="AQ772">
        <v>7</v>
      </c>
      <c r="AR772">
        <v>7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f t="shared" si="133"/>
        <v>221</v>
      </c>
      <c r="BF772">
        <v>107</v>
      </c>
      <c r="BG772">
        <v>107</v>
      </c>
      <c r="BH772" t="s">
        <v>199</v>
      </c>
      <c r="BI772" t="s">
        <v>204</v>
      </c>
      <c r="BJ772">
        <v>0</v>
      </c>
      <c r="BK772">
        <v>107</v>
      </c>
      <c r="BL772">
        <v>107</v>
      </c>
      <c r="BM772">
        <v>0</v>
      </c>
      <c r="BN772">
        <v>0</v>
      </c>
      <c r="BO772">
        <v>0</v>
      </c>
      <c r="BP772">
        <v>107</v>
      </c>
      <c r="BQ772">
        <v>107</v>
      </c>
      <c r="BR772">
        <f t="shared" si="134"/>
        <v>-4</v>
      </c>
      <c r="BS772">
        <f t="shared" si="135"/>
        <v>4</v>
      </c>
    </row>
    <row r="773" spans="1:71" x14ac:dyDescent="0.25">
      <c r="A773" s="5" t="s">
        <v>207</v>
      </c>
      <c r="B773" s="5" t="s">
        <v>61</v>
      </c>
      <c r="C773" s="5" t="s">
        <v>61</v>
      </c>
      <c r="D773" s="1" t="s">
        <v>113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227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4</v>
      </c>
      <c r="R773">
        <v>0</v>
      </c>
      <c r="S773" s="18" t="e">
        <f t="shared" si="126"/>
        <v>#DIV/0!</v>
      </c>
      <c r="T773" s="17" t="e">
        <f t="shared" si="127"/>
        <v>#DIV/0!</v>
      </c>
      <c r="U773" s="17" t="e">
        <f t="shared" si="128"/>
        <v>#DIV/0!</v>
      </c>
      <c r="V773" s="17" t="e">
        <f t="shared" si="129"/>
        <v>#DIV/0!</v>
      </c>
      <c r="W773" s="17" t="e">
        <f t="shared" si="130"/>
        <v>#DIV/0!</v>
      </c>
      <c r="X773" s="17" t="e">
        <f t="shared" si="131"/>
        <v>#DIV/0!</v>
      </c>
      <c r="Y773" s="19" t="e">
        <f t="shared" si="132"/>
        <v>#DIV/0!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227</v>
      </c>
      <c r="AL773">
        <v>227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f t="shared" si="133"/>
        <v>454</v>
      </c>
      <c r="BF773">
        <v>227</v>
      </c>
      <c r="BG773">
        <v>227</v>
      </c>
      <c r="BH773" t="s">
        <v>199</v>
      </c>
      <c r="BI773" t="s">
        <v>450</v>
      </c>
      <c r="BJ773">
        <v>0</v>
      </c>
      <c r="BK773">
        <v>227</v>
      </c>
      <c r="BL773">
        <v>227</v>
      </c>
      <c r="BM773">
        <v>0</v>
      </c>
      <c r="BN773">
        <v>0</v>
      </c>
      <c r="BO773">
        <v>0</v>
      </c>
      <c r="BP773">
        <v>227</v>
      </c>
      <c r="BQ773">
        <v>227</v>
      </c>
      <c r="BR773">
        <f t="shared" si="134"/>
        <v>-4</v>
      </c>
      <c r="BS773">
        <f t="shared" si="135"/>
        <v>4</v>
      </c>
    </row>
    <row r="774" spans="1:71" x14ac:dyDescent="0.25">
      <c r="A774" s="5" t="s">
        <v>627</v>
      </c>
      <c r="B774" s="5" t="s">
        <v>61</v>
      </c>
      <c r="C774" s="5" t="s">
        <v>61</v>
      </c>
      <c r="D774" s="1" t="s">
        <v>108</v>
      </c>
      <c r="E774">
        <v>36</v>
      </c>
      <c r="F774">
        <v>0</v>
      </c>
      <c r="G774">
        <v>0</v>
      </c>
      <c r="H774">
        <v>0</v>
      </c>
      <c r="I774">
        <v>0</v>
      </c>
      <c r="J774">
        <v>270</v>
      </c>
      <c r="K774">
        <v>26</v>
      </c>
      <c r="L774">
        <v>55</v>
      </c>
      <c r="M774">
        <v>0</v>
      </c>
      <c r="N774">
        <v>0</v>
      </c>
      <c r="O774">
        <v>0</v>
      </c>
      <c r="P774">
        <v>0</v>
      </c>
      <c r="Q774">
        <v>4</v>
      </c>
      <c r="R774">
        <v>0</v>
      </c>
      <c r="S774" s="18" t="e">
        <f t="shared" si="126"/>
        <v>#DIV/0!</v>
      </c>
      <c r="T774" s="17" t="e">
        <f t="shared" si="127"/>
        <v>#DIV/0!</v>
      </c>
      <c r="U774" s="17" t="e">
        <f t="shared" si="128"/>
        <v>#DIV/0!</v>
      </c>
      <c r="V774" s="17" t="e">
        <f t="shared" si="129"/>
        <v>#DIV/0!</v>
      </c>
      <c r="W774" s="17" t="e">
        <f t="shared" si="130"/>
        <v>#DIV/0!</v>
      </c>
      <c r="X774" s="17" t="e">
        <f t="shared" si="131"/>
        <v>#DIV/0!</v>
      </c>
      <c r="Y774" s="19" t="e">
        <f t="shared" si="132"/>
        <v>#DIV/0!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270</v>
      </c>
      <c r="AL774">
        <v>270</v>
      </c>
      <c r="AM774">
        <v>0</v>
      </c>
      <c r="AN774">
        <v>0</v>
      </c>
      <c r="AO774">
        <v>26</v>
      </c>
      <c r="AP774">
        <v>0</v>
      </c>
      <c r="AQ774">
        <v>26</v>
      </c>
      <c r="AR774">
        <v>26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55</v>
      </c>
      <c r="BA774">
        <v>55</v>
      </c>
      <c r="BB774">
        <v>0</v>
      </c>
      <c r="BC774">
        <v>0</v>
      </c>
      <c r="BD774">
        <v>0</v>
      </c>
      <c r="BE774">
        <f t="shared" si="133"/>
        <v>728</v>
      </c>
      <c r="BF774">
        <v>427</v>
      </c>
      <c r="BG774">
        <v>427</v>
      </c>
      <c r="BH774" t="s">
        <v>199</v>
      </c>
      <c r="BI774" t="s">
        <v>831</v>
      </c>
      <c r="BJ774">
        <v>36</v>
      </c>
      <c r="BK774">
        <v>351</v>
      </c>
      <c r="BL774">
        <v>387</v>
      </c>
      <c r="BM774">
        <v>0</v>
      </c>
      <c r="BN774">
        <v>0</v>
      </c>
      <c r="BO774">
        <v>0</v>
      </c>
      <c r="BP774">
        <v>351</v>
      </c>
      <c r="BQ774">
        <v>351</v>
      </c>
      <c r="BR774">
        <f t="shared" si="134"/>
        <v>-4</v>
      </c>
      <c r="BS774">
        <f t="shared" si="135"/>
        <v>4</v>
      </c>
    </row>
    <row r="775" spans="1:71" x14ac:dyDescent="0.25">
      <c r="A775" s="5" t="s">
        <v>875</v>
      </c>
      <c r="B775" s="5" t="s">
        <v>61</v>
      </c>
      <c r="C775" s="5" t="s">
        <v>207</v>
      </c>
      <c r="D775" s="1" t="s">
        <v>947</v>
      </c>
      <c r="E775">
        <v>40</v>
      </c>
      <c r="F775">
        <v>0</v>
      </c>
      <c r="G775">
        <v>0</v>
      </c>
      <c r="H775">
        <v>0</v>
      </c>
      <c r="I775">
        <v>0</v>
      </c>
      <c r="J775">
        <v>385</v>
      </c>
      <c r="K775">
        <v>0</v>
      </c>
      <c r="L775">
        <v>80</v>
      </c>
      <c r="M775">
        <v>0</v>
      </c>
      <c r="N775">
        <v>0</v>
      </c>
      <c r="O775">
        <v>0</v>
      </c>
      <c r="P775">
        <v>0</v>
      </c>
      <c r="Q775">
        <v>4</v>
      </c>
      <c r="R775">
        <v>0</v>
      </c>
      <c r="S775" s="18" t="e">
        <f t="shared" si="126"/>
        <v>#DIV/0!</v>
      </c>
      <c r="T775" s="17" t="e">
        <f t="shared" si="127"/>
        <v>#DIV/0!</v>
      </c>
      <c r="U775" s="17" t="e">
        <f t="shared" si="128"/>
        <v>#DIV/0!</v>
      </c>
      <c r="V775" s="17" t="e">
        <f t="shared" si="129"/>
        <v>#DIV/0!</v>
      </c>
      <c r="W775" s="17" t="e">
        <f t="shared" si="130"/>
        <v>#DIV/0!</v>
      </c>
      <c r="X775" s="17" t="e">
        <f t="shared" si="131"/>
        <v>#DIV/0!</v>
      </c>
      <c r="Y775" s="19" t="e">
        <f t="shared" si="132"/>
        <v>#DIV/0!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385</v>
      </c>
      <c r="AL775">
        <v>385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80</v>
      </c>
      <c r="BA775">
        <v>80</v>
      </c>
      <c r="BB775">
        <v>0</v>
      </c>
      <c r="BC775">
        <v>0</v>
      </c>
      <c r="BD775">
        <v>0</v>
      </c>
      <c r="BE775">
        <f t="shared" si="133"/>
        <v>930</v>
      </c>
      <c r="BF775">
        <v>505</v>
      </c>
      <c r="BG775">
        <v>505</v>
      </c>
      <c r="BH775" t="s">
        <v>199</v>
      </c>
      <c r="BI775" t="s">
        <v>948</v>
      </c>
      <c r="BJ775">
        <v>40</v>
      </c>
      <c r="BK775">
        <v>465</v>
      </c>
      <c r="BL775">
        <v>505</v>
      </c>
      <c r="BM775">
        <v>0</v>
      </c>
      <c r="BN775">
        <v>0</v>
      </c>
      <c r="BO775">
        <v>0</v>
      </c>
      <c r="BP775">
        <v>465</v>
      </c>
      <c r="BQ775">
        <v>465</v>
      </c>
      <c r="BR775">
        <f t="shared" si="134"/>
        <v>-4</v>
      </c>
      <c r="BS775">
        <f t="shared" si="135"/>
        <v>4</v>
      </c>
    </row>
    <row r="776" spans="1:71" x14ac:dyDescent="0.25">
      <c r="A776" s="5" t="s">
        <v>875</v>
      </c>
      <c r="B776" s="5" t="s">
        <v>207</v>
      </c>
      <c r="C776" s="5" t="s">
        <v>61</v>
      </c>
      <c r="D776" s="1" t="s">
        <v>121</v>
      </c>
      <c r="E776">
        <v>0</v>
      </c>
      <c r="F776">
        <v>49</v>
      </c>
      <c r="G776">
        <v>0</v>
      </c>
      <c r="H776">
        <v>0</v>
      </c>
      <c r="I776">
        <v>0</v>
      </c>
      <c r="J776">
        <v>0</v>
      </c>
      <c r="K776">
        <v>73</v>
      </c>
      <c r="L776">
        <v>220</v>
      </c>
      <c r="M776">
        <v>0</v>
      </c>
      <c r="N776">
        <v>0</v>
      </c>
      <c r="O776">
        <v>0</v>
      </c>
      <c r="P776">
        <v>405</v>
      </c>
      <c r="Q776">
        <v>49</v>
      </c>
      <c r="R776">
        <v>45</v>
      </c>
      <c r="S776" s="18">
        <f t="shared" si="126"/>
        <v>9</v>
      </c>
      <c r="T776" s="17">
        <f t="shared" si="127"/>
        <v>0</v>
      </c>
      <c r="U776" s="17">
        <f t="shared" si="128"/>
        <v>0</v>
      </c>
      <c r="V776" s="17">
        <f t="shared" si="129"/>
        <v>0</v>
      </c>
      <c r="W776" s="17">
        <f t="shared" si="130"/>
        <v>45</v>
      </c>
      <c r="X776" s="17">
        <f t="shared" si="131"/>
        <v>4</v>
      </c>
      <c r="Y776" s="19">
        <f t="shared" si="132"/>
        <v>0</v>
      </c>
      <c r="Z776">
        <v>49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73</v>
      </c>
      <c r="AP776">
        <v>0</v>
      </c>
      <c r="AQ776">
        <v>73</v>
      </c>
      <c r="AR776">
        <v>73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220</v>
      </c>
      <c r="BA776">
        <v>220</v>
      </c>
      <c r="BB776">
        <v>0</v>
      </c>
      <c r="BC776">
        <v>0</v>
      </c>
      <c r="BD776">
        <v>0</v>
      </c>
      <c r="BE776">
        <f t="shared" si="133"/>
        <v>659</v>
      </c>
      <c r="BF776">
        <v>452</v>
      </c>
      <c r="BG776">
        <v>452</v>
      </c>
      <c r="BH776" t="s">
        <v>199</v>
      </c>
      <c r="BI776" t="s">
        <v>993</v>
      </c>
      <c r="BJ776">
        <v>0</v>
      </c>
      <c r="BK776">
        <v>293</v>
      </c>
      <c r="BL776">
        <v>342</v>
      </c>
      <c r="BM776">
        <v>0</v>
      </c>
      <c r="BN776">
        <v>0</v>
      </c>
      <c r="BO776">
        <v>0</v>
      </c>
      <c r="BP776">
        <v>698</v>
      </c>
      <c r="BQ776">
        <v>698</v>
      </c>
      <c r="BR776">
        <f t="shared" si="134"/>
        <v>-4</v>
      </c>
      <c r="BS776">
        <f t="shared" si="135"/>
        <v>94</v>
      </c>
    </row>
    <row r="777" spans="1:71" x14ac:dyDescent="0.25">
      <c r="A777" s="5" t="s">
        <v>1017</v>
      </c>
      <c r="B777" s="5" t="s">
        <v>61</v>
      </c>
      <c r="C777" s="5" t="s">
        <v>61</v>
      </c>
      <c r="D777" s="1" t="s">
        <v>96</v>
      </c>
      <c r="E777">
        <v>7</v>
      </c>
      <c r="F777">
        <v>0</v>
      </c>
      <c r="G777">
        <v>0</v>
      </c>
      <c r="H777">
        <v>0</v>
      </c>
      <c r="I777">
        <v>0</v>
      </c>
      <c r="J777">
        <v>148</v>
      </c>
      <c r="K777">
        <v>45</v>
      </c>
      <c r="L777">
        <v>250</v>
      </c>
      <c r="M777">
        <v>0</v>
      </c>
      <c r="N777">
        <v>0</v>
      </c>
      <c r="O777">
        <v>0</v>
      </c>
      <c r="P777">
        <v>0</v>
      </c>
      <c r="Q777">
        <v>4</v>
      </c>
      <c r="R777">
        <v>0</v>
      </c>
      <c r="S777" s="18" t="e">
        <f t="shared" si="126"/>
        <v>#DIV/0!</v>
      </c>
      <c r="T777" s="17" t="e">
        <f t="shared" si="127"/>
        <v>#DIV/0!</v>
      </c>
      <c r="U777" s="17" t="e">
        <f t="shared" si="128"/>
        <v>#DIV/0!</v>
      </c>
      <c r="V777" s="17" t="e">
        <f t="shared" si="129"/>
        <v>#DIV/0!</v>
      </c>
      <c r="W777" s="17" t="e">
        <f t="shared" si="130"/>
        <v>#DIV/0!</v>
      </c>
      <c r="X777" s="17" t="e">
        <f t="shared" si="131"/>
        <v>#DIV/0!</v>
      </c>
      <c r="Y777" s="19" t="e">
        <f t="shared" si="132"/>
        <v>#DIV/0!</v>
      </c>
      <c r="Z777">
        <v>0</v>
      </c>
      <c r="AA777">
        <v>0</v>
      </c>
      <c r="AB777">
        <v>0</v>
      </c>
      <c r="AC777">
        <v>132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148</v>
      </c>
      <c r="AL777">
        <v>148</v>
      </c>
      <c r="AM777">
        <v>0</v>
      </c>
      <c r="AN777">
        <v>0</v>
      </c>
      <c r="AO777">
        <v>45</v>
      </c>
      <c r="AP777">
        <v>20</v>
      </c>
      <c r="AQ777">
        <v>45</v>
      </c>
      <c r="AR777">
        <v>25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250</v>
      </c>
      <c r="BA777">
        <v>250</v>
      </c>
      <c r="BB777">
        <v>0</v>
      </c>
      <c r="BC777">
        <v>0</v>
      </c>
      <c r="BD777">
        <v>0</v>
      </c>
      <c r="BE777">
        <f t="shared" si="133"/>
        <v>1063</v>
      </c>
      <c r="BF777">
        <v>582</v>
      </c>
      <c r="BG777">
        <v>582</v>
      </c>
      <c r="BH777" t="s">
        <v>190</v>
      </c>
      <c r="BI777" t="s">
        <v>1033</v>
      </c>
      <c r="BJ777">
        <v>139</v>
      </c>
      <c r="BK777">
        <v>443</v>
      </c>
      <c r="BL777">
        <v>582</v>
      </c>
      <c r="BM777">
        <v>0</v>
      </c>
      <c r="BN777">
        <v>0</v>
      </c>
      <c r="BO777">
        <v>0</v>
      </c>
      <c r="BP777">
        <v>443</v>
      </c>
      <c r="BQ777">
        <v>443</v>
      </c>
      <c r="BR777">
        <f t="shared" si="134"/>
        <v>-4</v>
      </c>
      <c r="BS777">
        <f t="shared" si="135"/>
        <v>4</v>
      </c>
    </row>
    <row r="778" spans="1:71" x14ac:dyDescent="0.25">
      <c r="A778" s="5" t="s">
        <v>1135</v>
      </c>
      <c r="B778" s="5" t="s">
        <v>61</v>
      </c>
      <c r="C778" s="5" t="s">
        <v>61</v>
      </c>
      <c r="D778" s="1" t="s">
        <v>194</v>
      </c>
      <c r="E778">
        <v>165</v>
      </c>
      <c r="F778">
        <v>0</v>
      </c>
      <c r="G778">
        <v>0</v>
      </c>
      <c r="H778">
        <v>0</v>
      </c>
      <c r="I778">
        <v>152</v>
      </c>
      <c r="J778">
        <v>224</v>
      </c>
      <c r="K778">
        <v>445</v>
      </c>
      <c r="L778">
        <v>150</v>
      </c>
      <c r="M778">
        <v>0</v>
      </c>
      <c r="N778">
        <v>0</v>
      </c>
      <c r="O778">
        <v>0</v>
      </c>
      <c r="P778">
        <v>0</v>
      </c>
      <c r="Q778">
        <v>4</v>
      </c>
      <c r="R778">
        <v>0</v>
      </c>
      <c r="S778" s="18" t="e">
        <f t="shared" si="126"/>
        <v>#DIV/0!</v>
      </c>
      <c r="T778" s="17" t="e">
        <f t="shared" si="127"/>
        <v>#DIV/0!</v>
      </c>
      <c r="U778" s="17" t="e">
        <f t="shared" si="128"/>
        <v>#DIV/0!</v>
      </c>
      <c r="V778" s="17" t="e">
        <f t="shared" si="129"/>
        <v>#DIV/0!</v>
      </c>
      <c r="W778" s="17" t="e">
        <f t="shared" si="130"/>
        <v>#DIV/0!</v>
      </c>
      <c r="X778" s="17" t="e">
        <f t="shared" si="131"/>
        <v>#DIV/0!</v>
      </c>
      <c r="Y778" s="19" t="e">
        <f t="shared" si="132"/>
        <v>#DIV/0!</v>
      </c>
      <c r="Z778">
        <v>0</v>
      </c>
      <c r="AA778">
        <v>0</v>
      </c>
      <c r="AB778">
        <v>0</v>
      </c>
      <c r="AC778">
        <v>0</v>
      </c>
      <c r="AD778">
        <v>152</v>
      </c>
      <c r="AE778">
        <v>0</v>
      </c>
      <c r="AF778">
        <v>0</v>
      </c>
      <c r="AG778">
        <v>0</v>
      </c>
      <c r="AH778">
        <v>152</v>
      </c>
      <c r="AI778">
        <v>0</v>
      </c>
      <c r="AJ778">
        <v>0</v>
      </c>
      <c r="AK778">
        <v>224</v>
      </c>
      <c r="AL778">
        <v>224</v>
      </c>
      <c r="AM778">
        <v>0</v>
      </c>
      <c r="AN778">
        <v>0</v>
      </c>
      <c r="AO778">
        <v>445</v>
      </c>
      <c r="AP778">
        <v>385</v>
      </c>
      <c r="AQ778">
        <v>445</v>
      </c>
      <c r="AR778">
        <v>60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150</v>
      </c>
      <c r="BA778">
        <v>150</v>
      </c>
      <c r="BB778">
        <v>0</v>
      </c>
      <c r="BC778">
        <v>0</v>
      </c>
      <c r="BD778">
        <v>0</v>
      </c>
      <c r="BE778">
        <f t="shared" si="133"/>
        <v>2387</v>
      </c>
      <c r="BF778">
        <v>1136</v>
      </c>
      <c r="BG778">
        <v>1136</v>
      </c>
      <c r="BH778" t="s">
        <v>199</v>
      </c>
      <c r="BI778" t="s">
        <v>1195</v>
      </c>
      <c r="BJ778">
        <v>165</v>
      </c>
      <c r="BK778">
        <v>971</v>
      </c>
      <c r="BL778">
        <v>1136</v>
      </c>
      <c r="BM778">
        <v>152</v>
      </c>
      <c r="BN778">
        <v>0</v>
      </c>
      <c r="BO778">
        <v>0</v>
      </c>
      <c r="BP778">
        <v>819</v>
      </c>
      <c r="BQ778">
        <v>971</v>
      </c>
      <c r="BR778">
        <f t="shared" si="134"/>
        <v>-4</v>
      </c>
      <c r="BS778">
        <f t="shared" si="135"/>
        <v>4</v>
      </c>
    </row>
    <row r="779" spans="1:71" x14ac:dyDescent="0.25">
      <c r="A779" s="5" t="s">
        <v>1135</v>
      </c>
      <c r="B779" s="5" t="s">
        <v>207</v>
      </c>
      <c r="C779" s="5" t="s">
        <v>61</v>
      </c>
      <c r="D779" s="1" t="s">
        <v>167</v>
      </c>
      <c r="E779">
        <v>0</v>
      </c>
      <c r="F779">
        <v>25</v>
      </c>
      <c r="G779">
        <v>0</v>
      </c>
      <c r="H779">
        <v>0</v>
      </c>
      <c r="I779">
        <v>0</v>
      </c>
      <c r="J779">
        <v>170</v>
      </c>
      <c r="K779">
        <v>0</v>
      </c>
      <c r="L779">
        <v>85</v>
      </c>
      <c r="M779">
        <v>0</v>
      </c>
      <c r="N779">
        <v>0</v>
      </c>
      <c r="O779">
        <v>0</v>
      </c>
      <c r="P779">
        <v>36</v>
      </c>
      <c r="Q779">
        <v>8</v>
      </c>
      <c r="R779">
        <v>4</v>
      </c>
      <c r="S779" s="18">
        <f t="shared" si="126"/>
        <v>9</v>
      </c>
      <c r="T779" s="17">
        <f t="shared" si="127"/>
        <v>0</v>
      </c>
      <c r="U779" s="17">
        <f t="shared" si="128"/>
        <v>0</v>
      </c>
      <c r="V779" s="17">
        <f t="shared" si="129"/>
        <v>0</v>
      </c>
      <c r="W779" s="17">
        <f t="shared" si="130"/>
        <v>4</v>
      </c>
      <c r="X779" s="17">
        <f t="shared" si="131"/>
        <v>4</v>
      </c>
      <c r="Y779" s="19">
        <f t="shared" si="132"/>
        <v>0</v>
      </c>
      <c r="Z779">
        <v>25</v>
      </c>
      <c r="AA779">
        <v>0</v>
      </c>
      <c r="AB779">
        <v>0</v>
      </c>
      <c r="AC779">
        <v>75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170</v>
      </c>
      <c r="AL779">
        <v>170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85</v>
      </c>
      <c r="BA779">
        <v>85</v>
      </c>
      <c r="BB779">
        <v>0</v>
      </c>
      <c r="BC779">
        <v>0</v>
      </c>
      <c r="BD779">
        <v>0</v>
      </c>
      <c r="BE779">
        <f t="shared" si="133"/>
        <v>585</v>
      </c>
      <c r="BF779">
        <v>355</v>
      </c>
      <c r="BG779">
        <v>355</v>
      </c>
      <c r="BH779" t="s">
        <v>190</v>
      </c>
      <c r="BI779" t="s">
        <v>1246</v>
      </c>
      <c r="BJ779">
        <v>75</v>
      </c>
      <c r="BK779">
        <v>255</v>
      </c>
      <c r="BL779">
        <v>355</v>
      </c>
      <c r="BM779">
        <v>0</v>
      </c>
      <c r="BN779">
        <v>0</v>
      </c>
      <c r="BO779">
        <v>0</v>
      </c>
      <c r="BP779">
        <v>291</v>
      </c>
      <c r="BQ779">
        <v>291</v>
      </c>
      <c r="BR779">
        <f t="shared" si="134"/>
        <v>-4</v>
      </c>
      <c r="BS779">
        <f t="shared" si="135"/>
        <v>12</v>
      </c>
    </row>
    <row r="780" spans="1:71" x14ac:dyDescent="0.25">
      <c r="A780" s="5" t="s">
        <v>1451</v>
      </c>
      <c r="B780" s="5" t="s">
        <v>61</v>
      </c>
      <c r="C780" s="5" t="s">
        <v>207</v>
      </c>
      <c r="D780" s="1" t="s">
        <v>119</v>
      </c>
      <c r="E780">
        <v>0</v>
      </c>
      <c r="F780">
        <v>0</v>
      </c>
      <c r="G780">
        <v>0</v>
      </c>
      <c r="H780">
        <v>0</v>
      </c>
      <c r="I780">
        <v>60</v>
      </c>
      <c r="J780">
        <v>770</v>
      </c>
      <c r="K780">
        <v>40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4</v>
      </c>
      <c r="R780">
        <v>0</v>
      </c>
      <c r="S780" s="18" t="e">
        <f t="shared" si="126"/>
        <v>#DIV/0!</v>
      </c>
      <c r="T780" s="17" t="e">
        <f t="shared" si="127"/>
        <v>#DIV/0!</v>
      </c>
      <c r="U780" s="17" t="e">
        <f t="shared" si="128"/>
        <v>#DIV/0!</v>
      </c>
      <c r="V780" s="17" t="e">
        <f t="shared" si="129"/>
        <v>#DIV/0!</v>
      </c>
      <c r="W780" s="17" t="e">
        <f t="shared" si="130"/>
        <v>#DIV/0!</v>
      </c>
      <c r="X780" s="17" t="e">
        <f t="shared" si="131"/>
        <v>#DIV/0!</v>
      </c>
      <c r="Y780" s="19" t="e">
        <f t="shared" si="132"/>
        <v>#DIV/0!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60</v>
      </c>
      <c r="AH780">
        <v>60</v>
      </c>
      <c r="AI780">
        <v>0</v>
      </c>
      <c r="AJ780">
        <v>0</v>
      </c>
      <c r="AK780">
        <v>770</v>
      </c>
      <c r="AL780">
        <v>770</v>
      </c>
      <c r="AM780">
        <v>0</v>
      </c>
      <c r="AN780">
        <v>0</v>
      </c>
      <c r="AO780">
        <v>40</v>
      </c>
      <c r="AP780">
        <v>40</v>
      </c>
      <c r="AQ780">
        <v>40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f t="shared" si="133"/>
        <v>1780</v>
      </c>
      <c r="BF780">
        <v>870</v>
      </c>
      <c r="BG780">
        <v>870</v>
      </c>
      <c r="BH780" t="s">
        <v>199</v>
      </c>
      <c r="BI780" t="s">
        <v>1497</v>
      </c>
      <c r="BJ780">
        <v>0</v>
      </c>
      <c r="BK780">
        <v>870</v>
      </c>
      <c r="BL780">
        <v>870</v>
      </c>
      <c r="BM780">
        <v>0</v>
      </c>
      <c r="BN780">
        <v>0</v>
      </c>
      <c r="BO780">
        <v>0</v>
      </c>
      <c r="BP780">
        <v>870</v>
      </c>
      <c r="BQ780">
        <v>870</v>
      </c>
      <c r="BR780">
        <f t="shared" si="134"/>
        <v>-4</v>
      </c>
      <c r="BS780">
        <f t="shared" si="135"/>
        <v>4</v>
      </c>
    </row>
    <row r="781" spans="1:71" x14ac:dyDescent="0.25">
      <c r="A781" s="5" t="s">
        <v>1451</v>
      </c>
      <c r="B781" s="5" t="s">
        <v>207</v>
      </c>
      <c r="C781" s="5" t="s">
        <v>207</v>
      </c>
      <c r="D781" s="1" t="s">
        <v>153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544</v>
      </c>
      <c r="K781">
        <v>108</v>
      </c>
      <c r="L781">
        <v>85</v>
      </c>
      <c r="M781">
        <v>0</v>
      </c>
      <c r="N781">
        <v>0</v>
      </c>
      <c r="O781">
        <v>0</v>
      </c>
      <c r="P781">
        <v>0</v>
      </c>
      <c r="Q781">
        <v>4</v>
      </c>
      <c r="R781">
        <v>0</v>
      </c>
      <c r="S781" s="18" t="e">
        <f t="shared" si="126"/>
        <v>#DIV/0!</v>
      </c>
      <c r="T781" s="17" t="e">
        <f t="shared" si="127"/>
        <v>#DIV/0!</v>
      </c>
      <c r="U781" s="17" t="e">
        <f t="shared" si="128"/>
        <v>#DIV/0!</v>
      </c>
      <c r="V781" s="17" t="e">
        <f t="shared" si="129"/>
        <v>#DIV/0!</v>
      </c>
      <c r="W781" s="17" t="e">
        <f t="shared" si="130"/>
        <v>#DIV/0!</v>
      </c>
      <c r="X781" s="17" t="e">
        <f t="shared" si="131"/>
        <v>#DIV/0!</v>
      </c>
      <c r="Y781" s="19" t="e">
        <f t="shared" si="132"/>
        <v>#DIV/0!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544</v>
      </c>
      <c r="AL781">
        <v>544</v>
      </c>
      <c r="AM781">
        <v>0</v>
      </c>
      <c r="AN781">
        <v>0</v>
      </c>
      <c r="AO781">
        <v>108</v>
      </c>
      <c r="AP781">
        <v>20</v>
      </c>
      <c r="AQ781">
        <v>108</v>
      </c>
      <c r="AR781">
        <v>88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85</v>
      </c>
      <c r="BA781">
        <v>85</v>
      </c>
      <c r="BB781">
        <v>0</v>
      </c>
      <c r="BC781">
        <v>0</v>
      </c>
      <c r="BD781">
        <v>0</v>
      </c>
      <c r="BE781">
        <f t="shared" si="133"/>
        <v>1582</v>
      </c>
      <c r="BF781">
        <v>737</v>
      </c>
      <c r="BG781">
        <v>737</v>
      </c>
      <c r="BH781" t="s">
        <v>199</v>
      </c>
      <c r="BI781" t="s">
        <v>1593</v>
      </c>
      <c r="BJ781">
        <v>0</v>
      </c>
      <c r="BK781">
        <v>737</v>
      </c>
      <c r="BL781">
        <v>737</v>
      </c>
      <c r="BM781">
        <v>0</v>
      </c>
      <c r="BN781">
        <v>0</v>
      </c>
      <c r="BO781">
        <v>0</v>
      </c>
      <c r="BP781">
        <v>737</v>
      </c>
      <c r="BQ781">
        <v>737</v>
      </c>
      <c r="BR781">
        <f t="shared" si="134"/>
        <v>-4</v>
      </c>
      <c r="BS781">
        <f t="shared" si="135"/>
        <v>4</v>
      </c>
    </row>
    <row r="782" spans="1:71" x14ac:dyDescent="0.25">
      <c r="A782" s="5" t="s">
        <v>1451</v>
      </c>
      <c r="B782" s="5" t="s">
        <v>207</v>
      </c>
      <c r="C782" s="5" t="s">
        <v>207</v>
      </c>
      <c r="D782" s="1" t="s">
        <v>155</v>
      </c>
      <c r="E782">
        <v>110</v>
      </c>
      <c r="F782">
        <v>0</v>
      </c>
      <c r="G782">
        <v>0</v>
      </c>
      <c r="H782">
        <v>0</v>
      </c>
      <c r="I782">
        <v>0</v>
      </c>
      <c r="J782">
        <v>277</v>
      </c>
      <c r="K782">
        <v>0</v>
      </c>
      <c r="L782">
        <v>148</v>
      </c>
      <c r="M782">
        <v>0</v>
      </c>
      <c r="N782">
        <v>0</v>
      </c>
      <c r="O782">
        <v>0</v>
      </c>
      <c r="P782">
        <v>0</v>
      </c>
      <c r="Q782">
        <v>4</v>
      </c>
      <c r="R782">
        <v>0</v>
      </c>
      <c r="S782" s="18" t="e">
        <f t="shared" si="126"/>
        <v>#DIV/0!</v>
      </c>
      <c r="T782" s="17" t="e">
        <f t="shared" si="127"/>
        <v>#DIV/0!</v>
      </c>
      <c r="U782" s="17" t="e">
        <f t="shared" si="128"/>
        <v>#DIV/0!</v>
      </c>
      <c r="V782" s="17" t="e">
        <f t="shared" si="129"/>
        <v>#DIV/0!</v>
      </c>
      <c r="W782" s="17" t="e">
        <f t="shared" si="130"/>
        <v>#DIV/0!</v>
      </c>
      <c r="X782" s="17" t="e">
        <f t="shared" si="131"/>
        <v>#DIV/0!</v>
      </c>
      <c r="Y782" s="19" t="e">
        <f t="shared" si="132"/>
        <v>#DIV/0!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277</v>
      </c>
      <c r="AL782">
        <v>277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148</v>
      </c>
      <c r="BA782">
        <v>148</v>
      </c>
      <c r="BB782">
        <v>0</v>
      </c>
      <c r="BC782">
        <v>0</v>
      </c>
      <c r="BD782">
        <v>0</v>
      </c>
      <c r="BE782">
        <f t="shared" si="133"/>
        <v>850</v>
      </c>
      <c r="BF782">
        <v>535</v>
      </c>
      <c r="BG782">
        <v>535</v>
      </c>
      <c r="BH782" t="s">
        <v>199</v>
      </c>
      <c r="BI782" t="s">
        <v>1594</v>
      </c>
      <c r="BJ782">
        <v>110</v>
      </c>
      <c r="BK782">
        <v>425</v>
      </c>
      <c r="BL782">
        <v>535</v>
      </c>
      <c r="BM782">
        <v>0</v>
      </c>
      <c r="BN782">
        <v>0</v>
      </c>
      <c r="BO782">
        <v>0</v>
      </c>
      <c r="BP782">
        <v>425</v>
      </c>
      <c r="BQ782">
        <v>425</v>
      </c>
      <c r="BR782">
        <f t="shared" si="134"/>
        <v>-4</v>
      </c>
      <c r="BS782">
        <f t="shared" si="135"/>
        <v>4</v>
      </c>
    </row>
    <row r="783" spans="1:71" x14ac:dyDescent="0.25">
      <c r="A783" s="5" t="s">
        <v>1946</v>
      </c>
      <c r="B783" s="5" t="s">
        <v>61</v>
      </c>
      <c r="C783" s="5" t="s">
        <v>61</v>
      </c>
      <c r="D783" s="1" t="s">
        <v>171</v>
      </c>
      <c r="E783">
        <v>22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195</v>
      </c>
      <c r="M783">
        <v>0</v>
      </c>
      <c r="N783">
        <v>0</v>
      </c>
      <c r="O783">
        <v>0</v>
      </c>
      <c r="P783">
        <v>0</v>
      </c>
      <c r="Q783">
        <v>4</v>
      </c>
      <c r="R783">
        <v>0</v>
      </c>
      <c r="S783" s="18" t="e">
        <f t="shared" si="126"/>
        <v>#DIV/0!</v>
      </c>
      <c r="T783" s="17" t="e">
        <f t="shared" si="127"/>
        <v>#DIV/0!</v>
      </c>
      <c r="U783" s="17" t="e">
        <f t="shared" si="128"/>
        <v>#DIV/0!</v>
      </c>
      <c r="V783" s="17" t="e">
        <f t="shared" si="129"/>
        <v>#DIV/0!</v>
      </c>
      <c r="W783" s="17" t="e">
        <f t="shared" si="130"/>
        <v>#DIV/0!</v>
      </c>
      <c r="X783" s="17" t="e">
        <f t="shared" si="131"/>
        <v>#DIV/0!</v>
      </c>
      <c r="Y783" s="19" t="e">
        <f t="shared" si="132"/>
        <v>#DIV/0!</v>
      </c>
      <c r="Z783">
        <v>0</v>
      </c>
      <c r="AA783">
        <v>0</v>
      </c>
      <c r="AB783">
        <v>0</v>
      </c>
      <c r="AC783">
        <v>360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195</v>
      </c>
      <c r="BA783">
        <v>195</v>
      </c>
      <c r="BB783">
        <v>0</v>
      </c>
      <c r="BC783">
        <v>0</v>
      </c>
      <c r="BD783">
        <v>0</v>
      </c>
      <c r="BE783">
        <f t="shared" si="133"/>
        <v>750</v>
      </c>
      <c r="BF783">
        <v>577</v>
      </c>
      <c r="BG783">
        <v>577</v>
      </c>
      <c r="BH783" t="s">
        <v>190</v>
      </c>
      <c r="BI783" t="s">
        <v>1997</v>
      </c>
      <c r="BJ783">
        <v>382</v>
      </c>
      <c r="BK783">
        <v>195</v>
      </c>
      <c r="BL783">
        <v>577</v>
      </c>
      <c r="BM783">
        <v>0</v>
      </c>
      <c r="BN783">
        <v>0</v>
      </c>
      <c r="BO783">
        <v>0</v>
      </c>
      <c r="BP783">
        <v>195</v>
      </c>
      <c r="BQ783">
        <v>195</v>
      </c>
      <c r="BR783">
        <f t="shared" si="134"/>
        <v>-4</v>
      </c>
      <c r="BS783">
        <f t="shared" si="135"/>
        <v>4</v>
      </c>
    </row>
    <row r="784" spans="1:71" x14ac:dyDescent="0.25">
      <c r="A784" s="5" t="s">
        <v>1946</v>
      </c>
      <c r="B784" s="5" t="s">
        <v>61</v>
      </c>
      <c r="C784" s="5" t="s">
        <v>61</v>
      </c>
      <c r="D784" s="1" t="s">
        <v>187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920</v>
      </c>
      <c r="K784">
        <v>0</v>
      </c>
      <c r="L784">
        <v>200</v>
      </c>
      <c r="M784">
        <v>0</v>
      </c>
      <c r="N784">
        <v>0</v>
      </c>
      <c r="O784">
        <v>0</v>
      </c>
      <c r="P784">
        <v>0</v>
      </c>
      <c r="Q784">
        <v>4</v>
      </c>
      <c r="R784">
        <v>0</v>
      </c>
      <c r="S784" s="18" t="e">
        <f t="shared" si="126"/>
        <v>#DIV/0!</v>
      </c>
      <c r="T784" s="17" t="e">
        <f t="shared" si="127"/>
        <v>#DIV/0!</v>
      </c>
      <c r="U784" s="17" t="e">
        <f t="shared" si="128"/>
        <v>#DIV/0!</v>
      </c>
      <c r="V784" s="17" t="e">
        <f t="shared" si="129"/>
        <v>#DIV/0!</v>
      </c>
      <c r="W784" s="17" t="e">
        <f t="shared" si="130"/>
        <v>#DIV/0!</v>
      </c>
      <c r="X784" s="17" t="e">
        <f t="shared" si="131"/>
        <v>#DIV/0!</v>
      </c>
      <c r="Y784" s="19" t="e">
        <f t="shared" si="132"/>
        <v>#DIV/0!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920</v>
      </c>
      <c r="AL784">
        <v>920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200</v>
      </c>
      <c r="BA784">
        <v>200</v>
      </c>
      <c r="BB784">
        <v>0</v>
      </c>
      <c r="BC784">
        <v>0</v>
      </c>
      <c r="BD784">
        <v>0</v>
      </c>
      <c r="BE784">
        <f t="shared" si="133"/>
        <v>2240</v>
      </c>
      <c r="BF784">
        <v>1120</v>
      </c>
      <c r="BG784">
        <v>1120</v>
      </c>
      <c r="BH784" t="s">
        <v>199</v>
      </c>
      <c r="BI784" t="s">
        <v>1841</v>
      </c>
      <c r="BJ784">
        <v>0</v>
      </c>
      <c r="BK784">
        <v>1120</v>
      </c>
      <c r="BL784">
        <v>1120</v>
      </c>
      <c r="BM784">
        <v>0</v>
      </c>
      <c r="BN784">
        <v>0</v>
      </c>
      <c r="BO784">
        <v>0</v>
      </c>
      <c r="BP784">
        <v>1120</v>
      </c>
      <c r="BQ784">
        <v>1120</v>
      </c>
      <c r="BR784">
        <f t="shared" si="134"/>
        <v>-4</v>
      </c>
      <c r="BS784">
        <f t="shared" si="135"/>
        <v>4</v>
      </c>
    </row>
    <row r="785" spans="1:71" x14ac:dyDescent="0.25">
      <c r="A785" s="5" t="s">
        <v>2090</v>
      </c>
      <c r="B785" s="5" t="s">
        <v>61</v>
      </c>
      <c r="C785" s="5" t="s">
        <v>61</v>
      </c>
      <c r="D785" s="1" t="s">
        <v>194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245</v>
      </c>
      <c r="K785">
        <v>72</v>
      </c>
      <c r="L785">
        <v>5</v>
      </c>
      <c r="M785">
        <v>0</v>
      </c>
      <c r="N785">
        <v>0</v>
      </c>
      <c r="O785">
        <v>0</v>
      </c>
      <c r="P785">
        <v>0</v>
      </c>
      <c r="Q785">
        <v>4</v>
      </c>
      <c r="R785">
        <v>0</v>
      </c>
      <c r="S785" s="18" t="e">
        <f t="shared" si="126"/>
        <v>#DIV/0!</v>
      </c>
      <c r="T785" s="17" t="e">
        <f t="shared" si="127"/>
        <v>#DIV/0!</v>
      </c>
      <c r="U785" s="17" t="e">
        <f t="shared" si="128"/>
        <v>#DIV/0!</v>
      </c>
      <c r="V785" s="17" t="e">
        <f t="shared" si="129"/>
        <v>#DIV/0!</v>
      </c>
      <c r="W785" s="17" t="e">
        <f t="shared" si="130"/>
        <v>#DIV/0!</v>
      </c>
      <c r="X785" s="17" t="e">
        <f t="shared" si="131"/>
        <v>#DIV/0!</v>
      </c>
      <c r="Y785" s="19" t="e">
        <f t="shared" si="132"/>
        <v>#DIV/0!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245</v>
      </c>
      <c r="AL785">
        <v>245</v>
      </c>
      <c r="AM785">
        <v>0</v>
      </c>
      <c r="AN785">
        <v>0</v>
      </c>
      <c r="AO785">
        <v>72</v>
      </c>
      <c r="AP785">
        <v>16</v>
      </c>
      <c r="AQ785">
        <v>72</v>
      </c>
      <c r="AR785">
        <v>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5</v>
      </c>
      <c r="BA785">
        <v>5</v>
      </c>
      <c r="BB785">
        <v>0</v>
      </c>
      <c r="BC785">
        <v>0</v>
      </c>
      <c r="BD785">
        <v>0</v>
      </c>
      <c r="BE785">
        <f t="shared" si="133"/>
        <v>716</v>
      </c>
      <c r="BF785">
        <v>322</v>
      </c>
      <c r="BG785">
        <v>322</v>
      </c>
      <c r="BH785" t="s">
        <v>190</v>
      </c>
      <c r="BI785" t="s">
        <v>2152</v>
      </c>
      <c r="BJ785">
        <v>0</v>
      </c>
      <c r="BK785">
        <v>322</v>
      </c>
      <c r="BL785">
        <v>322</v>
      </c>
      <c r="BM785">
        <v>0</v>
      </c>
      <c r="BN785">
        <v>0</v>
      </c>
      <c r="BO785">
        <v>0</v>
      </c>
      <c r="BP785">
        <v>322</v>
      </c>
      <c r="BQ785">
        <v>322</v>
      </c>
      <c r="BR785">
        <f t="shared" si="134"/>
        <v>-4</v>
      </c>
      <c r="BS785">
        <f t="shared" si="135"/>
        <v>4</v>
      </c>
    </row>
    <row r="786" spans="1:71" x14ac:dyDescent="0.25">
      <c r="A786" s="5" t="s">
        <v>2090</v>
      </c>
      <c r="B786" s="5" t="s">
        <v>61</v>
      </c>
      <c r="C786" s="5" t="s">
        <v>61</v>
      </c>
      <c r="D786" s="1" t="s">
        <v>198</v>
      </c>
      <c r="E786">
        <v>15</v>
      </c>
      <c r="F786">
        <v>0</v>
      </c>
      <c r="G786">
        <v>0</v>
      </c>
      <c r="H786">
        <v>0</v>
      </c>
      <c r="I786">
        <v>54</v>
      </c>
      <c r="J786">
        <v>446</v>
      </c>
      <c r="K786">
        <v>79</v>
      </c>
      <c r="L786">
        <v>10</v>
      </c>
      <c r="M786">
        <v>0</v>
      </c>
      <c r="N786">
        <v>0</v>
      </c>
      <c r="O786">
        <v>0</v>
      </c>
      <c r="P786">
        <v>0</v>
      </c>
      <c r="Q786">
        <v>4</v>
      </c>
      <c r="R786">
        <v>0</v>
      </c>
      <c r="S786" s="18" t="e">
        <f t="shared" si="126"/>
        <v>#DIV/0!</v>
      </c>
      <c r="T786" s="17" t="e">
        <f t="shared" si="127"/>
        <v>#DIV/0!</v>
      </c>
      <c r="U786" s="17" t="e">
        <f t="shared" si="128"/>
        <v>#DIV/0!</v>
      </c>
      <c r="V786" s="17" t="e">
        <f t="shared" si="129"/>
        <v>#DIV/0!</v>
      </c>
      <c r="W786" s="17" t="e">
        <f t="shared" si="130"/>
        <v>#DIV/0!</v>
      </c>
      <c r="X786" s="17" t="e">
        <f t="shared" si="131"/>
        <v>#DIV/0!</v>
      </c>
      <c r="Y786" s="19" t="e">
        <f t="shared" si="132"/>
        <v>#DIV/0!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54</v>
      </c>
      <c r="AH786">
        <v>54</v>
      </c>
      <c r="AI786">
        <v>0</v>
      </c>
      <c r="AJ786">
        <v>0</v>
      </c>
      <c r="AK786">
        <v>446</v>
      </c>
      <c r="AL786">
        <v>446</v>
      </c>
      <c r="AM786">
        <v>0</v>
      </c>
      <c r="AN786">
        <v>0</v>
      </c>
      <c r="AO786">
        <v>79</v>
      </c>
      <c r="AP786">
        <v>0</v>
      </c>
      <c r="AQ786">
        <v>79</v>
      </c>
      <c r="AR786">
        <v>79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10</v>
      </c>
      <c r="BA786">
        <v>10</v>
      </c>
      <c r="BB786">
        <v>0</v>
      </c>
      <c r="BC786">
        <v>0</v>
      </c>
      <c r="BD786">
        <v>0</v>
      </c>
      <c r="BE786">
        <f t="shared" si="133"/>
        <v>1257</v>
      </c>
      <c r="BF786">
        <v>604</v>
      </c>
      <c r="BG786">
        <v>604</v>
      </c>
      <c r="BH786" t="s">
        <v>190</v>
      </c>
      <c r="BI786" t="s">
        <v>2154</v>
      </c>
      <c r="BJ786">
        <v>15</v>
      </c>
      <c r="BK786">
        <v>589</v>
      </c>
      <c r="BL786">
        <v>604</v>
      </c>
      <c r="BM786">
        <v>0</v>
      </c>
      <c r="BN786">
        <v>0</v>
      </c>
      <c r="BO786">
        <v>0</v>
      </c>
      <c r="BP786">
        <v>589</v>
      </c>
      <c r="BQ786">
        <v>589</v>
      </c>
      <c r="BR786">
        <f t="shared" si="134"/>
        <v>-4</v>
      </c>
      <c r="BS786">
        <f t="shared" si="135"/>
        <v>4</v>
      </c>
    </row>
    <row r="787" spans="1:71" x14ac:dyDescent="0.25">
      <c r="A787" s="5" t="s">
        <v>207</v>
      </c>
      <c r="B787" s="5" t="s">
        <v>61</v>
      </c>
      <c r="C787" s="5" t="s">
        <v>61</v>
      </c>
      <c r="D787" s="1" t="s">
        <v>102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116</v>
      </c>
      <c r="K787">
        <v>12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5</v>
      </c>
      <c r="R787">
        <v>0</v>
      </c>
      <c r="S787" s="18" t="e">
        <f t="shared" si="126"/>
        <v>#DIV/0!</v>
      </c>
      <c r="T787" s="17" t="e">
        <f t="shared" si="127"/>
        <v>#DIV/0!</v>
      </c>
      <c r="U787" s="17" t="e">
        <f t="shared" si="128"/>
        <v>#DIV/0!</v>
      </c>
      <c r="V787" s="17" t="e">
        <f t="shared" si="129"/>
        <v>#DIV/0!</v>
      </c>
      <c r="W787" s="17" t="e">
        <f t="shared" si="130"/>
        <v>#DIV/0!</v>
      </c>
      <c r="X787" s="17" t="e">
        <f t="shared" si="131"/>
        <v>#DIV/0!</v>
      </c>
      <c r="Y787" s="19" t="e">
        <f t="shared" si="132"/>
        <v>#DIV/0!</v>
      </c>
      <c r="Z787">
        <v>0</v>
      </c>
      <c r="AA787">
        <v>0</v>
      </c>
      <c r="AB787">
        <v>0</v>
      </c>
      <c r="AC787">
        <v>40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116</v>
      </c>
      <c r="AL787">
        <v>116</v>
      </c>
      <c r="AM787">
        <v>0</v>
      </c>
      <c r="AN787">
        <v>0</v>
      </c>
      <c r="AO787">
        <v>12</v>
      </c>
      <c r="AP787">
        <v>0</v>
      </c>
      <c r="AQ787">
        <v>12</v>
      </c>
      <c r="AR787">
        <v>12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f t="shared" si="133"/>
        <v>308</v>
      </c>
      <c r="BF787">
        <v>168</v>
      </c>
      <c r="BG787">
        <v>168</v>
      </c>
      <c r="BH787" t="s">
        <v>190</v>
      </c>
      <c r="BI787" t="s">
        <v>445</v>
      </c>
      <c r="BJ787">
        <v>40</v>
      </c>
      <c r="BK787">
        <v>128</v>
      </c>
      <c r="BL787">
        <v>168</v>
      </c>
      <c r="BM787">
        <v>0</v>
      </c>
      <c r="BN787">
        <v>0</v>
      </c>
      <c r="BO787">
        <v>0</v>
      </c>
      <c r="BP787">
        <v>128</v>
      </c>
      <c r="BQ787">
        <v>128</v>
      </c>
      <c r="BR787">
        <f t="shared" si="134"/>
        <v>-5</v>
      </c>
      <c r="BS787">
        <f t="shared" si="135"/>
        <v>5</v>
      </c>
    </row>
    <row r="788" spans="1:71" x14ac:dyDescent="0.25">
      <c r="A788" s="5" t="s">
        <v>627</v>
      </c>
      <c r="B788" s="5" t="s">
        <v>61</v>
      </c>
      <c r="C788" s="5" t="s">
        <v>61</v>
      </c>
      <c r="D788" s="1" t="s">
        <v>106</v>
      </c>
      <c r="E788">
        <v>0</v>
      </c>
      <c r="F788">
        <v>0</v>
      </c>
      <c r="G788">
        <v>0</v>
      </c>
      <c r="H788">
        <v>0</v>
      </c>
      <c r="I788">
        <v>20</v>
      </c>
      <c r="J788">
        <v>167</v>
      </c>
      <c r="K788">
        <v>2</v>
      </c>
      <c r="L788">
        <v>10</v>
      </c>
      <c r="M788">
        <v>0</v>
      </c>
      <c r="N788">
        <v>0</v>
      </c>
      <c r="O788">
        <v>0</v>
      </c>
      <c r="P788">
        <v>0</v>
      </c>
      <c r="Q788">
        <v>5</v>
      </c>
      <c r="R788">
        <v>0</v>
      </c>
      <c r="S788" s="18" t="e">
        <f t="shared" si="126"/>
        <v>#DIV/0!</v>
      </c>
      <c r="T788" s="17" t="e">
        <f t="shared" si="127"/>
        <v>#DIV/0!</v>
      </c>
      <c r="U788" s="17" t="e">
        <f t="shared" si="128"/>
        <v>#DIV/0!</v>
      </c>
      <c r="V788" s="17" t="e">
        <f t="shared" si="129"/>
        <v>#DIV/0!</v>
      </c>
      <c r="W788" s="17" t="e">
        <f t="shared" si="130"/>
        <v>#DIV/0!</v>
      </c>
      <c r="X788" s="17" t="e">
        <f t="shared" si="131"/>
        <v>#DIV/0!</v>
      </c>
      <c r="Y788" s="19" t="e">
        <f t="shared" si="132"/>
        <v>#DIV/0!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</v>
      </c>
      <c r="AH788">
        <v>20</v>
      </c>
      <c r="AI788">
        <v>0</v>
      </c>
      <c r="AJ788">
        <v>0</v>
      </c>
      <c r="AK788">
        <v>167</v>
      </c>
      <c r="AL788">
        <v>167</v>
      </c>
      <c r="AM788">
        <v>0</v>
      </c>
      <c r="AN788">
        <v>0</v>
      </c>
      <c r="AO788">
        <v>2</v>
      </c>
      <c r="AP788">
        <v>0</v>
      </c>
      <c r="AQ788">
        <v>2</v>
      </c>
      <c r="AR788">
        <v>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10</v>
      </c>
      <c r="BA788">
        <v>10</v>
      </c>
      <c r="BB788">
        <v>0</v>
      </c>
      <c r="BC788">
        <v>0</v>
      </c>
      <c r="BD788">
        <v>0</v>
      </c>
      <c r="BE788">
        <f t="shared" si="133"/>
        <v>400</v>
      </c>
      <c r="BF788">
        <v>199</v>
      </c>
      <c r="BG788">
        <v>199</v>
      </c>
      <c r="BH788" t="s">
        <v>199</v>
      </c>
      <c r="BI788" t="s">
        <v>830</v>
      </c>
      <c r="BJ788">
        <v>0</v>
      </c>
      <c r="BK788">
        <v>199</v>
      </c>
      <c r="BL788">
        <v>199</v>
      </c>
      <c r="BM788">
        <v>0</v>
      </c>
      <c r="BN788">
        <v>0</v>
      </c>
      <c r="BO788">
        <v>0</v>
      </c>
      <c r="BP788">
        <v>199</v>
      </c>
      <c r="BQ788">
        <v>199</v>
      </c>
      <c r="BR788">
        <f t="shared" si="134"/>
        <v>-5</v>
      </c>
      <c r="BS788">
        <f t="shared" si="135"/>
        <v>5</v>
      </c>
    </row>
    <row r="789" spans="1:71" x14ac:dyDescent="0.25">
      <c r="A789" s="5" t="s">
        <v>1135</v>
      </c>
      <c r="B789" s="5" t="s">
        <v>207</v>
      </c>
      <c r="C789" s="5" t="s">
        <v>61</v>
      </c>
      <c r="D789" s="1" t="s">
        <v>169</v>
      </c>
      <c r="E789">
        <v>55</v>
      </c>
      <c r="F789">
        <v>25</v>
      </c>
      <c r="G789">
        <v>0</v>
      </c>
      <c r="H789">
        <v>0</v>
      </c>
      <c r="I789">
        <v>25</v>
      </c>
      <c r="J789">
        <v>130</v>
      </c>
      <c r="K789">
        <v>75</v>
      </c>
      <c r="L789">
        <v>60</v>
      </c>
      <c r="M789">
        <v>0</v>
      </c>
      <c r="N789">
        <v>0</v>
      </c>
      <c r="O789">
        <v>0</v>
      </c>
      <c r="P789">
        <v>45</v>
      </c>
      <c r="Q789">
        <v>10</v>
      </c>
      <c r="R789">
        <v>5</v>
      </c>
      <c r="S789" s="18">
        <f t="shared" si="126"/>
        <v>9</v>
      </c>
      <c r="T789" s="17">
        <f t="shared" si="127"/>
        <v>0</v>
      </c>
      <c r="U789" s="17">
        <f t="shared" si="128"/>
        <v>0</v>
      </c>
      <c r="V789" s="17">
        <f t="shared" si="129"/>
        <v>0</v>
      </c>
      <c r="W789" s="17">
        <f t="shared" si="130"/>
        <v>5</v>
      </c>
      <c r="X789" s="17">
        <f t="shared" si="131"/>
        <v>5</v>
      </c>
      <c r="Y789" s="19">
        <f t="shared" si="132"/>
        <v>0</v>
      </c>
      <c r="Z789">
        <v>25</v>
      </c>
      <c r="AA789">
        <v>0</v>
      </c>
      <c r="AB789">
        <v>0</v>
      </c>
      <c r="AC789">
        <v>70</v>
      </c>
      <c r="AD789">
        <v>0</v>
      </c>
      <c r="AE789">
        <v>0</v>
      </c>
      <c r="AF789">
        <v>0</v>
      </c>
      <c r="AG789">
        <v>25</v>
      </c>
      <c r="AH789">
        <v>25</v>
      </c>
      <c r="AI789">
        <v>0</v>
      </c>
      <c r="AJ789">
        <v>0</v>
      </c>
      <c r="AK789">
        <v>130</v>
      </c>
      <c r="AL789">
        <v>130</v>
      </c>
      <c r="AM789">
        <v>0</v>
      </c>
      <c r="AN789">
        <v>0</v>
      </c>
      <c r="AO789">
        <v>75</v>
      </c>
      <c r="AP789">
        <v>40</v>
      </c>
      <c r="AQ789">
        <v>75</v>
      </c>
      <c r="AR789">
        <v>35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60</v>
      </c>
      <c r="BA789">
        <v>60</v>
      </c>
      <c r="BB789">
        <v>0</v>
      </c>
      <c r="BC789">
        <v>0</v>
      </c>
      <c r="BD789">
        <v>0</v>
      </c>
      <c r="BE789">
        <f t="shared" si="133"/>
        <v>725</v>
      </c>
      <c r="BF789">
        <v>440</v>
      </c>
      <c r="BG789">
        <v>440</v>
      </c>
      <c r="BH789" t="s">
        <v>190</v>
      </c>
      <c r="BI789" t="s">
        <v>1247</v>
      </c>
      <c r="BJ789">
        <v>125</v>
      </c>
      <c r="BK789">
        <v>290</v>
      </c>
      <c r="BL789">
        <v>440</v>
      </c>
      <c r="BM789">
        <v>0</v>
      </c>
      <c r="BN789">
        <v>0</v>
      </c>
      <c r="BO789">
        <v>0</v>
      </c>
      <c r="BP789">
        <v>335</v>
      </c>
      <c r="BQ789">
        <v>335</v>
      </c>
      <c r="BR789">
        <f t="shared" si="134"/>
        <v>-5</v>
      </c>
      <c r="BS789">
        <f t="shared" si="135"/>
        <v>15</v>
      </c>
    </row>
    <row r="790" spans="1:71" x14ac:dyDescent="0.25">
      <c r="A790" s="5" t="s">
        <v>1135</v>
      </c>
      <c r="B790" s="5" t="s">
        <v>207</v>
      </c>
      <c r="C790" s="5" t="s">
        <v>207</v>
      </c>
      <c r="D790" s="1" t="s">
        <v>113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820</v>
      </c>
      <c r="K790">
        <v>210</v>
      </c>
      <c r="L790">
        <v>250</v>
      </c>
      <c r="M790">
        <v>0</v>
      </c>
      <c r="N790">
        <v>0</v>
      </c>
      <c r="O790">
        <v>0</v>
      </c>
      <c r="P790">
        <v>0</v>
      </c>
      <c r="Q790">
        <v>5</v>
      </c>
      <c r="R790">
        <v>0</v>
      </c>
      <c r="S790" s="18" t="e">
        <f t="shared" si="126"/>
        <v>#DIV/0!</v>
      </c>
      <c r="T790" s="17" t="e">
        <f t="shared" si="127"/>
        <v>#DIV/0!</v>
      </c>
      <c r="U790" s="17" t="e">
        <f t="shared" si="128"/>
        <v>#DIV/0!</v>
      </c>
      <c r="V790" s="17" t="e">
        <f t="shared" si="129"/>
        <v>#DIV/0!</v>
      </c>
      <c r="W790" s="17" t="e">
        <f t="shared" si="130"/>
        <v>#DIV/0!</v>
      </c>
      <c r="X790" s="17" t="e">
        <f t="shared" si="131"/>
        <v>#DIV/0!</v>
      </c>
      <c r="Y790" s="19" t="e">
        <f t="shared" si="132"/>
        <v>#DIV/0!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820</v>
      </c>
      <c r="AL790">
        <v>820</v>
      </c>
      <c r="AM790">
        <v>0</v>
      </c>
      <c r="AN790">
        <v>0</v>
      </c>
      <c r="AO790">
        <v>210</v>
      </c>
      <c r="AP790">
        <v>0</v>
      </c>
      <c r="AQ790">
        <v>210</v>
      </c>
      <c r="AR790">
        <v>210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250</v>
      </c>
      <c r="BA790">
        <v>250</v>
      </c>
      <c r="BB790">
        <v>0</v>
      </c>
      <c r="BC790">
        <v>0</v>
      </c>
      <c r="BD790">
        <v>0</v>
      </c>
      <c r="BE790">
        <f t="shared" si="133"/>
        <v>2770</v>
      </c>
      <c r="BF790">
        <v>1280</v>
      </c>
      <c r="BG790">
        <v>1280</v>
      </c>
      <c r="BH790" t="s">
        <v>199</v>
      </c>
      <c r="BI790" t="s">
        <v>1279</v>
      </c>
      <c r="BJ790">
        <v>0</v>
      </c>
      <c r="BK790">
        <v>1280</v>
      </c>
      <c r="BL790">
        <v>1280</v>
      </c>
      <c r="BM790">
        <v>0</v>
      </c>
      <c r="BN790">
        <v>0</v>
      </c>
      <c r="BO790">
        <v>0</v>
      </c>
      <c r="BP790">
        <v>1280</v>
      </c>
      <c r="BQ790">
        <v>1280</v>
      </c>
      <c r="BR790">
        <f t="shared" si="134"/>
        <v>-5</v>
      </c>
      <c r="BS790">
        <f t="shared" si="135"/>
        <v>5</v>
      </c>
    </row>
    <row r="791" spans="1:71" x14ac:dyDescent="0.25">
      <c r="A791" s="5" t="s">
        <v>1451</v>
      </c>
      <c r="B791" s="5" t="s">
        <v>61</v>
      </c>
      <c r="C791" s="5" t="s">
        <v>207</v>
      </c>
      <c r="D791" s="1" t="s">
        <v>117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644</v>
      </c>
      <c r="K791">
        <v>0</v>
      </c>
      <c r="L791">
        <v>56</v>
      </c>
      <c r="M791">
        <v>0</v>
      </c>
      <c r="N791">
        <v>0</v>
      </c>
      <c r="O791">
        <v>0</v>
      </c>
      <c r="P791">
        <v>0</v>
      </c>
      <c r="Q791">
        <v>5</v>
      </c>
      <c r="R791">
        <v>0</v>
      </c>
      <c r="S791" s="18" t="e">
        <f t="shared" si="126"/>
        <v>#DIV/0!</v>
      </c>
      <c r="T791" s="17" t="e">
        <f t="shared" si="127"/>
        <v>#DIV/0!</v>
      </c>
      <c r="U791" s="17" t="e">
        <f t="shared" si="128"/>
        <v>#DIV/0!</v>
      </c>
      <c r="V791" s="17" t="e">
        <f t="shared" si="129"/>
        <v>#DIV/0!</v>
      </c>
      <c r="W791" s="17" t="e">
        <f t="shared" si="130"/>
        <v>#DIV/0!</v>
      </c>
      <c r="X791" s="17" t="e">
        <f t="shared" si="131"/>
        <v>#DIV/0!</v>
      </c>
      <c r="Y791" s="19" t="e">
        <f t="shared" si="132"/>
        <v>#DIV/0!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930</v>
      </c>
      <c r="AL791">
        <v>930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85</v>
      </c>
      <c r="BA791">
        <v>85</v>
      </c>
      <c r="BB791">
        <v>0</v>
      </c>
      <c r="BC791">
        <v>0</v>
      </c>
      <c r="BD791">
        <v>0</v>
      </c>
      <c r="BE791">
        <f t="shared" si="133"/>
        <v>2030</v>
      </c>
      <c r="BF791">
        <v>1015</v>
      </c>
      <c r="BG791">
        <v>1015</v>
      </c>
      <c r="BH791" t="s">
        <v>199</v>
      </c>
      <c r="BI791" t="s">
        <v>1496</v>
      </c>
      <c r="BJ791">
        <v>0</v>
      </c>
      <c r="BK791">
        <v>1015</v>
      </c>
      <c r="BL791">
        <v>1015</v>
      </c>
      <c r="BM791">
        <v>0</v>
      </c>
      <c r="BN791">
        <v>0</v>
      </c>
      <c r="BO791">
        <v>0</v>
      </c>
      <c r="BP791">
        <v>1015</v>
      </c>
      <c r="BQ791">
        <v>1015</v>
      </c>
      <c r="BR791">
        <f t="shared" si="134"/>
        <v>-5</v>
      </c>
      <c r="BS791">
        <f t="shared" si="135"/>
        <v>5</v>
      </c>
    </row>
    <row r="792" spans="1:71" x14ac:dyDescent="0.25">
      <c r="A792" s="5" t="s">
        <v>1451</v>
      </c>
      <c r="B792" s="5" t="s">
        <v>207</v>
      </c>
      <c r="C792" s="5" t="s">
        <v>207</v>
      </c>
      <c r="D792" s="1" t="s">
        <v>159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285</v>
      </c>
      <c r="K792">
        <v>33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5</v>
      </c>
      <c r="R792">
        <v>0</v>
      </c>
      <c r="S792" s="18" t="e">
        <f t="shared" si="126"/>
        <v>#DIV/0!</v>
      </c>
      <c r="T792" s="17" t="e">
        <f t="shared" si="127"/>
        <v>#DIV/0!</v>
      </c>
      <c r="U792" s="17" t="e">
        <f t="shared" si="128"/>
        <v>#DIV/0!</v>
      </c>
      <c r="V792" s="17" t="e">
        <f t="shared" si="129"/>
        <v>#DIV/0!</v>
      </c>
      <c r="W792" s="17" t="e">
        <f t="shared" si="130"/>
        <v>#DIV/0!</v>
      </c>
      <c r="X792" s="17" t="e">
        <f t="shared" si="131"/>
        <v>#DIV/0!</v>
      </c>
      <c r="Y792" s="19" t="e">
        <f t="shared" si="132"/>
        <v>#DIV/0!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285</v>
      </c>
      <c r="AL792">
        <v>285</v>
      </c>
      <c r="AM792">
        <v>0</v>
      </c>
      <c r="AN792">
        <v>0</v>
      </c>
      <c r="AO792">
        <v>33</v>
      </c>
      <c r="AP792">
        <v>0</v>
      </c>
      <c r="AQ792">
        <v>33</v>
      </c>
      <c r="AR792">
        <v>33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f t="shared" si="133"/>
        <v>669</v>
      </c>
      <c r="BF792">
        <v>318</v>
      </c>
      <c r="BG792">
        <v>318</v>
      </c>
      <c r="BH792" t="s">
        <v>199</v>
      </c>
      <c r="BI792" t="s">
        <v>1596</v>
      </c>
      <c r="BJ792">
        <v>0</v>
      </c>
      <c r="BK792">
        <v>318</v>
      </c>
      <c r="BL792">
        <v>318</v>
      </c>
      <c r="BM792">
        <v>0</v>
      </c>
      <c r="BN792">
        <v>0</v>
      </c>
      <c r="BO792">
        <v>0</v>
      </c>
      <c r="BP792">
        <v>318</v>
      </c>
      <c r="BQ792">
        <v>318</v>
      </c>
      <c r="BR792">
        <f t="shared" si="134"/>
        <v>-5</v>
      </c>
      <c r="BS792">
        <f t="shared" si="135"/>
        <v>5</v>
      </c>
    </row>
    <row r="793" spans="1:71" x14ac:dyDescent="0.25">
      <c r="A793" s="5" t="s">
        <v>1451</v>
      </c>
      <c r="B793" s="5" t="s">
        <v>359</v>
      </c>
      <c r="C793" s="5" t="s">
        <v>61</v>
      </c>
      <c r="D793" s="1" t="s">
        <v>153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250</v>
      </c>
      <c r="K793">
        <v>65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5</v>
      </c>
      <c r="R793">
        <v>0</v>
      </c>
      <c r="S793" s="18" t="e">
        <f t="shared" si="126"/>
        <v>#DIV/0!</v>
      </c>
      <c r="T793" s="17" t="e">
        <f t="shared" si="127"/>
        <v>#DIV/0!</v>
      </c>
      <c r="U793" s="17" t="e">
        <f t="shared" si="128"/>
        <v>#DIV/0!</v>
      </c>
      <c r="V793" s="17" t="e">
        <f t="shared" si="129"/>
        <v>#DIV/0!</v>
      </c>
      <c r="W793" s="17" t="e">
        <f t="shared" si="130"/>
        <v>#DIV/0!</v>
      </c>
      <c r="X793" s="17" t="e">
        <f t="shared" si="131"/>
        <v>#DIV/0!</v>
      </c>
      <c r="Y793" s="19" t="e">
        <f t="shared" si="132"/>
        <v>#DIV/0!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250</v>
      </c>
      <c r="AL793">
        <v>250</v>
      </c>
      <c r="AM793">
        <v>0</v>
      </c>
      <c r="AN793">
        <v>0</v>
      </c>
      <c r="AO793">
        <v>65</v>
      </c>
      <c r="AP793">
        <v>0</v>
      </c>
      <c r="AQ793">
        <v>65</v>
      </c>
      <c r="AR793">
        <v>65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f t="shared" si="133"/>
        <v>695</v>
      </c>
      <c r="BF793">
        <v>315</v>
      </c>
      <c r="BG793">
        <v>315</v>
      </c>
      <c r="BH793" t="s">
        <v>199</v>
      </c>
      <c r="BI793" t="s">
        <v>1639</v>
      </c>
      <c r="BJ793">
        <v>0</v>
      </c>
      <c r="BK793">
        <v>315</v>
      </c>
      <c r="BL793">
        <v>315</v>
      </c>
      <c r="BM793">
        <v>0</v>
      </c>
      <c r="BN793">
        <v>0</v>
      </c>
      <c r="BO793">
        <v>0</v>
      </c>
      <c r="BP793">
        <v>315</v>
      </c>
      <c r="BQ793">
        <v>315</v>
      </c>
      <c r="BR793">
        <f t="shared" si="134"/>
        <v>-5</v>
      </c>
      <c r="BS793">
        <f t="shared" si="135"/>
        <v>5</v>
      </c>
    </row>
    <row r="794" spans="1:71" x14ac:dyDescent="0.25">
      <c r="A794" s="5" t="s">
        <v>1661</v>
      </c>
      <c r="B794" s="5" t="s">
        <v>61</v>
      </c>
      <c r="C794" s="5" t="s">
        <v>61</v>
      </c>
      <c r="D794" s="1" t="s">
        <v>133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362</v>
      </c>
      <c r="L794">
        <v>215</v>
      </c>
      <c r="M794">
        <v>0</v>
      </c>
      <c r="N794">
        <v>0</v>
      </c>
      <c r="O794">
        <v>0</v>
      </c>
      <c r="P794">
        <v>0</v>
      </c>
      <c r="Q794">
        <v>5</v>
      </c>
      <c r="R794">
        <v>0</v>
      </c>
      <c r="S794" s="18" t="e">
        <f t="shared" si="126"/>
        <v>#DIV/0!</v>
      </c>
      <c r="T794" s="17" t="e">
        <f t="shared" si="127"/>
        <v>#DIV/0!</v>
      </c>
      <c r="U794" s="17" t="e">
        <f t="shared" si="128"/>
        <v>#DIV/0!</v>
      </c>
      <c r="V794" s="17" t="e">
        <f t="shared" si="129"/>
        <v>#DIV/0!</v>
      </c>
      <c r="W794" s="17" t="e">
        <f t="shared" si="130"/>
        <v>#DIV/0!</v>
      </c>
      <c r="X794" s="17" t="e">
        <f t="shared" si="131"/>
        <v>#DIV/0!</v>
      </c>
      <c r="Y794" s="19" t="e">
        <f t="shared" si="132"/>
        <v>#DIV/0!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362</v>
      </c>
      <c r="AP794">
        <v>0</v>
      </c>
      <c r="AQ794">
        <v>362</v>
      </c>
      <c r="AR794">
        <v>362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215</v>
      </c>
      <c r="BA794">
        <v>215</v>
      </c>
      <c r="BB794">
        <v>0</v>
      </c>
      <c r="BC794">
        <v>0</v>
      </c>
      <c r="BD794">
        <v>0</v>
      </c>
      <c r="BE794">
        <f t="shared" si="133"/>
        <v>1516</v>
      </c>
      <c r="BF794">
        <v>577</v>
      </c>
      <c r="BG794">
        <v>577</v>
      </c>
      <c r="BH794" t="s">
        <v>190</v>
      </c>
      <c r="BI794" t="s">
        <v>1692</v>
      </c>
      <c r="BJ794">
        <v>0</v>
      </c>
      <c r="BK794">
        <v>577</v>
      </c>
      <c r="BL794">
        <v>577</v>
      </c>
      <c r="BM794">
        <v>0</v>
      </c>
      <c r="BN794">
        <v>0</v>
      </c>
      <c r="BO794">
        <v>0</v>
      </c>
      <c r="BP794">
        <v>577</v>
      </c>
      <c r="BQ794">
        <v>577</v>
      </c>
      <c r="BR794">
        <f t="shared" si="134"/>
        <v>-5</v>
      </c>
      <c r="BS794">
        <f t="shared" si="135"/>
        <v>5</v>
      </c>
    </row>
    <row r="795" spans="1:71" x14ac:dyDescent="0.25">
      <c r="A795" s="5" t="s">
        <v>1661</v>
      </c>
      <c r="B795" s="5" t="s">
        <v>207</v>
      </c>
      <c r="C795" s="5" t="s">
        <v>207</v>
      </c>
      <c r="D795" s="1" t="s">
        <v>153</v>
      </c>
      <c r="E795">
        <v>0</v>
      </c>
      <c r="F795">
        <v>0</v>
      </c>
      <c r="G795">
        <v>0</v>
      </c>
      <c r="H795">
        <v>0</v>
      </c>
      <c r="I795">
        <v>37</v>
      </c>
      <c r="J795">
        <v>0</v>
      </c>
      <c r="K795">
        <v>463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5</v>
      </c>
      <c r="R795">
        <v>0</v>
      </c>
      <c r="S795" s="18" t="e">
        <f t="shared" si="126"/>
        <v>#DIV/0!</v>
      </c>
      <c r="T795" s="17" t="e">
        <f t="shared" si="127"/>
        <v>#DIV/0!</v>
      </c>
      <c r="U795" s="17" t="e">
        <f t="shared" si="128"/>
        <v>#DIV/0!</v>
      </c>
      <c r="V795" s="17" t="e">
        <f t="shared" si="129"/>
        <v>#DIV/0!</v>
      </c>
      <c r="W795" s="17" t="e">
        <f t="shared" si="130"/>
        <v>#DIV/0!</v>
      </c>
      <c r="X795" s="17" t="e">
        <f t="shared" si="131"/>
        <v>#DIV/0!</v>
      </c>
      <c r="Y795" s="19" t="e">
        <f t="shared" si="132"/>
        <v>#DIV/0!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37</v>
      </c>
      <c r="AH795">
        <v>37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463</v>
      </c>
      <c r="AP795">
        <v>230</v>
      </c>
      <c r="AQ795">
        <v>463</v>
      </c>
      <c r="AR795">
        <v>233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f t="shared" si="133"/>
        <v>1463</v>
      </c>
      <c r="BF795">
        <v>500</v>
      </c>
      <c r="BG795">
        <v>500</v>
      </c>
      <c r="BH795" t="s">
        <v>190</v>
      </c>
      <c r="BI795" t="s">
        <v>1834</v>
      </c>
      <c r="BJ795">
        <v>0</v>
      </c>
      <c r="BK795">
        <v>500</v>
      </c>
      <c r="BL795">
        <v>500</v>
      </c>
      <c r="BM795">
        <v>0</v>
      </c>
      <c r="BN795">
        <v>0</v>
      </c>
      <c r="BO795">
        <v>0</v>
      </c>
      <c r="BP795">
        <v>500</v>
      </c>
      <c r="BQ795">
        <v>500</v>
      </c>
      <c r="BR795">
        <f t="shared" si="134"/>
        <v>-5</v>
      </c>
      <c r="BS795">
        <f t="shared" si="135"/>
        <v>5</v>
      </c>
    </row>
    <row r="796" spans="1:71" x14ac:dyDescent="0.25">
      <c r="A796" s="5" t="s">
        <v>2090</v>
      </c>
      <c r="B796" s="5" t="s">
        <v>61</v>
      </c>
      <c r="C796" s="5" t="s">
        <v>61</v>
      </c>
      <c r="D796" s="1" t="s">
        <v>92</v>
      </c>
      <c r="E796">
        <v>0</v>
      </c>
      <c r="F796">
        <v>6424</v>
      </c>
      <c r="G796">
        <v>0</v>
      </c>
      <c r="H796">
        <v>0</v>
      </c>
      <c r="I796">
        <v>437</v>
      </c>
      <c r="J796">
        <v>0</v>
      </c>
      <c r="K796">
        <v>0</v>
      </c>
      <c r="L796">
        <v>97</v>
      </c>
      <c r="M796">
        <v>9189</v>
      </c>
      <c r="N796">
        <v>0</v>
      </c>
      <c r="O796">
        <v>0</v>
      </c>
      <c r="P796">
        <v>0</v>
      </c>
      <c r="Q796">
        <v>1026</v>
      </c>
      <c r="R796">
        <v>1021</v>
      </c>
      <c r="S796" s="18">
        <f t="shared" si="126"/>
        <v>9</v>
      </c>
      <c r="T796" s="17">
        <f t="shared" si="127"/>
        <v>1021</v>
      </c>
      <c r="U796" s="17">
        <f t="shared" si="128"/>
        <v>0</v>
      </c>
      <c r="V796" s="17">
        <f t="shared" si="129"/>
        <v>0</v>
      </c>
      <c r="W796" s="17">
        <f t="shared" si="130"/>
        <v>0</v>
      </c>
      <c r="X796" s="17">
        <f t="shared" si="131"/>
        <v>5</v>
      </c>
      <c r="Y796" s="19">
        <f t="shared" si="132"/>
        <v>0</v>
      </c>
      <c r="Z796">
        <v>6424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437</v>
      </c>
      <c r="AH796">
        <v>437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97</v>
      </c>
      <c r="BA796">
        <v>97</v>
      </c>
      <c r="BB796">
        <v>0</v>
      </c>
      <c r="BC796">
        <v>0</v>
      </c>
      <c r="BD796">
        <v>0</v>
      </c>
      <c r="BE796">
        <f t="shared" si="133"/>
        <v>1068</v>
      </c>
      <c r="BF796">
        <v>6958</v>
      </c>
      <c r="BG796">
        <v>6958</v>
      </c>
      <c r="BH796" t="s">
        <v>109</v>
      </c>
      <c r="BI796" t="s">
        <v>2105</v>
      </c>
      <c r="BJ796">
        <v>0</v>
      </c>
      <c r="BK796">
        <v>534</v>
      </c>
      <c r="BL796">
        <v>6958</v>
      </c>
      <c r="BM796">
        <v>9189</v>
      </c>
      <c r="BN796">
        <v>0</v>
      </c>
      <c r="BO796">
        <v>0</v>
      </c>
      <c r="BP796">
        <v>534</v>
      </c>
      <c r="BQ796">
        <v>9723</v>
      </c>
      <c r="BR796">
        <f t="shared" si="134"/>
        <v>-5</v>
      </c>
      <c r="BS796">
        <f t="shared" si="135"/>
        <v>2047</v>
      </c>
    </row>
    <row r="797" spans="1:71" x14ac:dyDescent="0.25">
      <c r="A797" s="5" t="s">
        <v>207</v>
      </c>
      <c r="B797" s="5" t="s">
        <v>61</v>
      </c>
      <c r="C797" s="5" t="s">
        <v>61</v>
      </c>
      <c r="D797" s="1" t="s">
        <v>106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71</v>
      </c>
      <c r="K797">
        <v>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6</v>
      </c>
      <c r="R797">
        <v>0</v>
      </c>
      <c r="S797" s="18" t="e">
        <f t="shared" si="126"/>
        <v>#DIV/0!</v>
      </c>
      <c r="T797" s="17" t="e">
        <f t="shared" si="127"/>
        <v>#DIV/0!</v>
      </c>
      <c r="U797" s="17" t="e">
        <f t="shared" si="128"/>
        <v>#DIV/0!</v>
      </c>
      <c r="V797" s="17" t="e">
        <f t="shared" si="129"/>
        <v>#DIV/0!</v>
      </c>
      <c r="W797" s="17" t="e">
        <f t="shared" si="130"/>
        <v>#DIV/0!</v>
      </c>
      <c r="X797" s="17" t="e">
        <f t="shared" si="131"/>
        <v>#DIV/0!</v>
      </c>
      <c r="Y797" s="19" t="e">
        <f t="shared" si="132"/>
        <v>#DIV/0!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71</v>
      </c>
      <c r="AL797">
        <v>71</v>
      </c>
      <c r="AM797">
        <v>0</v>
      </c>
      <c r="AN797">
        <v>0</v>
      </c>
      <c r="AO797">
        <v>9</v>
      </c>
      <c r="AP797">
        <v>0</v>
      </c>
      <c r="AQ797">
        <v>9</v>
      </c>
      <c r="AR797">
        <v>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f t="shared" si="133"/>
        <v>169</v>
      </c>
      <c r="BF797">
        <v>80</v>
      </c>
      <c r="BG797">
        <v>80</v>
      </c>
      <c r="BH797" t="s">
        <v>190</v>
      </c>
      <c r="BI797" t="s">
        <v>447</v>
      </c>
      <c r="BJ797">
        <v>0</v>
      </c>
      <c r="BK797">
        <v>80</v>
      </c>
      <c r="BL797">
        <v>80</v>
      </c>
      <c r="BM797">
        <v>0</v>
      </c>
      <c r="BN797">
        <v>0</v>
      </c>
      <c r="BO797">
        <v>0</v>
      </c>
      <c r="BP797">
        <v>80</v>
      </c>
      <c r="BQ797">
        <v>80</v>
      </c>
      <c r="BR797">
        <f t="shared" si="134"/>
        <v>-6</v>
      </c>
      <c r="BS797">
        <f t="shared" si="135"/>
        <v>6</v>
      </c>
    </row>
    <row r="798" spans="1:71" x14ac:dyDescent="0.25">
      <c r="A798" s="5" t="s">
        <v>359</v>
      </c>
      <c r="B798" s="5" t="s">
        <v>61</v>
      </c>
      <c r="C798" s="5" t="s">
        <v>61</v>
      </c>
      <c r="D798" s="1" t="s">
        <v>86</v>
      </c>
      <c r="E798">
        <v>0</v>
      </c>
      <c r="F798">
        <v>446</v>
      </c>
      <c r="G798">
        <v>0</v>
      </c>
      <c r="H798">
        <v>0</v>
      </c>
      <c r="I798">
        <v>890</v>
      </c>
      <c r="J798">
        <v>0</v>
      </c>
      <c r="K798">
        <v>125</v>
      </c>
      <c r="L798">
        <v>0</v>
      </c>
      <c r="M798">
        <v>1557</v>
      </c>
      <c r="N798">
        <v>0</v>
      </c>
      <c r="O798">
        <v>0</v>
      </c>
      <c r="P798">
        <v>0</v>
      </c>
      <c r="Q798">
        <v>179</v>
      </c>
      <c r="R798">
        <v>173</v>
      </c>
      <c r="S798" s="18">
        <f t="shared" si="126"/>
        <v>9</v>
      </c>
      <c r="T798" s="17">
        <f t="shared" si="127"/>
        <v>173</v>
      </c>
      <c r="U798" s="17">
        <f t="shared" si="128"/>
        <v>0</v>
      </c>
      <c r="V798" s="17">
        <f t="shared" si="129"/>
        <v>0</v>
      </c>
      <c r="W798" s="17">
        <f t="shared" si="130"/>
        <v>0</v>
      </c>
      <c r="X798" s="17">
        <f t="shared" si="131"/>
        <v>6</v>
      </c>
      <c r="Y798" s="19">
        <f t="shared" si="132"/>
        <v>0</v>
      </c>
      <c r="Z798">
        <v>446</v>
      </c>
      <c r="AA798">
        <v>0</v>
      </c>
      <c r="AB798">
        <v>0</v>
      </c>
      <c r="AC798">
        <v>0</v>
      </c>
      <c r="AD798">
        <v>890</v>
      </c>
      <c r="AE798">
        <v>0</v>
      </c>
      <c r="AF798">
        <v>0</v>
      </c>
      <c r="AG798">
        <v>0</v>
      </c>
      <c r="AH798">
        <v>890</v>
      </c>
      <c r="AI798">
        <v>0</v>
      </c>
      <c r="AJ798">
        <v>0</v>
      </c>
      <c r="AK798">
        <v>0</v>
      </c>
      <c r="AL798">
        <v>0</v>
      </c>
      <c r="AM798">
        <v>125</v>
      </c>
      <c r="AN798">
        <v>0</v>
      </c>
      <c r="AO798">
        <v>0</v>
      </c>
      <c r="AP798">
        <v>0</v>
      </c>
      <c r="AQ798">
        <v>125</v>
      </c>
      <c r="AR798">
        <v>125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f t="shared" si="133"/>
        <v>2155</v>
      </c>
      <c r="BF798">
        <v>1461</v>
      </c>
      <c r="BG798">
        <v>1461</v>
      </c>
      <c r="BH798" t="s">
        <v>109</v>
      </c>
      <c r="BI798" t="s">
        <v>707</v>
      </c>
      <c r="BJ798">
        <v>0</v>
      </c>
      <c r="BK798">
        <v>1015</v>
      </c>
      <c r="BL798">
        <v>1461</v>
      </c>
      <c r="BM798">
        <v>2572</v>
      </c>
      <c r="BN798">
        <v>0</v>
      </c>
      <c r="BO798">
        <v>0</v>
      </c>
      <c r="BP798">
        <v>0</v>
      </c>
      <c r="BQ798">
        <v>2572</v>
      </c>
      <c r="BR798">
        <f t="shared" si="134"/>
        <v>-6</v>
      </c>
      <c r="BS798">
        <f t="shared" si="135"/>
        <v>352</v>
      </c>
    </row>
    <row r="799" spans="1:71" x14ac:dyDescent="0.25">
      <c r="A799" s="5" t="s">
        <v>627</v>
      </c>
      <c r="B799" s="5" t="s">
        <v>61</v>
      </c>
      <c r="C799" s="5" t="s">
        <v>61</v>
      </c>
      <c r="D799" s="1" t="s">
        <v>98</v>
      </c>
      <c r="E799">
        <v>0</v>
      </c>
      <c r="F799">
        <v>0</v>
      </c>
      <c r="G799">
        <v>0</v>
      </c>
      <c r="H799">
        <v>0</v>
      </c>
      <c r="I799">
        <v>30</v>
      </c>
      <c r="J799">
        <v>100</v>
      </c>
      <c r="K799">
        <v>10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</v>
      </c>
      <c r="R799">
        <v>0</v>
      </c>
      <c r="S799" s="18" t="e">
        <f t="shared" si="126"/>
        <v>#DIV/0!</v>
      </c>
      <c r="T799" s="17" t="e">
        <f t="shared" si="127"/>
        <v>#DIV/0!</v>
      </c>
      <c r="U799" s="17" t="e">
        <f t="shared" si="128"/>
        <v>#DIV/0!</v>
      </c>
      <c r="V799" s="17" t="e">
        <f t="shared" si="129"/>
        <v>#DIV/0!</v>
      </c>
      <c r="W799" s="17" t="e">
        <f t="shared" si="130"/>
        <v>#DIV/0!</v>
      </c>
      <c r="X799" s="17" t="e">
        <f t="shared" si="131"/>
        <v>#DIV/0!</v>
      </c>
      <c r="Y799" s="19" t="e">
        <f t="shared" si="132"/>
        <v>#DIV/0!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</v>
      </c>
      <c r="AH799">
        <v>30</v>
      </c>
      <c r="AI799">
        <v>0</v>
      </c>
      <c r="AJ799">
        <v>0</v>
      </c>
      <c r="AK799">
        <v>100</v>
      </c>
      <c r="AL799">
        <v>100</v>
      </c>
      <c r="AM799">
        <v>0</v>
      </c>
      <c r="AN799">
        <v>0</v>
      </c>
      <c r="AO799">
        <v>10</v>
      </c>
      <c r="AP799">
        <v>10</v>
      </c>
      <c r="AQ799">
        <v>10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f t="shared" si="133"/>
        <v>290</v>
      </c>
      <c r="BF799">
        <v>140</v>
      </c>
      <c r="BG799">
        <v>140</v>
      </c>
      <c r="BH799" t="s">
        <v>190</v>
      </c>
      <c r="BI799" t="s">
        <v>826</v>
      </c>
      <c r="BJ799">
        <v>0</v>
      </c>
      <c r="BK799">
        <v>140</v>
      </c>
      <c r="BL799">
        <v>140</v>
      </c>
      <c r="BM799">
        <v>0</v>
      </c>
      <c r="BN799">
        <v>0</v>
      </c>
      <c r="BO799">
        <v>0</v>
      </c>
      <c r="BP799">
        <v>140</v>
      </c>
      <c r="BQ799">
        <v>140</v>
      </c>
      <c r="BR799">
        <f t="shared" si="134"/>
        <v>-6</v>
      </c>
      <c r="BS799">
        <f t="shared" si="135"/>
        <v>6</v>
      </c>
    </row>
    <row r="800" spans="1:71" x14ac:dyDescent="0.25">
      <c r="A800" s="5" t="s">
        <v>1451</v>
      </c>
      <c r="B800" s="5" t="s">
        <v>207</v>
      </c>
      <c r="C800" s="5" t="s">
        <v>207</v>
      </c>
      <c r="D800" s="1" t="s">
        <v>147</v>
      </c>
      <c r="E800">
        <v>0</v>
      </c>
      <c r="F800">
        <v>1190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2250</v>
      </c>
      <c r="N800">
        <v>0</v>
      </c>
      <c r="O800">
        <v>0</v>
      </c>
      <c r="P800">
        <v>0</v>
      </c>
      <c r="Q800">
        <v>256</v>
      </c>
      <c r="R800">
        <v>250</v>
      </c>
      <c r="S800" s="18">
        <f t="shared" si="126"/>
        <v>9</v>
      </c>
      <c r="T800" s="17">
        <f t="shared" si="127"/>
        <v>250</v>
      </c>
      <c r="U800" s="17">
        <f t="shared" si="128"/>
        <v>0</v>
      </c>
      <c r="V800" s="17">
        <f t="shared" si="129"/>
        <v>0</v>
      </c>
      <c r="W800" s="17">
        <f t="shared" si="130"/>
        <v>0</v>
      </c>
      <c r="X800" s="17">
        <f t="shared" si="131"/>
        <v>6</v>
      </c>
      <c r="Y800" s="19">
        <f t="shared" si="132"/>
        <v>0</v>
      </c>
      <c r="Z800">
        <v>1190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f t="shared" si="133"/>
        <v>0</v>
      </c>
      <c r="BF800">
        <v>1190</v>
      </c>
      <c r="BG800">
        <v>1190</v>
      </c>
      <c r="BH800" t="s">
        <v>109</v>
      </c>
      <c r="BI800" t="s">
        <v>1591</v>
      </c>
      <c r="BJ800">
        <v>0</v>
      </c>
      <c r="BK800">
        <v>0</v>
      </c>
      <c r="BL800">
        <v>1190</v>
      </c>
      <c r="BM800">
        <v>2250</v>
      </c>
      <c r="BN800">
        <v>0</v>
      </c>
      <c r="BO800">
        <v>0</v>
      </c>
      <c r="BP800">
        <v>0</v>
      </c>
      <c r="BQ800">
        <v>2250</v>
      </c>
      <c r="BR800">
        <f t="shared" si="134"/>
        <v>-6</v>
      </c>
      <c r="BS800">
        <f t="shared" si="135"/>
        <v>506</v>
      </c>
    </row>
    <row r="801" spans="1:74" x14ac:dyDescent="0.25">
      <c r="A801" s="5" t="s">
        <v>1451</v>
      </c>
      <c r="B801" s="5" t="s">
        <v>359</v>
      </c>
      <c r="C801" s="5" t="s">
        <v>61</v>
      </c>
      <c r="D801" s="1" t="s">
        <v>155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380</v>
      </c>
      <c r="K801">
        <v>6</v>
      </c>
      <c r="L801">
        <v>47</v>
      </c>
      <c r="M801">
        <v>0</v>
      </c>
      <c r="N801">
        <v>0</v>
      </c>
      <c r="O801">
        <v>0</v>
      </c>
      <c r="P801">
        <v>0</v>
      </c>
      <c r="Q801">
        <v>6</v>
      </c>
      <c r="R801">
        <v>0</v>
      </c>
      <c r="S801" s="18" t="e">
        <f t="shared" si="126"/>
        <v>#DIV/0!</v>
      </c>
      <c r="T801" s="17" t="e">
        <f t="shared" si="127"/>
        <v>#DIV/0!</v>
      </c>
      <c r="U801" s="17" t="e">
        <f t="shared" si="128"/>
        <v>#DIV/0!</v>
      </c>
      <c r="V801" s="17" t="e">
        <f t="shared" si="129"/>
        <v>#DIV/0!</v>
      </c>
      <c r="W801" s="17" t="e">
        <f t="shared" si="130"/>
        <v>#DIV/0!</v>
      </c>
      <c r="X801" s="17" t="e">
        <f t="shared" si="131"/>
        <v>#DIV/0!</v>
      </c>
      <c r="Y801" s="19" t="e">
        <f t="shared" si="132"/>
        <v>#DIV/0!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380</v>
      </c>
      <c r="AL801">
        <v>380</v>
      </c>
      <c r="AM801">
        <v>0</v>
      </c>
      <c r="AN801">
        <v>0</v>
      </c>
      <c r="AO801">
        <v>6</v>
      </c>
      <c r="AP801">
        <v>6</v>
      </c>
      <c r="AQ801">
        <v>6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47</v>
      </c>
      <c r="BA801">
        <v>47</v>
      </c>
      <c r="BB801">
        <v>0</v>
      </c>
      <c r="BC801">
        <v>0</v>
      </c>
      <c r="BD801">
        <v>0</v>
      </c>
      <c r="BE801">
        <f t="shared" si="133"/>
        <v>872</v>
      </c>
      <c r="BF801">
        <v>433</v>
      </c>
      <c r="BG801">
        <v>433</v>
      </c>
      <c r="BH801" t="s">
        <v>199</v>
      </c>
      <c r="BI801" t="s">
        <v>1640</v>
      </c>
      <c r="BJ801">
        <v>0</v>
      </c>
      <c r="BK801">
        <v>433</v>
      </c>
      <c r="BL801">
        <v>433</v>
      </c>
      <c r="BM801">
        <v>0</v>
      </c>
      <c r="BN801">
        <v>0</v>
      </c>
      <c r="BO801">
        <v>0</v>
      </c>
      <c r="BP801">
        <v>433</v>
      </c>
      <c r="BQ801">
        <v>433</v>
      </c>
      <c r="BR801">
        <f t="shared" si="134"/>
        <v>-6</v>
      </c>
      <c r="BS801">
        <f t="shared" si="135"/>
        <v>6</v>
      </c>
    </row>
    <row r="802" spans="1:74" x14ac:dyDescent="0.25">
      <c r="A802" s="5" t="s">
        <v>1661</v>
      </c>
      <c r="B802" s="5" t="s">
        <v>61</v>
      </c>
      <c r="C802" s="5" t="s">
        <v>61</v>
      </c>
      <c r="D802" s="1" t="s">
        <v>137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25</v>
      </c>
      <c r="L802">
        <v>116</v>
      </c>
      <c r="M802">
        <v>0</v>
      </c>
      <c r="N802">
        <v>0</v>
      </c>
      <c r="O802">
        <v>0</v>
      </c>
      <c r="P802">
        <v>0</v>
      </c>
      <c r="Q802">
        <v>6</v>
      </c>
      <c r="R802">
        <v>0</v>
      </c>
      <c r="S802" s="18" t="e">
        <f t="shared" si="126"/>
        <v>#DIV/0!</v>
      </c>
      <c r="T802" s="17" t="e">
        <f t="shared" si="127"/>
        <v>#DIV/0!</v>
      </c>
      <c r="U802" s="17" t="e">
        <f t="shared" si="128"/>
        <v>#DIV/0!</v>
      </c>
      <c r="V802" s="17" t="e">
        <f t="shared" si="129"/>
        <v>#DIV/0!</v>
      </c>
      <c r="W802" s="17" t="e">
        <f t="shared" si="130"/>
        <v>#DIV/0!</v>
      </c>
      <c r="X802" s="17" t="e">
        <f t="shared" si="131"/>
        <v>#DIV/0!</v>
      </c>
      <c r="Y802" s="19" t="e">
        <f t="shared" si="132"/>
        <v>#DIV/0!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25</v>
      </c>
      <c r="AP802">
        <v>25</v>
      </c>
      <c r="AQ802">
        <v>25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116</v>
      </c>
      <c r="BA802">
        <v>116</v>
      </c>
      <c r="BB802">
        <v>0</v>
      </c>
      <c r="BC802">
        <v>0</v>
      </c>
      <c r="BD802">
        <v>0</v>
      </c>
      <c r="BE802">
        <f t="shared" si="133"/>
        <v>307</v>
      </c>
      <c r="BF802">
        <v>141</v>
      </c>
      <c r="BG802">
        <v>141</v>
      </c>
      <c r="BH802" t="s">
        <v>190</v>
      </c>
      <c r="BI802" t="s">
        <v>1694</v>
      </c>
      <c r="BJ802">
        <v>0</v>
      </c>
      <c r="BK802">
        <v>141</v>
      </c>
      <c r="BL802">
        <v>141</v>
      </c>
      <c r="BM802">
        <v>0</v>
      </c>
      <c r="BN802">
        <v>0</v>
      </c>
      <c r="BO802">
        <v>0</v>
      </c>
      <c r="BP802">
        <v>141</v>
      </c>
      <c r="BQ802">
        <v>141</v>
      </c>
      <c r="BR802">
        <f t="shared" si="134"/>
        <v>-6</v>
      </c>
      <c r="BS802">
        <f t="shared" si="135"/>
        <v>6</v>
      </c>
    </row>
    <row r="803" spans="1:74" x14ac:dyDescent="0.25">
      <c r="A803" s="5" t="s">
        <v>1661</v>
      </c>
      <c r="B803" s="5" t="s">
        <v>61</v>
      </c>
      <c r="C803" s="5" t="s">
        <v>207</v>
      </c>
      <c r="D803" s="1" t="s">
        <v>71</v>
      </c>
      <c r="E803">
        <v>0</v>
      </c>
      <c r="F803">
        <v>27907</v>
      </c>
      <c r="G803">
        <v>0</v>
      </c>
      <c r="H803">
        <v>0</v>
      </c>
      <c r="I803">
        <v>9</v>
      </c>
      <c r="J803">
        <v>189</v>
      </c>
      <c r="K803">
        <v>1008</v>
      </c>
      <c r="L803">
        <v>12</v>
      </c>
      <c r="M803">
        <v>0</v>
      </c>
      <c r="N803">
        <v>27945</v>
      </c>
      <c r="O803">
        <v>0</v>
      </c>
      <c r="P803">
        <v>0</v>
      </c>
      <c r="Q803">
        <v>3111</v>
      </c>
      <c r="R803">
        <v>3105</v>
      </c>
      <c r="S803" s="18">
        <f t="shared" si="126"/>
        <v>9</v>
      </c>
      <c r="T803" s="17">
        <f t="shared" si="127"/>
        <v>0</v>
      </c>
      <c r="U803" s="17">
        <f t="shared" si="128"/>
        <v>3105</v>
      </c>
      <c r="V803" s="17">
        <f t="shared" si="129"/>
        <v>0</v>
      </c>
      <c r="W803" s="17">
        <f t="shared" si="130"/>
        <v>0</v>
      </c>
      <c r="X803" s="17">
        <f t="shared" si="131"/>
        <v>6</v>
      </c>
      <c r="Y803" s="19">
        <f t="shared" si="132"/>
        <v>0</v>
      </c>
      <c r="Z803">
        <v>27907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9</v>
      </c>
      <c r="AH803">
        <v>9</v>
      </c>
      <c r="AI803">
        <v>0</v>
      </c>
      <c r="AJ803">
        <v>0</v>
      </c>
      <c r="AK803">
        <v>189</v>
      </c>
      <c r="AL803">
        <v>189</v>
      </c>
      <c r="AM803">
        <v>0</v>
      </c>
      <c r="AN803">
        <v>795</v>
      </c>
      <c r="AO803">
        <v>213</v>
      </c>
      <c r="AP803">
        <v>1000</v>
      </c>
      <c r="AQ803">
        <v>1008</v>
      </c>
      <c r="AR803">
        <v>8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12</v>
      </c>
      <c r="BA803">
        <v>12</v>
      </c>
      <c r="BB803">
        <v>0</v>
      </c>
      <c r="BC803">
        <v>0</v>
      </c>
      <c r="BD803">
        <v>0</v>
      </c>
      <c r="BE803">
        <f t="shared" si="133"/>
        <v>3444</v>
      </c>
      <c r="BF803">
        <v>29125</v>
      </c>
      <c r="BG803">
        <v>29125</v>
      </c>
      <c r="BH803" t="s">
        <v>199</v>
      </c>
      <c r="BI803" t="s">
        <v>1702</v>
      </c>
      <c r="BJ803">
        <v>0</v>
      </c>
      <c r="BK803">
        <v>1218</v>
      </c>
      <c r="BL803">
        <v>29125</v>
      </c>
      <c r="BM803">
        <v>0</v>
      </c>
      <c r="BN803">
        <v>28740</v>
      </c>
      <c r="BO803">
        <v>0</v>
      </c>
      <c r="BP803">
        <v>423</v>
      </c>
      <c r="BQ803">
        <v>29163</v>
      </c>
      <c r="BR803">
        <f t="shared" si="134"/>
        <v>-6</v>
      </c>
      <c r="BS803">
        <f t="shared" si="135"/>
        <v>6216</v>
      </c>
    </row>
    <row r="804" spans="1:74" x14ac:dyDescent="0.25">
      <c r="A804" s="5" t="s">
        <v>1661</v>
      </c>
      <c r="B804" s="5" t="s">
        <v>359</v>
      </c>
      <c r="C804" s="5" t="s">
        <v>359</v>
      </c>
      <c r="D804" s="1" t="s">
        <v>75</v>
      </c>
      <c r="E804">
        <v>0</v>
      </c>
      <c r="F804">
        <v>316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1665</v>
      </c>
      <c r="Q804">
        <v>191</v>
      </c>
      <c r="R804">
        <v>185</v>
      </c>
      <c r="S804" s="18">
        <f t="shared" si="126"/>
        <v>9</v>
      </c>
      <c r="T804" s="17">
        <f t="shared" si="127"/>
        <v>0</v>
      </c>
      <c r="U804" s="17">
        <f t="shared" si="128"/>
        <v>0</v>
      </c>
      <c r="V804" s="17">
        <f t="shared" si="129"/>
        <v>0</v>
      </c>
      <c r="W804" s="17">
        <f t="shared" si="130"/>
        <v>185</v>
      </c>
      <c r="X804" s="17">
        <f t="shared" si="131"/>
        <v>6</v>
      </c>
      <c r="Y804" s="19">
        <f t="shared" si="132"/>
        <v>0</v>
      </c>
      <c r="Z804">
        <v>316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f t="shared" si="133"/>
        <v>0</v>
      </c>
      <c r="BF804">
        <v>316</v>
      </c>
      <c r="BG804">
        <v>316</v>
      </c>
      <c r="BH804" t="s">
        <v>109</v>
      </c>
      <c r="BI804" t="s">
        <v>1678</v>
      </c>
      <c r="BJ804">
        <v>0</v>
      </c>
      <c r="BK804">
        <v>0</v>
      </c>
      <c r="BL804">
        <v>316</v>
      </c>
      <c r="BM804">
        <v>0</v>
      </c>
      <c r="BN804">
        <v>0</v>
      </c>
      <c r="BO804">
        <v>0</v>
      </c>
      <c r="BP804">
        <v>1665</v>
      </c>
      <c r="BQ804">
        <v>1665</v>
      </c>
      <c r="BR804">
        <f t="shared" si="134"/>
        <v>-6</v>
      </c>
      <c r="BS804">
        <f t="shared" si="135"/>
        <v>376</v>
      </c>
    </row>
    <row r="805" spans="1:74" x14ac:dyDescent="0.25">
      <c r="A805" s="5" t="s">
        <v>1946</v>
      </c>
      <c r="B805" s="5" t="s">
        <v>61</v>
      </c>
      <c r="C805" s="5" t="s">
        <v>61</v>
      </c>
      <c r="D805" s="1" t="s">
        <v>173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126</v>
      </c>
      <c r="L805">
        <v>30</v>
      </c>
      <c r="M805">
        <v>0</v>
      </c>
      <c r="N805">
        <v>0</v>
      </c>
      <c r="O805">
        <v>0</v>
      </c>
      <c r="P805">
        <v>0</v>
      </c>
      <c r="Q805">
        <v>6</v>
      </c>
      <c r="R805">
        <v>0</v>
      </c>
      <c r="S805" s="18" t="e">
        <f t="shared" si="126"/>
        <v>#DIV/0!</v>
      </c>
      <c r="T805" s="17" t="e">
        <f t="shared" si="127"/>
        <v>#DIV/0!</v>
      </c>
      <c r="U805" s="17" t="e">
        <f t="shared" si="128"/>
        <v>#DIV/0!</v>
      </c>
      <c r="V805" s="17" t="e">
        <f t="shared" si="129"/>
        <v>#DIV/0!</v>
      </c>
      <c r="W805" s="17" t="e">
        <f t="shared" si="130"/>
        <v>#DIV/0!</v>
      </c>
      <c r="X805" s="17" t="e">
        <f t="shared" si="131"/>
        <v>#DIV/0!</v>
      </c>
      <c r="Y805" s="19" t="e">
        <f t="shared" si="132"/>
        <v>#DIV/0!</v>
      </c>
      <c r="Z805">
        <v>0</v>
      </c>
      <c r="AA805">
        <v>0</v>
      </c>
      <c r="AB805">
        <v>0</v>
      </c>
      <c r="AC805">
        <v>354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126</v>
      </c>
      <c r="AP805">
        <v>6</v>
      </c>
      <c r="AQ805">
        <v>126</v>
      </c>
      <c r="AR805">
        <v>120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30</v>
      </c>
      <c r="BA805">
        <v>30</v>
      </c>
      <c r="BB805">
        <v>0</v>
      </c>
      <c r="BC805">
        <v>0</v>
      </c>
      <c r="BD805">
        <v>0</v>
      </c>
      <c r="BE805">
        <f t="shared" si="133"/>
        <v>792</v>
      </c>
      <c r="BF805">
        <v>510</v>
      </c>
      <c r="BG805">
        <v>510</v>
      </c>
      <c r="BH805" t="s">
        <v>190</v>
      </c>
      <c r="BI805" t="s">
        <v>1998</v>
      </c>
      <c r="BJ805">
        <v>354</v>
      </c>
      <c r="BK805">
        <v>156</v>
      </c>
      <c r="BL805">
        <v>510</v>
      </c>
      <c r="BM805">
        <v>0</v>
      </c>
      <c r="BN805">
        <v>0</v>
      </c>
      <c r="BO805">
        <v>0</v>
      </c>
      <c r="BP805">
        <v>156</v>
      </c>
      <c r="BQ805">
        <v>156</v>
      </c>
      <c r="BR805">
        <f t="shared" si="134"/>
        <v>-6</v>
      </c>
      <c r="BS805">
        <f t="shared" si="135"/>
        <v>6</v>
      </c>
    </row>
    <row r="806" spans="1:74" x14ac:dyDescent="0.25">
      <c r="A806" s="5" t="s">
        <v>1946</v>
      </c>
      <c r="B806" s="5" t="s">
        <v>207</v>
      </c>
      <c r="C806" s="5" t="s">
        <v>207</v>
      </c>
      <c r="D806" s="1" t="s">
        <v>159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419</v>
      </c>
      <c r="K806">
        <v>73</v>
      </c>
      <c r="L806">
        <v>650</v>
      </c>
      <c r="M806">
        <v>0</v>
      </c>
      <c r="N806">
        <v>0</v>
      </c>
      <c r="O806">
        <v>0</v>
      </c>
      <c r="P806">
        <v>0</v>
      </c>
      <c r="Q806">
        <v>6</v>
      </c>
      <c r="R806">
        <v>0</v>
      </c>
      <c r="S806" s="18" t="e">
        <f t="shared" si="126"/>
        <v>#DIV/0!</v>
      </c>
      <c r="T806" s="17" t="e">
        <f t="shared" si="127"/>
        <v>#DIV/0!</v>
      </c>
      <c r="U806" s="17" t="e">
        <f t="shared" si="128"/>
        <v>#DIV/0!</v>
      </c>
      <c r="V806" s="17" t="e">
        <f t="shared" si="129"/>
        <v>#DIV/0!</v>
      </c>
      <c r="W806" s="17" t="e">
        <f t="shared" si="130"/>
        <v>#DIV/0!</v>
      </c>
      <c r="X806" s="17" t="e">
        <f t="shared" si="131"/>
        <v>#DIV/0!</v>
      </c>
      <c r="Y806" s="19" t="e">
        <f t="shared" si="132"/>
        <v>#DIV/0!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419</v>
      </c>
      <c r="AL806">
        <v>419</v>
      </c>
      <c r="AM806">
        <v>0</v>
      </c>
      <c r="AN806">
        <v>0</v>
      </c>
      <c r="AO806">
        <v>73</v>
      </c>
      <c r="AP806">
        <v>5</v>
      </c>
      <c r="AQ806">
        <v>73</v>
      </c>
      <c r="AR806">
        <v>68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650</v>
      </c>
      <c r="BA806">
        <v>650</v>
      </c>
      <c r="BB806">
        <v>0</v>
      </c>
      <c r="BC806">
        <v>0</v>
      </c>
      <c r="BD806">
        <v>0</v>
      </c>
      <c r="BE806">
        <f t="shared" si="133"/>
        <v>2357</v>
      </c>
      <c r="BF806">
        <v>1142</v>
      </c>
      <c r="BG806">
        <v>1142</v>
      </c>
      <c r="BH806" t="s">
        <v>199</v>
      </c>
      <c r="BI806" t="s">
        <v>2083</v>
      </c>
      <c r="BJ806">
        <v>0</v>
      </c>
      <c r="BK806">
        <v>1142</v>
      </c>
      <c r="BL806">
        <v>1142</v>
      </c>
      <c r="BM806">
        <v>0</v>
      </c>
      <c r="BN806">
        <v>0</v>
      </c>
      <c r="BO806">
        <v>0</v>
      </c>
      <c r="BP806">
        <v>1142</v>
      </c>
      <c r="BQ806">
        <v>1142</v>
      </c>
      <c r="BR806">
        <f t="shared" si="134"/>
        <v>-6</v>
      </c>
      <c r="BS806">
        <f t="shared" si="135"/>
        <v>6</v>
      </c>
    </row>
    <row r="807" spans="1:74" x14ac:dyDescent="0.25">
      <c r="A807" s="5" t="s">
        <v>2090</v>
      </c>
      <c r="B807" s="5" t="s">
        <v>61</v>
      </c>
      <c r="C807" s="5" t="s">
        <v>61</v>
      </c>
      <c r="D807" s="1" t="s">
        <v>965</v>
      </c>
      <c r="E807">
        <v>117</v>
      </c>
      <c r="F807">
        <v>0</v>
      </c>
      <c r="G807">
        <v>0</v>
      </c>
      <c r="H807">
        <v>0</v>
      </c>
      <c r="I807">
        <v>2</v>
      </c>
      <c r="J807">
        <v>767</v>
      </c>
      <c r="K807">
        <v>4</v>
      </c>
      <c r="L807">
        <v>86</v>
      </c>
      <c r="M807">
        <v>0</v>
      </c>
      <c r="N807">
        <v>0</v>
      </c>
      <c r="O807">
        <v>0</v>
      </c>
      <c r="P807">
        <v>0</v>
      </c>
      <c r="Q807">
        <v>6</v>
      </c>
      <c r="R807">
        <v>0</v>
      </c>
      <c r="S807" s="18" t="e">
        <f t="shared" si="126"/>
        <v>#DIV/0!</v>
      </c>
      <c r="T807" s="17" t="e">
        <f t="shared" si="127"/>
        <v>#DIV/0!</v>
      </c>
      <c r="U807" s="17" t="e">
        <f t="shared" si="128"/>
        <v>#DIV/0!</v>
      </c>
      <c r="V807" s="17" t="e">
        <f t="shared" si="129"/>
        <v>#DIV/0!</v>
      </c>
      <c r="W807" s="17" t="e">
        <f t="shared" si="130"/>
        <v>#DIV/0!</v>
      </c>
      <c r="X807" s="17" t="e">
        <f t="shared" si="131"/>
        <v>#DIV/0!</v>
      </c>
      <c r="Y807" s="19" t="e">
        <f t="shared" si="132"/>
        <v>#DIV/0!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</v>
      </c>
      <c r="AH807">
        <v>2</v>
      </c>
      <c r="AI807">
        <v>0</v>
      </c>
      <c r="AJ807">
        <v>0</v>
      </c>
      <c r="AK807">
        <v>767</v>
      </c>
      <c r="AL807">
        <v>767</v>
      </c>
      <c r="AM807">
        <v>0</v>
      </c>
      <c r="AN807">
        <v>0</v>
      </c>
      <c r="AO807">
        <v>4</v>
      </c>
      <c r="AP807">
        <v>4</v>
      </c>
      <c r="AQ807">
        <v>4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86</v>
      </c>
      <c r="BA807">
        <v>86</v>
      </c>
      <c r="BB807">
        <v>0</v>
      </c>
      <c r="BC807">
        <v>0</v>
      </c>
      <c r="BD807">
        <v>0</v>
      </c>
      <c r="BE807">
        <f t="shared" si="133"/>
        <v>1722</v>
      </c>
      <c r="BF807">
        <v>976</v>
      </c>
      <c r="BG807">
        <v>976</v>
      </c>
      <c r="BH807" t="s">
        <v>199</v>
      </c>
      <c r="BI807" t="s">
        <v>2172</v>
      </c>
      <c r="BJ807">
        <v>117</v>
      </c>
      <c r="BK807">
        <v>859</v>
      </c>
      <c r="BL807">
        <v>976</v>
      </c>
      <c r="BM807">
        <v>0</v>
      </c>
      <c r="BN807">
        <v>0</v>
      </c>
      <c r="BO807">
        <v>0</v>
      </c>
      <c r="BP807">
        <v>859</v>
      </c>
      <c r="BQ807">
        <v>859</v>
      </c>
      <c r="BR807">
        <f t="shared" si="134"/>
        <v>-6</v>
      </c>
      <c r="BS807">
        <f t="shared" si="135"/>
        <v>6</v>
      </c>
    </row>
    <row r="808" spans="1:74" x14ac:dyDescent="0.25">
      <c r="A808" s="5" t="s">
        <v>2090</v>
      </c>
      <c r="B808" s="5" t="s">
        <v>207</v>
      </c>
      <c r="C808" s="5" t="s">
        <v>61</v>
      </c>
      <c r="D808" s="1" t="s">
        <v>161</v>
      </c>
      <c r="E808">
        <v>0</v>
      </c>
      <c r="F808">
        <v>216</v>
      </c>
      <c r="G808">
        <v>0</v>
      </c>
      <c r="H808">
        <v>0</v>
      </c>
      <c r="I808">
        <v>38</v>
      </c>
      <c r="J808">
        <v>0</v>
      </c>
      <c r="K808">
        <v>47</v>
      </c>
      <c r="L808">
        <v>0</v>
      </c>
      <c r="M808">
        <v>378</v>
      </c>
      <c r="N808">
        <v>0</v>
      </c>
      <c r="O808">
        <v>0</v>
      </c>
      <c r="P808">
        <v>0</v>
      </c>
      <c r="Q808">
        <v>48</v>
      </c>
      <c r="R808">
        <v>42</v>
      </c>
      <c r="S808" s="18">
        <f t="shared" si="126"/>
        <v>9</v>
      </c>
      <c r="T808" s="17">
        <f t="shared" si="127"/>
        <v>42</v>
      </c>
      <c r="U808" s="17">
        <f t="shared" si="128"/>
        <v>0</v>
      </c>
      <c r="V808" s="17">
        <f t="shared" si="129"/>
        <v>0</v>
      </c>
      <c r="W808" s="17">
        <f t="shared" si="130"/>
        <v>0</v>
      </c>
      <c r="X808" s="17">
        <f t="shared" si="131"/>
        <v>6</v>
      </c>
      <c r="Y808" s="19">
        <f t="shared" si="132"/>
        <v>0</v>
      </c>
      <c r="Z808">
        <v>216</v>
      </c>
      <c r="AA808">
        <v>0</v>
      </c>
      <c r="AB808">
        <v>0</v>
      </c>
      <c r="AC808">
        <v>0</v>
      </c>
      <c r="AD808">
        <v>38</v>
      </c>
      <c r="AE808">
        <v>0</v>
      </c>
      <c r="AF808">
        <v>0</v>
      </c>
      <c r="AG808">
        <v>0</v>
      </c>
      <c r="AH808">
        <v>38</v>
      </c>
      <c r="AI808">
        <v>0</v>
      </c>
      <c r="AJ808">
        <v>0</v>
      </c>
      <c r="AK808">
        <v>0</v>
      </c>
      <c r="AL808">
        <v>0</v>
      </c>
      <c r="AM808">
        <v>47</v>
      </c>
      <c r="AN808">
        <v>0</v>
      </c>
      <c r="AO808">
        <v>0</v>
      </c>
      <c r="AP808">
        <v>15</v>
      </c>
      <c r="AQ808">
        <v>47</v>
      </c>
      <c r="AR808">
        <v>32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f t="shared" si="133"/>
        <v>217</v>
      </c>
      <c r="BF808">
        <v>301</v>
      </c>
      <c r="BG808">
        <v>301</v>
      </c>
      <c r="BH808" t="s">
        <v>190</v>
      </c>
      <c r="BI808" t="s">
        <v>2259</v>
      </c>
      <c r="BJ808">
        <v>0</v>
      </c>
      <c r="BK808">
        <v>85</v>
      </c>
      <c r="BL808">
        <v>301</v>
      </c>
      <c r="BM808">
        <v>463</v>
      </c>
      <c r="BN808">
        <v>0</v>
      </c>
      <c r="BO808">
        <v>0</v>
      </c>
      <c r="BP808">
        <v>0</v>
      </c>
      <c r="BQ808">
        <v>463</v>
      </c>
      <c r="BR808">
        <f t="shared" si="134"/>
        <v>-6</v>
      </c>
      <c r="BS808">
        <f t="shared" si="135"/>
        <v>90</v>
      </c>
    </row>
    <row r="809" spans="1:74" x14ac:dyDescent="0.25">
      <c r="A809" s="5" t="s">
        <v>2090</v>
      </c>
      <c r="B809" s="5" t="s">
        <v>207</v>
      </c>
      <c r="C809" s="5" t="s">
        <v>61</v>
      </c>
      <c r="D809" s="1" t="s">
        <v>171</v>
      </c>
      <c r="E809">
        <v>0</v>
      </c>
      <c r="F809">
        <v>93</v>
      </c>
      <c r="G809">
        <v>0</v>
      </c>
      <c r="H809">
        <v>0</v>
      </c>
      <c r="I809">
        <v>0</v>
      </c>
      <c r="J809">
        <v>35</v>
      </c>
      <c r="K809">
        <v>143</v>
      </c>
      <c r="L809">
        <v>52</v>
      </c>
      <c r="M809">
        <v>0</v>
      </c>
      <c r="N809">
        <v>0</v>
      </c>
      <c r="O809">
        <v>0</v>
      </c>
      <c r="P809">
        <v>252</v>
      </c>
      <c r="Q809">
        <v>34</v>
      </c>
      <c r="R809">
        <v>28</v>
      </c>
      <c r="S809" s="18">
        <f t="shared" si="126"/>
        <v>9</v>
      </c>
      <c r="T809" s="17">
        <f t="shared" si="127"/>
        <v>0</v>
      </c>
      <c r="U809" s="17">
        <f t="shared" si="128"/>
        <v>0</v>
      </c>
      <c r="V809" s="17">
        <f t="shared" si="129"/>
        <v>0</v>
      </c>
      <c r="W809" s="17">
        <f t="shared" si="130"/>
        <v>28</v>
      </c>
      <c r="X809" s="17">
        <f t="shared" si="131"/>
        <v>6</v>
      </c>
      <c r="Y809" s="19">
        <f t="shared" si="132"/>
        <v>0</v>
      </c>
      <c r="Z809">
        <v>93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35</v>
      </c>
      <c r="AL809">
        <v>35</v>
      </c>
      <c r="AM809">
        <v>0</v>
      </c>
      <c r="AN809">
        <v>0</v>
      </c>
      <c r="AO809">
        <v>143</v>
      </c>
      <c r="AP809">
        <v>67</v>
      </c>
      <c r="AQ809">
        <v>143</v>
      </c>
      <c r="AR809">
        <v>76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52</v>
      </c>
      <c r="BA809">
        <v>52</v>
      </c>
      <c r="BB809">
        <v>0</v>
      </c>
      <c r="BC809">
        <v>0</v>
      </c>
      <c r="BD809">
        <v>0</v>
      </c>
      <c r="BE809">
        <f t="shared" si="133"/>
        <v>603</v>
      </c>
      <c r="BF809">
        <v>323</v>
      </c>
      <c r="BG809">
        <v>323</v>
      </c>
      <c r="BH809" t="s">
        <v>190</v>
      </c>
      <c r="BI809" t="s">
        <v>2264</v>
      </c>
      <c r="BJ809">
        <v>0</v>
      </c>
      <c r="BK809">
        <v>230</v>
      </c>
      <c r="BL809">
        <v>323</v>
      </c>
      <c r="BM809">
        <v>0</v>
      </c>
      <c r="BN809">
        <v>0</v>
      </c>
      <c r="BO809">
        <v>0</v>
      </c>
      <c r="BP809">
        <v>482</v>
      </c>
      <c r="BQ809">
        <v>482</v>
      </c>
      <c r="BR809">
        <f t="shared" si="134"/>
        <v>-6</v>
      </c>
      <c r="BS809">
        <f t="shared" si="135"/>
        <v>62</v>
      </c>
    </row>
    <row r="810" spans="1:74" x14ac:dyDescent="0.25">
      <c r="A810" s="5" t="s">
        <v>2294</v>
      </c>
      <c r="B810" s="5" t="s">
        <v>207</v>
      </c>
      <c r="C810" s="5" t="s">
        <v>61</v>
      </c>
      <c r="D810" s="1" t="s">
        <v>119</v>
      </c>
      <c r="E810">
        <v>0</v>
      </c>
      <c r="F810">
        <v>0</v>
      </c>
      <c r="G810">
        <v>0</v>
      </c>
      <c r="H810">
        <v>0</v>
      </c>
      <c r="I810">
        <v>32</v>
      </c>
      <c r="J810">
        <v>0</v>
      </c>
      <c r="K810">
        <v>37</v>
      </c>
      <c r="L810">
        <v>90</v>
      </c>
      <c r="M810">
        <v>0</v>
      </c>
      <c r="N810">
        <v>0</v>
      </c>
      <c r="O810">
        <v>0</v>
      </c>
      <c r="P810">
        <v>0</v>
      </c>
      <c r="Q810">
        <v>6</v>
      </c>
      <c r="R810">
        <v>0</v>
      </c>
      <c r="S810" s="18" t="e">
        <f t="shared" si="126"/>
        <v>#DIV/0!</v>
      </c>
      <c r="T810" s="17" t="e">
        <f t="shared" si="127"/>
        <v>#DIV/0!</v>
      </c>
      <c r="U810" s="17" t="e">
        <f t="shared" si="128"/>
        <v>#DIV/0!</v>
      </c>
      <c r="V810" s="17" t="e">
        <f t="shared" si="129"/>
        <v>#DIV/0!</v>
      </c>
      <c r="W810" s="17" t="e">
        <f t="shared" si="130"/>
        <v>#DIV/0!</v>
      </c>
      <c r="X810" s="17" t="e">
        <f t="shared" si="131"/>
        <v>#DIV/0!</v>
      </c>
      <c r="Y810" s="19" t="e">
        <f t="shared" si="132"/>
        <v>#DIV/0!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32</v>
      </c>
      <c r="AH810">
        <v>32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37</v>
      </c>
      <c r="AP810">
        <v>37</v>
      </c>
      <c r="AQ810">
        <v>37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90</v>
      </c>
      <c r="BA810">
        <v>90</v>
      </c>
      <c r="BB810">
        <v>0</v>
      </c>
      <c r="BC810">
        <v>0</v>
      </c>
      <c r="BD810">
        <v>0</v>
      </c>
      <c r="BE810">
        <f t="shared" si="133"/>
        <v>355</v>
      </c>
      <c r="BF810">
        <v>159</v>
      </c>
      <c r="BG810">
        <v>159</v>
      </c>
      <c r="BH810" t="s">
        <v>190</v>
      </c>
      <c r="BI810" t="s">
        <v>2349</v>
      </c>
      <c r="BJ810">
        <v>0</v>
      </c>
      <c r="BK810">
        <v>159</v>
      </c>
      <c r="BL810">
        <v>159</v>
      </c>
      <c r="BM810">
        <v>0</v>
      </c>
      <c r="BN810">
        <v>0</v>
      </c>
      <c r="BO810">
        <v>0</v>
      </c>
      <c r="BP810">
        <v>159</v>
      </c>
      <c r="BQ810">
        <v>159</v>
      </c>
      <c r="BR810">
        <f t="shared" si="134"/>
        <v>-6</v>
      </c>
      <c r="BS810">
        <f t="shared" si="135"/>
        <v>6</v>
      </c>
    </row>
    <row r="811" spans="1:74" x14ac:dyDescent="0.25">
      <c r="A811" s="5" t="s">
        <v>207</v>
      </c>
      <c r="B811" s="5" t="s">
        <v>627</v>
      </c>
      <c r="C811" s="5" t="s">
        <v>61</v>
      </c>
      <c r="D811" s="1" t="s">
        <v>94</v>
      </c>
      <c r="E811">
        <v>0</v>
      </c>
      <c r="F811">
        <v>260</v>
      </c>
      <c r="G811">
        <v>0</v>
      </c>
      <c r="H811">
        <v>0</v>
      </c>
      <c r="I811">
        <v>100</v>
      </c>
      <c r="J811">
        <v>4637</v>
      </c>
      <c r="K811">
        <v>445</v>
      </c>
      <c r="L811">
        <v>1130</v>
      </c>
      <c r="M811">
        <v>0</v>
      </c>
      <c r="N811">
        <v>0</v>
      </c>
      <c r="O811">
        <v>0</v>
      </c>
      <c r="P811">
        <v>2205</v>
      </c>
      <c r="Q811">
        <v>252</v>
      </c>
      <c r="R811">
        <v>245</v>
      </c>
      <c r="S811" s="18">
        <f t="shared" si="126"/>
        <v>9</v>
      </c>
      <c r="T811" s="17">
        <f t="shared" si="127"/>
        <v>0</v>
      </c>
      <c r="U811" s="17">
        <f t="shared" si="128"/>
        <v>0</v>
      </c>
      <c r="V811" s="17">
        <f t="shared" si="129"/>
        <v>0</v>
      </c>
      <c r="W811" s="17">
        <f t="shared" si="130"/>
        <v>245</v>
      </c>
      <c r="X811" s="17">
        <f t="shared" si="131"/>
        <v>7</v>
      </c>
      <c r="Y811" s="19">
        <f t="shared" si="132"/>
        <v>0</v>
      </c>
      <c r="Z811">
        <v>260</v>
      </c>
      <c r="AA811">
        <v>0</v>
      </c>
      <c r="AB811">
        <v>0</v>
      </c>
      <c r="AC811">
        <v>270</v>
      </c>
      <c r="AD811">
        <v>0</v>
      </c>
      <c r="AE811">
        <v>0</v>
      </c>
      <c r="AF811">
        <v>0</v>
      </c>
      <c r="AG811">
        <v>100</v>
      </c>
      <c r="AH811">
        <v>100</v>
      </c>
      <c r="AI811">
        <v>0</v>
      </c>
      <c r="AJ811">
        <v>4637</v>
      </c>
      <c r="AK811">
        <v>0</v>
      </c>
      <c r="AL811">
        <v>4637</v>
      </c>
      <c r="AM811">
        <v>0</v>
      </c>
      <c r="AN811">
        <v>0</v>
      </c>
      <c r="AO811">
        <v>445</v>
      </c>
      <c r="AP811">
        <v>20</v>
      </c>
      <c r="AQ811">
        <v>445</v>
      </c>
      <c r="AR811">
        <v>425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1130</v>
      </c>
      <c r="AZ811">
        <v>0</v>
      </c>
      <c r="BA811">
        <v>1130</v>
      </c>
      <c r="BB811">
        <v>0</v>
      </c>
      <c r="BC811">
        <v>0</v>
      </c>
      <c r="BD811">
        <v>0</v>
      </c>
      <c r="BE811">
        <f t="shared" si="133"/>
        <v>13339</v>
      </c>
      <c r="BF811">
        <v>6842</v>
      </c>
      <c r="BG811">
        <v>6842</v>
      </c>
      <c r="BH811" t="s">
        <v>199</v>
      </c>
      <c r="BI811" t="s">
        <v>641</v>
      </c>
      <c r="BJ811">
        <v>270</v>
      </c>
      <c r="BK811">
        <v>6312</v>
      </c>
      <c r="BL811">
        <v>6842</v>
      </c>
      <c r="BM811">
        <v>0</v>
      </c>
      <c r="BN811">
        <v>5767</v>
      </c>
      <c r="BO811">
        <v>0</v>
      </c>
      <c r="BP811">
        <v>2750</v>
      </c>
      <c r="BQ811">
        <v>8517</v>
      </c>
      <c r="BR811">
        <f t="shared" si="134"/>
        <v>-7</v>
      </c>
      <c r="BS811">
        <f t="shared" si="135"/>
        <v>497</v>
      </c>
    </row>
    <row r="812" spans="1:74" x14ac:dyDescent="0.25">
      <c r="A812" s="5" t="s">
        <v>875</v>
      </c>
      <c r="B812" s="5" t="s">
        <v>61</v>
      </c>
      <c r="C812" s="5" t="s">
        <v>207</v>
      </c>
      <c r="D812" s="1" t="s">
        <v>949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275</v>
      </c>
      <c r="K812">
        <v>16</v>
      </c>
      <c r="L812">
        <v>59</v>
      </c>
      <c r="M812">
        <v>0</v>
      </c>
      <c r="N812">
        <v>0</v>
      </c>
      <c r="O812">
        <v>0</v>
      </c>
      <c r="P812">
        <v>0</v>
      </c>
      <c r="Q812">
        <v>7</v>
      </c>
      <c r="R812">
        <v>0</v>
      </c>
      <c r="S812" s="18" t="e">
        <f t="shared" si="126"/>
        <v>#DIV/0!</v>
      </c>
      <c r="T812" s="17" t="e">
        <f t="shared" si="127"/>
        <v>#DIV/0!</v>
      </c>
      <c r="U812" s="17" t="e">
        <f t="shared" si="128"/>
        <v>#DIV/0!</v>
      </c>
      <c r="V812" s="17" t="e">
        <f t="shared" si="129"/>
        <v>#DIV/0!</v>
      </c>
      <c r="W812" s="17" t="e">
        <f t="shared" si="130"/>
        <v>#DIV/0!</v>
      </c>
      <c r="X812" s="17" t="e">
        <f t="shared" si="131"/>
        <v>#DIV/0!</v>
      </c>
      <c r="Y812" s="19" t="e">
        <f t="shared" si="132"/>
        <v>#DIV/0!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275</v>
      </c>
      <c r="AL812">
        <v>275</v>
      </c>
      <c r="AM812">
        <v>0</v>
      </c>
      <c r="AN812">
        <v>0</v>
      </c>
      <c r="AO812">
        <v>16</v>
      </c>
      <c r="AP812">
        <v>16</v>
      </c>
      <c r="AQ812">
        <v>16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59</v>
      </c>
      <c r="BA812">
        <v>59</v>
      </c>
      <c r="BB812">
        <v>0</v>
      </c>
      <c r="BC812">
        <v>0</v>
      </c>
      <c r="BD812">
        <v>0</v>
      </c>
      <c r="BE812">
        <f t="shared" si="133"/>
        <v>716</v>
      </c>
      <c r="BF812">
        <v>350</v>
      </c>
      <c r="BG812">
        <v>350</v>
      </c>
      <c r="BH812" t="s">
        <v>199</v>
      </c>
      <c r="BI812" t="s">
        <v>950</v>
      </c>
      <c r="BJ812">
        <v>0</v>
      </c>
      <c r="BK812">
        <v>350</v>
      </c>
      <c r="BL812">
        <v>350</v>
      </c>
      <c r="BM812">
        <v>0</v>
      </c>
      <c r="BN812">
        <v>0</v>
      </c>
      <c r="BO812">
        <v>0</v>
      </c>
      <c r="BP812">
        <v>350</v>
      </c>
      <c r="BQ812">
        <v>350</v>
      </c>
      <c r="BR812">
        <f t="shared" si="134"/>
        <v>-7</v>
      </c>
      <c r="BS812">
        <f t="shared" si="135"/>
        <v>7</v>
      </c>
    </row>
    <row r="813" spans="1:74" x14ac:dyDescent="0.25">
      <c r="A813" s="5" t="s">
        <v>1135</v>
      </c>
      <c r="B813" s="5" t="s">
        <v>61</v>
      </c>
      <c r="C813" s="5" t="s">
        <v>61</v>
      </c>
      <c r="D813" s="1" t="s">
        <v>167</v>
      </c>
      <c r="E813">
        <v>0</v>
      </c>
      <c r="F813">
        <v>0</v>
      </c>
      <c r="G813">
        <v>0</v>
      </c>
      <c r="H813">
        <v>0</v>
      </c>
      <c r="I813">
        <v>20</v>
      </c>
      <c r="J813">
        <v>1695</v>
      </c>
      <c r="K813">
        <v>257</v>
      </c>
      <c r="L813">
        <v>35</v>
      </c>
      <c r="M813">
        <v>0</v>
      </c>
      <c r="N813">
        <v>0</v>
      </c>
      <c r="O813">
        <v>0</v>
      </c>
      <c r="P813">
        <v>0</v>
      </c>
      <c r="Q813">
        <v>7</v>
      </c>
      <c r="R813">
        <v>0</v>
      </c>
      <c r="S813" s="18" t="e">
        <f t="shared" si="126"/>
        <v>#DIV/0!</v>
      </c>
      <c r="T813" s="17" t="e">
        <f t="shared" si="127"/>
        <v>#DIV/0!</v>
      </c>
      <c r="U813" s="17" t="e">
        <f t="shared" si="128"/>
        <v>#DIV/0!</v>
      </c>
      <c r="V813" s="17" t="e">
        <f t="shared" si="129"/>
        <v>#DIV/0!</v>
      </c>
      <c r="W813" s="17" t="e">
        <f t="shared" si="130"/>
        <v>#DIV/0!</v>
      </c>
      <c r="X813" s="17" t="e">
        <f t="shared" si="131"/>
        <v>#DIV/0!</v>
      </c>
      <c r="Y813" s="19" t="e">
        <f t="shared" si="132"/>
        <v>#DIV/0!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20</v>
      </c>
      <c r="AH813">
        <v>20</v>
      </c>
      <c r="AI813">
        <v>0</v>
      </c>
      <c r="AJ813">
        <v>0</v>
      </c>
      <c r="AK813">
        <v>1695</v>
      </c>
      <c r="AL813">
        <v>1695</v>
      </c>
      <c r="AM813">
        <v>0</v>
      </c>
      <c r="AN813">
        <v>0</v>
      </c>
      <c r="AO813">
        <v>257</v>
      </c>
      <c r="AP813">
        <v>172</v>
      </c>
      <c r="AQ813">
        <v>257</v>
      </c>
      <c r="AR813">
        <v>85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35</v>
      </c>
      <c r="BA813">
        <v>35</v>
      </c>
      <c r="BB813">
        <v>0</v>
      </c>
      <c r="BC813">
        <v>0</v>
      </c>
      <c r="BD813">
        <v>0</v>
      </c>
      <c r="BE813">
        <f t="shared" si="133"/>
        <v>4271</v>
      </c>
      <c r="BF813">
        <v>2007</v>
      </c>
      <c r="BG813">
        <v>2007</v>
      </c>
      <c r="BH813" t="s">
        <v>190</v>
      </c>
      <c r="BI813" t="s">
        <v>1182</v>
      </c>
      <c r="BJ813">
        <v>0</v>
      </c>
      <c r="BK813">
        <v>2007</v>
      </c>
      <c r="BL813">
        <v>2007</v>
      </c>
      <c r="BM813">
        <v>0</v>
      </c>
      <c r="BN813">
        <v>0</v>
      </c>
      <c r="BO813">
        <v>0</v>
      </c>
      <c r="BP813">
        <v>2007</v>
      </c>
      <c r="BQ813">
        <v>2007</v>
      </c>
      <c r="BR813">
        <f t="shared" si="134"/>
        <v>-7</v>
      </c>
      <c r="BS813">
        <f t="shared" si="135"/>
        <v>7</v>
      </c>
    </row>
    <row r="814" spans="1:74" x14ac:dyDescent="0.25">
      <c r="A814" s="5" t="s">
        <v>1661</v>
      </c>
      <c r="B814" s="5" t="s">
        <v>207</v>
      </c>
      <c r="C814" s="5" t="s">
        <v>207</v>
      </c>
      <c r="D814" s="1" t="s">
        <v>77</v>
      </c>
      <c r="E814">
        <v>0</v>
      </c>
      <c r="F814">
        <v>246</v>
      </c>
      <c r="G814">
        <v>0</v>
      </c>
      <c r="H814">
        <v>0</v>
      </c>
      <c r="I814">
        <v>1175</v>
      </c>
      <c r="J814">
        <v>0</v>
      </c>
      <c r="K814">
        <v>145</v>
      </c>
      <c r="L814">
        <v>30</v>
      </c>
      <c r="M814">
        <v>0</v>
      </c>
      <c r="N814">
        <v>0</v>
      </c>
      <c r="O814">
        <v>0</v>
      </c>
      <c r="P814">
        <v>1107</v>
      </c>
      <c r="Q814">
        <v>123</v>
      </c>
      <c r="R814">
        <v>123</v>
      </c>
      <c r="S814" s="18">
        <f t="shared" si="126"/>
        <v>9</v>
      </c>
      <c r="T814" s="17">
        <f t="shared" si="127"/>
        <v>0</v>
      </c>
      <c r="U814" s="17">
        <f t="shared" si="128"/>
        <v>0</v>
      </c>
      <c r="V814" s="17">
        <f t="shared" si="129"/>
        <v>0</v>
      </c>
      <c r="W814" s="17">
        <f t="shared" si="130"/>
        <v>123</v>
      </c>
      <c r="X814" s="17">
        <f t="shared" si="131"/>
        <v>0</v>
      </c>
      <c r="Y814" s="19" t="e">
        <f t="shared" si="132"/>
        <v>#DIV/0!</v>
      </c>
      <c r="Z814">
        <v>246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1175</v>
      </c>
      <c r="AH814">
        <v>1175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145</v>
      </c>
      <c r="AP814">
        <v>42</v>
      </c>
      <c r="AQ814">
        <v>145</v>
      </c>
      <c r="AR814">
        <v>103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30</v>
      </c>
      <c r="BA814">
        <v>30</v>
      </c>
      <c r="BB814">
        <v>0</v>
      </c>
      <c r="BC814">
        <v>0</v>
      </c>
      <c r="BD814">
        <v>0</v>
      </c>
      <c r="BE814">
        <f t="shared" si="133"/>
        <v>2845</v>
      </c>
      <c r="BF814">
        <v>1596</v>
      </c>
      <c r="BG814">
        <v>1596</v>
      </c>
      <c r="BH814" t="s">
        <v>63</v>
      </c>
      <c r="BI814" t="s">
        <v>1801</v>
      </c>
      <c r="BJ814">
        <v>0</v>
      </c>
      <c r="BK814">
        <v>1350</v>
      </c>
      <c r="BL814">
        <v>1596</v>
      </c>
      <c r="BM814">
        <v>0</v>
      </c>
      <c r="BN814">
        <v>0</v>
      </c>
      <c r="BO814">
        <v>0</v>
      </c>
      <c r="BP814">
        <v>2457</v>
      </c>
      <c r="BQ814">
        <v>2457</v>
      </c>
      <c r="BR814">
        <f t="shared" si="134"/>
        <v>0</v>
      </c>
      <c r="BS814">
        <f t="shared" si="135"/>
        <v>246</v>
      </c>
      <c r="BU814">
        <f>R814*9</f>
        <v>1107</v>
      </c>
      <c r="BV814">
        <f>IF(BU814&gt;BG814, 1, 0)</f>
        <v>0</v>
      </c>
    </row>
    <row r="815" spans="1:74" x14ac:dyDescent="0.25">
      <c r="A815" s="5" t="s">
        <v>1451</v>
      </c>
      <c r="B815" s="5" t="s">
        <v>61</v>
      </c>
      <c r="C815" s="5" t="s">
        <v>627</v>
      </c>
      <c r="D815" s="1" t="s">
        <v>98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300</v>
      </c>
      <c r="K815">
        <v>180</v>
      </c>
      <c r="L815">
        <v>200</v>
      </c>
      <c r="M815">
        <v>0</v>
      </c>
      <c r="N815">
        <v>0</v>
      </c>
      <c r="O815">
        <v>0</v>
      </c>
      <c r="P815">
        <v>0</v>
      </c>
      <c r="Q815">
        <v>7</v>
      </c>
      <c r="R815">
        <v>0</v>
      </c>
      <c r="S815" s="18" t="e">
        <f t="shared" si="126"/>
        <v>#DIV/0!</v>
      </c>
      <c r="T815" s="17" t="e">
        <f t="shared" si="127"/>
        <v>#DIV/0!</v>
      </c>
      <c r="U815" s="17" t="e">
        <f t="shared" si="128"/>
        <v>#DIV/0!</v>
      </c>
      <c r="V815" s="17" t="e">
        <f t="shared" si="129"/>
        <v>#DIV/0!</v>
      </c>
      <c r="W815" s="17" t="e">
        <f t="shared" si="130"/>
        <v>#DIV/0!</v>
      </c>
      <c r="X815" s="17" t="e">
        <f t="shared" si="131"/>
        <v>#DIV/0!</v>
      </c>
      <c r="Y815" s="19" t="e">
        <f t="shared" si="132"/>
        <v>#DIV/0!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300</v>
      </c>
      <c r="AL815">
        <v>300</v>
      </c>
      <c r="AM815">
        <v>0</v>
      </c>
      <c r="AN815">
        <v>0</v>
      </c>
      <c r="AO815">
        <v>180</v>
      </c>
      <c r="AP815">
        <v>150</v>
      </c>
      <c r="AQ815">
        <v>180</v>
      </c>
      <c r="AR815">
        <v>30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200</v>
      </c>
      <c r="BA815">
        <v>200</v>
      </c>
      <c r="BB815">
        <v>0</v>
      </c>
      <c r="BC815">
        <v>0</v>
      </c>
      <c r="BD815">
        <v>0</v>
      </c>
      <c r="BE815">
        <f t="shared" si="133"/>
        <v>1540</v>
      </c>
      <c r="BF815">
        <v>680</v>
      </c>
      <c r="BG815">
        <v>680</v>
      </c>
      <c r="BH815" t="s">
        <v>199</v>
      </c>
      <c r="BI815" t="s">
        <v>1525</v>
      </c>
      <c r="BJ815">
        <v>0</v>
      </c>
      <c r="BK815">
        <v>680</v>
      </c>
      <c r="BL815">
        <v>680</v>
      </c>
      <c r="BM815">
        <v>0</v>
      </c>
      <c r="BN815">
        <v>0</v>
      </c>
      <c r="BO815">
        <v>0</v>
      </c>
      <c r="BP815">
        <v>680</v>
      </c>
      <c r="BQ815">
        <v>680</v>
      </c>
      <c r="BR815">
        <f t="shared" si="134"/>
        <v>-7</v>
      </c>
      <c r="BS815">
        <f t="shared" si="135"/>
        <v>7</v>
      </c>
    </row>
    <row r="816" spans="1:74" x14ac:dyDescent="0.25">
      <c r="A816" s="5" t="s">
        <v>1451</v>
      </c>
      <c r="B816" s="5" t="s">
        <v>207</v>
      </c>
      <c r="C816" s="5" t="s">
        <v>61</v>
      </c>
      <c r="D816" s="1" t="s">
        <v>129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70</v>
      </c>
      <c r="K816">
        <v>70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7</v>
      </c>
      <c r="R816">
        <v>0</v>
      </c>
      <c r="S816" s="18" t="e">
        <f t="shared" si="126"/>
        <v>#DIV/0!</v>
      </c>
      <c r="T816" s="17" t="e">
        <f t="shared" si="127"/>
        <v>#DIV/0!</v>
      </c>
      <c r="U816" s="17" t="e">
        <f t="shared" si="128"/>
        <v>#DIV/0!</v>
      </c>
      <c r="V816" s="17" t="e">
        <f t="shared" si="129"/>
        <v>#DIV/0!</v>
      </c>
      <c r="W816" s="17" t="e">
        <f t="shared" si="130"/>
        <v>#DIV/0!</v>
      </c>
      <c r="X816" s="17" t="e">
        <f t="shared" si="131"/>
        <v>#DIV/0!</v>
      </c>
      <c r="Y816" s="19" t="e">
        <f t="shared" si="132"/>
        <v>#DIV/0!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70</v>
      </c>
      <c r="AJ816">
        <v>0</v>
      </c>
      <c r="AK816">
        <v>0</v>
      </c>
      <c r="AL816">
        <v>70</v>
      </c>
      <c r="AM816">
        <v>70</v>
      </c>
      <c r="AN816">
        <v>0</v>
      </c>
      <c r="AO816">
        <v>0</v>
      </c>
      <c r="AP816">
        <v>0</v>
      </c>
      <c r="AQ816">
        <v>70</v>
      </c>
      <c r="AR816">
        <v>70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f t="shared" si="133"/>
        <v>350</v>
      </c>
      <c r="BF816">
        <v>140</v>
      </c>
      <c r="BG816">
        <v>140</v>
      </c>
      <c r="BH816" t="s">
        <v>199</v>
      </c>
      <c r="BI816" t="s">
        <v>1559</v>
      </c>
      <c r="BJ816">
        <v>0</v>
      </c>
      <c r="BK816">
        <v>140</v>
      </c>
      <c r="BL816">
        <v>140</v>
      </c>
      <c r="BM816">
        <v>140</v>
      </c>
      <c r="BN816">
        <v>0</v>
      </c>
      <c r="BO816">
        <v>0</v>
      </c>
      <c r="BP816">
        <v>0</v>
      </c>
      <c r="BQ816">
        <v>140</v>
      </c>
      <c r="BR816">
        <f t="shared" si="134"/>
        <v>-7</v>
      </c>
      <c r="BS816">
        <f t="shared" si="135"/>
        <v>7</v>
      </c>
    </row>
    <row r="817" spans="1:74" x14ac:dyDescent="0.25">
      <c r="A817" s="5" t="s">
        <v>1451</v>
      </c>
      <c r="B817" s="5" t="s">
        <v>207</v>
      </c>
      <c r="C817" s="5" t="s">
        <v>207</v>
      </c>
      <c r="D817" s="1" t="s">
        <v>161</v>
      </c>
      <c r="E817">
        <v>735</v>
      </c>
      <c r="F817">
        <v>0</v>
      </c>
      <c r="G817">
        <v>0</v>
      </c>
      <c r="H817">
        <v>0</v>
      </c>
      <c r="I817">
        <v>0</v>
      </c>
      <c r="J817">
        <v>795</v>
      </c>
      <c r="K817">
        <v>0</v>
      </c>
      <c r="L817">
        <v>54</v>
      </c>
      <c r="M817">
        <v>0</v>
      </c>
      <c r="N817">
        <v>0</v>
      </c>
      <c r="O817">
        <v>0</v>
      </c>
      <c r="P817">
        <v>0</v>
      </c>
      <c r="Q817">
        <v>7</v>
      </c>
      <c r="R817">
        <v>0</v>
      </c>
      <c r="S817" s="18" t="e">
        <f t="shared" si="126"/>
        <v>#DIV/0!</v>
      </c>
      <c r="T817" s="17" t="e">
        <f t="shared" si="127"/>
        <v>#DIV/0!</v>
      </c>
      <c r="U817" s="17" t="e">
        <f t="shared" si="128"/>
        <v>#DIV/0!</v>
      </c>
      <c r="V817" s="17" t="e">
        <f t="shared" si="129"/>
        <v>#DIV/0!</v>
      </c>
      <c r="W817" s="17" t="e">
        <f t="shared" si="130"/>
        <v>#DIV/0!</v>
      </c>
      <c r="X817" s="17" t="e">
        <f t="shared" si="131"/>
        <v>#DIV/0!</v>
      </c>
      <c r="Y817" s="19" t="e">
        <f t="shared" si="132"/>
        <v>#DIV/0!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795</v>
      </c>
      <c r="AL817">
        <v>795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54</v>
      </c>
      <c r="BA817">
        <v>54</v>
      </c>
      <c r="BB817">
        <v>0</v>
      </c>
      <c r="BC817">
        <v>0</v>
      </c>
      <c r="BD817">
        <v>0</v>
      </c>
      <c r="BE817">
        <f t="shared" si="133"/>
        <v>1698</v>
      </c>
      <c r="BF817">
        <v>1584</v>
      </c>
      <c r="BG817">
        <v>1584</v>
      </c>
      <c r="BH817" t="s">
        <v>199</v>
      </c>
      <c r="BI817" t="s">
        <v>1597</v>
      </c>
      <c r="BJ817">
        <v>735</v>
      </c>
      <c r="BK817">
        <v>849</v>
      </c>
      <c r="BL817">
        <v>1584</v>
      </c>
      <c r="BM817">
        <v>0</v>
      </c>
      <c r="BN817">
        <v>0</v>
      </c>
      <c r="BO817">
        <v>0</v>
      </c>
      <c r="BP817">
        <v>849</v>
      </c>
      <c r="BQ817">
        <v>849</v>
      </c>
      <c r="BR817">
        <f t="shared" si="134"/>
        <v>-7</v>
      </c>
      <c r="BS817">
        <f t="shared" si="135"/>
        <v>7</v>
      </c>
    </row>
    <row r="818" spans="1:74" x14ac:dyDescent="0.25">
      <c r="A818" s="5" t="s">
        <v>2294</v>
      </c>
      <c r="B818" s="5" t="s">
        <v>207</v>
      </c>
      <c r="C818" s="5" t="s">
        <v>61</v>
      </c>
      <c r="D818" s="1" t="s">
        <v>96</v>
      </c>
      <c r="E818">
        <v>0</v>
      </c>
      <c r="F818">
        <v>155</v>
      </c>
      <c r="G818">
        <v>0</v>
      </c>
      <c r="H818">
        <v>0</v>
      </c>
      <c r="I818">
        <v>2644</v>
      </c>
      <c r="J818">
        <v>3263</v>
      </c>
      <c r="K818">
        <v>144</v>
      </c>
      <c r="L818">
        <v>0</v>
      </c>
      <c r="M818">
        <v>0</v>
      </c>
      <c r="N818">
        <v>0</v>
      </c>
      <c r="O818">
        <v>0</v>
      </c>
      <c r="P818">
        <v>1098</v>
      </c>
      <c r="Q818">
        <v>344</v>
      </c>
      <c r="R818">
        <v>122</v>
      </c>
      <c r="S818" s="18">
        <f t="shared" si="126"/>
        <v>9</v>
      </c>
      <c r="T818" s="17">
        <f t="shared" si="127"/>
        <v>0</v>
      </c>
      <c r="U818" s="17">
        <f t="shared" si="128"/>
        <v>0</v>
      </c>
      <c r="V818" s="17">
        <f t="shared" si="129"/>
        <v>0</v>
      </c>
      <c r="W818" s="17">
        <f t="shared" si="130"/>
        <v>122</v>
      </c>
      <c r="X818" s="17">
        <f t="shared" si="131"/>
        <v>222</v>
      </c>
      <c r="Y818" s="19">
        <f t="shared" si="132"/>
        <v>0</v>
      </c>
      <c r="Z818">
        <v>122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2644</v>
      </c>
      <c r="AH818">
        <v>2644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144</v>
      </c>
      <c r="AP818">
        <v>124</v>
      </c>
      <c r="AQ818">
        <v>144</v>
      </c>
      <c r="AR818">
        <v>20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f t="shared" si="133"/>
        <v>5720</v>
      </c>
      <c r="BF818">
        <v>2910</v>
      </c>
      <c r="BG818">
        <v>2910</v>
      </c>
      <c r="BH818" t="s">
        <v>63</v>
      </c>
      <c r="BI818" t="s">
        <v>2338</v>
      </c>
      <c r="BJ818">
        <v>0</v>
      </c>
      <c r="BK818">
        <v>2788</v>
      </c>
      <c r="BL818">
        <v>2910</v>
      </c>
      <c r="BM818">
        <v>0</v>
      </c>
      <c r="BN818">
        <v>0</v>
      </c>
      <c r="BO818">
        <v>0</v>
      </c>
      <c r="BP818">
        <v>3886</v>
      </c>
      <c r="BQ818">
        <v>3886</v>
      </c>
      <c r="BR818">
        <f t="shared" si="134"/>
        <v>-222</v>
      </c>
      <c r="BS818">
        <f t="shared" si="135"/>
        <v>466</v>
      </c>
      <c r="BU818">
        <f>R818*9</f>
        <v>1098</v>
      </c>
      <c r="BV818">
        <f>IF(BU818&gt;BG818, 1, 0)</f>
        <v>0</v>
      </c>
    </row>
    <row r="819" spans="1:74" x14ac:dyDescent="0.25">
      <c r="A819" s="5" t="s">
        <v>1946</v>
      </c>
      <c r="B819" s="5" t="s">
        <v>207</v>
      </c>
      <c r="C819" s="5" t="s">
        <v>61</v>
      </c>
      <c r="D819" s="1" t="s">
        <v>121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180</v>
      </c>
      <c r="K819">
        <v>270</v>
      </c>
      <c r="L819">
        <v>150</v>
      </c>
      <c r="M819">
        <v>0</v>
      </c>
      <c r="N819">
        <v>0</v>
      </c>
      <c r="O819">
        <v>0</v>
      </c>
      <c r="P819">
        <v>0</v>
      </c>
      <c r="Q819">
        <v>7</v>
      </c>
      <c r="R819">
        <v>0</v>
      </c>
      <c r="S819" s="18" t="e">
        <f t="shared" si="126"/>
        <v>#DIV/0!</v>
      </c>
      <c r="T819" s="17" t="e">
        <f t="shared" si="127"/>
        <v>#DIV/0!</v>
      </c>
      <c r="U819" s="17" t="e">
        <f t="shared" si="128"/>
        <v>#DIV/0!</v>
      </c>
      <c r="V819" s="17" t="e">
        <f t="shared" si="129"/>
        <v>#DIV/0!</v>
      </c>
      <c r="W819" s="17" t="e">
        <f t="shared" si="130"/>
        <v>#DIV/0!</v>
      </c>
      <c r="X819" s="17" t="e">
        <f t="shared" si="131"/>
        <v>#DIV/0!</v>
      </c>
      <c r="Y819" s="19" t="e">
        <f t="shared" si="132"/>
        <v>#DIV/0!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180</v>
      </c>
      <c r="AL819">
        <v>180</v>
      </c>
      <c r="AM819">
        <v>0</v>
      </c>
      <c r="AN819">
        <v>0</v>
      </c>
      <c r="AO819">
        <v>270</v>
      </c>
      <c r="AP819">
        <v>100</v>
      </c>
      <c r="AQ819">
        <v>270</v>
      </c>
      <c r="AR819">
        <v>170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150</v>
      </c>
      <c r="BA819">
        <v>150</v>
      </c>
      <c r="BB819">
        <v>0</v>
      </c>
      <c r="BC819">
        <v>0</v>
      </c>
      <c r="BD819">
        <v>0</v>
      </c>
      <c r="BE819">
        <f t="shared" si="133"/>
        <v>1470</v>
      </c>
      <c r="BF819">
        <v>600</v>
      </c>
      <c r="BG819">
        <v>600</v>
      </c>
      <c r="BH819" t="s">
        <v>199</v>
      </c>
      <c r="BI819" t="s">
        <v>2036</v>
      </c>
      <c r="BJ819">
        <v>0</v>
      </c>
      <c r="BK819">
        <v>600</v>
      </c>
      <c r="BL819">
        <v>600</v>
      </c>
      <c r="BM819">
        <v>0</v>
      </c>
      <c r="BN819">
        <v>0</v>
      </c>
      <c r="BO819">
        <v>0</v>
      </c>
      <c r="BP819">
        <v>600</v>
      </c>
      <c r="BQ819">
        <v>600</v>
      </c>
      <c r="BR819">
        <f t="shared" si="134"/>
        <v>-7</v>
      </c>
      <c r="BS819">
        <f t="shared" si="135"/>
        <v>7</v>
      </c>
    </row>
    <row r="820" spans="1:74" x14ac:dyDescent="0.25">
      <c r="A820" s="5" t="s">
        <v>2294</v>
      </c>
      <c r="B820" s="5" t="s">
        <v>207</v>
      </c>
      <c r="C820" s="5" t="s">
        <v>61</v>
      </c>
      <c r="D820" s="1" t="s">
        <v>115</v>
      </c>
      <c r="E820">
        <v>0</v>
      </c>
      <c r="F820">
        <v>6</v>
      </c>
      <c r="G820">
        <v>0</v>
      </c>
      <c r="H820">
        <v>0</v>
      </c>
      <c r="I820">
        <v>0</v>
      </c>
      <c r="J820">
        <v>0</v>
      </c>
      <c r="K820">
        <v>120</v>
      </c>
      <c r="L820">
        <v>5</v>
      </c>
      <c r="M820">
        <v>0</v>
      </c>
      <c r="N820">
        <v>0</v>
      </c>
      <c r="O820">
        <v>0</v>
      </c>
      <c r="P820">
        <v>54</v>
      </c>
      <c r="Q820">
        <v>13</v>
      </c>
      <c r="R820">
        <v>6</v>
      </c>
      <c r="S820" s="18">
        <f t="shared" si="126"/>
        <v>9</v>
      </c>
      <c r="T820" s="17">
        <f t="shared" si="127"/>
        <v>0</v>
      </c>
      <c r="U820" s="17">
        <f t="shared" si="128"/>
        <v>0</v>
      </c>
      <c r="V820" s="17">
        <f t="shared" si="129"/>
        <v>0</v>
      </c>
      <c r="W820" s="17">
        <f t="shared" si="130"/>
        <v>6</v>
      </c>
      <c r="X820" s="17">
        <f t="shared" si="131"/>
        <v>7</v>
      </c>
      <c r="Y820" s="19">
        <f t="shared" si="132"/>
        <v>0</v>
      </c>
      <c r="Z820">
        <v>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120</v>
      </c>
      <c r="AP820">
        <v>100</v>
      </c>
      <c r="AQ820">
        <v>120</v>
      </c>
      <c r="AR820">
        <v>20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5</v>
      </c>
      <c r="BA820">
        <v>5</v>
      </c>
      <c r="BB820">
        <v>0</v>
      </c>
      <c r="BC820">
        <v>0</v>
      </c>
      <c r="BD820">
        <v>0</v>
      </c>
      <c r="BE820">
        <f t="shared" si="133"/>
        <v>370</v>
      </c>
      <c r="BF820">
        <v>226</v>
      </c>
      <c r="BG820">
        <v>226</v>
      </c>
      <c r="BH820" t="s">
        <v>190</v>
      </c>
      <c r="BI820" t="s">
        <v>2347</v>
      </c>
      <c r="BJ820">
        <v>0</v>
      </c>
      <c r="BK820">
        <v>125</v>
      </c>
      <c r="BL820">
        <v>131</v>
      </c>
      <c r="BM820">
        <v>0</v>
      </c>
      <c r="BN820">
        <v>0</v>
      </c>
      <c r="BO820">
        <v>0</v>
      </c>
      <c r="BP820">
        <v>179</v>
      </c>
      <c r="BQ820">
        <v>179</v>
      </c>
      <c r="BR820">
        <f t="shared" si="134"/>
        <v>-7</v>
      </c>
      <c r="BS820">
        <f t="shared" si="135"/>
        <v>19</v>
      </c>
    </row>
    <row r="821" spans="1:74" x14ac:dyDescent="0.25">
      <c r="A821" s="5" t="s">
        <v>61</v>
      </c>
      <c r="B821" s="5" t="s">
        <v>207</v>
      </c>
      <c r="C821" s="5" t="s">
        <v>61</v>
      </c>
      <c r="D821" s="1" t="s">
        <v>121</v>
      </c>
      <c r="E821">
        <v>0</v>
      </c>
      <c r="F821">
        <v>185</v>
      </c>
      <c r="G821">
        <v>0</v>
      </c>
      <c r="H821">
        <v>0</v>
      </c>
      <c r="I821">
        <v>35</v>
      </c>
      <c r="J821">
        <v>0</v>
      </c>
      <c r="K821">
        <v>0</v>
      </c>
      <c r="L821">
        <v>0</v>
      </c>
      <c r="M821">
        <v>1341</v>
      </c>
      <c r="N821">
        <v>0</v>
      </c>
      <c r="O821">
        <v>0</v>
      </c>
      <c r="P821">
        <v>0</v>
      </c>
      <c r="Q821">
        <v>157</v>
      </c>
      <c r="R821">
        <v>149</v>
      </c>
      <c r="S821" s="18">
        <f t="shared" si="126"/>
        <v>9</v>
      </c>
      <c r="T821" s="17">
        <f t="shared" si="127"/>
        <v>149</v>
      </c>
      <c r="U821" s="17">
        <f t="shared" si="128"/>
        <v>0</v>
      </c>
      <c r="V821" s="17">
        <f t="shared" si="129"/>
        <v>0</v>
      </c>
      <c r="W821" s="17">
        <f t="shared" si="130"/>
        <v>0</v>
      </c>
      <c r="X821" s="17">
        <f t="shared" si="131"/>
        <v>8</v>
      </c>
      <c r="Y821" s="19">
        <f t="shared" si="132"/>
        <v>0</v>
      </c>
      <c r="Z821">
        <v>185</v>
      </c>
      <c r="AA821">
        <v>0</v>
      </c>
      <c r="AB821">
        <v>0</v>
      </c>
      <c r="AC821">
        <v>0</v>
      </c>
      <c r="AD821">
        <v>35</v>
      </c>
      <c r="AE821">
        <v>0</v>
      </c>
      <c r="AF821">
        <v>0</v>
      </c>
      <c r="AG821">
        <v>0</v>
      </c>
      <c r="AH821">
        <v>35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f t="shared" si="133"/>
        <v>70</v>
      </c>
      <c r="BF821">
        <v>220</v>
      </c>
      <c r="BG821">
        <v>220</v>
      </c>
      <c r="BH821" t="s">
        <v>109</v>
      </c>
      <c r="BI821" t="s">
        <v>237</v>
      </c>
      <c r="BJ821">
        <v>0</v>
      </c>
      <c r="BK821">
        <v>35</v>
      </c>
      <c r="BL821">
        <v>220</v>
      </c>
      <c r="BM821">
        <v>1376</v>
      </c>
      <c r="BN821">
        <v>0</v>
      </c>
      <c r="BO821">
        <v>0</v>
      </c>
      <c r="BP821">
        <v>0</v>
      </c>
      <c r="BQ821">
        <v>1376</v>
      </c>
      <c r="BR821">
        <f t="shared" si="134"/>
        <v>-8</v>
      </c>
      <c r="BS821">
        <f t="shared" si="135"/>
        <v>306</v>
      </c>
    </row>
    <row r="822" spans="1:74" x14ac:dyDescent="0.25">
      <c r="A822" s="5" t="s">
        <v>61</v>
      </c>
      <c r="B822" s="5" t="s">
        <v>359</v>
      </c>
      <c r="C822" s="5" t="s">
        <v>61</v>
      </c>
      <c r="D822" s="1" t="s">
        <v>135</v>
      </c>
      <c r="E822">
        <v>0</v>
      </c>
      <c r="F822">
        <v>565</v>
      </c>
      <c r="G822">
        <v>0</v>
      </c>
      <c r="H822">
        <v>0</v>
      </c>
      <c r="I822">
        <v>212</v>
      </c>
      <c r="J822">
        <v>0</v>
      </c>
      <c r="K822">
        <v>0</v>
      </c>
      <c r="L822">
        <v>0</v>
      </c>
      <c r="M822">
        <v>1602</v>
      </c>
      <c r="N822">
        <v>0</v>
      </c>
      <c r="O822">
        <v>0</v>
      </c>
      <c r="P822">
        <v>0</v>
      </c>
      <c r="Q822">
        <v>186</v>
      </c>
      <c r="R822">
        <v>178</v>
      </c>
      <c r="S822" s="18">
        <f t="shared" si="126"/>
        <v>9</v>
      </c>
      <c r="T822" s="17">
        <f t="shared" si="127"/>
        <v>178</v>
      </c>
      <c r="U822" s="17">
        <f t="shared" si="128"/>
        <v>0</v>
      </c>
      <c r="V822" s="17">
        <f t="shared" si="129"/>
        <v>0</v>
      </c>
      <c r="W822" s="17">
        <f t="shared" si="130"/>
        <v>0</v>
      </c>
      <c r="X822" s="17">
        <f t="shared" si="131"/>
        <v>8</v>
      </c>
      <c r="Y822" s="19">
        <f t="shared" si="132"/>
        <v>0</v>
      </c>
      <c r="Z822">
        <v>565</v>
      </c>
      <c r="AA822">
        <v>0</v>
      </c>
      <c r="AB822">
        <v>0</v>
      </c>
      <c r="AC822">
        <v>0</v>
      </c>
      <c r="AD822">
        <v>212</v>
      </c>
      <c r="AE822">
        <v>0</v>
      </c>
      <c r="AF822">
        <v>0</v>
      </c>
      <c r="AG822">
        <v>0</v>
      </c>
      <c r="AH822">
        <v>212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f t="shared" si="133"/>
        <v>424</v>
      </c>
      <c r="BF822">
        <v>777</v>
      </c>
      <c r="BG822">
        <v>777</v>
      </c>
      <c r="BH822" t="s">
        <v>109</v>
      </c>
      <c r="BI822" t="s">
        <v>395</v>
      </c>
      <c r="BJ822">
        <v>0</v>
      </c>
      <c r="BK822">
        <v>212</v>
      </c>
      <c r="BL822">
        <v>777</v>
      </c>
      <c r="BM822">
        <v>1814</v>
      </c>
      <c r="BN822">
        <v>0</v>
      </c>
      <c r="BO822">
        <v>0</v>
      </c>
      <c r="BP822">
        <v>0</v>
      </c>
      <c r="BQ822">
        <v>1814</v>
      </c>
      <c r="BR822">
        <f t="shared" si="134"/>
        <v>-8</v>
      </c>
      <c r="BS822">
        <f t="shared" si="135"/>
        <v>364</v>
      </c>
    </row>
    <row r="823" spans="1:74" x14ac:dyDescent="0.25">
      <c r="A823" s="5" t="s">
        <v>61</v>
      </c>
      <c r="B823" s="5" t="s">
        <v>359</v>
      </c>
      <c r="C823" s="5" t="s">
        <v>61</v>
      </c>
      <c r="D823" s="1" t="s">
        <v>157</v>
      </c>
      <c r="E823">
        <v>0</v>
      </c>
      <c r="F823">
        <v>0</v>
      </c>
      <c r="G823">
        <v>0</v>
      </c>
      <c r="H823">
        <v>0</v>
      </c>
      <c r="I823">
        <v>20</v>
      </c>
      <c r="J823">
        <v>40</v>
      </c>
      <c r="K823">
        <v>130</v>
      </c>
      <c r="L823">
        <v>30</v>
      </c>
      <c r="M823">
        <v>0</v>
      </c>
      <c r="N823">
        <v>0</v>
      </c>
      <c r="O823">
        <v>0</v>
      </c>
      <c r="P823">
        <v>0</v>
      </c>
      <c r="Q823">
        <v>8</v>
      </c>
      <c r="R823">
        <v>0</v>
      </c>
      <c r="S823" s="18" t="e">
        <f t="shared" si="126"/>
        <v>#DIV/0!</v>
      </c>
      <c r="T823" s="17" t="e">
        <f t="shared" si="127"/>
        <v>#DIV/0!</v>
      </c>
      <c r="U823" s="17" t="e">
        <f t="shared" si="128"/>
        <v>#DIV/0!</v>
      </c>
      <c r="V823" s="17" t="e">
        <f t="shared" si="129"/>
        <v>#DIV/0!</v>
      </c>
      <c r="W823" s="17" t="e">
        <f t="shared" si="130"/>
        <v>#DIV/0!</v>
      </c>
      <c r="X823" s="17" t="e">
        <f t="shared" si="131"/>
        <v>#DIV/0!</v>
      </c>
      <c r="Y823" s="19" t="e">
        <f t="shared" si="132"/>
        <v>#DIV/0!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20</v>
      </c>
      <c r="AH823">
        <v>20</v>
      </c>
      <c r="AI823">
        <v>0</v>
      </c>
      <c r="AJ823">
        <v>0</v>
      </c>
      <c r="AK823">
        <v>40</v>
      </c>
      <c r="AL823">
        <v>40</v>
      </c>
      <c r="AM823">
        <v>0</v>
      </c>
      <c r="AN823">
        <v>0</v>
      </c>
      <c r="AO823">
        <v>130</v>
      </c>
      <c r="AP823">
        <v>120</v>
      </c>
      <c r="AQ823">
        <v>130</v>
      </c>
      <c r="AR823">
        <v>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30</v>
      </c>
      <c r="BA823">
        <v>30</v>
      </c>
      <c r="BB823">
        <v>0</v>
      </c>
      <c r="BC823">
        <v>0</v>
      </c>
      <c r="BD823">
        <v>0</v>
      </c>
      <c r="BE823">
        <f t="shared" si="133"/>
        <v>570</v>
      </c>
      <c r="BF823">
        <v>220</v>
      </c>
      <c r="BG823">
        <v>220</v>
      </c>
      <c r="BH823" t="s">
        <v>190</v>
      </c>
      <c r="BI823" t="s">
        <v>406</v>
      </c>
      <c r="BJ823">
        <v>0</v>
      </c>
      <c r="BK823">
        <v>220</v>
      </c>
      <c r="BL823">
        <v>220</v>
      </c>
      <c r="BM823">
        <v>0</v>
      </c>
      <c r="BN823">
        <v>0</v>
      </c>
      <c r="BO823">
        <v>0</v>
      </c>
      <c r="BP823">
        <v>220</v>
      </c>
      <c r="BQ823">
        <v>220</v>
      </c>
      <c r="BR823">
        <f t="shared" si="134"/>
        <v>-8</v>
      </c>
      <c r="BS823">
        <f t="shared" si="135"/>
        <v>8</v>
      </c>
    </row>
    <row r="824" spans="1:74" x14ac:dyDescent="0.25">
      <c r="A824" s="5" t="s">
        <v>207</v>
      </c>
      <c r="B824" s="5" t="s">
        <v>359</v>
      </c>
      <c r="C824" s="5" t="s">
        <v>61</v>
      </c>
      <c r="D824" s="1" t="s">
        <v>115</v>
      </c>
      <c r="E824">
        <v>0</v>
      </c>
      <c r="F824">
        <v>0</v>
      </c>
      <c r="G824">
        <v>0</v>
      </c>
      <c r="H824">
        <v>0</v>
      </c>
      <c r="I824">
        <v>10</v>
      </c>
      <c r="J824">
        <v>35</v>
      </c>
      <c r="K824">
        <v>50</v>
      </c>
      <c r="L824">
        <v>25</v>
      </c>
      <c r="M824">
        <v>0</v>
      </c>
      <c r="N824">
        <v>0</v>
      </c>
      <c r="O824">
        <v>0</v>
      </c>
      <c r="P824">
        <v>0</v>
      </c>
      <c r="Q824">
        <v>8</v>
      </c>
      <c r="R824">
        <v>0</v>
      </c>
      <c r="S824" s="18" t="e">
        <f t="shared" si="126"/>
        <v>#DIV/0!</v>
      </c>
      <c r="T824" s="17" t="e">
        <f t="shared" si="127"/>
        <v>#DIV/0!</v>
      </c>
      <c r="U824" s="17" t="e">
        <f t="shared" si="128"/>
        <v>#DIV/0!</v>
      </c>
      <c r="V824" s="17" t="e">
        <f t="shared" si="129"/>
        <v>#DIV/0!</v>
      </c>
      <c r="W824" s="17" t="e">
        <f t="shared" si="130"/>
        <v>#DIV/0!</v>
      </c>
      <c r="X824" s="17" t="e">
        <f t="shared" si="131"/>
        <v>#DIV/0!</v>
      </c>
      <c r="Y824" s="19" t="e">
        <f t="shared" si="132"/>
        <v>#DIV/0!</v>
      </c>
      <c r="Z824">
        <v>0</v>
      </c>
      <c r="AA824">
        <v>0</v>
      </c>
      <c r="AB824">
        <v>0</v>
      </c>
      <c r="AC824">
        <v>20</v>
      </c>
      <c r="AD824">
        <v>0</v>
      </c>
      <c r="AE824">
        <v>0</v>
      </c>
      <c r="AF824">
        <v>0</v>
      </c>
      <c r="AG824">
        <v>10</v>
      </c>
      <c r="AH824">
        <v>10</v>
      </c>
      <c r="AI824">
        <v>0</v>
      </c>
      <c r="AJ824">
        <v>0</v>
      </c>
      <c r="AK824">
        <v>35</v>
      </c>
      <c r="AL824">
        <v>35</v>
      </c>
      <c r="AM824">
        <v>0</v>
      </c>
      <c r="AN824">
        <v>0</v>
      </c>
      <c r="AO824">
        <v>50</v>
      </c>
      <c r="AP824">
        <v>0</v>
      </c>
      <c r="AQ824">
        <v>50</v>
      </c>
      <c r="AR824">
        <v>50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25</v>
      </c>
      <c r="BA824">
        <v>25</v>
      </c>
      <c r="BB824">
        <v>0</v>
      </c>
      <c r="BC824">
        <v>0</v>
      </c>
      <c r="BD824">
        <v>0</v>
      </c>
      <c r="BE824">
        <f t="shared" si="133"/>
        <v>310</v>
      </c>
      <c r="BF824">
        <v>140</v>
      </c>
      <c r="BG824">
        <v>140</v>
      </c>
      <c r="BH824" t="s">
        <v>190</v>
      </c>
      <c r="BI824" t="s">
        <v>615</v>
      </c>
      <c r="BJ824">
        <v>20</v>
      </c>
      <c r="BK824">
        <v>120</v>
      </c>
      <c r="BL824">
        <v>140</v>
      </c>
      <c r="BM824">
        <v>0</v>
      </c>
      <c r="BN824">
        <v>0</v>
      </c>
      <c r="BO824">
        <v>0</v>
      </c>
      <c r="BP824">
        <v>120</v>
      </c>
      <c r="BQ824">
        <v>120</v>
      </c>
      <c r="BR824">
        <f t="shared" si="134"/>
        <v>-8</v>
      </c>
      <c r="BS824">
        <f t="shared" si="135"/>
        <v>8</v>
      </c>
    </row>
    <row r="825" spans="1:74" x14ac:dyDescent="0.25">
      <c r="A825" s="5" t="s">
        <v>875</v>
      </c>
      <c r="B825" s="5" t="s">
        <v>61</v>
      </c>
      <c r="C825" s="5" t="s">
        <v>207</v>
      </c>
      <c r="D825" s="1" t="s">
        <v>155</v>
      </c>
      <c r="E825">
        <v>0</v>
      </c>
      <c r="F825">
        <v>196</v>
      </c>
      <c r="G825">
        <v>0</v>
      </c>
      <c r="H825">
        <v>0</v>
      </c>
      <c r="I825">
        <v>0</v>
      </c>
      <c r="J825">
        <v>0</v>
      </c>
      <c r="K825">
        <v>20</v>
      </c>
      <c r="L825">
        <v>0</v>
      </c>
      <c r="M825">
        <v>441</v>
      </c>
      <c r="N825">
        <v>0</v>
      </c>
      <c r="O825">
        <v>0</v>
      </c>
      <c r="P825">
        <v>0</v>
      </c>
      <c r="Q825">
        <v>57</v>
      </c>
      <c r="R825">
        <v>49</v>
      </c>
      <c r="S825" s="18">
        <f t="shared" si="126"/>
        <v>9</v>
      </c>
      <c r="T825" s="17">
        <f t="shared" si="127"/>
        <v>49</v>
      </c>
      <c r="U825" s="17">
        <f t="shared" si="128"/>
        <v>0</v>
      </c>
      <c r="V825" s="17">
        <f t="shared" si="129"/>
        <v>0</v>
      </c>
      <c r="W825" s="17">
        <f t="shared" si="130"/>
        <v>0</v>
      </c>
      <c r="X825" s="17">
        <f t="shared" si="131"/>
        <v>8</v>
      </c>
      <c r="Y825" s="19">
        <f t="shared" si="132"/>
        <v>0</v>
      </c>
      <c r="Z825">
        <v>196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20</v>
      </c>
      <c r="AN825">
        <v>0</v>
      </c>
      <c r="AO825">
        <v>0</v>
      </c>
      <c r="AP825">
        <v>20</v>
      </c>
      <c r="AQ825">
        <v>20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f t="shared" si="133"/>
        <v>60</v>
      </c>
      <c r="BF825">
        <v>216</v>
      </c>
      <c r="BG825">
        <v>216</v>
      </c>
      <c r="BH825" t="s">
        <v>109</v>
      </c>
      <c r="BI825" t="s">
        <v>917</v>
      </c>
      <c r="BJ825">
        <v>0</v>
      </c>
      <c r="BK825">
        <v>20</v>
      </c>
      <c r="BL825">
        <v>216</v>
      </c>
      <c r="BM825">
        <v>461</v>
      </c>
      <c r="BN825">
        <v>0</v>
      </c>
      <c r="BO825">
        <v>0</v>
      </c>
      <c r="BP825">
        <v>0</v>
      </c>
      <c r="BQ825">
        <v>461</v>
      </c>
      <c r="BR825">
        <f t="shared" si="134"/>
        <v>-8</v>
      </c>
      <c r="BS825">
        <f t="shared" si="135"/>
        <v>106</v>
      </c>
    </row>
    <row r="826" spans="1:74" x14ac:dyDescent="0.25">
      <c r="A826" s="5" t="s">
        <v>1661</v>
      </c>
      <c r="B826" s="5" t="s">
        <v>61</v>
      </c>
      <c r="C826" s="5" t="s">
        <v>207</v>
      </c>
      <c r="D826" s="1" t="s">
        <v>69</v>
      </c>
      <c r="E826">
        <v>0</v>
      </c>
      <c r="F826">
        <v>20627</v>
      </c>
      <c r="G826">
        <v>0</v>
      </c>
      <c r="H826">
        <v>0</v>
      </c>
      <c r="I826">
        <v>125</v>
      </c>
      <c r="J826">
        <v>0</v>
      </c>
      <c r="K826">
        <v>0</v>
      </c>
      <c r="L826">
        <v>0</v>
      </c>
      <c r="M826">
        <v>0</v>
      </c>
      <c r="N826">
        <v>26865</v>
      </c>
      <c r="O826">
        <v>0</v>
      </c>
      <c r="P826">
        <v>0</v>
      </c>
      <c r="Q826">
        <v>2993</v>
      </c>
      <c r="R826">
        <v>2985</v>
      </c>
      <c r="S826" s="18">
        <f t="shared" si="126"/>
        <v>9</v>
      </c>
      <c r="T826" s="17">
        <f t="shared" si="127"/>
        <v>0</v>
      </c>
      <c r="U826" s="17">
        <f t="shared" si="128"/>
        <v>2985</v>
      </c>
      <c r="V826" s="17">
        <f t="shared" si="129"/>
        <v>0</v>
      </c>
      <c r="W826" s="17">
        <f t="shared" si="130"/>
        <v>0</v>
      </c>
      <c r="X826" s="17">
        <f t="shared" si="131"/>
        <v>8</v>
      </c>
      <c r="Y826" s="19">
        <f t="shared" si="132"/>
        <v>0</v>
      </c>
      <c r="Z826">
        <v>20627</v>
      </c>
      <c r="AA826">
        <v>0</v>
      </c>
      <c r="AB826">
        <v>0</v>
      </c>
      <c r="AC826">
        <v>0</v>
      </c>
      <c r="AD826">
        <v>0</v>
      </c>
      <c r="AE826">
        <v>125</v>
      </c>
      <c r="AF826">
        <v>0</v>
      </c>
      <c r="AG826">
        <v>0</v>
      </c>
      <c r="AH826">
        <v>125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f t="shared" si="133"/>
        <v>250</v>
      </c>
      <c r="BF826">
        <v>20752</v>
      </c>
      <c r="BG826">
        <v>20752</v>
      </c>
      <c r="BH826" t="s">
        <v>199</v>
      </c>
      <c r="BI826" t="s">
        <v>1701</v>
      </c>
      <c r="BJ826">
        <v>0</v>
      </c>
      <c r="BK826">
        <v>125</v>
      </c>
      <c r="BL826">
        <v>20752</v>
      </c>
      <c r="BM826">
        <v>0</v>
      </c>
      <c r="BN826">
        <v>26990</v>
      </c>
      <c r="BO826">
        <v>0</v>
      </c>
      <c r="BP826">
        <v>0</v>
      </c>
      <c r="BQ826">
        <v>26990</v>
      </c>
      <c r="BR826">
        <f t="shared" si="134"/>
        <v>-8</v>
      </c>
      <c r="BS826">
        <f t="shared" si="135"/>
        <v>5978</v>
      </c>
    </row>
    <row r="827" spans="1:74" x14ac:dyDescent="0.25">
      <c r="A827" s="5" t="s">
        <v>1661</v>
      </c>
      <c r="B827" s="5" t="s">
        <v>61</v>
      </c>
      <c r="C827" s="5" t="s">
        <v>359</v>
      </c>
      <c r="D827" s="1" t="s">
        <v>102</v>
      </c>
      <c r="E827">
        <v>0</v>
      </c>
      <c r="F827">
        <v>150</v>
      </c>
      <c r="G827">
        <v>0</v>
      </c>
      <c r="H827">
        <v>0</v>
      </c>
      <c r="I827">
        <v>0</v>
      </c>
      <c r="J827">
        <v>0</v>
      </c>
      <c r="K827">
        <v>15</v>
      </c>
      <c r="L827">
        <v>0</v>
      </c>
      <c r="M827">
        <v>0</v>
      </c>
      <c r="N827">
        <v>0</v>
      </c>
      <c r="O827">
        <v>0</v>
      </c>
      <c r="P827">
        <v>180</v>
      </c>
      <c r="Q827">
        <v>28</v>
      </c>
      <c r="R827">
        <v>20</v>
      </c>
      <c r="S827" s="18">
        <f t="shared" si="126"/>
        <v>9</v>
      </c>
      <c r="T827" s="17">
        <f t="shared" si="127"/>
        <v>0</v>
      </c>
      <c r="U827" s="17">
        <f t="shared" si="128"/>
        <v>0</v>
      </c>
      <c r="V827" s="17">
        <f t="shared" si="129"/>
        <v>0</v>
      </c>
      <c r="W827" s="17">
        <f t="shared" si="130"/>
        <v>20</v>
      </c>
      <c r="X827" s="17">
        <f t="shared" si="131"/>
        <v>8</v>
      </c>
      <c r="Y827" s="19">
        <f t="shared" si="132"/>
        <v>0</v>
      </c>
      <c r="Z827">
        <v>150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15</v>
      </c>
      <c r="AP827">
        <v>0</v>
      </c>
      <c r="AQ827">
        <v>15</v>
      </c>
      <c r="AR827">
        <v>15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f t="shared" si="133"/>
        <v>45</v>
      </c>
      <c r="BF827">
        <v>165</v>
      </c>
      <c r="BG827">
        <v>165</v>
      </c>
      <c r="BH827" t="s">
        <v>190</v>
      </c>
      <c r="BI827" t="s">
        <v>1731</v>
      </c>
      <c r="BJ827">
        <v>0</v>
      </c>
      <c r="BK827">
        <v>15</v>
      </c>
      <c r="BL827">
        <v>165</v>
      </c>
      <c r="BM827">
        <v>0</v>
      </c>
      <c r="BN827">
        <v>0</v>
      </c>
      <c r="BO827">
        <v>0</v>
      </c>
      <c r="BP827">
        <v>195</v>
      </c>
      <c r="BQ827">
        <v>195</v>
      </c>
      <c r="BR827">
        <f t="shared" si="134"/>
        <v>-8</v>
      </c>
      <c r="BS827">
        <f t="shared" si="135"/>
        <v>48</v>
      </c>
    </row>
    <row r="828" spans="1:74" x14ac:dyDescent="0.25">
      <c r="A828" s="5" t="s">
        <v>2090</v>
      </c>
      <c r="B828" s="5" t="s">
        <v>359</v>
      </c>
      <c r="C828" s="5" t="s">
        <v>61</v>
      </c>
      <c r="D828" s="1" t="s">
        <v>79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100</v>
      </c>
      <c r="K828">
        <v>30</v>
      </c>
      <c r="L828">
        <v>20</v>
      </c>
      <c r="M828">
        <v>0</v>
      </c>
      <c r="N828">
        <v>0</v>
      </c>
      <c r="O828">
        <v>0</v>
      </c>
      <c r="P828">
        <v>0</v>
      </c>
      <c r="Q828">
        <v>8</v>
      </c>
      <c r="R828">
        <v>0</v>
      </c>
      <c r="S828" s="18" t="e">
        <f t="shared" si="126"/>
        <v>#DIV/0!</v>
      </c>
      <c r="T828" s="17" t="e">
        <f t="shared" si="127"/>
        <v>#DIV/0!</v>
      </c>
      <c r="U828" s="17" t="e">
        <f t="shared" si="128"/>
        <v>#DIV/0!</v>
      </c>
      <c r="V828" s="17" t="e">
        <f t="shared" si="129"/>
        <v>#DIV/0!</v>
      </c>
      <c r="W828" s="17" t="e">
        <f t="shared" si="130"/>
        <v>#DIV/0!</v>
      </c>
      <c r="X828" s="17" t="e">
        <f t="shared" si="131"/>
        <v>#DIV/0!</v>
      </c>
      <c r="Y828" s="19" t="e">
        <f t="shared" si="132"/>
        <v>#DIV/0!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100</v>
      </c>
      <c r="AL828">
        <v>100</v>
      </c>
      <c r="AM828">
        <v>0</v>
      </c>
      <c r="AN828">
        <v>0</v>
      </c>
      <c r="AO828">
        <v>30</v>
      </c>
      <c r="AP828">
        <v>20</v>
      </c>
      <c r="AQ828">
        <v>30</v>
      </c>
      <c r="AR828">
        <v>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20</v>
      </c>
      <c r="BA828">
        <v>20</v>
      </c>
      <c r="BB828">
        <v>0</v>
      </c>
      <c r="BC828">
        <v>0</v>
      </c>
      <c r="BD828">
        <v>0</v>
      </c>
      <c r="BE828">
        <f t="shared" si="133"/>
        <v>330</v>
      </c>
      <c r="BF828">
        <v>150</v>
      </c>
      <c r="BG828">
        <v>150</v>
      </c>
      <c r="BH828" t="s">
        <v>190</v>
      </c>
      <c r="BI828" t="s">
        <v>2288</v>
      </c>
      <c r="BJ828">
        <v>0</v>
      </c>
      <c r="BK828">
        <v>150</v>
      </c>
      <c r="BL828">
        <v>150</v>
      </c>
      <c r="BM828">
        <v>0</v>
      </c>
      <c r="BN828">
        <v>0</v>
      </c>
      <c r="BO828">
        <v>0</v>
      </c>
      <c r="BP828">
        <v>150</v>
      </c>
      <c r="BQ828">
        <v>150</v>
      </c>
      <c r="BR828">
        <f t="shared" si="134"/>
        <v>-8</v>
      </c>
      <c r="BS828">
        <f t="shared" si="135"/>
        <v>8</v>
      </c>
    </row>
    <row r="829" spans="1:74" x14ac:dyDescent="0.25">
      <c r="A829" s="5" t="s">
        <v>2090</v>
      </c>
      <c r="B829" s="5" t="s">
        <v>359</v>
      </c>
      <c r="C829" s="5" t="s">
        <v>61</v>
      </c>
      <c r="D829" s="1" t="s">
        <v>88</v>
      </c>
      <c r="E829">
        <v>0</v>
      </c>
      <c r="F829">
        <v>0</v>
      </c>
      <c r="G829">
        <v>0</v>
      </c>
      <c r="H829">
        <v>0</v>
      </c>
      <c r="I829">
        <v>110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8</v>
      </c>
      <c r="R829">
        <v>0</v>
      </c>
      <c r="S829" s="18" t="e">
        <f t="shared" si="126"/>
        <v>#DIV/0!</v>
      </c>
      <c r="T829" s="17" t="e">
        <f t="shared" si="127"/>
        <v>#DIV/0!</v>
      </c>
      <c r="U829" s="17" t="e">
        <f t="shared" si="128"/>
        <v>#DIV/0!</v>
      </c>
      <c r="V829" s="17" t="e">
        <f t="shared" si="129"/>
        <v>#DIV/0!</v>
      </c>
      <c r="W829" s="17" t="e">
        <f t="shared" si="130"/>
        <v>#DIV/0!</v>
      </c>
      <c r="X829" s="17" t="e">
        <f t="shared" si="131"/>
        <v>#DIV/0!</v>
      </c>
      <c r="Y829" s="19" t="e">
        <f t="shared" si="132"/>
        <v>#DIV/0!</v>
      </c>
      <c r="Z829">
        <v>0</v>
      </c>
      <c r="AA829">
        <v>0</v>
      </c>
      <c r="AB829">
        <v>0</v>
      </c>
      <c r="AC829">
        <v>0</v>
      </c>
      <c r="AD829">
        <v>110</v>
      </c>
      <c r="AE829">
        <v>0</v>
      </c>
      <c r="AF829">
        <v>0</v>
      </c>
      <c r="AG829">
        <v>0</v>
      </c>
      <c r="AH829">
        <v>110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f t="shared" si="133"/>
        <v>220</v>
      </c>
      <c r="BF829">
        <v>110</v>
      </c>
      <c r="BG829">
        <v>110</v>
      </c>
      <c r="BH829" t="s">
        <v>199</v>
      </c>
      <c r="BI829" t="s">
        <v>2292</v>
      </c>
      <c r="BJ829">
        <v>0</v>
      </c>
      <c r="BK829">
        <v>110</v>
      </c>
      <c r="BL829">
        <v>110</v>
      </c>
      <c r="BM829">
        <v>110</v>
      </c>
      <c r="BN829">
        <v>0</v>
      </c>
      <c r="BO829">
        <v>0</v>
      </c>
      <c r="BP829">
        <v>0</v>
      </c>
      <c r="BQ829">
        <v>110</v>
      </c>
      <c r="BR829">
        <f t="shared" si="134"/>
        <v>-8</v>
      </c>
      <c r="BS829">
        <f t="shared" si="135"/>
        <v>8</v>
      </c>
    </row>
    <row r="830" spans="1:74" x14ac:dyDescent="0.25">
      <c r="A830" s="5" t="s">
        <v>2294</v>
      </c>
      <c r="B830" s="5" t="s">
        <v>61</v>
      </c>
      <c r="C830" s="5" t="s">
        <v>61</v>
      </c>
      <c r="D830" s="1" t="s">
        <v>100</v>
      </c>
      <c r="E830">
        <v>100</v>
      </c>
      <c r="F830">
        <v>0</v>
      </c>
      <c r="G830">
        <v>0</v>
      </c>
      <c r="H830">
        <v>0</v>
      </c>
      <c r="I830">
        <v>0</v>
      </c>
      <c r="J830">
        <v>150</v>
      </c>
      <c r="K830">
        <v>0</v>
      </c>
      <c r="L830">
        <v>225</v>
      </c>
      <c r="M830">
        <v>0</v>
      </c>
      <c r="N830">
        <v>0</v>
      </c>
      <c r="O830">
        <v>0</v>
      </c>
      <c r="P830">
        <v>0</v>
      </c>
      <c r="Q830">
        <v>8</v>
      </c>
      <c r="R830">
        <v>0</v>
      </c>
      <c r="S830" s="18" t="e">
        <f t="shared" si="126"/>
        <v>#DIV/0!</v>
      </c>
      <c r="T830" s="17" t="e">
        <f t="shared" si="127"/>
        <v>#DIV/0!</v>
      </c>
      <c r="U830" s="17" t="e">
        <f t="shared" si="128"/>
        <v>#DIV/0!</v>
      </c>
      <c r="V830" s="17" t="e">
        <f t="shared" si="129"/>
        <v>#DIV/0!</v>
      </c>
      <c r="W830" s="17" t="e">
        <f t="shared" si="130"/>
        <v>#DIV/0!</v>
      </c>
      <c r="X830" s="17" t="e">
        <f t="shared" si="131"/>
        <v>#DIV/0!</v>
      </c>
      <c r="Y830" s="19" t="e">
        <f t="shared" si="132"/>
        <v>#DIV/0!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150</v>
      </c>
      <c r="AL830">
        <v>150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225</v>
      </c>
      <c r="BA830">
        <v>225</v>
      </c>
      <c r="BB830">
        <v>0</v>
      </c>
      <c r="BC830">
        <v>0</v>
      </c>
      <c r="BD830">
        <v>0</v>
      </c>
      <c r="BE830">
        <f t="shared" si="133"/>
        <v>750</v>
      </c>
      <c r="BF830">
        <v>475</v>
      </c>
      <c r="BG830">
        <v>475</v>
      </c>
      <c r="BH830" t="s">
        <v>199</v>
      </c>
      <c r="BI830" t="s">
        <v>2312</v>
      </c>
      <c r="BJ830">
        <v>100</v>
      </c>
      <c r="BK830">
        <v>375</v>
      </c>
      <c r="BL830">
        <v>475</v>
      </c>
      <c r="BM830">
        <v>0</v>
      </c>
      <c r="BN830">
        <v>0</v>
      </c>
      <c r="BO830">
        <v>0</v>
      </c>
      <c r="BP830">
        <v>375</v>
      </c>
      <c r="BQ830">
        <v>375</v>
      </c>
      <c r="BR830">
        <f t="shared" si="134"/>
        <v>-8</v>
      </c>
      <c r="BS830">
        <f t="shared" si="135"/>
        <v>8</v>
      </c>
    </row>
    <row r="831" spans="1:74" x14ac:dyDescent="0.25">
      <c r="A831" s="5" t="s">
        <v>2294</v>
      </c>
      <c r="B831" s="5" t="s">
        <v>61</v>
      </c>
      <c r="C831" s="5" t="s">
        <v>61</v>
      </c>
      <c r="D831" s="1" t="s">
        <v>123</v>
      </c>
      <c r="E831">
        <v>0</v>
      </c>
      <c r="F831">
        <v>0</v>
      </c>
      <c r="G831">
        <v>0</v>
      </c>
      <c r="H831">
        <v>0</v>
      </c>
      <c r="I831">
        <v>32</v>
      </c>
      <c r="J831">
        <v>0</v>
      </c>
      <c r="K831">
        <v>32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8</v>
      </c>
      <c r="R831">
        <v>0</v>
      </c>
      <c r="S831" s="18" t="e">
        <f t="shared" si="126"/>
        <v>#DIV/0!</v>
      </c>
      <c r="T831" s="17" t="e">
        <f t="shared" si="127"/>
        <v>#DIV/0!</v>
      </c>
      <c r="U831" s="17" t="e">
        <f t="shared" si="128"/>
        <v>#DIV/0!</v>
      </c>
      <c r="V831" s="17" t="e">
        <f t="shared" si="129"/>
        <v>#DIV/0!</v>
      </c>
      <c r="W831" s="17" t="e">
        <f t="shared" si="130"/>
        <v>#DIV/0!</v>
      </c>
      <c r="X831" s="17" t="e">
        <f t="shared" si="131"/>
        <v>#DIV/0!</v>
      </c>
      <c r="Y831" s="19" t="e">
        <f t="shared" si="132"/>
        <v>#DIV/0!</v>
      </c>
      <c r="Z831">
        <v>0</v>
      </c>
      <c r="AA831">
        <v>0</v>
      </c>
      <c r="AB831">
        <v>0</v>
      </c>
      <c r="AC831">
        <v>46</v>
      </c>
      <c r="AD831">
        <v>0</v>
      </c>
      <c r="AE831">
        <v>0</v>
      </c>
      <c r="AF831">
        <v>0</v>
      </c>
      <c r="AG831">
        <v>32</v>
      </c>
      <c r="AH831">
        <v>32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32</v>
      </c>
      <c r="AP831">
        <v>32</v>
      </c>
      <c r="AQ831">
        <v>32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f t="shared" si="133"/>
        <v>206</v>
      </c>
      <c r="BF831">
        <v>110</v>
      </c>
      <c r="BG831">
        <v>110</v>
      </c>
      <c r="BH831" t="s">
        <v>82</v>
      </c>
      <c r="BI831" t="s">
        <v>2322</v>
      </c>
      <c r="BJ831">
        <v>46</v>
      </c>
      <c r="BK831">
        <v>64</v>
      </c>
      <c r="BL831">
        <v>110</v>
      </c>
      <c r="BM831">
        <v>0</v>
      </c>
      <c r="BN831">
        <v>0</v>
      </c>
      <c r="BO831">
        <v>0</v>
      </c>
      <c r="BP831">
        <v>64</v>
      </c>
      <c r="BQ831">
        <v>64</v>
      </c>
      <c r="BR831">
        <f t="shared" si="134"/>
        <v>-8</v>
      </c>
      <c r="BS831">
        <f t="shared" si="135"/>
        <v>8</v>
      </c>
    </row>
    <row r="832" spans="1:74" x14ac:dyDescent="0.25">
      <c r="A832" s="5" t="s">
        <v>2294</v>
      </c>
      <c r="B832" s="5" t="s">
        <v>207</v>
      </c>
      <c r="C832" s="5" t="s">
        <v>61</v>
      </c>
      <c r="D832" s="1" t="s">
        <v>62</v>
      </c>
      <c r="E832">
        <v>0</v>
      </c>
      <c r="F832">
        <v>0</v>
      </c>
      <c r="G832">
        <v>0</v>
      </c>
      <c r="H832">
        <v>0</v>
      </c>
      <c r="I832">
        <v>75</v>
      </c>
      <c r="J832">
        <v>275</v>
      </c>
      <c r="K832">
        <v>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8</v>
      </c>
      <c r="R832">
        <v>0</v>
      </c>
      <c r="S832" s="18" t="e">
        <f t="shared" si="126"/>
        <v>#DIV/0!</v>
      </c>
      <c r="T832" s="17" t="e">
        <f t="shared" si="127"/>
        <v>#DIV/0!</v>
      </c>
      <c r="U832" s="17" t="e">
        <f t="shared" si="128"/>
        <v>#DIV/0!</v>
      </c>
      <c r="V832" s="17" t="e">
        <f t="shared" si="129"/>
        <v>#DIV/0!</v>
      </c>
      <c r="W832" s="17" t="e">
        <f t="shared" si="130"/>
        <v>#DIV/0!</v>
      </c>
      <c r="X832" s="17" t="e">
        <f t="shared" si="131"/>
        <v>#DIV/0!</v>
      </c>
      <c r="Y832" s="19" t="e">
        <f t="shared" si="132"/>
        <v>#DIV/0!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75</v>
      </c>
      <c r="AH832">
        <v>75</v>
      </c>
      <c r="AI832">
        <v>0</v>
      </c>
      <c r="AJ832">
        <v>0</v>
      </c>
      <c r="AK832">
        <v>275</v>
      </c>
      <c r="AL832">
        <v>275</v>
      </c>
      <c r="AM832">
        <v>0</v>
      </c>
      <c r="AN832">
        <v>0</v>
      </c>
      <c r="AO832">
        <v>7</v>
      </c>
      <c r="AP832">
        <v>2</v>
      </c>
      <c r="AQ832">
        <v>7</v>
      </c>
      <c r="AR832">
        <v>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f t="shared" si="133"/>
        <v>721</v>
      </c>
      <c r="BF832">
        <v>517</v>
      </c>
      <c r="BG832">
        <v>517</v>
      </c>
      <c r="BH832" t="s">
        <v>82</v>
      </c>
      <c r="BI832" t="s">
        <v>2323</v>
      </c>
      <c r="BJ832">
        <v>0</v>
      </c>
      <c r="BK832">
        <v>357</v>
      </c>
      <c r="BL832">
        <v>357</v>
      </c>
      <c r="BM832">
        <v>0</v>
      </c>
      <c r="BN832">
        <v>0</v>
      </c>
      <c r="BO832">
        <v>0</v>
      </c>
      <c r="BP832">
        <v>357</v>
      </c>
      <c r="BQ832">
        <v>357</v>
      </c>
      <c r="BR832">
        <f t="shared" si="134"/>
        <v>-8</v>
      </c>
      <c r="BS832">
        <f t="shared" si="135"/>
        <v>8</v>
      </c>
    </row>
    <row r="833" spans="1:71" x14ac:dyDescent="0.25">
      <c r="A833" s="5" t="s">
        <v>61</v>
      </c>
      <c r="B833" s="5" t="s">
        <v>207</v>
      </c>
      <c r="C833" s="5" t="s">
        <v>207</v>
      </c>
      <c r="D833" s="1" t="s">
        <v>194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155</v>
      </c>
      <c r="K833">
        <v>22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9</v>
      </c>
      <c r="R833">
        <v>0</v>
      </c>
      <c r="S833" s="18" t="e">
        <f t="shared" si="126"/>
        <v>#DIV/0!</v>
      </c>
      <c r="T833" s="17" t="e">
        <f t="shared" si="127"/>
        <v>#DIV/0!</v>
      </c>
      <c r="U833" s="17" t="e">
        <f t="shared" si="128"/>
        <v>#DIV/0!</v>
      </c>
      <c r="V833" s="17" t="e">
        <f t="shared" si="129"/>
        <v>#DIV/0!</v>
      </c>
      <c r="W833" s="17" t="e">
        <f t="shared" si="130"/>
        <v>#DIV/0!</v>
      </c>
      <c r="X833" s="17" t="e">
        <f t="shared" si="131"/>
        <v>#DIV/0!</v>
      </c>
      <c r="Y833" s="19" t="e">
        <f t="shared" si="132"/>
        <v>#DIV/0!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155</v>
      </c>
      <c r="AL833">
        <v>155</v>
      </c>
      <c r="AM833">
        <v>0</v>
      </c>
      <c r="AN833">
        <v>0</v>
      </c>
      <c r="AO833">
        <v>22</v>
      </c>
      <c r="AP833">
        <v>0</v>
      </c>
      <c r="AQ833">
        <v>22</v>
      </c>
      <c r="AR833">
        <v>22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f t="shared" si="133"/>
        <v>376</v>
      </c>
      <c r="BF833">
        <v>177</v>
      </c>
      <c r="BG833">
        <v>177</v>
      </c>
      <c r="BH833" t="s">
        <v>190</v>
      </c>
      <c r="BI833" t="s">
        <v>343</v>
      </c>
      <c r="BJ833">
        <v>0</v>
      </c>
      <c r="BK833">
        <v>177</v>
      </c>
      <c r="BL833">
        <v>177</v>
      </c>
      <c r="BM833">
        <v>0</v>
      </c>
      <c r="BN833">
        <v>0</v>
      </c>
      <c r="BO833">
        <v>0</v>
      </c>
      <c r="BP833">
        <v>177</v>
      </c>
      <c r="BQ833">
        <v>177</v>
      </c>
      <c r="BR833">
        <f t="shared" si="134"/>
        <v>-9</v>
      </c>
      <c r="BS833">
        <f t="shared" si="135"/>
        <v>9</v>
      </c>
    </row>
    <row r="834" spans="1:71" x14ac:dyDescent="0.25">
      <c r="A834" s="5" t="s">
        <v>61</v>
      </c>
      <c r="B834" s="6" t="s">
        <v>359</v>
      </c>
      <c r="C834" s="6" t="s">
        <v>61</v>
      </c>
      <c r="D834" s="1" t="s">
        <v>117</v>
      </c>
      <c r="E834">
        <v>0</v>
      </c>
      <c r="F834">
        <v>90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666</v>
      </c>
      <c r="N834">
        <v>0</v>
      </c>
      <c r="O834">
        <v>0</v>
      </c>
      <c r="P834">
        <v>0</v>
      </c>
      <c r="Q834">
        <v>83</v>
      </c>
      <c r="R834">
        <v>74</v>
      </c>
      <c r="S834" s="18">
        <f t="shared" ref="S834:S897" si="136">(M834+N834+O834+P834)/R834</f>
        <v>9</v>
      </c>
      <c r="T834" s="17">
        <f t="shared" ref="T834:T897" si="137">M834/$S834</f>
        <v>74</v>
      </c>
      <c r="U834" s="17">
        <f t="shared" ref="U834:U897" si="138">N834/$S834</f>
        <v>0</v>
      </c>
      <c r="V834" s="17">
        <f t="shared" ref="V834:V897" si="139">O834/$S834</f>
        <v>0</v>
      </c>
      <c r="W834" s="17">
        <f t="shared" ref="W834:W897" si="140">P834/$S834</f>
        <v>0</v>
      </c>
      <c r="X834" s="17">
        <f t="shared" ref="X834:X897" si="141">Q834-T834-U834-W834</f>
        <v>9</v>
      </c>
      <c r="Y834" s="19">
        <f t="shared" ref="Y834:Y897" si="142">V834/X834</f>
        <v>0</v>
      </c>
      <c r="Z834">
        <v>90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f t="shared" ref="BE834:BE897" si="143">SUM(AC834:BD834)</f>
        <v>0</v>
      </c>
      <c r="BF834">
        <v>90</v>
      </c>
      <c r="BG834">
        <v>90</v>
      </c>
      <c r="BH834" t="s">
        <v>109</v>
      </c>
      <c r="BI834" t="s">
        <v>386</v>
      </c>
      <c r="BJ834">
        <v>0</v>
      </c>
      <c r="BK834">
        <v>0</v>
      </c>
      <c r="BL834">
        <v>90</v>
      </c>
      <c r="BM834">
        <v>666</v>
      </c>
      <c r="BN834">
        <v>0</v>
      </c>
      <c r="BO834">
        <v>0</v>
      </c>
      <c r="BP834">
        <v>0</v>
      </c>
      <c r="BQ834">
        <v>666</v>
      </c>
      <c r="BR834">
        <f t="shared" ref="BR834:BR897" si="144">R834-Q834</f>
        <v>-9</v>
      </c>
      <c r="BS834">
        <f t="shared" ref="BS834:BS897" si="145">R834+Q834</f>
        <v>157</v>
      </c>
    </row>
    <row r="835" spans="1:71" x14ac:dyDescent="0.25">
      <c r="A835" s="5" t="s">
        <v>207</v>
      </c>
      <c r="B835" s="7" t="s">
        <v>61</v>
      </c>
      <c r="C835" s="7" t="s">
        <v>61</v>
      </c>
      <c r="D835" s="1" t="s">
        <v>94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370</v>
      </c>
      <c r="K835">
        <v>0</v>
      </c>
      <c r="L835">
        <v>72</v>
      </c>
      <c r="M835">
        <v>0</v>
      </c>
      <c r="N835">
        <v>0</v>
      </c>
      <c r="O835">
        <v>0</v>
      </c>
      <c r="P835">
        <v>0</v>
      </c>
      <c r="Q835">
        <v>9</v>
      </c>
      <c r="R835">
        <v>0</v>
      </c>
      <c r="S835" s="18" t="e">
        <f t="shared" si="136"/>
        <v>#DIV/0!</v>
      </c>
      <c r="T835" s="17" t="e">
        <f t="shared" si="137"/>
        <v>#DIV/0!</v>
      </c>
      <c r="U835" s="17" t="e">
        <f t="shared" si="138"/>
        <v>#DIV/0!</v>
      </c>
      <c r="V835" s="17" t="e">
        <f t="shared" si="139"/>
        <v>#DIV/0!</v>
      </c>
      <c r="W835" s="17" t="e">
        <f t="shared" si="140"/>
        <v>#DIV/0!</v>
      </c>
      <c r="X835" s="17" t="e">
        <f t="shared" si="141"/>
        <v>#DIV/0!</v>
      </c>
      <c r="Y835" s="19" t="e">
        <f t="shared" si="142"/>
        <v>#DIV/0!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370</v>
      </c>
      <c r="AL835">
        <v>370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72</v>
      </c>
      <c r="BA835">
        <v>72</v>
      </c>
      <c r="BB835">
        <v>0</v>
      </c>
      <c r="BC835">
        <v>0</v>
      </c>
      <c r="BD835">
        <v>0</v>
      </c>
      <c r="BE835">
        <f t="shared" si="143"/>
        <v>884</v>
      </c>
      <c r="BF835">
        <v>442</v>
      </c>
      <c r="BG835">
        <v>442</v>
      </c>
      <c r="BH835" t="s">
        <v>190</v>
      </c>
      <c r="BI835" t="s">
        <v>441</v>
      </c>
      <c r="BJ835">
        <v>0</v>
      </c>
      <c r="BK835">
        <v>442</v>
      </c>
      <c r="BL835">
        <v>442</v>
      </c>
      <c r="BM835">
        <v>0</v>
      </c>
      <c r="BN835">
        <v>0</v>
      </c>
      <c r="BO835">
        <v>0</v>
      </c>
      <c r="BP835">
        <v>442</v>
      </c>
      <c r="BQ835">
        <v>442</v>
      </c>
      <c r="BR835">
        <f t="shared" si="144"/>
        <v>-9</v>
      </c>
      <c r="BS835">
        <f t="shared" si="145"/>
        <v>9</v>
      </c>
    </row>
    <row r="836" spans="1:71" x14ac:dyDescent="0.25">
      <c r="A836" s="5" t="s">
        <v>207</v>
      </c>
      <c r="B836" s="5" t="s">
        <v>61</v>
      </c>
      <c r="C836" s="5" t="s">
        <v>61</v>
      </c>
      <c r="D836" s="1" t="s">
        <v>100</v>
      </c>
      <c r="E836">
        <v>0</v>
      </c>
      <c r="F836">
        <v>0</v>
      </c>
      <c r="G836">
        <v>0</v>
      </c>
      <c r="H836">
        <v>0</v>
      </c>
      <c r="I836">
        <v>30</v>
      </c>
      <c r="J836">
        <v>0</v>
      </c>
      <c r="K836">
        <v>110</v>
      </c>
      <c r="L836">
        <v>17</v>
      </c>
      <c r="M836">
        <v>0</v>
      </c>
      <c r="N836">
        <v>0</v>
      </c>
      <c r="O836">
        <v>0</v>
      </c>
      <c r="P836">
        <v>0</v>
      </c>
      <c r="Q836">
        <v>9</v>
      </c>
      <c r="R836">
        <v>0</v>
      </c>
      <c r="S836" s="18" t="e">
        <f t="shared" si="136"/>
        <v>#DIV/0!</v>
      </c>
      <c r="T836" s="17" t="e">
        <f t="shared" si="137"/>
        <v>#DIV/0!</v>
      </c>
      <c r="U836" s="17" t="e">
        <f t="shared" si="138"/>
        <v>#DIV/0!</v>
      </c>
      <c r="V836" s="17" t="e">
        <f t="shared" si="139"/>
        <v>#DIV/0!</v>
      </c>
      <c r="W836" s="17" t="e">
        <f t="shared" si="140"/>
        <v>#DIV/0!</v>
      </c>
      <c r="X836" s="17" t="e">
        <f t="shared" si="141"/>
        <v>#DIV/0!</v>
      </c>
      <c r="Y836" s="19" t="e">
        <f t="shared" si="142"/>
        <v>#DIV/0!</v>
      </c>
      <c r="Z836">
        <v>0</v>
      </c>
      <c r="AA836">
        <v>0</v>
      </c>
      <c r="AB836">
        <v>0</v>
      </c>
      <c r="AC836">
        <v>240</v>
      </c>
      <c r="AD836">
        <v>0</v>
      </c>
      <c r="AE836">
        <v>0</v>
      </c>
      <c r="AF836">
        <v>0</v>
      </c>
      <c r="AG836">
        <v>30</v>
      </c>
      <c r="AH836">
        <v>30</v>
      </c>
      <c r="AI836">
        <v>0</v>
      </c>
      <c r="AJ836">
        <v>0</v>
      </c>
      <c r="AK836">
        <v>0</v>
      </c>
      <c r="AL836">
        <v>0</v>
      </c>
      <c r="AM836">
        <v>40</v>
      </c>
      <c r="AN836">
        <v>0</v>
      </c>
      <c r="AO836">
        <v>70</v>
      </c>
      <c r="AP836">
        <v>110</v>
      </c>
      <c r="AQ836">
        <v>110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7</v>
      </c>
      <c r="AY836">
        <v>0</v>
      </c>
      <c r="AZ836">
        <v>10</v>
      </c>
      <c r="BA836">
        <v>17</v>
      </c>
      <c r="BB836">
        <v>0</v>
      </c>
      <c r="BC836">
        <v>0</v>
      </c>
      <c r="BD836">
        <v>0</v>
      </c>
      <c r="BE836">
        <f t="shared" si="143"/>
        <v>664</v>
      </c>
      <c r="BF836">
        <v>397</v>
      </c>
      <c r="BG836">
        <v>397</v>
      </c>
      <c r="BH836" t="s">
        <v>190</v>
      </c>
      <c r="BI836" t="s">
        <v>444</v>
      </c>
      <c r="BJ836">
        <v>240</v>
      </c>
      <c r="BK836">
        <v>157</v>
      </c>
      <c r="BL836">
        <v>397</v>
      </c>
      <c r="BM836">
        <v>47</v>
      </c>
      <c r="BN836">
        <v>0</v>
      </c>
      <c r="BO836">
        <v>0</v>
      </c>
      <c r="BP836">
        <v>110</v>
      </c>
      <c r="BQ836">
        <v>157</v>
      </c>
      <c r="BR836">
        <f t="shared" si="144"/>
        <v>-9</v>
      </c>
      <c r="BS836">
        <f t="shared" si="145"/>
        <v>9</v>
      </c>
    </row>
    <row r="837" spans="1:71" x14ac:dyDescent="0.25">
      <c r="A837" s="5" t="s">
        <v>359</v>
      </c>
      <c r="B837" s="5" t="s">
        <v>61</v>
      </c>
      <c r="C837" s="5" t="s">
        <v>61</v>
      </c>
      <c r="D837" s="1" t="s">
        <v>111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302</v>
      </c>
      <c r="L837">
        <v>58</v>
      </c>
      <c r="M837">
        <v>0</v>
      </c>
      <c r="N837">
        <v>0</v>
      </c>
      <c r="O837">
        <v>0</v>
      </c>
      <c r="P837">
        <v>0</v>
      </c>
      <c r="Q837">
        <v>9</v>
      </c>
      <c r="R837">
        <v>0</v>
      </c>
      <c r="S837" s="18" t="e">
        <f t="shared" si="136"/>
        <v>#DIV/0!</v>
      </c>
      <c r="T837" s="17" t="e">
        <f t="shared" si="137"/>
        <v>#DIV/0!</v>
      </c>
      <c r="U837" s="17" t="e">
        <f t="shared" si="138"/>
        <v>#DIV/0!</v>
      </c>
      <c r="V837" s="17" t="e">
        <f t="shared" si="139"/>
        <v>#DIV/0!</v>
      </c>
      <c r="W837" s="17" t="e">
        <f t="shared" si="140"/>
        <v>#DIV/0!</v>
      </c>
      <c r="X837" s="17" t="e">
        <f t="shared" si="141"/>
        <v>#DIV/0!</v>
      </c>
      <c r="Y837" s="19" t="e">
        <f t="shared" si="142"/>
        <v>#DIV/0!</v>
      </c>
      <c r="Z837">
        <v>0</v>
      </c>
      <c r="AA837">
        <v>0</v>
      </c>
      <c r="AB837">
        <v>0</v>
      </c>
      <c r="AC837">
        <v>200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302</v>
      </c>
      <c r="AP837">
        <v>302</v>
      </c>
      <c r="AQ837">
        <v>302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58</v>
      </c>
      <c r="BA837">
        <v>58</v>
      </c>
      <c r="BB837">
        <v>0</v>
      </c>
      <c r="BC837">
        <v>0</v>
      </c>
      <c r="BD837">
        <v>0</v>
      </c>
      <c r="BE837">
        <f t="shared" si="143"/>
        <v>1222</v>
      </c>
      <c r="BF837">
        <v>547</v>
      </c>
      <c r="BG837">
        <v>547</v>
      </c>
      <c r="BH837" t="s">
        <v>190</v>
      </c>
      <c r="BI837" t="s">
        <v>718</v>
      </c>
      <c r="BJ837">
        <v>200</v>
      </c>
      <c r="BK837">
        <v>360</v>
      </c>
      <c r="BL837">
        <v>560</v>
      </c>
      <c r="BM837">
        <v>0</v>
      </c>
      <c r="BN837">
        <v>0</v>
      </c>
      <c r="BO837">
        <v>0</v>
      </c>
      <c r="BP837">
        <v>360</v>
      </c>
      <c r="BQ837">
        <v>360</v>
      </c>
      <c r="BR837">
        <f t="shared" si="144"/>
        <v>-9</v>
      </c>
      <c r="BS837">
        <f t="shared" si="145"/>
        <v>9</v>
      </c>
    </row>
    <row r="838" spans="1:71" x14ac:dyDescent="0.25">
      <c r="A838" s="5" t="s">
        <v>627</v>
      </c>
      <c r="B838" s="5" t="s">
        <v>359</v>
      </c>
      <c r="C838" s="5" t="s">
        <v>61</v>
      </c>
      <c r="D838" s="1" t="s">
        <v>115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190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9</v>
      </c>
      <c r="R838">
        <v>0</v>
      </c>
      <c r="S838" s="18" t="e">
        <f t="shared" si="136"/>
        <v>#DIV/0!</v>
      </c>
      <c r="T838" s="17" t="e">
        <f t="shared" si="137"/>
        <v>#DIV/0!</v>
      </c>
      <c r="U838" s="17" t="e">
        <f t="shared" si="138"/>
        <v>#DIV/0!</v>
      </c>
      <c r="V838" s="17" t="e">
        <f t="shared" si="139"/>
        <v>#DIV/0!</v>
      </c>
      <c r="W838" s="17" t="e">
        <f t="shared" si="140"/>
        <v>#DIV/0!</v>
      </c>
      <c r="X838" s="17" t="e">
        <f t="shared" si="141"/>
        <v>#DIV/0!</v>
      </c>
      <c r="Y838" s="19" t="e">
        <f t="shared" si="142"/>
        <v>#DIV/0!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190</v>
      </c>
      <c r="AP838">
        <v>0</v>
      </c>
      <c r="AQ838">
        <v>190</v>
      </c>
      <c r="AR838">
        <v>190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f t="shared" si="143"/>
        <v>570</v>
      </c>
      <c r="BF838">
        <v>190</v>
      </c>
      <c r="BG838">
        <v>190</v>
      </c>
      <c r="BH838" t="s">
        <v>199</v>
      </c>
      <c r="BI838" t="s">
        <v>870</v>
      </c>
      <c r="BJ838">
        <v>0</v>
      </c>
      <c r="BK838">
        <v>190</v>
      </c>
      <c r="BL838">
        <v>190</v>
      </c>
      <c r="BM838">
        <v>0</v>
      </c>
      <c r="BN838">
        <v>0</v>
      </c>
      <c r="BO838">
        <v>0</v>
      </c>
      <c r="BP838">
        <v>190</v>
      </c>
      <c r="BQ838">
        <v>190</v>
      </c>
      <c r="BR838">
        <f t="shared" si="144"/>
        <v>-9</v>
      </c>
      <c r="BS838">
        <f t="shared" si="145"/>
        <v>9</v>
      </c>
    </row>
    <row r="839" spans="1:71" x14ac:dyDescent="0.25">
      <c r="A839" s="5" t="s">
        <v>1135</v>
      </c>
      <c r="B839" s="5" t="s">
        <v>61</v>
      </c>
      <c r="C839" s="5" t="s">
        <v>61</v>
      </c>
      <c r="D839" s="1" t="s">
        <v>196</v>
      </c>
      <c r="E839">
        <v>0</v>
      </c>
      <c r="F839">
        <v>9798</v>
      </c>
      <c r="G839">
        <v>0</v>
      </c>
      <c r="H839">
        <v>0</v>
      </c>
      <c r="I839">
        <v>400</v>
      </c>
      <c r="J839">
        <v>0</v>
      </c>
      <c r="K839">
        <v>0</v>
      </c>
      <c r="L839">
        <v>0</v>
      </c>
      <c r="M839">
        <v>11295</v>
      </c>
      <c r="N839">
        <v>0</v>
      </c>
      <c r="O839">
        <v>0</v>
      </c>
      <c r="P839">
        <v>0</v>
      </c>
      <c r="Q839">
        <v>1264</v>
      </c>
      <c r="R839">
        <v>1255</v>
      </c>
      <c r="S839" s="18">
        <f t="shared" si="136"/>
        <v>9</v>
      </c>
      <c r="T839" s="17">
        <f t="shared" si="137"/>
        <v>1255</v>
      </c>
      <c r="U839" s="17">
        <f t="shared" si="138"/>
        <v>0</v>
      </c>
      <c r="V839" s="17">
        <f t="shared" si="139"/>
        <v>0</v>
      </c>
      <c r="W839" s="17">
        <f t="shared" si="140"/>
        <v>0</v>
      </c>
      <c r="X839" s="17">
        <f t="shared" si="141"/>
        <v>9</v>
      </c>
      <c r="Y839" s="19">
        <f t="shared" si="142"/>
        <v>0</v>
      </c>
      <c r="Z839">
        <v>9798</v>
      </c>
      <c r="AA839">
        <v>0</v>
      </c>
      <c r="AB839">
        <v>0</v>
      </c>
      <c r="AC839">
        <v>0</v>
      </c>
      <c r="AD839">
        <v>400</v>
      </c>
      <c r="AE839">
        <v>0</v>
      </c>
      <c r="AF839">
        <v>0</v>
      </c>
      <c r="AG839">
        <v>0</v>
      </c>
      <c r="AH839">
        <v>400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f t="shared" si="143"/>
        <v>800</v>
      </c>
      <c r="BF839">
        <v>10198</v>
      </c>
      <c r="BG839">
        <v>10198</v>
      </c>
      <c r="BH839" t="s">
        <v>109</v>
      </c>
      <c r="BI839" t="s">
        <v>1196</v>
      </c>
      <c r="BJ839">
        <v>0</v>
      </c>
      <c r="BK839">
        <v>400</v>
      </c>
      <c r="BL839">
        <v>10198</v>
      </c>
      <c r="BM839">
        <v>11695</v>
      </c>
      <c r="BN839">
        <v>0</v>
      </c>
      <c r="BO839">
        <v>0</v>
      </c>
      <c r="BP839">
        <v>0</v>
      </c>
      <c r="BQ839">
        <v>11695</v>
      </c>
      <c r="BR839">
        <f t="shared" si="144"/>
        <v>-9</v>
      </c>
      <c r="BS839">
        <f t="shared" si="145"/>
        <v>2519</v>
      </c>
    </row>
    <row r="840" spans="1:71" x14ac:dyDescent="0.25">
      <c r="A840" s="5" t="s">
        <v>1135</v>
      </c>
      <c r="B840" s="5" t="s">
        <v>207</v>
      </c>
      <c r="C840" s="5" t="s">
        <v>207</v>
      </c>
      <c r="D840" s="1" t="s">
        <v>108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1097</v>
      </c>
      <c r="K840">
        <v>110</v>
      </c>
      <c r="L840">
        <v>45</v>
      </c>
      <c r="M840">
        <v>0</v>
      </c>
      <c r="N840">
        <v>0</v>
      </c>
      <c r="O840">
        <v>0</v>
      </c>
      <c r="P840">
        <v>0</v>
      </c>
      <c r="Q840">
        <v>9</v>
      </c>
      <c r="R840">
        <v>0</v>
      </c>
      <c r="S840" s="18" t="e">
        <f t="shared" si="136"/>
        <v>#DIV/0!</v>
      </c>
      <c r="T840" s="17" t="e">
        <f t="shared" si="137"/>
        <v>#DIV/0!</v>
      </c>
      <c r="U840" s="17" t="e">
        <f t="shared" si="138"/>
        <v>#DIV/0!</v>
      </c>
      <c r="V840" s="17" t="e">
        <f t="shared" si="139"/>
        <v>#DIV/0!</v>
      </c>
      <c r="W840" s="17" t="e">
        <f t="shared" si="140"/>
        <v>#DIV/0!</v>
      </c>
      <c r="X840" s="17" t="e">
        <f t="shared" si="141"/>
        <v>#DIV/0!</v>
      </c>
      <c r="Y840" s="19" t="e">
        <f t="shared" si="142"/>
        <v>#DIV/0!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1097</v>
      </c>
      <c r="AK840">
        <v>0</v>
      </c>
      <c r="AL840">
        <v>1097</v>
      </c>
      <c r="AM840">
        <v>0</v>
      </c>
      <c r="AN840">
        <v>110</v>
      </c>
      <c r="AO840">
        <v>0</v>
      </c>
      <c r="AP840">
        <v>0</v>
      </c>
      <c r="AQ840">
        <v>110</v>
      </c>
      <c r="AR840">
        <v>110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45</v>
      </c>
      <c r="AZ840">
        <v>0</v>
      </c>
      <c r="BA840">
        <v>45</v>
      </c>
      <c r="BB840">
        <v>0</v>
      </c>
      <c r="BC840">
        <v>0</v>
      </c>
      <c r="BD840">
        <v>0</v>
      </c>
      <c r="BE840">
        <f t="shared" si="143"/>
        <v>2614</v>
      </c>
      <c r="BF840">
        <v>1252</v>
      </c>
      <c r="BG840">
        <v>1252</v>
      </c>
      <c r="BH840" t="s">
        <v>199</v>
      </c>
      <c r="BI840" t="s">
        <v>1277</v>
      </c>
      <c r="BJ840">
        <v>0</v>
      </c>
      <c r="BK840">
        <v>1252</v>
      </c>
      <c r="BL840">
        <v>1252</v>
      </c>
      <c r="BM840">
        <v>0</v>
      </c>
      <c r="BN840">
        <v>1252</v>
      </c>
      <c r="BO840">
        <v>0</v>
      </c>
      <c r="BP840">
        <v>0</v>
      </c>
      <c r="BQ840">
        <v>1252</v>
      </c>
      <c r="BR840">
        <f t="shared" si="144"/>
        <v>-9</v>
      </c>
      <c r="BS840">
        <f t="shared" si="145"/>
        <v>9</v>
      </c>
    </row>
    <row r="841" spans="1:71" x14ac:dyDescent="0.25">
      <c r="A841" s="5" t="s">
        <v>1337</v>
      </c>
      <c r="B841" s="5" t="s">
        <v>207</v>
      </c>
      <c r="C841" s="5" t="s">
        <v>61</v>
      </c>
      <c r="D841" s="1" t="s">
        <v>88</v>
      </c>
      <c r="E841">
        <v>0</v>
      </c>
      <c r="F841">
        <v>131</v>
      </c>
      <c r="G841">
        <v>0</v>
      </c>
      <c r="H841">
        <v>0</v>
      </c>
      <c r="I841">
        <v>250</v>
      </c>
      <c r="J841">
        <v>0</v>
      </c>
      <c r="K841">
        <v>0</v>
      </c>
      <c r="L841">
        <v>0</v>
      </c>
      <c r="M841">
        <v>1179</v>
      </c>
      <c r="N841">
        <v>0</v>
      </c>
      <c r="O841">
        <v>0</v>
      </c>
      <c r="P841">
        <v>0</v>
      </c>
      <c r="Q841">
        <v>140</v>
      </c>
      <c r="R841">
        <v>131</v>
      </c>
      <c r="S841" s="18">
        <f t="shared" si="136"/>
        <v>9</v>
      </c>
      <c r="T841" s="17">
        <f t="shared" si="137"/>
        <v>131</v>
      </c>
      <c r="U841" s="17">
        <f t="shared" si="138"/>
        <v>0</v>
      </c>
      <c r="V841" s="17">
        <f t="shared" si="139"/>
        <v>0</v>
      </c>
      <c r="W841" s="17">
        <f t="shared" si="140"/>
        <v>0</v>
      </c>
      <c r="X841" s="17">
        <f t="shared" si="141"/>
        <v>9</v>
      </c>
      <c r="Y841" s="19">
        <f t="shared" si="142"/>
        <v>0</v>
      </c>
      <c r="Z841">
        <v>131</v>
      </c>
      <c r="AA841">
        <v>0</v>
      </c>
      <c r="AB841">
        <v>0</v>
      </c>
      <c r="AC841">
        <v>0</v>
      </c>
      <c r="AD841">
        <v>250</v>
      </c>
      <c r="AE841">
        <v>0</v>
      </c>
      <c r="AF841">
        <v>0</v>
      </c>
      <c r="AG841">
        <v>0</v>
      </c>
      <c r="AH841">
        <v>250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f t="shared" si="143"/>
        <v>500</v>
      </c>
      <c r="BF841">
        <v>381</v>
      </c>
      <c r="BG841">
        <v>381</v>
      </c>
      <c r="BH841" t="s">
        <v>109</v>
      </c>
      <c r="BI841" t="s">
        <v>1382</v>
      </c>
      <c r="BJ841">
        <v>0</v>
      </c>
      <c r="BK841">
        <v>250</v>
      </c>
      <c r="BL841">
        <v>381</v>
      </c>
      <c r="BM841">
        <v>1429</v>
      </c>
      <c r="BN841">
        <v>0</v>
      </c>
      <c r="BO841">
        <v>0</v>
      </c>
      <c r="BP841">
        <v>0</v>
      </c>
      <c r="BQ841">
        <v>1429</v>
      </c>
      <c r="BR841">
        <f t="shared" si="144"/>
        <v>-9</v>
      </c>
      <c r="BS841">
        <f t="shared" si="145"/>
        <v>271</v>
      </c>
    </row>
    <row r="842" spans="1:71" x14ac:dyDescent="0.25">
      <c r="A842" s="5" t="s">
        <v>1451</v>
      </c>
      <c r="B842" s="5" t="s">
        <v>207</v>
      </c>
      <c r="C842" s="5" t="s">
        <v>61</v>
      </c>
      <c r="D842" s="1" t="s">
        <v>131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415</v>
      </c>
      <c r="K842">
        <v>0</v>
      </c>
      <c r="L842">
        <v>200</v>
      </c>
      <c r="M842">
        <v>0</v>
      </c>
      <c r="N842">
        <v>0</v>
      </c>
      <c r="O842">
        <v>0</v>
      </c>
      <c r="P842">
        <v>0</v>
      </c>
      <c r="Q842">
        <v>9</v>
      </c>
      <c r="R842">
        <v>0</v>
      </c>
      <c r="S842" s="18" t="e">
        <f t="shared" si="136"/>
        <v>#DIV/0!</v>
      </c>
      <c r="T842" s="17" t="e">
        <f t="shared" si="137"/>
        <v>#DIV/0!</v>
      </c>
      <c r="U842" s="17" t="e">
        <f t="shared" si="138"/>
        <v>#DIV/0!</v>
      </c>
      <c r="V842" s="17" t="e">
        <f t="shared" si="139"/>
        <v>#DIV/0!</v>
      </c>
      <c r="W842" s="17" t="e">
        <f t="shared" si="140"/>
        <v>#DIV/0!</v>
      </c>
      <c r="X842" s="17" t="e">
        <f t="shared" si="141"/>
        <v>#DIV/0!</v>
      </c>
      <c r="Y842" s="19" t="e">
        <f t="shared" si="142"/>
        <v>#DIV/0!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415</v>
      </c>
      <c r="AK842">
        <v>0</v>
      </c>
      <c r="AL842">
        <v>415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200</v>
      </c>
      <c r="AZ842">
        <v>0</v>
      </c>
      <c r="BA842">
        <v>200</v>
      </c>
      <c r="BB842">
        <v>0</v>
      </c>
      <c r="BC842">
        <v>0</v>
      </c>
      <c r="BD842">
        <v>0</v>
      </c>
      <c r="BE842">
        <f t="shared" si="143"/>
        <v>1230</v>
      </c>
      <c r="BF842">
        <v>615</v>
      </c>
      <c r="BG842">
        <v>615</v>
      </c>
      <c r="BH842" t="s">
        <v>199</v>
      </c>
      <c r="BI842" t="s">
        <v>1560</v>
      </c>
      <c r="BJ842">
        <v>0</v>
      </c>
      <c r="BK842">
        <v>615</v>
      </c>
      <c r="BL842">
        <v>615</v>
      </c>
      <c r="BM842">
        <v>0</v>
      </c>
      <c r="BN842">
        <v>615</v>
      </c>
      <c r="BO842">
        <v>0</v>
      </c>
      <c r="BP842">
        <v>0</v>
      </c>
      <c r="BQ842">
        <v>615</v>
      </c>
      <c r="BR842">
        <f t="shared" si="144"/>
        <v>-9</v>
      </c>
      <c r="BS842">
        <f t="shared" si="145"/>
        <v>9</v>
      </c>
    </row>
    <row r="843" spans="1:71" x14ac:dyDescent="0.25">
      <c r="A843" s="5" t="s">
        <v>1451</v>
      </c>
      <c r="B843" s="5" t="s">
        <v>359</v>
      </c>
      <c r="C843" s="5" t="s">
        <v>61</v>
      </c>
      <c r="D843" s="1" t="s">
        <v>167</v>
      </c>
      <c r="E843">
        <v>180</v>
      </c>
      <c r="F843">
        <v>0</v>
      </c>
      <c r="G843">
        <v>0</v>
      </c>
      <c r="H843">
        <v>0</v>
      </c>
      <c r="I843">
        <v>0</v>
      </c>
      <c r="J843">
        <v>850</v>
      </c>
      <c r="K843">
        <v>120</v>
      </c>
      <c r="L843">
        <v>30</v>
      </c>
      <c r="M843">
        <v>0</v>
      </c>
      <c r="N843">
        <v>0</v>
      </c>
      <c r="O843">
        <v>0</v>
      </c>
      <c r="P843">
        <v>0</v>
      </c>
      <c r="Q843">
        <v>9</v>
      </c>
      <c r="R843">
        <v>0</v>
      </c>
      <c r="S843" s="18" t="e">
        <f t="shared" si="136"/>
        <v>#DIV/0!</v>
      </c>
      <c r="T843" s="17" t="e">
        <f t="shared" si="137"/>
        <v>#DIV/0!</v>
      </c>
      <c r="U843" s="17" t="e">
        <f t="shared" si="138"/>
        <v>#DIV/0!</v>
      </c>
      <c r="V843" s="17" t="e">
        <f t="shared" si="139"/>
        <v>#DIV/0!</v>
      </c>
      <c r="W843" s="17" t="e">
        <f t="shared" si="140"/>
        <v>#DIV/0!</v>
      </c>
      <c r="X843" s="17" t="e">
        <f t="shared" si="141"/>
        <v>#DIV/0!</v>
      </c>
      <c r="Y843" s="19" t="e">
        <f t="shared" si="142"/>
        <v>#DIV/0!</v>
      </c>
      <c r="Z843">
        <v>0</v>
      </c>
      <c r="AA843">
        <v>0</v>
      </c>
      <c r="AB843">
        <v>0</v>
      </c>
      <c r="AC843">
        <v>160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850</v>
      </c>
      <c r="AL843">
        <v>850</v>
      </c>
      <c r="AM843">
        <v>0</v>
      </c>
      <c r="AN843">
        <v>0</v>
      </c>
      <c r="AO843">
        <v>120</v>
      </c>
      <c r="AP843">
        <v>60</v>
      </c>
      <c r="AQ843">
        <v>120</v>
      </c>
      <c r="AR843">
        <v>60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30</v>
      </c>
      <c r="BA843">
        <v>30</v>
      </c>
      <c r="BB843">
        <v>0</v>
      </c>
      <c r="BC843">
        <v>0</v>
      </c>
      <c r="BD843">
        <v>0</v>
      </c>
      <c r="BE843">
        <f t="shared" si="143"/>
        <v>2280</v>
      </c>
      <c r="BF843">
        <v>1340</v>
      </c>
      <c r="BG843">
        <v>1340</v>
      </c>
      <c r="BH843" t="s">
        <v>199</v>
      </c>
      <c r="BI843" t="s">
        <v>1645</v>
      </c>
      <c r="BJ843">
        <v>340</v>
      </c>
      <c r="BK843">
        <v>1000</v>
      </c>
      <c r="BL843">
        <v>1340</v>
      </c>
      <c r="BM843">
        <v>0</v>
      </c>
      <c r="BN843">
        <v>0</v>
      </c>
      <c r="BO843">
        <v>0</v>
      </c>
      <c r="BP843">
        <v>1000</v>
      </c>
      <c r="BQ843">
        <v>1000</v>
      </c>
      <c r="BR843">
        <f t="shared" si="144"/>
        <v>-9</v>
      </c>
      <c r="BS843">
        <f t="shared" si="145"/>
        <v>9</v>
      </c>
    </row>
    <row r="844" spans="1:71" x14ac:dyDescent="0.25">
      <c r="A844" s="5" t="s">
        <v>1946</v>
      </c>
      <c r="B844" s="5" t="s">
        <v>207</v>
      </c>
      <c r="C844" s="5" t="s">
        <v>61</v>
      </c>
      <c r="D844" s="1" t="s">
        <v>111</v>
      </c>
      <c r="E844">
        <v>0</v>
      </c>
      <c r="F844">
        <v>0</v>
      </c>
      <c r="G844">
        <v>0</v>
      </c>
      <c r="H844">
        <v>0</v>
      </c>
      <c r="I844">
        <v>275</v>
      </c>
      <c r="J844">
        <v>1018</v>
      </c>
      <c r="K844">
        <v>45</v>
      </c>
      <c r="L844">
        <v>230</v>
      </c>
      <c r="M844">
        <v>0</v>
      </c>
      <c r="N844">
        <v>0</v>
      </c>
      <c r="O844">
        <v>0</v>
      </c>
      <c r="P844">
        <v>0</v>
      </c>
      <c r="Q844">
        <v>9</v>
      </c>
      <c r="R844">
        <v>0</v>
      </c>
      <c r="S844" s="18" t="e">
        <f t="shared" si="136"/>
        <v>#DIV/0!</v>
      </c>
      <c r="T844" s="17" t="e">
        <f t="shared" si="137"/>
        <v>#DIV/0!</v>
      </c>
      <c r="U844" s="17" t="e">
        <f t="shared" si="138"/>
        <v>#DIV/0!</v>
      </c>
      <c r="V844" s="17" t="e">
        <f t="shared" si="139"/>
        <v>#DIV/0!</v>
      </c>
      <c r="W844" s="17" t="e">
        <f t="shared" si="140"/>
        <v>#DIV/0!</v>
      </c>
      <c r="X844" s="17" t="e">
        <f t="shared" si="141"/>
        <v>#DIV/0!</v>
      </c>
      <c r="Y844" s="19" t="e">
        <f t="shared" si="142"/>
        <v>#DIV/0!</v>
      </c>
      <c r="Z844">
        <v>0</v>
      </c>
      <c r="AA844">
        <v>0</v>
      </c>
      <c r="AB844">
        <v>0</v>
      </c>
      <c r="AC844">
        <v>110</v>
      </c>
      <c r="AD844">
        <v>0</v>
      </c>
      <c r="AE844">
        <v>0</v>
      </c>
      <c r="AF844">
        <v>0</v>
      </c>
      <c r="AG844">
        <v>275</v>
      </c>
      <c r="AH844">
        <v>275</v>
      </c>
      <c r="AI844">
        <v>0</v>
      </c>
      <c r="AJ844">
        <v>0</v>
      </c>
      <c r="AK844">
        <v>1018</v>
      </c>
      <c r="AL844">
        <v>1018</v>
      </c>
      <c r="AM844">
        <v>0</v>
      </c>
      <c r="AN844">
        <v>0</v>
      </c>
      <c r="AO844">
        <v>45</v>
      </c>
      <c r="AP844">
        <v>0</v>
      </c>
      <c r="AQ844">
        <v>45</v>
      </c>
      <c r="AR844">
        <v>45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230</v>
      </c>
      <c r="BA844">
        <v>230</v>
      </c>
      <c r="BB844">
        <v>0</v>
      </c>
      <c r="BC844">
        <v>0</v>
      </c>
      <c r="BD844">
        <v>0</v>
      </c>
      <c r="BE844">
        <f t="shared" si="143"/>
        <v>3291</v>
      </c>
      <c r="BF844">
        <v>1678</v>
      </c>
      <c r="BG844">
        <v>1678</v>
      </c>
      <c r="BH844" t="s">
        <v>190</v>
      </c>
      <c r="BI844" t="s">
        <v>2031</v>
      </c>
      <c r="BJ844">
        <v>110</v>
      </c>
      <c r="BK844">
        <v>1568</v>
      </c>
      <c r="BL844">
        <v>1678</v>
      </c>
      <c r="BM844">
        <v>0</v>
      </c>
      <c r="BN844">
        <v>0</v>
      </c>
      <c r="BO844">
        <v>0</v>
      </c>
      <c r="BP844">
        <v>1568</v>
      </c>
      <c r="BQ844">
        <v>1568</v>
      </c>
      <c r="BR844">
        <f t="shared" si="144"/>
        <v>-9</v>
      </c>
      <c r="BS844">
        <f t="shared" si="145"/>
        <v>9</v>
      </c>
    </row>
    <row r="845" spans="1:71" x14ac:dyDescent="0.25">
      <c r="A845" s="5" t="s">
        <v>1946</v>
      </c>
      <c r="B845" s="5" t="s">
        <v>207</v>
      </c>
      <c r="C845" s="5" t="s">
        <v>61</v>
      </c>
      <c r="D845" s="1" t="s">
        <v>119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264</v>
      </c>
      <c r="K845">
        <v>69</v>
      </c>
      <c r="L845">
        <v>86</v>
      </c>
      <c r="M845">
        <v>0</v>
      </c>
      <c r="N845">
        <v>0</v>
      </c>
      <c r="O845">
        <v>0</v>
      </c>
      <c r="P845">
        <v>0</v>
      </c>
      <c r="Q845">
        <v>9</v>
      </c>
      <c r="R845">
        <v>0</v>
      </c>
      <c r="S845" s="18" t="e">
        <f t="shared" si="136"/>
        <v>#DIV/0!</v>
      </c>
      <c r="T845" s="17" t="e">
        <f t="shared" si="137"/>
        <v>#DIV/0!</v>
      </c>
      <c r="U845" s="17" t="e">
        <f t="shared" si="138"/>
        <v>#DIV/0!</v>
      </c>
      <c r="V845" s="17" t="e">
        <f t="shared" si="139"/>
        <v>#DIV/0!</v>
      </c>
      <c r="W845" s="17" t="e">
        <f t="shared" si="140"/>
        <v>#DIV/0!</v>
      </c>
      <c r="X845" s="17" t="e">
        <f t="shared" si="141"/>
        <v>#DIV/0!</v>
      </c>
      <c r="Y845" s="19" t="e">
        <f t="shared" si="142"/>
        <v>#DIV/0!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264</v>
      </c>
      <c r="AL845">
        <v>264</v>
      </c>
      <c r="AM845">
        <v>0</v>
      </c>
      <c r="AN845">
        <v>0</v>
      </c>
      <c r="AO845">
        <v>69</v>
      </c>
      <c r="AP845">
        <v>0</v>
      </c>
      <c r="AQ845">
        <v>69</v>
      </c>
      <c r="AR845">
        <v>69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86</v>
      </c>
      <c r="BA845">
        <v>86</v>
      </c>
      <c r="BB845">
        <v>0</v>
      </c>
      <c r="BC845">
        <v>0</v>
      </c>
      <c r="BD845">
        <v>0</v>
      </c>
      <c r="BE845">
        <f t="shared" si="143"/>
        <v>907</v>
      </c>
      <c r="BF845">
        <v>419</v>
      </c>
      <c r="BG845">
        <v>419</v>
      </c>
      <c r="BH845" t="s">
        <v>199</v>
      </c>
      <c r="BI845" t="s">
        <v>2035</v>
      </c>
      <c r="BJ845">
        <v>0</v>
      </c>
      <c r="BK845">
        <v>419</v>
      </c>
      <c r="BL845">
        <v>419</v>
      </c>
      <c r="BM845">
        <v>0</v>
      </c>
      <c r="BN845">
        <v>0</v>
      </c>
      <c r="BO845">
        <v>0</v>
      </c>
      <c r="BP845">
        <v>419</v>
      </c>
      <c r="BQ845">
        <v>419</v>
      </c>
      <c r="BR845">
        <f t="shared" si="144"/>
        <v>-9</v>
      </c>
      <c r="BS845">
        <f t="shared" si="145"/>
        <v>9</v>
      </c>
    </row>
    <row r="846" spans="1:71" x14ac:dyDescent="0.25">
      <c r="A846" s="5" t="s">
        <v>2294</v>
      </c>
      <c r="B846" s="5" t="s">
        <v>61</v>
      </c>
      <c r="C846" s="5" t="s">
        <v>61</v>
      </c>
      <c r="D846" s="1" t="s">
        <v>102</v>
      </c>
      <c r="E846">
        <v>0</v>
      </c>
      <c r="F846">
        <v>0</v>
      </c>
      <c r="G846">
        <v>0</v>
      </c>
      <c r="H846">
        <v>0</v>
      </c>
      <c r="I846">
        <v>80</v>
      </c>
      <c r="J846">
        <v>0</v>
      </c>
      <c r="K846">
        <v>71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9</v>
      </c>
      <c r="R846">
        <v>0</v>
      </c>
      <c r="S846" s="18" t="e">
        <f t="shared" si="136"/>
        <v>#DIV/0!</v>
      </c>
      <c r="T846" s="17" t="e">
        <f t="shared" si="137"/>
        <v>#DIV/0!</v>
      </c>
      <c r="U846" s="17" t="e">
        <f t="shared" si="138"/>
        <v>#DIV/0!</v>
      </c>
      <c r="V846" s="17" t="e">
        <f t="shared" si="139"/>
        <v>#DIV/0!</v>
      </c>
      <c r="W846" s="17" t="e">
        <f t="shared" si="140"/>
        <v>#DIV/0!</v>
      </c>
      <c r="X846" s="17" t="e">
        <f t="shared" si="141"/>
        <v>#DIV/0!</v>
      </c>
      <c r="Y846" s="19" t="e">
        <f t="shared" si="142"/>
        <v>#DIV/0!</v>
      </c>
      <c r="Z846">
        <v>0</v>
      </c>
      <c r="AA846">
        <v>0</v>
      </c>
      <c r="AB846">
        <v>0</v>
      </c>
      <c r="AC846">
        <v>50</v>
      </c>
      <c r="AD846">
        <v>0</v>
      </c>
      <c r="AE846">
        <v>0</v>
      </c>
      <c r="AF846">
        <v>0</v>
      </c>
      <c r="AG846">
        <v>80</v>
      </c>
      <c r="AH846">
        <v>80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71</v>
      </c>
      <c r="AP846">
        <v>36</v>
      </c>
      <c r="AQ846">
        <v>71</v>
      </c>
      <c r="AR846">
        <v>35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f t="shared" si="143"/>
        <v>423</v>
      </c>
      <c r="BF846">
        <v>201</v>
      </c>
      <c r="BG846">
        <v>201</v>
      </c>
      <c r="BH846" t="s">
        <v>82</v>
      </c>
      <c r="BI846" t="s">
        <v>1873</v>
      </c>
      <c r="BJ846">
        <v>50</v>
      </c>
      <c r="BK846">
        <v>151</v>
      </c>
      <c r="BL846">
        <v>201</v>
      </c>
      <c r="BM846">
        <v>0</v>
      </c>
      <c r="BN846">
        <v>0</v>
      </c>
      <c r="BO846">
        <v>0</v>
      </c>
      <c r="BP846">
        <v>151</v>
      </c>
      <c r="BQ846">
        <v>151</v>
      </c>
      <c r="BR846">
        <f t="shared" si="144"/>
        <v>-9</v>
      </c>
      <c r="BS846">
        <f t="shared" si="145"/>
        <v>9</v>
      </c>
    </row>
    <row r="847" spans="1:71" x14ac:dyDescent="0.25">
      <c r="A847" s="5" t="s">
        <v>61</v>
      </c>
      <c r="B847" s="5" t="s">
        <v>61</v>
      </c>
      <c r="C847" s="5" t="s">
        <v>61</v>
      </c>
      <c r="D847" s="1" t="s">
        <v>192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150</v>
      </c>
      <c r="K847">
        <v>25</v>
      </c>
      <c r="L847">
        <v>16</v>
      </c>
      <c r="M847">
        <v>0</v>
      </c>
      <c r="N847">
        <v>0</v>
      </c>
      <c r="O847">
        <v>0</v>
      </c>
      <c r="P847">
        <v>0</v>
      </c>
      <c r="Q847">
        <v>10</v>
      </c>
      <c r="R847">
        <v>0</v>
      </c>
      <c r="S847" s="18" t="e">
        <f t="shared" si="136"/>
        <v>#DIV/0!</v>
      </c>
      <c r="T847" s="17" t="e">
        <f t="shared" si="137"/>
        <v>#DIV/0!</v>
      </c>
      <c r="U847" s="17" t="e">
        <f t="shared" si="138"/>
        <v>#DIV/0!</v>
      </c>
      <c r="V847" s="17" t="e">
        <f t="shared" si="139"/>
        <v>#DIV/0!</v>
      </c>
      <c r="W847" s="17" t="e">
        <f t="shared" si="140"/>
        <v>#DIV/0!</v>
      </c>
      <c r="X847" s="17" t="e">
        <f t="shared" si="141"/>
        <v>#DIV/0!</v>
      </c>
      <c r="Y847" s="19" t="e">
        <f t="shared" si="142"/>
        <v>#DIV/0!</v>
      </c>
      <c r="Z847">
        <v>0</v>
      </c>
      <c r="AA847">
        <v>0</v>
      </c>
      <c r="AB847">
        <v>0</v>
      </c>
      <c r="AC847">
        <v>104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150</v>
      </c>
      <c r="AL847">
        <v>150</v>
      </c>
      <c r="AM847">
        <v>0</v>
      </c>
      <c r="AN847">
        <v>0</v>
      </c>
      <c r="AO847">
        <v>25</v>
      </c>
      <c r="AP847">
        <v>0</v>
      </c>
      <c r="AQ847">
        <v>25</v>
      </c>
      <c r="AR847">
        <v>25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16</v>
      </c>
      <c r="BA847">
        <v>16</v>
      </c>
      <c r="BB847">
        <v>0</v>
      </c>
      <c r="BC847">
        <v>0</v>
      </c>
      <c r="BD847">
        <v>0</v>
      </c>
      <c r="BE847">
        <f t="shared" si="143"/>
        <v>511</v>
      </c>
      <c r="BF847">
        <v>295</v>
      </c>
      <c r="BG847">
        <v>295</v>
      </c>
      <c r="BH847" t="s">
        <v>190</v>
      </c>
      <c r="BI847" t="s">
        <v>193</v>
      </c>
      <c r="BJ847">
        <v>104</v>
      </c>
      <c r="BK847">
        <v>191</v>
      </c>
      <c r="BL847">
        <v>295</v>
      </c>
      <c r="BM847">
        <v>0</v>
      </c>
      <c r="BN847">
        <v>0</v>
      </c>
      <c r="BO847">
        <v>0</v>
      </c>
      <c r="BP847">
        <v>191</v>
      </c>
      <c r="BQ847">
        <v>191</v>
      </c>
      <c r="BR847">
        <f t="shared" si="144"/>
        <v>-10</v>
      </c>
      <c r="BS847">
        <f t="shared" si="145"/>
        <v>10</v>
      </c>
    </row>
    <row r="848" spans="1:71" x14ac:dyDescent="0.25">
      <c r="A848" s="5" t="s">
        <v>207</v>
      </c>
      <c r="B848" s="5" t="s">
        <v>207</v>
      </c>
      <c r="C848" s="5" t="s">
        <v>207</v>
      </c>
      <c r="D848" s="1" t="s">
        <v>73</v>
      </c>
      <c r="E848">
        <v>0</v>
      </c>
      <c r="F848">
        <v>11</v>
      </c>
      <c r="G848">
        <v>0</v>
      </c>
      <c r="H848">
        <v>0</v>
      </c>
      <c r="I848">
        <v>50</v>
      </c>
      <c r="J848">
        <v>0</v>
      </c>
      <c r="K848">
        <v>130</v>
      </c>
      <c r="L848">
        <v>0</v>
      </c>
      <c r="M848">
        <v>0</v>
      </c>
      <c r="N848">
        <v>0</v>
      </c>
      <c r="O848">
        <v>0</v>
      </c>
      <c r="P848">
        <v>9</v>
      </c>
      <c r="Q848">
        <v>11</v>
      </c>
      <c r="R848">
        <v>1</v>
      </c>
      <c r="S848" s="18">
        <f t="shared" si="136"/>
        <v>9</v>
      </c>
      <c r="T848" s="17">
        <f t="shared" si="137"/>
        <v>0</v>
      </c>
      <c r="U848" s="17">
        <f t="shared" si="138"/>
        <v>0</v>
      </c>
      <c r="V848" s="17">
        <f t="shared" si="139"/>
        <v>0</v>
      </c>
      <c r="W848" s="17">
        <f t="shared" si="140"/>
        <v>1</v>
      </c>
      <c r="X848" s="17">
        <f t="shared" si="141"/>
        <v>10</v>
      </c>
      <c r="Y848" s="19">
        <f t="shared" si="142"/>
        <v>0</v>
      </c>
      <c r="Z848">
        <v>11</v>
      </c>
      <c r="AA848">
        <v>0</v>
      </c>
      <c r="AB848">
        <v>0</v>
      </c>
      <c r="AC848">
        <v>12</v>
      </c>
      <c r="AD848">
        <v>0</v>
      </c>
      <c r="AE848">
        <v>0</v>
      </c>
      <c r="AF848">
        <v>0</v>
      </c>
      <c r="AG848">
        <v>50</v>
      </c>
      <c r="AH848">
        <v>50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130</v>
      </c>
      <c r="AP848">
        <v>130</v>
      </c>
      <c r="AQ848">
        <v>130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f t="shared" si="143"/>
        <v>502</v>
      </c>
      <c r="BF848">
        <v>203</v>
      </c>
      <c r="BG848">
        <v>203</v>
      </c>
      <c r="BH848" t="s">
        <v>190</v>
      </c>
      <c r="BI848" t="s">
        <v>572</v>
      </c>
      <c r="BJ848">
        <v>12</v>
      </c>
      <c r="BK848">
        <v>180</v>
      </c>
      <c r="BL848">
        <v>203</v>
      </c>
      <c r="BM848">
        <v>0</v>
      </c>
      <c r="BN848">
        <v>0</v>
      </c>
      <c r="BO848">
        <v>0</v>
      </c>
      <c r="BP848">
        <v>189</v>
      </c>
      <c r="BQ848">
        <v>189</v>
      </c>
      <c r="BR848">
        <f t="shared" si="144"/>
        <v>-10</v>
      </c>
      <c r="BS848">
        <f t="shared" si="145"/>
        <v>12</v>
      </c>
    </row>
    <row r="849" spans="1:74" x14ac:dyDescent="0.25">
      <c r="A849" s="5" t="s">
        <v>207</v>
      </c>
      <c r="B849" s="5" t="s">
        <v>359</v>
      </c>
      <c r="C849" s="5" t="s">
        <v>61</v>
      </c>
      <c r="D849" s="1" t="s">
        <v>111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250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10</v>
      </c>
      <c r="R849">
        <v>0</v>
      </c>
      <c r="S849" s="18" t="e">
        <f t="shared" si="136"/>
        <v>#DIV/0!</v>
      </c>
      <c r="T849" s="17" t="e">
        <f t="shared" si="137"/>
        <v>#DIV/0!</v>
      </c>
      <c r="U849" s="17" t="e">
        <f t="shared" si="138"/>
        <v>#DIV/0!</v>
      </c>
      <c r="V849" s="17" t="e">
        <f t="shared" si="139"/>
        <v>#DIV/0!</v>
      </c>
      <c r="W849" s="17" t="e">
        <f t="shared" si="140"/>
        <v>#DIV/0!</v>
      </c>
      <c r="X849" s="17" t="e">
        <f t="shared" si="141"/>
        <v>#DIV/0!</v>
      </c>
      <c r="Y849" s="19" t="e">
        <f t="shared" si="142"/>
        <v>#DIV/0!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250</v>
      </c>
      <c r="AN849">
        <v>0</v>
      </c>
      <c r="AO849">
        <v>0</v>
      </c>
      <c r="AP849">
        <v>50</v>
      </c>
      <c r="AQ849">
        <v>250</v>
      </c>
      <c r="AR849">
        <v>200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f t="shared" si="143"/>
        <v>750</v>
      </c>
      <c r="BF849">
        <v>250</v>
      </c>
      <c r="BG849">
        <v>250</v>
      </c>
      <c r="BH849" t="s">
        <v>190</v>
      </c>
      <c r="BI849" t="s">
        <v>613</v>
      </c>
      <c r="BJ849">
        <v>0</v>
      </c>
      <c r="BK849">
        <v>250</v>
      </c>
      <c r="BL849">
        <v>250</v>
      </c>
      <c r="BM849">
        <v>250</v>
      </c>
      <c r="BN849">
        <v>0</v>
      </c>
      <c r="BO849">
        <v>0</v>
      </c>
      <c r="BP849">
        <v>0</v>
      </c>
      <c r="BQ849">
        <v>250</v>
      </c>
      <c r="BR849">
        <f t="shared" si="144"/>
        <v>-10</v>
      </c>
      <c r="BS849">
        <f t="shared" si="145"/>
        <v>10</v>
      </c>
    </row>
    <row r="850" spans="1:74" x14ac:dyDescent="0.25">
      <c r="A850" s="5" t="s">
        <v>207</v>
      </c>
      <c r="B850" s="5" t="s">
        <v>627</v>
      </c>
      <c r="C850" s="5" t="s">
        <v>61</v>
      </c>
      <c r="D850" s="1" t="s">
        <v>90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102</v>
      </c>
      <c r="L850">
        <v>90</v>
      </c>
      <c r="M850">
        <v>0</v>
      </c>
      <c r="N850">
        <v>0</v>
      </c>
      <c r="O850">
        <v>0</v>
      </c>
      <c r="P850">
        <v>0</v>
      </c>
      <c r="Q850">
        <v>10</v>
      </c>
      <c r="R850">
        <v>0</v>
      </c>
      <c r="S850" s="18" t="e">
        <f t="shared" si="136"/>
        <v>#DIV/0!</v>
      </c>
      <c r="T850" s="17" t="e">
        <f t="shared" si="137"/>
        <v>#DIV/0!</v>
      </c>
      <c r="U850" s="17" t="e">
        <f t="shared" si="138"/>
        <v>#DIV/0!</v>
      </c>
      <c r="V850" s="17" t="e">
        <f t="shared" si="139"/>
        <v>#DIV/0!</v>
      </c>
      <c r="W850" s="17" t="e">
        <f t="shared" si="140"/>
        <v>#DIV/0!</v>
      </c>
      <c r="X850" s="17" t="e">
        <f t="shared" si="141"/>
        <v>#DIV/0!</v>
      </c>
      <c r="Y850" s="19" t="e">
        <f t="shared" si="142"/>
        <v>#DIV/0!</v>
      </c>
      <c r="Z850">
        <v>0</v>
      </c>
      <c r="AA850">
        <v>0</v>
      </c>
      <c r="AB850">
        <v>0</v>
      </c>
      <c r="AC850">
        <v>277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102</v>
      </c>
      <c r="AP850">
        <v>102</v>
      </c>
      <c r="AQ850">
        <v>102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90</v>
      </c>
      <c r="BA850">
        <v>90</v>
      </c>
      <c r="BB850">
        <v>0</v>
      </c>
      <c r="BC850">
        <v>0</v>
      </c>
      <c r="BD850">
        <v>0</v>
      </c>
      <c r="BE850">
        <f t="shared" si="143"/>
        <v>763</v>
      </c>
      <c r="BF850">
        <v>471</v>
      </c>
      <c r="BG850">
        <v>471</v>
      </c>
      <c r="BH850" t="s">
        <v>190</v>
      </c>
      <c r="BI850" t="s">
        <v>639</v>
      </c>
      <c r="BJ850">
        <v>279</v>
      </c>
      <c r="BK850">
        <v>192</v>
      </c>
      <c r="BL850">
        <v>471</v>
      </c>
      <c r="BM850">
        <v>0</v>
      </c>
      <c r="BN850">
        <v>0</v>
      </c>
      <c r="BO850">
        <v>0</v>
      </c>
      <c r="BP850">
        <v>192</v>
      </c>
      <c r="BQ850">
        <v>192</v>
      </c>
      <c r="BR850">
        <f t="shared" si="144"/>
        <v>-10</v>
      </c>
      <c r="BS850">
        <f t="shared" si="145"/>
        <v>10</v>
      </c>
    </row>
    <row r="851" spans="1:74" x14ac:dyDescent="0.25">
      <c r="A851" s="5" t="s">
        <v>359</v>
      </c>
      <c r="B851" s="5" t="s">
        <v>61</v>
      </c>
      <c r="C851" s="5" t="s">
        <v>61</v>
      </c>
      <c r="D851" s="1" t="s">
        <v>106</v>
      </c>
      <c r="E851">
        <v>0</v>
      </c>
      <c r="F851">
        <v>1114</v>
      </c>
      <c r="G851">
        <v>0</v>
      </c>
      <c r="H851">
        <v>0</v>
      </c>
      <c r="I851">
        <v>125</v>
      </c>
      <c r="J851">
        <v>0</v>
      </c>
      <c r="K851">
        <v>0</v>
      </c>
      <c r="L851">
        <v>0</v>
      </c>
      <c r="M851">
        <v>2898</v>
      </c>
      <c r="N851">
        <v>0</v>
      </c>
      <c r="O851">
        <v>0</v>
      </c>
      <c r="P851">
        <v>0</v>
      </c>
      <c r="Q851">
        <v>332</v>
      </c>
      <c r="R851">
        <v>322</v>
      </c>
      <c r="S851" s="18">
        <f t="shared" si="136"/>
        <v>9</v>
      </c>
      <c r="T851" s="17">
        <f t="shared" si="137"/>
        <v>322</v>
      </c>
      <c r="U851" s="17">
        <f t="shared" si="138"/>
        <v>0</v>
      </c>
      <c r="V851" s="17">
        <f t="shared" si="139"/>
        <v>0</v>
      </c>
      <c r="W851" s="17">
        <f t="shared" si="140"/>
        <v>0</v>
      </c>
      <c r="X851" s="17">
        <f t="shared" si="141"/>
        <v>10</v>
      </c>
      <c r="Y851" s="19">
        <f t="shared" si="142"/>
        <v>0</v>
      </c>
      <c r="Z851">
        <v>1114</v>
      </c>
      <c r="AA851">
        <v>0</v>
      </c>
      <c r="AB851">
        <v>0</v>
      </c>
      <c r="AC851">
        <v>0</v>
      </c>
      <c r="AD851">
        <v>125</v>
      </c>
      <c r="AE851">
        <v>0</v>
      </c>
      <c r="AF851">
        <v>0</v>
      </c>
      <c r="AG851">
        <v>0</v>
      </c>
      <c r="AH851">
        <v>125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f t="shared" si="143"/>
        <v>250</v>
      </c>
      <c r="BF851">
        <v>1239</v>
      </c>
      <c r="BG851">
        <v>1239</v>
      </c>
      <c r="BH851" t="s">
        <v>109</v>
      </c>
      <c r="BI851" t="s">
        <v>716</v>
      </c>
      <c r="BJ851">
        <v>0</v>
      </c>
      <c r="BK851">
        <v>125</v>
      </c>
      <c r="BL851">
        <v>1239</v>
      </c>
      <c r="BM851">
        <v>3023</v>
      </c>
      <c r="BN851">
        <v>0</v>
      </c>
      <c r="BO851">
        <v>0</v>
      </c>
      <c r="BP851">
        <v>0</v>
      </c>
      <c r="BQ851">
        <v>3023</v>
      </c>
      <c r="BR851">
        <f t="shared" si="144"/>
        <v>-10</v>
      </c>
      <c r="BS851">
        <f t="shared" si="145"/>
        <v>654</v>
      </c>
    </row>
    <row r="852" spans="1:74" x14ac:dyDescent="0.25">
      <c r="A852" s="5" t="s">
        <v>1135</v>
      </c>
      <c r="B852" s="5" t="s">
        <v>61</v>
      </c>
      <c r="C852" s="5" t="s">
        <v>61</v>
      </c>
      <c r="D852" s="1" t="s">
        <v>145</v>
      </c>
      <c r="E852">
        <v>0</v>
      </c>
      <c r="F852">
        <v>412</v>
      </c>
      <c r="G852">
        <v>0</v>
      </c>
      <c r="H852">
        <v>0</v>
      </c>
      <c r="I852">
        <v>12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3708</v>
      </c>
      <c r="Q852">
        <v>422</v>
      </c>
      <c r="R852">
        <v>412</v>
      </c>
      <c r="S852" s="18">
        <f t="shared" si="136"/>
        <v>9</v>
      </c>
      <c r="T852" s="17">
        <f t="shared" si="137"/>
        <v>0</v>
      </c>
      <c r="U852" s="17">
        <f t="shared" si="138"/>
        <v>0</v>
      </c>
      <c r="V852" s="17">
        <f t="shared" si="139"/>
        <v>0</v>
      </c>
      <c r="W852" s="17">
        <f t="shared" si="140"/>
        <v>412</v>
      </c>
      <c r="X852" s="17">
        <f t="shared" si="141"/>
        <v>10</v>
      </c>
      <c r="Y852" s="19">
        <f t="shared" si="142"/>
        <v>0</v>
      </c>
      <c r="Z852">
        <v>412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12</v>
      </c>
      <c r="AH852">
        <v>12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f t="shared" si="143"/>
        <v>24</v>
      </c>
      <c r="BF852">
        <v>424</v>
      </c>
      <c r="BG852">
        <v>424</v>
      </c>
      <c r="BH852" t="s">
        <v>109</v>
      </c>
      <c r="BI852" t="s">
        <v>1171</v>
      </c>
      <c r="BJ852">
        <v>0</v>
      </c>
      <c r="BK852">
        <v>12</v>
      </c>
      <c r="BL852">
        <v>424</v>
      </c>
      <c r="BM852">
        <v>0</v>
      </c>
      <c r="BN852">
        <v>0</v>
      </c>
      <c r="BO852">
        <v>0</v>
      </c>
      <c r="BP852">
        <v>3720</v>
      </c>
      <c r="BQ852">
        <v>3720</v>
      </c>
      <c r="BR852">
        <f t="shared" si="144"/>
        <v>-10</v>
      </c>
      <c r="BS852">
        <f t="shared" si="145"/>
        <v>834</v>
      </c>
    </row>
    <row r="853" spans="1:74" x14ac:dyDescent="0.25">
      <c r="A853" s="5" t="s">
        <v>1135</v>
      </c>
      <c r="B853" s="5" t="s">
        <v>207</v>
      </c>
      <c r="C853" s="5" t="s">
        <v>61</v>
      </c>
      <c r="D853" s="1" t="s">
        <v>181</v>
      </c>
      <c r="E853">
        <v>0</v>
      </c>
      <c r="F853">
        <v>45</v>
      </c>
      <c r="G853">
        <v>0</v>
      </c>
      <c r="H853">
        <v>0</v>
      </c>
      <c r="I853">
        <v>0</v>
      </c>
      <c r="J853">
        <v>340</v>
      </c>
      <c r="K853">
        <v>60</v>
      </c>
      <c r="L853">
        <v>35</v>
      </c>
      <c r="M853">
        <v>0</v>
      </c>
      <c r="N853">
        <v>0</v>
      </c>
      <c r="O853">
        <v>0</v>
      </c>
      <c r="P853">
        <v>72</v>
      </c>
      <c r="Q853">
        <v>18</v>
      </c>
      <c r="R853">
        <v>8</v>
      </c>
      <c r="S853" s="18">
        <f t="shared" si="136"/>
        <v>9</v>
      </c>
      <c r="T853" s="17">
        <f t="shared" si="137"/>
        <v>0</v>
      </c>
      <c r="U853" s="17">
        <f t="shared" si="138"/>
        <v>0</v>
      </c>
      <c r="V853" s="17">
        <f t="shared" si="139"/>
        <v>0</v>
      </c>
      <c r="W853" s="17">
        <f t="shared" si="140"/>
        <v>8</v>
      </c>
      <c r="X853" s="17">
        <f t="shared" si="141"/>
        <v>10</v>
      </c>
      <c r="Y853" s="19">
        <f t="shared" si="142"/>
        <v>0</v>
      </c>
      <c r="Z853">
        <v>45</v>
      </c>
      <c r="AA853">
        <v>0</v>
      </c>
      <c r="AB853">
        <v>0</v>
      </c>
      <c r="AC853">
        <v>100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340</v>
      </c>
      <c r="AL853">
        <v>340</v>
      </c>
      <c r="AM853">
        <v>0</v>
      </c>
      <c r="AN853">
        <v>0</v>
      </c>
      <c r="AO853">
        <v>60</v>
      </c>
      <c r="AP853">
        <v>20</v>
      </c>
      <c r="AQ853">
        <v>60</v>
      </c>
      <c r="AR853">
        <v>40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35</v>
      </c>
      <c r="BA853">
        <v>35</v>
      </c>
      <c r="BB853">
        <v>0</v>
      </c>
      <c r="BC853">
        <v>0</v>
      </c>
      <c r="BD853">
        <v>0</v>
      </c>
      <c r="BE853">
        <f t="shared" si="143"/>
        <v>1030</v>
      </c>
      <c r="BF853">
        <v>580</v>
      </c>
      <c r="BG853">
        <v>580</v>
      </c>
      <c r="BH853" t="s">
        <v>190</v>
      </c>
      <c r="BI853" t="s">
        <v>1253</v>
      </c>
      <c r="BJ853">
        <v>100</v>
      </c>
      <c r="BK853">
        <v>435</v>
      </c>
      <c r="BL853">
        <v>580</v>
      </c>
      <c r="BM853">
        <v>0</v>
      </c>
      <c r="BN853">
        <v>0</v>
      </c>
      <c r="BO853">
        <v>0</v>
      </c>
      <c r="BP853">
        <v>507</v>
      </c>
      <c r="BQ853">
        <v>507</v>
      </c>
      <c r="BR853">
        <f t="shared" si="144"/>
        <v>-10</v>
      </c>
      <c r="BS853">
        <f t="shared" si="145"/>
        <v>26</v>
      </c>
    </row>
    <row r="854" spans="1:74" x14ac:dyDescent="0.25">
      <c r="A854" s="5" t="s">
        <v>1451</v>
      </c>
      <c r="B854" s="5" t="s">
        <v>61</v>
      </c>
      <c r="C854" s="5" t="s">
        <v>207</v>
      </c>
      <c r="D854" s="1" t="s">
        <v>123</v>
      </c>
      <c r="E854">
        <v>0</v>
      </c>
      <c r="F854">
        <v>0</v>
      </c>
      <c r="G854">
        <v>0</v>
      </c>
      <c r="H854">
        <v>0</v>
      </c>
      <c r="I854">
        <v>40</v>
      </c>
      <c r="J854">
        <v>1000</v>
      </c>
      <c r="K854">
        <v>90</v>
      </c>
      <c r="L854">
        <v>113</v>
      </c>
      <c r="M854">
        <v>0</v>
      </c>
      <c r="N854">
        <v>0</v>
      </c>
      <c r="O854">
        <v>0</v>
      </c>
      <c r="P854">
        <v>0</v>
      </c>
      <c r="Q854">
        <v>10</v>
      </c>
      <c r="R854">
        <v>0</v>
      </c>
      <c r="S854" s="18" t="e">
        <f t="shared" si="136"/>
        <v>#DIV/0!</v>
      </c>
      <c r="T854" s="17" t="e">
        <f t="shared" si="137"/>
        <v>#DIV/0!</v>
      </c>
      <c r="U854" s="17" t="e">
        <f t="shared" si="138"/>
        <v>#DIV/0!</v>
      </c>
      <c r="V854" s="17" t="e">
        <f t="shared" si="139"/>
        <v>#DIV/0!</v>
      </c>
      <c r="W854" s="17" t="e">
        <f t="shared" si="140"/>
        <v>#DIV/0!</v>
      </c>
      <c r="X854" s="17" t="e">
        <f t="shared" si="141"/>
        <v>#DIV/0!</v>
      </c>
      <c r="Y854" s="19" t="e">
        <f t="shared" si="142"/>
        <v>#DIV/0!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40</v>
      </c>
      <c r="AH854">
        <v>40</v>
      </c>
      <c r="AI854">
        <v>0</v>
      </c>
      <c r="AJ854">
        <v>0</v>
      </c>
      <c r="AK854">
        <v>1000</v>
      </c>
      <c r="AL854">
        <v>1000</v>
      </c>
      <c r="AM854">
        <v>0</v>
      </c>
      <c r="AN854">
        <v>0</v>
      </c>
      <c r="AO854">
        <v>90</v>
      </c>
      <c r="AP854">
        <v>90</v>
      </c>
      <c r="AQ854">
        <v>90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113</v>
      </c>
      <c r="BA854">
        <v>113</v>
      </c>
      <c r="BB854">
        <v>0</v>
      </c>
      <c r="BC854">
        <v>0</v>
      </c>
      <c r="BD854">
        <v>0</v>
      </c>
      <c r="BE854">
        <f t="shared" si="143"/>
        <v>2576</v>
      </c>
      <c r="BF854">
        <v>1243</v>
      </c>
      <c r="BG854">
        <v>1243</v>
      </c>
      <c r="BH854" t="s">
        <v>199</v>
      </c>
      <c r="BI854" t="s">
        <v>1499</v>
      </c>
      <c r="BJ854">
        <v>0</v>
      </c>
      <c r="BK854">
        <v>1243</v>
      </c>
      <c r="BL854">
        <v>1243</v>
      </c>
      <c r="BM854">
        <v>0</v>
      </c>
      <c r="BN854">
        <v>0</v>
      </c>
      <c r="BO854">
        <v>0</v>
      </c>
      <c r="BP854">
        <v>1243</v>
      </c>
      <c r="BQ854">
        <v>1243</v>
      </c>
      <c r="BR854">
        <f t="shared" si="144"/>
        <v>-10</v>
      </c>
      <c r="BS854">
        <f t="shared" si="145"/>
        <v>10</v>
      </c>
    </row>
    <row r="855" spans="1:74" x14ac:dyDescent="0.25">
      <c r="A855" s="5" t="s">
        <v>1451</v>
      </c>
      <c r="B855" s="5" t="s">
        <v>207</v>
      </c>
      <c r="C855" s="5" t="s">
        <v>207</v>
      </c>
      <c r="D855" s="1" t="s">
        <v>163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965</v>
      </c>
      <c r="K855">
        <v>137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10</v>
      </c>
      <c r="R855">
        <v>0</v>
      </c>
      <c r="S855" s="18" t="e">
        <f t="shared" si="136"/>
        <v>#DIV/0!</v>
      </c>
      <c r="T855" s="17" t="e">
        <f t="shared" si="137"/>
        <v>#DIV/0!</v>
      </c>
      <c r="U855" s="17" t="e">
        <f t="shared" si="138"/>
        <v>#DIV/0!</v>
      </c>
      <c r="V855" s="17" t="e">
        <f t="shared" si="139"/>
        <v>#DIV/0!</v>
      </c>
      <c r="W855" s="17" t="e">
        <f t="shared" si="140"/>
        <v>#DIV/0!</v>
      </c>
      <c r="X855" s="17" t="e">
        <f t="shared" si="141"/>
        <v>#DIV/0!</v>
      </c>
      <c r="Y855" s="19" t="e">
        <f t="shared" si="142"/>
        <v>#DIV/0!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965</v>
      </c>
      <c r="AL855">
        <v>965</v>
      </c>
      <c r="AM855">
        <v>0</v>
      </c>
      <c r="AN855">
        <v>0</v>
      </c>
      <c r="AO855">
        <v>137</v>
      </c>
      <c r="AP855">
        <v>0</v>
      </c>
      <c r="AQ855">
        <v>137</v>
      </c>
      <c r="AR855">
        <v>137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f t="shared" si="143"/>
        <v>2341</v>
      </c>
      <c r="BF855">
        <v>1102</v>
      </c>
      <c r="BG855">
        <v>1102</v>
      </c>
      <c r="BH855" t="s">
        <v>199</v>
      </c>
      <c r="BI855" t="s">
        <v>1598</v>
      </c>
      <c r="BJ855">
        <v>0</v>
      </c>
      <c r="BK855">
        <v>1102</v>
      </c>
      <c r="BL855">
        <v>1102</v>
      </c>
      <c r="BM855">
        <v>0</v>
      </c>
      <c r="BN855">
        <v>0</v>
      </c>
      <c r="BO855">
        <v>0</v>
      </c>
      <c r="BP855">
        <v>1102</v>
      </c>
      <c r="BQ855">
        <v>1102</v>
      </c>
      <c r="BR855">
        <f t="shared" si="144"/>
        <v>-10</v>
      </c>
      <c r="BS855">
        <f t="shared" si="145"/>
        <v>10</v>
      </c>
    </row>
    <row r="856" spans="1:74" x14ac:dyDescent="0.25">
      <c r="A856" s="5" t="s">
        <v>2090</v>
      </c>
      <c r="B856" s="5" t="s">
        <v>207</v>
      </c>
      <c r="C856" s="5" t="s">
        <v>61</v>
      </c>
      <c r="D856" s="1" t="s">
        <v>69</v>
      </c>
      <c r="E856">
        <v>0</v>
      </c>
      <c r="F856">
        <v>1332</v>
      </c>
      <c r="G856">
        <v>0</v>
      </c>
      <c r="H856">
        <v>0</v>
      </c>
      <c r="I856">
        <v>592</v>
      </c>
      <c r="J856">
        <v>0</v>
      </c>
      <c r="K856">
        <v>8</v>
      </c>
      <c r="L856">
        <v>0</v>
      </c>
      <c r="M856">
        <v>0</v>
      </c>
      <c r="N856">
        <v>0</v>
      </c>
      <c r="O856">
        <v>0</v>
      </c>
      <c r="P856">
        <v>1071</v>
      </c>
      <c r="Q856">
        <v>119</v>
      </c>
      <c r="R856">
        <v>119</v>
      </c>
      <c r="S856" s="18">
        <f t="shared" si="136"/>
        <v>9</v>
      </c>
      <c r="T856" s="17">
        <f t="shared" si="137"/>
        <v>0</v>
      </c>
      <c r="U856" s="17">
        <f t="shared" si="138"/>
        <v>0</v>
      </c>
      <c r="V856" s="17">
        <f t="shared" si="139"/>
        <v>0</v>
      </c>
      <c r="W856" s="17">
        <f t="shared" si="140"/>
        <v>119</v>
      </c>
      <c r="X856" s="17">
        <f t="shared" si="141"/>
        <v>0</v>
      </c>
      <c r="Y856" s="19" t="e">
        <f t="shared" si="142"/>
        <v>#DIV/0!</v>
      </c>
      <c r="Z856">
        <v>1332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592</v>
      </c>
      <c r="AH856">
        <v>592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8</v>
      </c>
      <c r="AP856">
        <v>8</v>
      </c>
      <c r="AQ856">
        <v>8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f t="shared" si="143"/>
        <v>1208</v>
      </c>
      <c r="BF856">
        <v>1932</v>
      </c>
      <c r="BG856">
        <v>1932</v>
      </c>
      <c r="BH856" t="s">
        <v>63</v>
      </c>
      <c r="BI856" t="s">
        <v>2214</v>
      </c>
      <c r="BJ856">
        <v>0</v>
      </c>
      <c r="BK856">
        <v>600</v>
      </c>
      <c r="BL856">
        <v>1932</v>
      </c>
      <c r="BM856">
        <v>0</v>
      </c>
      <c r="BN856">
        <v>0</v>
      </c>
      <c r="BO856">
        <v>0</v>
      </c>
      <c r="BP856">
        <v>1671</v>
      </c>
      <c r="BQ856">
        <v>1671</v>
      </c>
      <c r="BR856">
        <f t="shared" si="144"/>
        <v>0</v>
      </c>
      <c r="BS856">
        <f t="shared" si="145"/>
        <v>238</v>
      </c>
      <c r="BU856">
        <f>R856*9</f>
        <v>1071</v>
      </c>
      <c r="BV856">
        <f>IF(BU856&gt;BG856, 1, 0)</f>
        <v>0</v>
      </c>
    </row>
    <row r="857" spans="1:74" x14ac:dyDescent="0.25">
      <c r="A857" s="5" t="s">
        <v>1661</v>
      </c>
      <c r="B857" s="5" t="s">
        <v>207</v>
      </c>
      <c r="C857" s="5" t="s">
        <v>61</v>
      </c>
      <c r="D857" s="1" t="s">
        <v>102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748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10</v>
      </c>
      <c r="R857">
        <v>0</v>
      </c>
      <c r="S857" s="18" t="e">
        <f t="shared" si="136"/>
        <v>#DIV/0!</v>
      </c>
      <c r="T857" s="17" t="e">
        <f t="shared" si="137"/>
        <v>#DIV/0!</v>
      </c>
      <c r="U857" s="17" t="e">
        <f t="shared" si="138"/>
        <v>#DIV/0!</v>
      </c>
      <c r="V857" s="17" t="e">
        <f t="shared" si="139"/>
        <v>#DIV/0!</v>
      </c>
      <c r="W857" s="17" t="e">
        <f t="shared" si="140"/>
        <v>#DIV/0!</v>
      </c>
      <c r="X857" s="17" t="e">
        <f t="shared" si="141"/>
        <v>#DIV/0!</v>
      </c>
      <c r="Y857" s="19" t="e">
        <f t="shared" si="142"/>
        <v>#DIV/0!</v>
      </c>
      <c r="Z857">
        <v>0</v>
      </c>
      <c r="AA857">
        <v>0</v>
      </c>
      <c r="AB857">
        <v>0</v>
      </c>
      <c r="AC857">
        <v>200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748</v>
      </c>
      <c r="AP857">
        <v>101</v>
      </c>
      <c r="AQ857">
        <v>748</v>
      </c>
      <c r="AR857">
        <v>647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f t="shared" si="143"/>
        <v>2444</v>
      </c>
      <c r="BF857">
        <v>948</v>
      </c>
      <c r="BG857">
        <v>948</v>
      </c>
      <c r="BH857" t="s">
        <v>190</v>
      </c>
      <c r="BI857" t="s">
        <v>1775</v>
      </c>
      <c r="BJ857">
        <v>200</v>
      </c>
      <c r="BK857">
        <v>748</v>
      </c>
      <c r="BL857">
        <v>948</v>
      </c>
      <c r="BM857">
        <v>0</v>
      </c>
      <c r="BN857">
        <v>0</v>
      </c>
      <c r="BO857">
        <v>0</v>
      </c>
      <c r="BP857">
        <v>748</v>
      </c>
      <c r="BQ857">
        <v>748</v>
      </c>
      <c r="BR857">
        <f t="shared" si="144"/>
        <v>-10</v>
      </c>
      <c r="BS857">
        <f t="shared" si="145"/>
        <v>10</v>
      </c>
    </row>
    <row r="858" spans="1:74" x14ac:dyDescent="0.25">
      <c r="A858" s="5" t="s">
        <v>1661</v>
      </c>
      <c r="B858" s="5" t="s">
        <v>207</v>
      </c>
      <c r="C858" s="5" t="s">
        <v>207</v>
      </c>
      <c r="D858" s="1" t="s">
        <v>163</v>
      </c>
      <c r="E858">
        <v>0</v>
      </c>
      <c r="F858">
        <v>28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10</v>
      </c>
      <c r="R858">
        <v>0</v>
      </c>
      <c r="S858" s="18" t="e">
        <f t="shared" si="136"/>
        <v>#DIV/0!</v>
      </c>
      <c r="T858" s="17" t="e">
        <f t="shared" si="137"/>
        <v>#DIV/0!</v>
      </c>
      <c r="U858" s="17" t="e">
        <f t="shared" si="138"/>
        <v>#DIV/0!</v>
      </c>
      <c r="V858" s="17" t="e">
        <f t="shared" si="139"/>
        <v>#DIV/0!</v>
      </c>
      <c r="W858" s="17" t="e">
        <f t="shared" si="140"/>
        <v>#DIV/0!</v>
      </c>
      <c r="X858" s="17" t="e">
        <f t="shared" si="141"/>
        <v>#DIV/0!</v>
      </c>
      <c r="Y858" s="19" t="e">
        <f t="shared" si="142"/>
        <v>#DIV/0!</v>
      </c>
      <c r="Z858">
        <v>28</v>
      </c>
      <c r="AA858">
        <v>0</v>
      </c>
      <c r="AB858">
        <v>0</v>
      </c>
      <c r="AC858">
        <v>55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f t="shared" si="143"/>
        <v>55</v>
      </c>
      <c r="BF858">
        <v>83</v>
      </c>
      <c r="BG858">
        <v>83</v>
      </c>
      <c r="BH858" t="s">
        <v>199</v>
      </c>
      <c r="BI858" t="s">
        <v>1839</v>
      </c>
      <c r="BJ858">
        <v>55</v>
      </c>
      <c r="BK858">
        <v>0</v>
      </c>
      <c r="BL858">
        <v>83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f t="shared" si="144"/>
        <v>-10</v>
      </c>
      <c r="BS858">
        <f t="shared" si="145"/>
        <v>10</v>
      </c>
    </row>
    <row r="859" spans="1:74" x14ac:dyDescent="0.25">
      <c r="A859" s="5" t="s">
        <v>1661</v>
      </c>
      <c r="B859" s="5" t="s">
        <v>207</v>
      </c>
      <c r="C859" s="5" t="s">
        <v>207</v>
      </c>
      <c r="D859" s="1" t="s">
        <v>169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314</v>
      </c>
      <c r="K859">
        <v>45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10</v>
      </c>
      <c r="R859">
        <v>0</v>
      </c>
      <c r="S859" s="18" t="e">
        <f t="shared" si="136"/>
        <v>#DIV/0!</v>
      </c>
      <c r="T859" s="17" t="e">
        <f t="shared" si="137"/>
        <v>#DIV/0!</v>
      </c>
      <c r="U859" s="17" t="e">
        <f t="shared" si="138"/>
        <v>#DIV/0!</v>
      </c>
      <c r="V859" s="17" t="e">
        <f t="shared" si="139"/>
        <v>#DIV/0!</v>
      </c>
      <c r="W859" s="17" t="e">
        <f t="shared" si="140"/>
        <v>#DIV/0!</v>
      </c>
      <c r="X859" s="17" t="e">
        <f t="shared" si="141"/>
        <v>#DIV/0!</v>
      </c>
      <c r="Y859" s="19" t="e">
        <f t="shared" si="142"/>
        <v>#DIV/0!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314</v>
      </c>
      <c r="AL859">
        <v>314</v>
      </c>
      <c r="AM859">
        <v>0</v>
      </c>
      <c r="AN859">
        <v>0</v>
      </c>
      <c r="AO859">
        <v>45</v>
      </c>
      <c r="AP859">
        <v>0</v>
      </c>
      <c r="AQ859">
        <v>45</v>
      </c>
      <c r="AR859">
        <v>45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f t="shared" si="143"/>
        <v>763</v>
      </c>
      <c r="BF859">
        <v>359</v>
      </c>
      <c r="BG859">
        <v>359</v>
      </c>
      <c r="BH859" t="s">
        <v>199</v>
      </c>
      <c r="BI859" t="s">
        <v>1842</v>
      </c>
      <c r="BJ859">
        <v>0</v>
      </c>
      <c r="BK859">
        <v>359</v>
      </c>
      <c r="BL859">
        <v>359</v>
      </c>
      <c r="BM859">
        <v>0</v>
      </c>
      <c r="BN859">
        <v>0</v>
      </c>
      <c r="BO859">
        <v>0</v>
      </c>
      <c r="BP859">
        <v>359</v>
      </c>
      <c r="BQ859">
        <v>359</v>
      </c>
      <c r="BR859">
        <f t="shared" si="144"/>
        <v>-10</v>
      </c>
      <c r="BS859">
        <f t="shared" si="145"/>
        <v>10</v>
      </c>
    </row>
    <row r="860" spans="1:74" x14ac:dyDescent="0.25">
      <c r="A860" s="5" t="s">
        <v>2090</v>
      </c>
      <c r="B860" s="5" t="s">
        <v>61</v>
      </c>
      <c r="C860" s="5" t="s">
        <v>61</v>
      </c>
      <c r="D860" s="1" t="s">
        <v>357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60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10</v>
      </c>
      <c r="R860">
        <v>0</v>
      </c>
      <c r="S860" s="18" t="e">
        <f t="shared" si="136"/>
        <v>#DIV/0!</v>
      </c>
      <c r="T860" s="17" t="e">
        <f t="shared" si="137"/>
        <v>#DIV/0!</v>
      </c>
      <c r="U860" s="17" t="e">
        <f t="shared" si="138"/>
        <v>#DIV/0!</v>
      </c>
      <c r="V860" s="17" t="e">
        <f t="shared" si="139"/>
        <v>#DIV/0!</v>
      </c>
      <c r="W860" s="17" t="e">
        <f t="shared" si="140"/>
        <v>#DIV/0!</v>
      </c>
      <c r="X860" s="17" t="e">
        <f t="shared" si="141"/>
        <v>#DIV/0!</v>
      </c>
      <c r="Y860" s="19" t="e">
        <f t="shared" si="142"/>
        <v>#DIV/0!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60</v>
      </c>
      <c r="AP860">
        <v>20</v>
      </c>
      <c r="AQ860">
        <v>60</v>
      </c>
      <c r="AR860">
        <v>40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f t="shared" si="143"/>
        <v>180</v>
      </c>
      <c r="BF860">
        <v>60</v>
      </c>
      <c r="BG860">
        <v>60</v>
      </c>
      <c r="BH860" t="s">
        <v>190</v>
      </c>
      <c r="BI860" t="s">
        <v>2162</v>
      </c>
      <c r="BJ860">
        <v>0</v>
      </c>
      <c r="BK860">
        <v>60</v>
      </c>
      <c r="BL860">
        <v>60</v>
      </c>
      <c r="BM860">
        <v>0</v>
      </c>
      <c r="BN860">
        <v>0</v>
      </c>
      <c r="BO860">
        <v>0</v>
      </c>
      <c r="BP860">
        <v>60</v>
      </c>
      <c r="BQ860">
        <v>60</v>
      </c>
      <c r="BR860">
        <f t="shared" si="144"/>
        <v>-10</v>
      </c>
      <c r="BS860">
        <f t="shared" si="145"/>
        <v>10</v>
      </c>
    </row>
    <row r="861" spans="1:74" x14ac:dyDescent="0.25">
      <c r="A861" s="5" t="s">
        <v>2090</v>
      </c>
      <c r="B861" s="5" t="s">
        <v>61</v>
      </c>
      <c r="C861" s="5" t="s">
        <v>61</v>
      </c>
      <c r="D861" s="1" t="s">
        <v>2181</v>
      </c>
      <c r="E861">
        <v>0</v>
      </c>
      <c r="F861">
        <v>0</v>
      </c>
      <c r="G861">
        <v>0</v>
      </c>
      <c r="H861">
        <v>0</v>
      </c>
      <c r="I861">
        <v>20</v>
      </c>
      <c r="J861">
        <v>120</v>
      </c>
      <c r="K861">
        <v>20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10</v>
      </c>
      <c r="R861">
        <v>0</v>
      </c>
      <c r="S861" s="18" t="e">
        <f t="shared" si="136"/>
        <v>#DIV/0!</v>
      </c>
      <c r="T861" s="17" t="e">
        <f t="shared" si="137"/>
        <v>#DIV/0!</v>
      </c>
      <c r="U861" s="17" t="e">
        <f t="shared" si="138"/>
        <v>#DIV/0!</v>
      </c>
      <c r="V861" s="17" t="e">
        <f t="shared" si="139"/>
        <v>#DIV/0!</v>
      </c>
      <c r="W861" s="17" t="e">
        <f t="shared" si="140"/>
        <v>#DIV/0!</v>
      </c>
      <c r="X861" s="17" t="e">
        <f t="shared" si="141"/>
        <v>#DIV/0!</v>
      </c>
      <c r="Y861" s="19" t="e">
        <f t="shared" si="142"/>
        <v>#DIV/0!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20</v>
      </c>
      <c r="AH861">
        <v>20</v>
      </c>
      <c r="AI861">
        <v>0</v>
      </c>
      <c r="AJ861">
        <v>0</v>
      </c>
      <c r="AK861">
        <v>120</v>
      </c>
      <c r="AL861">
        <v>120</v>
      </c>
      <c r="AM861">
        <v>0</v>
      </c>
      <c r="AN861">
        <v>0</v>
      </c>
      <c r="AO861">
        <v>20</v>
      </c>
      <c r="AP861">
        <v>0</v>
      </c>
      <c r="AQ861">
        <v>20</v>
      </c>
      <c r="AR861">
        <v>20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f t="shared" si="143"/>
        <v>340</v>
      </c>
      <c r="BF861">
        <v>160</v>
      </c>
      <c r="BG861">
        <v>160</v>
      </c>
      <c r="BH861" t="s">
        <v>199</v>
      </c>
      <c r="BI861" t="s">
        <v>2182</v>
      </c>
      <c r="BJ861">
        <v>0</v>
      </c>
      <c r="BK861">
        <v>160</v>
      </c>
      <c r="BL861">
        <v>160</v>
      </c>
      <c r="BM861">
        <v>0</v>
      </c>
      <c r="BN861">
        <v>0</v>
      </c>
      <c r="BO861">
        <v>0</v>
      </c>
      <c r="BP861">
        <v>160</v>
      </c>
      <c r="BQ861">
        <v>160</v>
      </c>
      <c r="BR861">
        <f t="shared" si="144"/>
        <v>-10</v>
      </c>
      <c r="BS861">
        <f t="shared" si="145"/>
        <v>10</v>
      </c>
    </row>
    <row r="862" spans="1:74" x14ac:dyDescent="0.25">
      <c r="A862" s="5" t="s">
        <v>2294</v>
      </c>
      <c r="B862" s="5" t="s">
        <v>61</v>
      </c>
      <c r="C862" s="5" t="s">
        <v>61</v>
      </c>
      <c r="D862" s="1" t="s">
        <v>96</v>
      </c>
      <c r="E862">
        <v>0</v>
      </c>
      <c r="F862">
        <v>0</v>
      </c>
      <c r="G862">
        <v>0</v>
      </c>
      <c r="H862">
        <v>0</v>
      </c>
      <c r="I862">
        <v>60</v>
      </c>
      <c r="J862">
        <v>0</v>
      </c>
      <c r="K862">
        <v>0</v>
      </c>
      <c r="L862">
        <v>100</v>
      </c>
      <c r="M862">
        <v>0</v>
      </c>
      <c r="N862">
        <v>0</v>
      </c>
      <c r="O862">
        <v>0</v>
      </c>
      <c r="P862">
        <v>0</v>
      </c>
      <c r="Q862">
        <v>10</v>
      </c>
      <c r="R862">
        <v>0</v>
      </c>
      <c r="S862" s="18" t="e">
        <f t="shared" si="136"/>
        <v>#DIV/0!</v>
      </c>
      <c r="T862" s="17" t="e">
        <f t="shared" si="137"/>
        <v>#DIV/0!</v>
      </c>
      <c r="U862" s="17" t="e">
        <f t="shared" si="138"/>
        <v>#DIV/0!</v>
      </c>
      <c r="V862" s="17" t="e">
        <f t="shared" si="139"/>
        <v>#DIV/0!</v>
      </c>
      <c r="W862" s="17" t="e">
        <f t="shared" si="140"/>
        <v>#DIV/0!</v>
      </c>
      <c r="X862" s="17" t="e">
        <f t="shared" si="141"/>
        <v>#DIV/0!</v>
      </c>
      <c r="Y862" s="19" t="e">
        <f t="shared" si="142"/>
        <v>#DIV/0!</v>
      </c>
      <c r="Z862">
        <v>0</v>
      </c>
      <c r="AA862">
        <v>0</v>
      </c>
      <c r="AB862">
        <v>0</v>
      </c>
      <c r="AC862">
        <v>0</v>
      </c>
      <c r="AD862">
        <v>60</v>
      </c>
      <c r="AE862">
        <v>0</v>
      </c>
      <c r="AF862">
        <v>0</v>
      </c>
      <c r="AG862">
        <v>0</v>
      </c>
      <c r="AH862">
        <v>60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100</v>
      </c>
      <c r="BA862">
        <v>100</v>
      </c>
      <c r="BB862">
        <v>0</v>
      </c>
      <c r="BC862">
        <v>0</v>
      </c>
      <c r="BD862">
        <v>0</v>
      </c>
      <c r="BE862">
        <f t="shared" si="143"/>
        <v>320</v>
      </c>
      <c r="BF862">
        <v>160</v>
      </c>
      <c r="BG862">
        <v>160</v>
      </c>
      <c r="BH862" t="s">
        <v>190</v>
      </c>
      <c r="BI862" t="s">
        <v>2310</v>
      </c>
      <c r="BJ862">
        <v>0</v>
      </c>
      <c r="BK862">
        <v>160</v>
      </c>
      <c r="BL862">
        <v>160</v>
      </c>
      <c r="BM862">
        <v>60</v>
      </c>
      <c r="BN862">
        <v>0</v>
      </c>
      <c r="BO862">
        <v>0</v>
      </c>
      <c r="BP862">
        <v>100</v>
      </c>
      <c r="BQ862">
        <v>160</v>
      </c>
      <c r="BR862">
        <f t="shared" si="144"/>
        <v>-10</v>
      </c>
      <c r="BS862">
        <f t="shared" si="145"/>
        <v>10</v>
      </c>
    </row>
    <row r="863" spans="1:74" x14ac:dyDescent="0.25">
      <c r="A863" s="5" t="s">
        <v>207</v>
      </c>
      <c r="B863" s="5" t="s">
        <v>61</v>
      </c>
      <c r="C863" s="5" t="s">
        <v>359</v>
      </c>
      <c r="D863" s="1" t="s">
        <v>127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200</v>
      </c>
      <c r="L863">
        <v>20</v>
      </c>
      <c r="M863">
        <v>0</v>
      </c>
      <c r="N863">
        <v>0</v>
      </c>
      <c r="O863">
        <v>0</v>
      </c>
      <c r="P863">
        <v>0</v>
      </c>
      <c r="Q863">
        <v>11</v>
      </c>
      <c r="R863">
        <v>0</v>
      </c>
      <c r="S863" s="18" t="e">
        <f t="shared" si="136"/>
        <v>#DIV/0!</v>
      </c>
      <c r="T863" s="17" t="e">
        <f t="shared" si="137"/>
        <v>#DIV/0!</v>
      </c>
      <c r="U863" s="17" t="e">
        <f t="shared" si="138"/>
        <v>#DIV/0!</v>
      </c>
      <c r="V863" s="17" t="e">
        <f t="shared" si="139"/>
        <v>#DIV/0!</v>
      </c>
      <c r="W863" s="17" t="e">
        <f t="shared" si="140"/>
        <v>#DIV/0!</v>
      </c>
      <c r="X863" s="17" t="e">
        <f t="shared" si="141"/>
        <v>#DIV/0!</v>
      </c>
      <c r="Y863" s="19" t="e">
        <f t="shared" si="142"/>
        <v>#DIV/0!</v>
      </c>
      <c r="Z863">
        <v>0</v>
      </c>
      <c r="AA863">
        <v>0</v>
      </c>
      <c r="AB863">
        <v>0</v>
      </c>
      <c r="AC863">
        <v>15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200</v>
      </c>
      <c r="AP863">
        <v>200</v>
      </c>
      <c r="AQ863">
        <v>200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20</v>
      </c>
      <c r="BA863">
        <v>20</v>
      </c>
      <c r="BB863">
        <v>0</v>
      </c>
      <c r="BC863">
        <v>0</v>
      </c>
      <c r="BD863">
        <v>0</v>
      </c>
      <c r="BE863">
        <f t="shared" si="143"/>
        <v>655</v>
      </c>
      <c r="BF863">
        <v>340</v>
      </c>
      <c r="BG863">
        <v>340</v>
      </c>
      <c r="BH863" t="s">
        <v>190</v>
      </c>
      <c r="BI863" t="s">
        <v>444</v>
      </c>
      <c r="BJ863">
        <v>15</v>
      </c>
      <c r="BK863">
        <v>220</v>
      </c>
      <c r="BL863">
        <v>235</v>
      </c>
      <c r="BM863">
        <v>0</v>
      </c>
      <c r="BN863">
        <v>0</v>
      </c>
      <c r="BO863">
        <v>0</v>
      </c>
      <c r="BP863">
        <v>220</v>
      </c>
      <c r="BQ863">
        <v>220</v>
      </c>
      <c r="BR863">
        <f t="shared" si="144"/>
        <v>-11</v>
      </c>
      <c r="BS863">
        <f t="shared" si="145"/>
        <v>11</v>
      </c>
    </row>
    <row r="864" spans="1:74" x14ac:dyDescent="0.25">
      <c r="A864" s="5" t="s">
        <v>1337</v>
      </c>
      <c r="B864" s="5" t="s">
        <v>359</v>
      </c>
      <c r="C864" s="5" t="s">
        <v>61</v>
      </c>
      <c r="D864" s="1" t="s">
        <v>113</v>
      </c>
      <c r="E864">
        <v>40</v>
      </c>
      <c r="F864">
        <v>0</v>
      </c>
      <c r="G864">
        <v>0</v>
      </c>
      <c r="H864">
        <v>0</v>
      </c>
      <c r="I864">
        <v>2</v>
      </c>
      <c r="J864">
        <v>502</v>
      </c>
      <c r="K864">
        <v>49</v>
      </c>
      <c r="L864">
        <v>30</v>
      </c>
      <c r="M864">
        <v>0</v>
      </c>
      <c r="N864">
        <v>0</v>
      </c>
      <c r="O864">
        <v>0</v>
      </c>
      <c r="P864">
        <v>0</v>
      </c>
      <c r="Q864">
        <v>11</v>
      </c>
      <c r="R864">
        <v>0</v>
      </c>
      <c r="S864" s="18" t="e">
        <f t="shared" si="136"/>
        <v>#DIV/0!</v>
      </c>
      <c r="T864" s="17" t="e">
        <f t="shared" si="137"/>
        <v>#DIV/0!</v>
      </c>
      <c r="U864" s="17" t="e">
        <f t="shared" si="138"/>
        <v>#DIV/0!</v>
      </c>
      <c r="V864" s="17" t="e">
        <f t="shared" si="139"/>
        <v>#DIV/0!</v>
      </c>
      <c r="W864" s="17" t="e">
        <f t="shared" si="140"/>
        <v>#DIV/0!</v>
      </c>
      <c r="X864" s="17" t="e">
        <f t="shared" si="141"/>
        <v>#DIV/0!</v>
      </c>
      <c r="Y864" s="19" t="e">
        <f t="shared" si="142"/>
        <v>#DIV/0!</v>
      </c>
      <c r="Z864">
        <v>0</v>
      </c>
      <c r="AA864">
        <v>0</v>
      </c>
      <c r="AB864">
        <v>0</v>
      </c>
      <c r="AC864">
        <v>71</v>
      </c>
      <c r="AD864">
        <v>0</v>
      </c>
      <c r="AE864">
        <v>2</v>
      </c>
      <c r="AF864">
        <v>0</v>
      </c>
      <c r="AG864">
        <v>0</v>
      </c>
      <c r="AH864">
        <v>2</v>
      </c>
      <c r="AI864">
        <v>0</v>
      </c>
      <c r="AJ864">
        <v>502</v>
      </c>
      <c r="AK864">
        <v>0</v>
      </c>
      <c r="AL864">
        <v>502</v>
      </c>
      <c r="AM864">
        <v>0</v>
      </c>
      <c r="AN864">
        <v>49</v>
      </c>
      <c r="AO864">
        <v>0</v>
      </c>
      <c r="AP864">
        <v>2</v>
      </c>
      <c r="AQ864">
        <v>49</v>
      </c>
      <c r="AR864">
        <v>47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30</v>
      </c>
      <c r="AZ864">
        <v>0</v>
      </c>
      <c r="BA864">
        <v>30</v>
      </c>
      <c r="BB864">
        <v>0</v>
      </c>
      <c r="BC864">
        <v>0</v>
      </c>
      <c r="BD864">
        <v>0</v>
      </c>
      <c r="BE864">
        <f t="shared" si="143"/>
        <v>1286</v>
      </c>
      <c r="BF864">
        <v>694</v>
      </c>
      <c r="BG864">
        <v>694</v>
      </c>
      <c r="BH864" t="s">
        <v>560</v>
      </c>
      <c r="BI864" t="s">
        <v>1435</v>
      </c>
      <c r="BJ864">
        <v>111</v>
      </c>
      <c r="BK864">
        <v>583</v>
      </c>
      <c r="BL864">
        <v>694</v>
      </c>
      <c r="BM864">
        <v>0</v>
      </c>
      <c r="BN864">
        <v>583</v>
      </c>
      <c r="BO864">
        <v>0</v>
      </c>
      <c r="BP864">
        <v>0</v>
      </c>
      <c r="BQ864">
        <v>583</v>
      </c>
      <c r="BR864">
        <f t="shared" si="144"/>
        <v>-11</v>
      </c>
      <c r="BS864">
        <f t="shared" si="145"/>
        <v>11</v>
      </c>
    </row>
    <row r="865" spans="1:71" x14ac:dyDescent="0.25">
      <c r="A865" s="5" t="s">
        <v>1946</v>
      </c>
      <c r="B865" s="5" t="s">
        <v>207</v>
      </c>
      <c r="C865" s="5" t="s">
        <v>207</v>
      </c>
      <c r="D865" s="1" t="s">
        <v>161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976</v>
      </c>
      <c r="K865">
        <v>192</v>
      </c>
      <c r="L865">
        <v>450</v>
      </c>
      <c r="M865">
        <v>0</v>
      </c>
      <c r="N865">
        <v>0</v>
      </c>
      <c r="O865">
        <v>0</v>
      </c>
      <c r="P865">
        <v>0</v>
      </c>
      <c r="Q865">
        <v>11</v>
      </c>
      <c r="R865">
        <v>0</v>
      </c>
      <c r="S865" s="18" t="e">
        <f t="shared" si="136"/>
        <v>#DIV/0!</v>
      </c>
      <c r="T865" s="17" t="e">
        <f t="shared" si="137"/>
        <v>#DIV/0!</v>
      </c>
      <c r="U865" s="17" t="e">
        <f t="shared" si="138"/>
        <v>#DIV/0!</v>
      </c>
      <c r="V865" s="17" t="e">
        <f t="shared" si="139"/>
        <v>#DIV/0!</v>
      </c>
      <c r="W865" s="17" t="e">
        <f t="shared" si="140"/>
        <v>#DIV/0!</v>
      </c>
      <c r="X865" s="17" t="e">
        <f t="shared" si="141"/>
        <v>#DIV/0!</v>
      </c>
      <c r="Y865" s="19" t="e">
        <f t="shared" si="142"/>
        <v>#DIV/0!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976</v>
      </c>
      <c r="AL865">
        <v>976</v>
      </c>
      <c r="AM865">
        <v>0</v>
      </c>
      <c r="AN865">
        <v>0</v>
      </c>
      <c r="AO865">
        <v>192</v>
      </c>
      <c r="AP865">
        <v>0</v>
      </c>
      <c r="AQ865">
        <v>192</v>
      </c>
      <c r="AR865">
        <v>192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450</v>
      </c>
      <c r="BA865">
        <v>450</v>
      </c>
      <c r="BB865">
        <v>0</v>
      </c>
      <c r="BC865">
        <v>0</v>
      </c>
      <c r="BD865">
        <v>0</v>
      </c>
      <c r="BE865">
        <f t="shared" si="143"/>
        <v>3428</v>
      </c>
      <c r="BF865">
        <v>1618</v>
      </c>
      <c r="BG865">
        <v>1618</v>
      </c>
      <c r="BH865" t="s">
        <v>199</v>
      </c>
      <c r="BI865" t="s">
        <v>2084</v>
      </c>
      <c r="BJ865">
        <v>0</v>
      </c>
      <c r="BK865">
        <v>1618</v>
      </c>
      <c r="BL865">
        <v>1618</v>
      </c>
      <c r="BM865">
        <v>0</v>
      </c>
      <c r="BN865">
        <v>0</v>
      </c>
      <c r="BO865">
        <v>0</v>
      </c>
      <c r="BP865">
        <v>1618</v>
      </c>
      <c r="BQ865">
        <v>1618</v>
      </c>
      <c r="BR865">
        <f t="shared" si="144"/>
        <v>-11</v>
      </c>
      <c r="BS865">
        <f t="shared" si="145"/>
        <v>11</v>
      </c>
    </row>
    <row r="866" spans="1:71" x14ac:dyDescent="0.25">
      <c r="A866" s="5" t="s">
        <v>2090</v>
      </c>
      <c r="B866" s="5" t="s">
        <v>207</v>
      </c>
      <c r="C866" s="5" t="s">
        <v>61</v>
      </c>
      <c r="D866" s="1" t="s">
        <v>165</v>
      </c>
      <c r="E866">
        <v>0</v>
      </c>
      <c r="F866">
        <v>0</v>
      </c>
      <c r="G866">
        <v>0</v>
      </c>
      <c r="H866">
        <v>0</v>
      </c>
      <c r="I866">
        <v>27</v>
      </c>
      <c r="J866">
        <v>0</v>
      </c>
      <c r="K866">
        <v>26</v>
      </c>
      <c r="L866">
        <v>21</v>
      </c>
      <c r="M866">
        <v>0</v>
      </c>
      <c r="N866">
        <v>0</v>
      </c>
      <c r="O866">
        <v>0</v>
      </c>
      <c r="P866">
        <v>0</v>
      </c>
      <c r="Q866">
        <v>11</v>
      </c>
      <c r="R866">
        <v>0</v>
      </c>
      <c r="S866" s="18" t="e">
        <f t="shared" si="136"/>
        <v>#DIV/0!</v>
      </c>
      <c r="T866" s="17" t="e">
        <f t="shared" si="137"/>
        <v>#DIV/0!</v>
      </c>
      <c r="U866" s="17" t="e">
        <f t="shared" si="138"/>
        <v>#DIV/0!</v>
      </c>
      <c r="V866" s="17" t="e">
        <f t="shared" si="139"/>
        <v>#DIV/0!</v>
      </c>
      <c r="W866" s="17" t="e">
        <f t="shared" si="140"/>
        <v>#DIV/0!</v>
      </c>
      <c r="X866" s="17" t="e">
        <f t="shared" si="141"/>
        <v>#DIV/0!</v>
      </c>
      <c r="Y866" s="19" t="e">
        <f t="shared" si="142"/>
        <v>#DIV/0!</v>
      </c>
      <c r="Z866">
        <v>0</v>
      </c>
      <c r="AA866">
        <v>0</v>
      </c>
      <c r="AB866">
        <v>0</v>
      </c>
      <c r="AC866">
        <v>0</v>
      </c>
      <c r="AD866">
        <v>27</v>
      </c>
      <c r="AE866">
        <v>0</v>
      </c>
      <c r="AF866">
        <v>0</v>
      </c>
      <c r="AG866">
        <v>0</v>
      </c>
      <c r="AH866">
        <v>27</v>
      </c>
      <c r="AI866">
        <v>0</v>
      </c>
      <c r="AJ866">
        <v>0</v>
      </c>
      <c r="AK866">
        <v>0</v>
      </c>
      <c r="AL866">
        <v>0</v>
      </c>
      <c r="AM866">
        <v>26</v>
      </c>
      <c r="AN866">
        <v>0</v>
      </c>
      <c r="AO866">
        <v>0</v>
      </c>
      <c r="AP866">
        <v>0</v>
      </c>
      <c r="AQ866">
        <v>26</v>
      </c>
      <c r="AR866">
        <v>26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21</v>
      </c>
      <c r="AY866">
        <v>0</v>
      </c>
      <c r="AZ866">
        <v>0</v>
      </c>
      <c r="BA866">
        <v>21</v>
      </c>
      <c r="BB866">
        <v>0</v>
      </c>
      <c r="BC866">
        <v>0</v>
      </c>
      <c r="BD866">
        <v>0</v>
      </c>
      <c r="BE866">
        <f t="shared" si="143"/>
        <v>174</v>
      </c>
      <c r="BF866">
        <v>74</v>
      </c>
      <c r="BG866">
        <v>74</v>
      </c>
      <c r="BH866" t="s">
        <v>190</v>
      </c>
      <c r="BI866" t="s">
        <v>2261</v>
      </c>
      <c r="BJ866">
        <v>0</v>
      </c>
      <c r="BK866">
        <v>74</v>
      </c>
      <c r="BL866">
        <v>74</v>
      </c>
      <c r="BM866">
        <v>74</v>
      </c>
      <c r="BN866">
        <v>0</v>
      </c>
      <c r="BO866">
        <v>0</v>
      </c>
      <c r="BP866">
        <v>0</v>
      </c>
      <c r="BQ866">
        <v>74</v>
      </c>
      <c r="BR866">
        <f t="shared" si="144"/>
        <v>-11</v>
      </c>
      <c r="BS866">
        <f t="shared" si="145"/>
        <v>11</v>
      </c>
    </row>
    <row r="867" spans="1:71" x14ac:dyDescent="0.25">
      <c r="A867" s="5" t="s">
        <v>61</v>
      </c>
      <c r="B867" s="5" t="s">
        <v>207</v>
      </c>
      <c r="C867" s="5" t="s">
        <v>61</v>
      </c>
      <c r="D867" s="1" t="s">
        <v>139</v>
      </c>
      <c r="E867">
        <v>0</v>
      </c>
      <c r="F867">
        <v>135</v>
      </c>
      <c r="G867">
        <v>0</v>
      </c>
      <c r="H867">
        <v>0</v>
      </c>
      <c r="I867">
        <v>42</v>
      </c>
      <c r="J867">
        <v>0</v>
      </c>
      <c r="K867">
        <v>0</v>
      </c>
      <c r="L867">
        <v>0</v>
      </c>
      <c r="M867">
        <v>1215</v>
      </c>
      <c r="N867">
        <v>0</v>
      </c>
      <c r="O867">
        <v>0</v>
      </c>
      <c r="P867">
        <v>0</v>
      </c>
      <c r="Q867">
        <v>147</v>
      </c>
      <c r="R867">
        <v>135</v>
      </c>
      <c r="S867" s="18">
        <f t="shared" si="136"/>
        <v>9</v>
      </c>
      <c r="T867" s="17">
        <f t="shared" si="137"/>
        <v>135</v>
      </c>
      <c r="U867" s="17">
        <f t="shared" si="138"/>
        <v>0</v>
      </c>
      <c r="V867" s="17">
        <f t="shared" si="139"/>
        <v>0</v>
      </c>
      <c r="W867" s="17">
        <f t="shared" si="140"/>
        <v>0</v>
      </c>
      <c r="X867" s="17">
        <f t="shared" si="141"/>
        <v>12</v>
      </c>
      <c r="Y867" s="19">
        <f t="shared" si="142"/>
        <v>0</v>
      </c>
      <c r="Z867">
        <v>135</v>
      </c>
      <c r="AA867">
        <v>0</v>
      </c>
      <c r="AB867">
        <v>0</v>
      </c>
      <c r="AC867">
        <v>0</v>
      </c>
      <c r="AD867">
        <v>42</v>
      </c>
      <c r="AE867">
        <v>0</v>
      </c>
      <c r="AF867">
        <v>0</v>
      </c>
      <c r="AG867">
        <v>0</v>
      </c>
      <c r="AH867">
        <v>42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f t="shared" si="143"/>
        <v>84</v>
      </c>
      <c r="BF867">
        <v>177</v>
      </c>
      <c r="BG867">
        <v>177</v>
      </c>
      <c r="BH867" t="s">
        <v>109</v>
      </c>
      <c r="BI867" t="s">
        <v>246</v>
      </c>
      <c r="BJ867">
        <v>0</v>
      </c>
      <c r="BK867">
        <v>42</v>
      </c>
      <c r="BL867">
        <v>177</v>
      </c>
      <c r="BM867">
        <v>1257</v>
      </c>
      <c r="BN867">
        <v>0</v>
      </c>
      <c r="BO867">
        <v>0</v>
      </c>
      <c r="BP867">
        <v>0</v>
      </c>
      <c r="BQ867">
        <v>1257</v>
      </c>
      <c r="BR867">
        <f t="shared" si="144"/>
        <v>-12</v>
      </c>
      <c r="BS867">
        <f t="shared" si="145"/>
        <v>282</v>
      </c>
    </row>
    <row r="868" spans="1:71" x14ac:dyDescent="0.25">
      <c r="A868" s="5" t="s">
        <v>61</v>
      </c>
      <c r="B868" s="5" t="s">
        <v>207</v>
      </c>
      <c r="C868" s="5" t="s">
        <v>61</v>
      </c>
      <c r="D868" s="1" t="s">
        <v>198</v>
      </c>
      <c r="E868">
        <v>14</v>
      </c>
      <c r="F868">
        <v>3</v>
      </c>
      <c r="G868">
        <v>0</v>
      </c>
      <c r="H868">
        <v>0</v>
      </c>
      <c r="I868">
        <v>28</v>
      </c>
      <c r="J868">
        <v>125</v>
      </c>
      <c r="K868">
        <v>21</v>
      </c>
      <c r="L868">
        <v>5</v>
      </c>
      <c r="M868">
        <v>0</v>
      </c>
      <c r="N868">
        <v>0</v>
      </c>
      <c r="O868">
        <v>0</v>
      </c>
      <c r="P868">
        <v>27</v>
      </c>
      <c r="Q868">
        <v>15</v>
      </c>
      <c r="R868">
        <v>3</v>
      </c>
      <c r="S868" s="18">
        <f t="shared" si="136"/>
        <v>9</v>
      </c>
      <c r="T868" s="17">
        <f t="shared" si="137"/>
        <v>0</v>
      </c>
      <c r="U868" s="17">
        <f t="shared" si="138"/>
        <v>0</v>
      </c>
      <c r="V868" s="17">
        <f t="shared" si="139"/>
        <v>0</v>
      </c>
      <c r="W868" s="17">
        <f t="shared" si="140"/>
        <v>3</v>
      </c>
      <c r="X868" s="17">
        <f t="shared" si="141"/>
        <v>12</v>
      </c>
      <c r="Y868" s="19">
        <f t="shared" si="142"/>
        <v>0</v>
      </c>
      <c r="Z868">
        <v>3</v>
      </c>
      <c r="AA868">
        <v>0</v>
      </c>
      <c r="AB868">
        <v>0</v>
      </c>
      <c r="AC868">
        <v>151</v>
      </c>
      <c r="AD868">
        <v>0</v>
      </c>
      <c r="AE868">
        <v>0</v>
      </c>
      <c r="AF868">
        <v>0</v>
      </c>
      <c r="AG868">
        <v>28</v>
      </c>
      <c r="AH868">
        <v>28</v>
      </c>
      <c r="AI868">
        <v>0</v>
      </c>
      <c r="AJ868">
        <v>0</v>
      </c>
      <c r="AK868">
        <v>125</v>
      </c>
      <c r="AL868">
        <v>125</v>
      </c>
      <c r="AM868">
        <v>0</v>
      </c>
      <c r="AN868">
        <v>0</v>
      </c>
      <c r="AO868">
        <v>21</v>
      </c>
      <c r="AP868">
        <v>4</v>
      </c>
      <c r="AQ868">
        <v>21</v>
      </c>
      <c r="AR868">
        <v>17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5</v>
      </c>
      <c r="BA868">
        <v>5</v>
      </c>
      <c r="BB868">
        <v>0</v>
      </c>
      <c r="BC868">
        <v>0</v>
      </c>
      <c r="BD868">
        <v>0</v>
      </c>
      <c r="BE868">
        <f t="shared" si="143"/>
        <v>530</v>
      </c>
      <c r="BF868">
        <v>347</v>
      </c>
      <c r="BG868">
        <v>347</v>
      </c>
      <c r="BH868" t="s">
        <v>190</v>
      </c>
      <c r="BI868" t="s">
        <v>275</v>
      </c>
      <c r="BJ868">
        <v>165</v>
      </c>
      <c r="BK868">
        <v>179</v>
      </c>
      <c r="BL868">
        <v>347</v>
      </c>
      <c r="BM868">
        <v>0</v>
      </c>
      <c r="BN868">
        <v>0</v>
      </c>
      <c r="BO868">
        <v>0</v>
      </c>
      <c r="BP868">
        <v>206</v>
      </c>
      <c r="BQ868">
        <v>206</v>
      </c>
      <c r="BR868">
        <f t="shared" si="144"/>
        <v>-12</v>
      </c>
      <c r="BS868">
        <f t="shared" si="145"/>
        <v>18</v>
      </c>
    </row>
    <row r="869" spans="1:71" x14ac:dyDescent="0.25">
      <c r="A869" s="5" t="s">
        <v>61</v>
      </c>
      <c r="B869" s="5" t="s">
        <v>207</v>
      </c>
      <c r="C869" s="5" t="s">
        <v>207</v>
      </c>
      <c r="D869" s="1" t="s">
        <v>201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55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12</v>
      </c>
      <c r="R869">
        <v>0</v>
      </c>
      <c r="S869" s="18" t="e">
        <f t="shared" si="136"/>
        <v>#DIV/0!</v>
      </c>
      <c r="T869" s="17" t="e">
        <f t="shared" si="137"/>
        <v>#DIV/0!</v>
      </c>
      <c r="U869" s="17" t="e">
        <f t="shared" si="138"/>
        <v>#DIV/0!</v>
      </c>
      <c r="V869" s="17" t="e">
        <f t="shared" si="139"/>
        <v>#DIV/0!</v>
      </c>
      <c r="W869" s="17" t="e">
        <f t="shared" si="140"/>
        <v>#DIV/0!</v>
      </c>
      <c r="X869" s="17" t="e">
        <f t="shared" si="141"/>
        <v>#DIV/0!</v>
      </c>
      <c r="Y869" s="19" t="e">
        <f t="shared" si="142"/>
        <v>#DIV/0!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55</v>
      </c>
      <c r="AP869">
        <v>55</v>
      </c>
      <c r="AQ869">
        <v>55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f t="shared" si="143"/>
        <v>165</v>
      </c>
      <c r="BF869">
        <v>55</v>
      </c>
      <c r="BG869">
        <v>55</v>
      </c>
      <c r="BH869" t="s">
        <v>190</v>
      </c>
      <c r="BI869" t="s">
        <v>346</v>
      </c>
      <c r="BJ869">
        <v>0</v>
      </c>
      <c r="BK869">
        <v>55</v>
      </c>
      <c r="BL869">
        <v>55</v>
      </c>
      <c r="BM869">
        <v>0</v>
      </c>
      <c r="BN869">
        <v>0</v>
      </c>
      <c r="BO869">
        <v>0</v>
      </c>
      <c r="BP869">
        <v>55</v>
      </c>
      <c r="BQ869">
        <v>55</v>
      </c>
      <c r="BR869">
        <f t="shared" si="144"/>
        <v>-12</v>
      </c>
      <c r="BS869">
        <f t="shared" si="145"/>
        <v>12</v>
      </c>
    </row>
    <row r="870" spans="1:71" x14ac:dyDescent="0.25">
      <c r="A870" s="5" t="s">
        <v>1135</v>
      </c>
      <c r="B870" s="5" t="s">
        <v>207</v>
      </c>
      <c r="C870" s="5" t="s">
        <v>207</v>
      </c>
      <c r="D870" s="1" t="s">
        <v>104</v>
      </c>
      <c r="E870">
        <v>0</v>
      </c>
      <c r="F870">
        <v>0</v>
      </c>
      <c r="G870">
        <v>0</v>
      </c>
      <c r="H870">
        <v>0</v>
      </c>
      <c r="I870">
        <v>29</v>
      </c>
      <c r="J870">
        <v>257</v>
      </c>
      <c r="K870">
        <v>87</v>
      </c>
      <c r="L870">
        <v>157</v>
      </c>
      <c r="M870">
        <v>0</v>
      </c>
      <c r="N870">
        <v>0</v>
      </c>
      <c r="O870">
        <v>0</v>
      </c>
      <c r="P870">
        <v>0</v>
      </c>
      <c r="Q870">
        <v>12</v>
      </c>
      <c r="R870">
        <v>0</v>
      </c>
      <c r="S870" s="18" t="e">
        <f t="shared" si="136"/>
        <v>#DIV/0!</v>
      </c>
      <c r="T870" s="17" t="e">
        <f t="shared" si="137"/>
        <v>#DIV/0!</v>
      </c>
      <c r="U870" s="17" t="e">
        <f t="shared" si="138"/>
        <v>#DIV/0!</v>
      </c>
      <c r="V870" s="17" t="e">
        <f t="shared" si="139"/>
        <v>#DIV/0!</v>
      </c>
      <c r="W870" s="17" t="e">
        <f t="shared" si="140"/>
        <v>#DIV/0!</v>
      </c>
      <c r="X870" s="17" t="e">
        <f t="shared" si="141"/>
        <v>#DIV/0!</v>
      </c>
      <c r="Y870" s="19" t="e">
        <f t="shared" si="142"/>
        <v>#DIV/0!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29</v>
      </c>
      <c r="AH870">
        <v>29</v>
      </c>
      <c r="AI870">
        <v>0</v>
      </c>
      <c r="AJ870">
        <v>0</v>
      </c>
      <c r="AK870">
        <v>257</v>
      </c>
      <c r="AL870">
        <v>257</v>
      </c>
      <c r="AM870">
        <v>0</v>
      </c>
      <c r="AN870">
        <v>0</v>
      </c>
      <c r="AO870">
        <v>87</v>
      </c>
      <c r="AP870">
        <v>36</v>
      </c>
      <c r="AQ870">
        <v>87</v>
      </c>
      <c r="AR870">
        <v>51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157</v>
      </c>
      <c r="BA870">
        <v>157</v>
      </c>
      <c r="BB870">
        <v>0</v>
      </c>
      <c r="BC870">
        <v>0</v>
      </c>
      <c r="BD870">
        <v>0</v>
      </c>
      <c r="BE870">
        <f t="shared" si="143"/>
        <v>1147</v>
      </c>
      <c r="BF870">
        <v>530</v>
      </c>
      <c r="BG870">
        <v>530</v>
      </c>
      <c r="BH870" t="s">
        <v>199</v>
      </c>
      <c r="BI870" t="s">
        <v>1275</v>
      </c>
      <c r="BJ870">
        <v>0</v>
      </c>
      <c r="BK870">
        <v>530</v>
      </c>
      <c r="BL870">
        <v>530</v>
      </c>
      <c r="BM870">
        <v>0</v>
      </c>
      <c r="BN870">
        <v>0</v>
      </c>
      <c r="BO870">
        <v>0</v>
      </c>
      <c r="BP870">
        <v>530</v>
      </c>
      <c r="BQ870">
        <v>530</v>
      </c>
      <c r="BR870">
        <f t="shared" si="144"/>
        <v>-12</v>
      </c>
      <c r="BS870">
        <f t="shared" si="145"/>
        <v>12</v>
      </c>
    </row>
    <row r="871" spans="1:71" x14ac:dyDescent="0.25">
      <c r="A871" s="5" t="s">
        <v>1337</v>
      </c>
      <c r="B871" s="5" t="s">
        <v>207</v>
      </c>
      <c r="C871" s="5" t="s">
        <v>61</v>
      </c>
      <c r="D871" s="1" t="s">
        <v>115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20</v>
      </c>
      <c r="L871">
        <v>246</v>
      </c>
      <c r="M871">
        <v>0</v>
      </c>
      <c r="N871">
        <v>0</v>
      </c>
      <c r="O871">
        <v>0</v>
      </c>
      <c r="P871">
        <v>0</v>
      </c>
      <c r="Q871">
        <v>12</v>
      </c>
      <c r="R871">
        <v>0</v>
      </c>
      <c r="S871" s="18" t="e">
        <f t="shared" si="136"/>
        <v>#DIV/0!</v>
      </c>
      <c r="T871" s="17" t="e">
        <f t="shared" si="137"/>
        <v>#DIV/0!</v>
      </c>
      <c r="U871" s="17" t="e">
        <f t="shared" si="138"/>
        <v>#DIV/0!</v>
      </c>
      <c r="V871" s="17" t="e">
        <f t="shared" si="139"/>
        <v>#DIV/0!</v>
      </c>
      <c r="W871" s="17" t="e">
        <f t="shared" si="140"/>
        <v>#DIV/0!</v>
      </c>
      <c r="X871" s="17" t="e">
        <f t="shared" si="141"/>
        <v>#DIV/0!</v>
      </c>
      <c r="Y871" s="19" t="e">
        <f t="shared" si="142"/>
        <v>#DIV/0!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20</v>
      </c>
      <c r="AP871">
        <v>0</v>
      </c>
      <c r="AQ871">
        <v>20</v>
      </c>
      <c r="AR871">
        <v>20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246</v>
      </c>
      <c r="BA871">
        <v>246</v>
      </c>
      <c r="BB871">
        <v>0</v>
      </c>
      <c r="BC871">
        <v>0</v>
      </c>
      <c r="BD871">
        <v>0</v>
      </c>
      <c r="BE871">
        <f t="shared" si="143"/>
        <v>552</v>
      </c>
      <c r="BF871">
        <v>266</v>
      </c>
      <c r="BG871">
        <v>266</v>
      </c>
      <c r="BH871" t="s">
        <v>109</v>
      </c>
      <c r="BI871" t="s">
        <v>1395</v>
      </c>
      <c r="BJ871">
        <v>0</v>
      </c>
      <c r="BK871">
        <v>266</v>
      </c>
      <c r="BL871">
        <v>266</v>
      </c>
      <c r="BM871">
        <v>0</v>
      </c>
      <c r="BN871">
        <v>0</v>
      </c>
      <c r="BO871">
        <v>0</v>
      </c>
      <c r="BP871">
        <v>266</v>
      </c>
      <c r="BQ871">
        <v>266</v>
      </c>
      <c r="BR871">
        <f t="shared" si="144"/>
        <v>-12</v>
      </c>
      <c r="BS871">
        <f t="shared" si="145"/>
        <v>12</v>
      </c>
    </row>
    <row r="872" spans="1:71" x14ac:dyDescent="0.25">
      <c r="A872" s="5" t="s">
        <v>1337</v>
      </c>
      <c r="B872" s="5" t="s">
        <v>207</v>
      </c>
      <c r="C872" s="5" t="s">
        <v>61</v>
      </c>
      <c r="D872" s="1" t="s">
        <v>119</v>
      </c>
      <c r="E872">
        <v>0</v>
      </c>
      <c r="F872">
        <v>556</v>
      </c>
      <c r="G872">
        <v>0</v>
      </c>
      <c r="H872">
        <v>0</v>
      </c>
      <c r="I872">
        <v>30</v>
      </c>
      <c r="J872">
        <v>0</v>
      </c>
      <c r="K872">
        <v>0</v>
      </c>
      <c r="L872">
        <v>0</v>
      </c>
      <c r="M872">
        <v>3087</v>
      </c>
      <c r="N872">
        <v>0</v>
      </c>
      <c r="O872">
        <v>0</v>
      </c>
      <c r="P872">
        <v>0</v>
      </c>
      <c r="Q872">
        <v>355</v>
      </c>
      <c r="R872">
        <v>343</v>
      </c>
      <c r="S872" s="18">
        <f t="shared" si="136"/>
        <v>9</v>
      </c>
      <c r="T872" s="17">
        <f t="shared" si="137"/>
        <v>343</v>
      </c>
      <c r="U872" s="17">
        <f t="shared" si="138"/>
        <v>0</v>
      </c>
      <c r="V872" s="17">
        <f t="shared" si="139"/>
        <v>0</v>
      </c>
      <c r="W872" s="17">
        <f t="shared" si="140"/>
        <v>0</v>
      </c>
      <c r="X872" s="17">
        <f t="shared" si="141"/>
        <v>12</v>
      </c>
      <c r="Y872" s="19">
        <f t="shared" si="142"/>
        <v>0</v>
      </c>
      <c r="Z872">
        <v>556</v>
      </c>
      <c r="AA872">
        <v>0</v>
      </c>
      <c r="AB872">
        <v>0</v>
      </c>
      <c r="AC872">
        <v>0</v>
      </c>
      <c r="AD872">
        <v>30</v>
      </c>
      <c r="AE872">
        <v>0</v>
      </c>
      <c r="AF872">
        <v>0</v>
      </c>
      <c r="AG872">
        <v>0</v>
      </c>
      <c r="AH872">
        <v>30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f t="shared" si="143"/>
        <v>60</v>
      </c>
      <c r="BF872">
        <v>586</v>
      </c>
      <c r="BG872">
        <v>586</v>
      </c>
      <c r="BH872" t="s">
        <v>109</v>
      </c>
      <c r="BI872" t="s">
        <v>1397</v>
      </c>
      <c r="BJ872">
        <v>0</v>
      </c>
      <c r="BK872">
        <v>30</v>
      </c>
      <c r="BL872">
        <v>586</v>
      </c>
      <c r="BM872">
        <v>3117</v>
      </c>
      <c r="BN872">
        <v>0</v>
      </c>
      <c r="BO872">
        <v>0</v>
      </c>
      <c r="BP872">
        <v>0</v>
      </c>
      <c r="BQ872">
        <v>3117</v>
      </c>
      <c r="BR872">
        <f t="shared" si="144"/>
        <v>-12</v>
      </c>
      <c r="BS872">
        <f t="shared" si="145"/>
        <v>698</v>
      </c>
    </row>
    <row r="873" spans="1:71" x14ac:dyDescent="0.25">
      <c r="A873" s="5" t="s">
        <v>1451</v>
      </c>
      <c r="B873" s="5" t="s">
        <v>61</v>
      </c>
      <c r="C873" s="5" t="s">
        <v>207</v>
      </c>
      <c r="D873" s="1" t="s">
        <v>115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600</v>
      </c>
      <c r="K873">
        <v>0</v>
      </c>
      <c r="L873">
        <v>110</v>
      </c>
      <c r="M873">
        <v>0</v>
      </c>
      <c r="N873">
        <v>0</v>
      </c>
      <c r="O873">
        <v>0</v>
      </c>
      <c r="P873">
        <v>0</v>
      </c>
      <c r="Q873">
        <v>12</v>
      </c>
      <c r="R873">
        <v>0</v>
      </c>
      <c r="S873" s="18" t="e">
        <f t="shared" si="136"/>
        <v>#DIV/0!</v>
      </c>
      <c r="T873" s="17" t="e">
        <f t="shared" si="137"/>
        <v>#DIV/0!</v>
      </c>
      <c r="U873" s="17" t="e">
        <f t="shared" si="138"/>
        <v>#DIV/0!</v>
      </c>
      <c r="V873" s="17" t="e">
        <f t="shared" si="139"/>
        <v>#DIV/0!</v>
      </c>
      <c r="W873" s="17" t="e">
        <f t="shared" si="140"/>
        <v>#DIV/0!</v>
      </c>
      <c r="X873" s="17" t="e">
        <f t="shared" si="141"/>
        <v>#DIV/0!</v>
      </c>
      <c r="Y873" s="19" t="e">
        <f t="shared" si="142"/>
        <v>#DIV/0!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600</v>
      </c>
      <c r="AL873">
        <v>600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110</v>
      </c>
      <c r="BA873">
        <v>110</v>
      </c>
      <c r="BB873">
        <v>0</v>
      </c>
      <c r="BC873">
        <v>0</v>
      </c>
      <c r="BD873">
        <v>0</v>
      </c>
      <c r="BE873">
        <f t="shared" si="143"/>
        <v>1420</v>
      </c>
      <c r="BF873">
        <v>710</v>
      </c>
      <c r="BG873">
        <v>710</v>
      </c>
      <c r="BH873" t="s">
        <v>199</v>
      </c>
      <c r="BI873" t="s">
        <v>1495</v>
      </c>
      <c r="BJ873">
        <v>0</v>
      </c>
      <c r="BK873">
        <v>710</v>
      </c>
      <c r="BL873">
        <v>710</v>
      </c>
      <c r="BM873">
        <v>0</v>
      </c>
      <c r="BN873">
        <v>0</v>
      </c>
      <c r="BO873">
        <v>0</v>
      </c>
      <c r="BP873">
        <v>710</v>
      </c>
      <c r="BQ873">
        <v>710</v>
      </c>
      <c r="BR873">
        <f t="shared" si="144"/>
        <v>-12</v>
      </c>
      <c r="BS873">
        <f t="shared" si="145"/>
        <v>12</v>
      </c>
    </row>
    <row r="874" spans="1:71" x14ac:dyDescent="0.25">
      <c r="A874" s="5" t="s">
        <v>1451</v>
      </c>
      <c r="B874" s="5" t="s">
        <v>359</v>
      </c>
      <c r="C874" s="5" t="s">
        <v>61</v>
      </c>
      <c r="D874" s="1" t="s">
        <v>161</v>
      </c>
      <c r="E874">
        <v>0</v>
      </c>
      <c r="F874">
        <v>0</v>
      </c>
      <c r="G874">
        <v>0</v>
      </c>
      <c r="H874">
        <v>0</v>
      </c>
      <c r="I874">
        <v>17</v>
      </c>
      <c r="J874">
        <v>350</v>
      </c>
      <c r="K874">
        <v>0</v>
      </c>
      <c r="L874">
        <v>60</v>
      </c>
      <c r="M874">
        <v>0</v>
      </c>
      <c r="N874">
        <v>0</v>
      </c>
      <c r="O874">
        <v>0</v>
      </c>
      <c r="P874">
        <v>0</v>
      </c>
      <c r="Q874">
        <v>12</v>
      </c>
      <c r="R874">
        <v>0</v>
      </c>
      <c r="S874" s="18" t="e">
        <f t="shared" si="136"/>
        <v>#DIV/0!</v>
      </c>
      <c r="T874" s="17" t="e">
        <f t="shared" si="137"/>
        <v>#DIV/0!</v>
      </c>
      <c r="U874" s="17" t="e">
        <f t="shared" si="138"/>
        <v>#DIV/0!</v>
      </c>
      <c r="V874" s="17" t="e">
        <f t="shared" si="139"/>
        <v>#DIV/0!</v>
      </c>
      <c r="W874" s="17" t="e">
        <f t="shared" si="140"/>
        <v>#DIV/0!</v>
      </c>
      <c r="X874" s="17" t="e">
        <f t="shared" si="141"/>
        <v>#DIV/0!</v>
      </c>
      <c r="Y874" s="19" t="e">
        <f t="shared" si="142"/>
        <v>#DIV/0!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17</v>
      </c>
      <c r="AH874">
        <v>17</v>
      </c>
      <c r="AI874">
        <v>0</v>
      </c>
      <c r="AJ874">
        <v>0</v>
      </c>
      <c r="AK874">
        <v>350</v>
      </c>
      <c r="AL874">
        <v>350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60</v>
      </c>
      <c r="BA874">
        <v>60</v>
      </c>
      <c r="BB874">
        <v>0</v>
      </c>
      <c r="BC874">
        <v>0</v>
      </c>
      <c r="BD874">
        <v>0</v>
      </c>
      <c r="BE874">
        <f t="shared" si="143"/>
        <v>854</v>
      </c>
      <c r="BF874">
        <v>427</v>
      </c>
      <c r="BG874">
        <v>427</v>
      </c>
      <c r="BH874" t="s">
        <v>199</v>
      </c>
      <c r="BI874" t="s">
        <v>1642</v>
      </c>
      <c r="BJ874">
        <v>0</v>
      </c>
      <c r="BK874">
        <v>427</v>
      </c>
      <c r="BL874">
        <v>427</v>
      </c>
      <c r="BM874">
        <v>0</v>
      </c>
      <c r="BN874">
        <v>0</v>
      </c>
      <c r="BO874">
        <v>0</v>
      </c>
      <c r="BP874">
        <v>427</v>
      </c>
      <c r="BQ874">
        <v>427</v>
      </c>
      <c r="BR874">
        <f t="shared" si="144"/>
        <v>-12</v>
      </c>
      <c r="BS874">
        <f t="shared" si="145"/>
        <v>12</v>
      </c>
    </row>
    <row r="875" spans="1:71" x14ac:dyDescent="0.25">
      <c r="A875" s="5" t="s">
        <v>1451</v>
      </c>
      <c r="B875" s="5" t="s">
        <v>359</v>
      </c>
      <c r="C875" s="5" t="s">
        <v>61</v>
      </c>
      <c r="D875" s="1" t="s">
        <v>165</v>
      </c>
      <c r="E875">
        <v>0</v>
      </c>
      <c r="F875">
        <v>0</v>
      </c>
      <c r="G875">
        <v>0</v>
      </c>
      <c r="H875">
        <v>0</v>
      </c>
      <c r="I875">
        <v>30</v>
      </c>
      <c r="J875">
        <v>760</v>
      </c>
      <c r="K875">
        <v>55</v>
      </c>
      <c r="L875">
        <v>110</v>
      </c>
      <c r="M875">
        <v>0</v>
      </c>
      <c r="N875">
        <v>0</v>
      </c>
      <c r="O875">
        <v>0</v>
      </c>
      <c r="P875">
        <v>0</v>
      </c>
      <c r="Q875">
        <v>12</v>
      </c>
      <c r="R875">
        <v>0</v>
      </c>
      <c r="S875" s="18" t="e">
        <f t="shared" si="136"/>
        <v>#DIV/0!</v>
      </c>
      <c r="T875" s="17" t="e">
        <f t="shared" si="137"/>
        <v>#DIV/0!</v>
      </c>
      <c r="U875" s="17" t="e">
        <f t="shared" si="138"/>
        <v>#DIV/0!</v>
      </c>
      <c r="V875" s="17" t="e">
        <f t="shared" si="139"/>
        <v>#DIV/0!</v>
      </c>
      <c r="W875" s="17" t="e">
        <f t="shared" si="140"/>
        <v>#DIV/0!</v>
      </c>
      <c r="X875" s="17" t="e">
        <f t="shared" si="141"/>
        <v>#DIV/0!</v>
      </c>
      <c r="Y875" s="19" t="e">
        <f t="shared" si="142"/>
        <v>#DIV/0!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</v>
      </c>
      <c r="AH875">
        <v>30</v>
      </c>
      <c r="AI875">
        <v>0</v>
      </c>
      <c r="AJ875">
        <v>0</v>
      </c>
      <c r="AK875">
        <v>760</v>
      </c>
      <c r="AL875">
        <v>760</v>
      </c>
      <c r="AM875">
        <v>0</v>
      </c>
      <c r="AN875">
        <v>0</v>
      </c>
      <c r="AO875">
        <v>55</v>
      </c>
      <c r="AP875">
        <v>0</v>
      </c>
      <c r="AQ875">
        <v>55</v>
      </c>
      <c r="AR875">
        <v>55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110</v>
      </c>
      <c r="BA875">
        <v>110</v>
      </c>
      <c r="BB875">
        <v>0</v>
      </c>
      <c r="BC875">
        <v>0</v>
      </c>
      <c r="BD875">
        <v>0</v>
      </c>
      <c r="BE875">
        <f t="shared" si="143"/>
        <v>1965</v>
      </c>
      <c r="BF875">
        <v>955</v>
      </c>
      <c r="BG875">
        <v>955</v>
      </c>
      <c r="BH875" t="s">
        <v>199</v>
      </c>
      <c r="BI875" t="s">
        <v>1644</v>
      </c>
      <c r="BJ875">
        <v>0</v>
      </c>
      <c r="BK875">
        <v>955</v>
      </c>
      <c r="BL875">
        <v>955</v>
      </c>
      <c r="BM875">
        <v>0</v>
      </c>
      <c r="BN875">
        <v>0</v>
      </c>
      <c r="BO875">
        <v>0</v>
      </c>
      <c r="BP875">
        <v>955</v>
      </c>
      <c r="BQ875">
        <v>955</v>
      </c>
      <c r="BR875">
        <f t="shared" si="144"/>
        <v>-12</v>
      </c>
      <c r="BS875">
        <f t="shared" si="145"/>
        <v>12</v>
      </c>
    </row>
    <row r="876" spans="1:71" x14ac:dyDescent="0.25">
      <c r="A876" s="5" t="s">
        <v>1451</v>
      </c>
      <c r="B876" s="5" t="s">
        <v>359</v>
      </c>
      <c r="C876" s="5" t="s">
        <v>61</v>
      </c>
      <c r="D876" s="1" t="s">
        <v>169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605</v>
      </c>
      <c r="K876">
        <v>0</v>
      </c>
      <c r="L876">
        <v>184</v>
      </c>
      <c r="M876">
        <v>0</v>
      </c>
      <c r="N876">
        <v>0</v>
      </c>
      <c r="O876">
        <v>0</v>
      </c>
      <c r="P876">
        <v>0</v>
      </c>
      <c r="Q876">
        <v>12</v>
      </c>
      <c r="R876">
        <v>0</v>
      </c>
      <c r="S876" s="18" t="e">
        <f t="shared" si="136"/>
        <v>#DIV/0!</v>
      </c>
      <c r="T876" s="17" t="e">
        <f t="shared" si="137"/>
        <v>#DIV/0!</v>
      </c>
      <c r="U876" s="17" t="e">
        <f t="shared" si="138"/>
        <v>#DIV/0!</v>
      </c>
      <c r="V876" s="17" t="e">
        <f t="shared" si="139"/>
        <v>#DIV/0!</v>
      </c>
      <c r="W876" s="17" t="e">
        <f t="shared" si="140"/>
        <v>#DIV/0!</v>
      </c>
      <c r="X876" s="17" t="e">
        <f t="shared" si="141"/>
        <v>#DIV/0!</v>
      </c>
      <c r="Y876" s="19" t="e">
        <f t="shared" si="142"/>
        <v>#DIV/0!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605</v>
      </c>
      <c r="AL876">
        <v>605</v>
      </c>
      <c r="AM876">
        <v>0</v>
      </c>
      <c r="AN876">
        <v>0</v>
      </c>
      <c r="AO876">
        <v>0</v>
      </c>
      <c r="AP876">
        <v>24</v>
      </c>
      <c r="AQ876">
        <v>0</v>
      </c>
      <c r="AR876">
        <v>81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184</v>
      </c>
      <c r="BA876">
        <v>184</v>
      </c>
      <c r="BB876">
        <v>0</v>
      </c>
      <c r="BC876">
        <v>0</v>
      </c>
      <c r="BD876">
        <v>0</v>
      </c>
      <c r="BE876">
        <f t="shared" si="143"/>
        <v>1683</v>
      </c>
      <c r="BF876">
        <v>789</v>
      </c>
      <c r="BG876">
        <v>789</v>
      </c>
      <c r="BH876" t="s">
        <v>199</v>
      </c>
      <c r="BI876" t="s">
        <v>1646</v>
      </c>
      <c r="BJ876">
        <v>0</v>
      </c>
      <c r="BK876">
        <v>789</v>
      </c>
      <c r="BL876">
        <v>789</v>
      </c>
      <c r="BM876">
        <v>0</v>
      </c>
      <c r="BN876">
        <v>0</v>
      </c>
      <c r="BO876">
        <v>0</v>
      </c>
      <c r="BP876">
        <v>789</v>
      </c>
      <c r="BQ876">
        <v>789</v>
      </c>
      <c r="BR876">
        <f t="shared" si="144"/>
        <v>-12</v>
      </c>
      <c r="BS876">
        <f t="shared" si="145"/>
        <v>12</v>
      </c>
    </row>
    <row r="877" spans="1:71" x14ac:dyDescent="0.25">
      <c r="A877" s="5" t="s">
        <v>1946</v>
      </c>
      <c r="B877" s="5" t="s">
        <v>61</v>
      </c>
      <c r="C877" s="5" t="s">
        <v>61</v>
      </c>
      <c r="D877" s="1" t="s">
        <v>145</v>
      </c>
      <c r="E877">
        <v>0</v>
      </c>
      <c r="F877">
        <v>0</v>
      </c>
      <c r="G877">
        <v>0</v>
      </c>
      <c r="H877">
        <v>0</v>
      </c>
      <c r="I877">
        <v>6</v>
      </c>
      <c r="J877">
        <v>0</v>
      </c>
      <c r="K877">
        <v>510</v>
      </c>
      <c r="L877">
        <v>148</v>
      </c>
      <c r="M877">
        <v>0</v>
      </c>
      <c r="N877">
        <v>0</v>
      </c>
      <c r="O877">
        <v>0</v>
      </c>
      <c r="P877">
        <v>0</v>
      </c>
      <c r="Q877">
        <v>12</v>
      </c>
      <c r="R877">
        <v>0</v>
      </c>
      <c r="S877" s="18" t="e">
        <f t="shared" si="136"/>
        <v>#DIV/0!</v>
      </c>
      <c r="T877" s="17" t="e">
        <f t="shared" si="137"/>
        <v>#DIV/0!</v>
      </c>
      <c r="U877" s="17" t="e">
        <f t="shared" si="138"/>
        <v>#DIV/0!</v>
      </c>
      <c r="V877" s="17" t="e">
        <f t="shared" si="139"/>
        <v>#DIV/0!</v>
      </c>
      <c r="W877" s="17" t="e">
        <f t="shared" si="140"/>
        <v>#DIV/0!</v>
      </c>
      <c r="X877" s="17" t="e">
        <f t="shared" si="141"/>
        <v>#DIV/0!</v>
      </c>
      <c r="Y877" s="19" t="e">
        <f t="shared" si="142"/>
        <v>#DIV/0!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6</v>
      </c>
      <c r="AH877">
        <v>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510</v>
      </c>
      <c r="AP877">
        <v>510</v>
      </c>
      <c r="AQ877">
        <v>510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148</v>
      </c>
      <c r="BA877">
        <v>148</v>
      </c>
      <c r="BB877">
        <v>0</v>
      </c>
      <c r="BC877">
        <v>0</v>
      </c>
      <c r="BD877">
        <v>0</v>
      </c>
      <c r="BE877">
        <f t="shared" si="143"/>
        <v>1838</v>
      </c>
      <c r="BF877">
        <v>664</v>
      </c>
      <c r="BG877">
        <v>664</v>
      </c>
      <c r="BH877" t="s">
        <v>190</v>
      </c>
      <c r="BI877" t="s">
        <v>1985</v>
      </c>
      <c r="BJ877">
        <v>0</v>
      </c>
      <c r="BK877">
        <v>664</v>
      </c>
      <c r="BL877">
        <v>664</v>
      </c>
      <c r="BM877">
        <v>0</v>
      </c>
      <c r="BN877">
        <v>0</v>
      </c>
      <c r="BO877">
        <v>0</v>
      </c>
      <c r="BP877">
        <v>664</v>
      </c>
      <c r="BQ877">
        <v>664</v>
      </c>
      <c r="BR877">
        <f t="shared" si="144"/>
        <v>-12</v>
      </c>
      <c r="BS877">
        <f t="shared" si="145"/>
        <v>12</v>
      </c>
    </row>
    <row r="878" spans="1:71" x14ac:dyDescent="0.25">
      <c r="A878" s="5" t="s">
        <v>1946</v>
      </c>
      <c r="B878" s="5" t="s">
        <v>61</v>
      </c>
      <c r="C878" s="5" t="s">
        <v>61</v>
      </c>
      <c r="D878" s="1" t="s">
        <v>159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170</v>
      </c>
      <c r="K878">
        <v>160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12</v>
      </c>
      <c r="R878">
        <v>0</v>
      </c>
      <c r="S878" s="18" t="e">
        <f t="shared" si="136"/>
        <v>#DIV/0!</v>
      </c>
      <c r="T878" s="17" t="e">
        <f t="shared" si="137"/>
        <v>#DIV/0!</v>
      </c>
      <c r="U878" s="17" t="e">
        <f t="shared" si="138"/>
        <v>#DIV/0!</v>
      </c>
      <c r="V878" s="17" t="e">
        <f t="shared" si="139"/>
        <v>#DIV/0!</v>
      </c>
      <c r="W878" s="17" t="e">
        <f t="shared" si="140"/>
        <v>#DIV/0!</v>
      </c>
      <c r="X878" s="17" t="e">
        <f t="shared" si="141"/>
        <v>#DIV/0!</v>
      </c>
      <c r="Y878" s="19" t="e">
        <f t="shared" si="142"/>
        <v>#DIV/0!</v>
      </c>
      <c r="Z878">
        <v>0</v>
      </c>
      <c r="AA878">
        <v>0</v>
      </c>
      <c r="AB878">
        <v>0</v>
      </c>
      <c r="AC878">
        <v>30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170</v>
      </c>
      <c r="AL878">
        <v>170</v>
      </c>
      <c r="AM878">
        <v>0</v>
      </c>
      <c r="AN878">
        <v>0</v>
      </c>
      <c r="AO878">
        <v>160</v>
      </c>
      <c r="AP878">
        <v>100</v>
      </c>
      <c r="AQ878">
        <v>160</v>
      </c>
      <c r="AR878">
        <v>60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f t="shared" si="143"/>
        <v>850</v>
      </c>
      <c r="BF878">
        <v>360</v>
      </c>
      <c r="BG878">
        <v>360</v>
      </c>
      <c r="BH878" t="s">
        <v>190</v>
      </c>
      <c r="BI878" t="s">
        <v>1991</v>
      </c>
      <c r="BJ878">
        <v>30</v>
      </c>
      <c r="BK878">
        <v>330</v>
      </c>
      <c r="BL878">
        <v>360</v>
      </c>
      <c r="BM878">
        <v>0</v>
      </c>
      <c r="BN878">
        <v>0</v>
      </c>
      <c r="BO878">
        <v>0</v>
      </c>
      <c r="BP878">
        <v>330</v>
      </c>
      <c r="BQ878">
        <v>330</v>
      </c>
      <c r="BR878">
        <f t="shared" si="144"/>
        <v>-12</v>
      </c>
      <c r="BS878">
        <f t="shared" si="145"/>
        <v>12</v>
      </c>
    </row>
    <row r="879" spans="1:71" x14ac:dyDescent="0.25">
      <c r="A879" s="5" t="s">
        <v>1946</v>
      </c>
      <c r="B879" s="5" t="s">
        <v>207</v>
      </c>
      <c r="C879" s="5" t="s">
        <v>61</v>
      </c>
      <c r="D879" s="1" t="s">
        <v>125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278</v>
      </c>
      <c r="K879">
        <v>136</v>
      </c>
      <c r="L879">
        <v>56</v>
      </c>
      <c r="M879">
        <v>0</v>
      </c>
      <c r="N879">
        <v>0</v>
      </c>
      <c r="O879">
        <v>0</v>
      </c>
      <c r="P879">
        <v>0</v>
      </c>
      <c r="Q879">
        <v>12</v>
      </c>
      <c r="R879">
        <v>0</v>
      </c>
      <c r="S879" s="18" t="e">
        <f t="shared" si="136"/>
        <v>#DIV/0!</v>
      </c>
      <c r="T879" s="17" t="e">
        <f t="shared" si="137"/>
        <v>#DIV/0!</v>
      </c>
      <c r="U879" s="17" t="e">
        <f t="shared" si="138"/>
        <v>#DIV/0!</v>
      </c>
      <c r="V879" s="17" t="e">
        <f t="shared" si="139"/>
        <v>#DIV/0!</v>
      </c>
      <c r="W879" s="17" t="e">
        <f t="shared" si="140"/>
        <v>#DIV/0!</v>
      </c>
      <c r="X879" s="17" t="e">
        <f t="shared" si="141"/>
        <v>#DIV/0!</v>
      </c>
      <c r="Y879" s="19" t="e">
        <f t="shared" si="142"/>
        <v>#DIV/0!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278</v>
      </c>
      <c r="AL879">
        <v>278</v>
      </c>
      <c r="AM879">
        <v>0</v>
      </c>
      <c r="AN879">
        <v>0</v>
      </c>
      <c r="AO879">
        <v>136</v>
      </c>
      <c r="AP879">
        <v>56</v>
      </c>
      <c r="AQ879">
        <v>136</v>
      </c>
      <c r="AR879">
        <v>80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56</v>
      </c>
      <c r="BA879">
        <v>56</v>
      </c>
      <c r="BB879">
        <v>0</v>
      </c>
      <c r="BC879">
        <v>0</v>
      </c>
      <c r="BD879">
        <v>0</v>
      </c>
      <c r="BE879">
        <f t="shared" si="143"/>
        <v>1076</v>
      </c>
      <c r="BF879">
        <v>470</v>
      </c>
      <c r="BG879">
        <v>470</v>
      </c>
      <c r="BH879" t="s">
        <v>199</v>
      </c>
      <c r="BI879" t="s">
        <v>2038</v>
      </c>
      <c r="BJ879">
        <v>0</v>
      </c>
      <c r="BK879">
        <v>470</v>
      </c>
      <c r="BL879">
        <v>470</v>
      </c>
      <c r="BM879">
        <v>0</v>
      </c>
      <c r="BN879">
        <v>0</v>
      </c>
      <c r="BO879">
        <v>0</v>
      </c>
      <c r="BP879">
        <v>470</v>
      </c>
      <c r="BQ879">
        <v>470</v>
      </c>
      <c r="BR879">
        <f t="shared" si="144"/>
        <v>-12</v>
      </c>
      <c r="BS879">
        <f t="shared" si="145"/>
        <v>12</v>
      </c>
    </row>
    <row r="880" spans="1:71" x14ac:dyDescent="0.25">
      <c r="A880" s="5" t="s">
        <v>2294</v>
      </c>
      <c r="B880" s="5" t="s">
        <v>61</v>
      </c>
      <c r="C880" s="5" t="s">
        <v>61</v>
      </c>
      <c r="D880" s="1" t="s">
        <v>115</v>
      </c>
      <c r="E880">
        <v>0</v>
      </c>
      <c r="F880">
        <v>0</v>
      </c>
      <c r="G880">
        <v>0</v>
      </c>
      <c r="H880">
        <v>0</v>
      </c>
      <c r="I880">
        <v>95</v>
      </c>
      <c r="J880">
        <v>0</v>
      </c>
      <c r="K880">
        <v>102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12</v>
      </c>
      <c r="R880">
        <v>0</v>
      </c>
      <c r="S880" s="18" t="e">
        <f t="shared" si="136"/>
        <v>#DIV/0!</v>
      </c>
      <c r="T880" s="17" t="e">
        <f t="shared" si="137"/>
        <v>#DIV/0!</v>
      </c>
      <c r="U880" s="17" t="e">
        <f t="shared" si="138"/>
        <v>#DIV/0!</v>
      </c>
      <c r="V880" s="17" t="e">
        <f t="shared" si="139"/>
        <v>#DIV/0!</v>
      </c>
      <c r="W880" s="17" t="e">
        <f t="shared" si="140"/>
        <v>#DIV/0!</v>
      </c>
      <c r="X880" s="17" t="e">
        <f t="shared" si="141"/>
        <v>#DIV/0!</v>
      </c>
      <c r="Y880" s="19" t="e">
        <f t="shared" si="142"/>
        <v>#DIV/0!</v>
      </c>
      <c r="Z880">
        <v>0</v>
      </c>
      <c r="AA880">
        <v>0</v>
      </c>
      <c r="AB880">
        <v>0</v>
      </c>
      <c r="AC880">
        <v>38</v>
      </c>
      <c r="AD880">
        <v>0</v>
      </c>
      <c r="AE880">
        <v>0</v>
      </c>
      <c r="AF880">
        <v>0</v>
      </c>
      <c r="AG880">
        <v>95</v>
      </c>
      <c r="AH880">
        <v>95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102</v>
      </c>
      <c r="AP880">
        <v>27</v>
      </c>
      <c r="AQ880">
        <v>102</v>
      </c>
      <c r="AR880">
        <v>75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f t="shared" si="143"/>
        <v>534</v>
      </c>
      <c r="BF880">
        <v>235</v>
      </c>
      <c r="BG880">
        <v>235</v>
      </c>
      <c r="BH880" t="s">
        <v>82</v>
      </c>
      <c r="BI880" t="s">
        <v>2318</v>
      </c>
      <c r="BJ880">
        <v>38</v>
      </c>
      <c r="BK880">
        <v>197</v>
      </c>
      <c r="BL880">
        <v>235</v>
      </c>
      <c r="BM880">
        <v>0</v>
      </c>
      <c r="BN880">
        <v>0</v>
      </c>
      <c r="BO880">
        <v>0</v>
      </c>
      <c r="BP880">
        <v>197</v>
      </c>
      <c r="BQ880">
        <v>197</v>
      </c>
      <c r="BR880">
        <f t="shared" si="144"/>
        <v>-12</v>
      </c>
      <c r="BS880">
        <f t="shared" si="145"/>
        <v>12</v>
      </c>
    </row>
    <row r="881" spans="1:71" x14ac:dyDescent="0.25">
      <c r="A881" s="5" t="s">
        <v>61</v>
      </c>
      <c r="B881" s="5" t="s">
        <v>207</v>
      </c>
      <c r="C881" s="5" t="s">
        <v>61</v>
      </c>
      <c r="D881" s="1" t="s">
        <v>163</v>
      </c>
      <c r="E881">
        <v>0</v>
      </c>
      <c r="F881">
        <v>35</v>
      </c>
      <c r="G881">
        <v>0</v>
      </c>
      <c r="H881">
        <v>0</v>
      </c>
      <c r="I881">
        <v>40</v>
      </c>
      <c r="J881">
        <v>0</v>
      </c>
      <c r="K881">
        <v>0</v>
      </c>
      <c r="L881">
        <v>0</v>
      </c>
      <c r="M881">
        <v>315</v>
      </c>
      <c r="N881">
        <v>0</v>
      </c>
      <c r="O881">
        <v>0</v>
      </c>
      <c r="P881">
        <v>0</v>
      </c>
      <c r="Q881">
        <v>48</v>
      </c>
      <c r="R881">
        <v>35</v>
      </c>
      <c r="S881" s="18">
        <f t="shared" si="136"/>
        <v>9</v>
      </c>
      <c r="T881" s="17">
        <f t="shared" si="137"/>
        <v>35</v>
      </c>
      <c r="U881" s="17">
        <f t="shared" si="138"/>
        <v>0</v>
      </c>
      <c r="V881" s="17">
        <f t="shared" si="139"/>
        <v>0</v>
      </c>
      <c r="W881" s="17">
        <f t="shared" si="140"/>
        <v>0</v>
      </c>
      <c r="X881" s="17">
        <f t="shared" si="141"/>
        <v>13</v>
      </c>
      <c r="Y881" s="19">
        <f t="shared" si="142"/>
        <v>0</v>
      </c>
      <c r="Z881">
        <v>35</v>
      </c>
      <c r="AA881">
        <v>0</v>
      </c>
      <c r="AB881">
        <v>0</v>
      </c>
      <c r="AC881">
        <v>0</v>
      </c>
      <c r="AD881">
        <v>40</v>
      </c>
      <c r="AE881">
        <v>0</v>
      </c>
      <c r="AF881">
        <v>0</v>
      </c>
      <c r="AG881">
        <v>0</v>
      </c>
      <c r="AH881">
        <v>40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f t="shared" si="143"/>
        <v>80</v>
      </c>
      <c r="BF881">
        <v>75</v>
      </c>
      <c r="BG881">
        <v>75</v>
      </c>
      <c r="BH881" t="s">
        <v>109</v>
      </c>
      <c r="BI881" t="s">
        <v>258</v>
      </c>
      <c r="BJ881">
        <v>0</v>
      </c>
      <c r="BK881">
        <v>40</v>
      </c>
      <c r="BL881">
        <v>75</v>
      </c>
      <c r="BM881">
        <v>355</v>
      </c>
      <c r="BN881">
        <v>0</v>
      </c>
      <c r="BO881">
        <v>0</v>
      </c>
      <c r="BP881">
        <v>0</v>
      </c>
      <c r="BQ881">
        <v>355</v>
      </c>
      <c r="BR881">
        <f t="shared" si="144"/>
        <v>-13</v>
      </c>
      <c r="BS881">
        <f t="shared" si="145"/>
        <v>83</v>
      </c>
    </row>
    <row r="882" spans="1:71" x14ac:dyDescent="0.25">
      <c r="A882" s="5" t="s">
        <v>61</v>
      </c>
      <c r="B882" s="5" t="s">
        <v>207</v>
      </c>
      <c r="C882" s="5" t="s">
        <v>207</v>
      </c>
      <c r="D882" s="1" t="s">
        <v>198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55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13</v>
      </c>
      <c r="R882">
        <v>0</v>
      </c>
      <c r="S882" s="18" t="e">
        <f t="shared" si="136"/>
        <v>#DIV/0!</v>
      </c>
      <c r="T882" s="17" t="e">
        <f t="shared" si="137"/>
        <v>#DIV/0!</v>
      </c>
      <c r="U882" s="17" t="e">
        <f t="shared" si="138"/>
        <v>#DIV/0!</v>
      </c>
      <c r="V882" s="17" t="e">
        <f t="shared" si="139"/>
        <v>#DIV/0!</v>
      </c>
      <c r="W882" s="17" t="e">
        <f t="shared" si="140"/>
        <v>#DIV/0!</v>
      </c>
      <c r="X882" s="17" t="e">
        <f t="shared" si="141"/>
        <v>#DIV/0!</v>
      </c>
      <c r="Y882" s="19" t="e">
        <f t="shared" si="142"/>
        <v>#DIV/0!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55</v>
      </c>
      <c r="AP882">
        <v>55</v>
      </c>
      <c r="AQ882">
        <v>55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f t="shared" si="143"/>
        <v>165</v>
      </c>
      <c r="BF882">
        <v>55</v>
      </c>
      <c r="BG882">
        <v>55</v>
      </c>
      <c r="BH882" t="s">
        <v>190</v>
      </c>
      <c r="BI882" t="s">
        <v>345</v>
      </c>
      <c r="BJ882">
        <v>0</v>
      </c>
      <c r="BK882">
        <v>55</v>
      </c>
      <c r="BL882">
        <v>55</v>
      </c>
      <c r="BM882">
        <v>0</v>
      </c>
      <c r="BN882">
        <v>0</v>
      </c>
      <c r="BO882">
        <v>0</v>
      </c>
      <c r="BP882">
        <v>55</v>
      </c>
      <c r="BQ882">
        <v>55</v>
      </c>
      <c r="BR882">
        <f t="shared" si="144"/>
        <v>-13</v>
      </c>
      <c r="BS882">
        <f t="shared" si="145"/>
        <v>13</v>
      </c>
    </row>
    <row r="883" spans="1:71" x14ac:dyDescent="0.25">
      <c r="A883" s="5" t="s">
        <v>875</v>
      </c>
      <c r="B883" s="5" t="s">
        <v>207</v>
      </c>
      <c r="C883" s="5" t="s">
        <v>61</v>
      </c>
      <c r="D883" s="1" t="s">
        <v>117</v>
      </c>
      <c r="E883">
        <v>0</v>
      </c>
      <c r="F883">
        <v>12</v>
      </c>
      <c r="G883">
        <v>0</v>
      </c>
      <c r="H883">
        <v>0</v>
      </c>
      <c r="I883">
        <v>70</v>
      </c>
      <c r="J883">
        <v>0</v>
      </c>
      <c r="K883">
        <v>50</v>
      </c>
      <c r="L883">
        <v>0</v>
      </c>
      <c r="M883">
        <v>72</v>
      </c>
      <c r="N883">
        <v>0</v>
      </c>
      <c r="O883">
        <v>0</v>
      </c>
      <c r="P883">
        <v>0</v>
      </c>
      <c r="Q883">
        <v>21</v>
      </c>
      <c r="R883">
        <v>8</v>
      </c>
      <c r="S883" s="18">
        <f t="shared" si="136"/>
        <v>9</v>
      </c>
      <c r="T883" s="17">
        <f t="shared" si="137"/>
        <v>8</v>
      </c>
      <c r="U883" s="17">
        <f t="shared" si="138"/>
        <v>0</v>
      </c>
      <c r="V883" s="17">
        <f t="shared" si="139"/>
        <v>0</v>
      </c>
      <c r="W883" s="17">
        <f t="shared" si="140"/>
        <v>0</v>
      </c>
      <c r="X883" s="17">
        <f t="shared" si="141"/>
        <v>13</v>
      </c>
      <c r="Y883" s="19">
        <f t="shared" si="142"/>
        <v>0</v>
      </c>
      <c r="Z883">
        <v>12</v>
      </c>
      <c r="AA883">
        <v>0</v>
      </c>
      <c r="AB883">
        <v>0</v>
      </c>
      <c r="AC883">
        <v>306</v>
      </c>
      <c r="AD883">
        <v>70</v>
      </c>
      <c r="AE883">
        <v>0</v>
      </c>
      <c r="AF883">
        <v>0</v>
      </c>
      <c r="AG883">
        <v>0</v>
      </c>
      <c r="AH883">
        <v>70</v>
      </c>
      <c r="AI883">
        <v>0</v>
      </c>
      <c r="AJ883">
        <v>0</v>
      </c>
      <c r="AK883">
        <v>0</v>
      </c>
      <c r="AL883">
        <v>0</v>
      </c>
      <c r="AM883">
        <v>50</v>
      </c>
      <c r="AN883">
        <v>0</v>
      </c>
      <c r="AO883">
        <v>0</v>
      </c>
      <c r="AP883">
        <v>0</v>
      </c>
      <c r="AQ883">
        <v>50</v>
      </c>
      <c r="AR883">
        <v>50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f t="shared" si="143"/>
        <v>596</v>
      </c>
      <c r="BF883">
        <v>438</v>
      </c>
      <c r="BG883">
        <v>438</v>
      </c>
      <c r="BH883" t="s">
        <v>190</v>
      </c>
      <c r="BI883" t="s">
        <v>991</v>
      </c>
      <c r="BJ883">
        <v>306</v>
      </c>
      <c r="BK883">
        <v>120</v>
      </c>
      <c r="BL883">
        <v>438</v>
      </c>
      <c r="BM883">
        <v>192</v>
      </c>
      <c r="BN883">
        <v>0</v>
      </c>
      <c r="BO883">
        <v>0</v>
      </c>
      <c r="BP883">
        <v>0</v>
      </c>
      <c r="BQ883">
        <v>192</v>
      </c>
      <c r="BR883">
        <f t="shared" si="144"/>
        <v>-13</v>
      </c>
      <c r="BS883">
        <f t="shared" si="145"/>
        <v>29</v>
      </c>
    </row>
    <row r="884" spans="1:71" x14ac:dyDescent="0.25">
      <c r="A884" s="5" t="s">
        <v>1337</v>
      </c>
      <c r="B884" s="5" t="s">
        <v>359</v>
      </c>
      <c r="C884" s="5" t="s">
        <v>61</v>
      </c>
      <c r="D884" s="1" t="s">
        <v>104</v>
      </c>
      <c r="E884">
        <v>0</v>
      </c>
      <c r="F884">
        <v>309</v>
      </c>
      <c r="G884">
        <v>0</v>
      </c>
      <c r="H884">
        <v>0</v>
      </c>
      <c r="I884">
        <v>20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1260</v>
      </c>
      <c r="Q884">
        <v>153</v>
      </c>
      <c r="R884">
        <v>140</v>
      </c>
      <c r="S884" s="18">
        <f t="shared" si="136"/>
        <v>9</v>
      </c>
      <c r="T884" s="17">
        <f t="shared" si="137"/>
        <v>0</v>
      </c>
      <c r="U884" s="17">
        <f t="shared" si="138"/>
        <v>0</v>
      </c>
      <c r="V884" s="17">
        <f t="shared" si="139"/>
        <v>0</v>
      </c>
      <c r="W884" s="17">
        <f t="shared" si="140"/>
        <v>140</v>
      </c>
      <c r="X884" s="17">
        <f t="shared" si="141"/>
        <v>13</v>
      </c>
      <c r="Y884" s="19">
        <f t="shared" si="142"/>
        <v>0</v>
      </c>
      <c r="Z884">
        <v>309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20</v>
      </c>
      <c r="AH884">
        <v>20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f t="shared" si="143"/>
        <v>40</v>
      </c>
      <c r="BF884">
        <v>329</v>
      </c>
      <c r="BG884">
        <v>329</v>
      </c>
      <c r="BH884" t="s">
        <v>109</v>
      </c>
      <c r="BI884" t="s">
        <v>1431</v>
      </c>
      <c r="BJ884">
        <v>0</v>
      </c>
      <c r="BK884">
        <v>20</v>
      </c>
      <c r="BL884">
        <v>329</v>
      </c>
      <c r="BM884">
        <v>0</v>
      </c>
      <c r="BN884">
        <v>0</v>
      </c>
      <c r="BO884">
        <v>0</v>
      </c>
      <c r="BP884">
        <v>1280</v>
      </c>
      <c r="BQ884">
        <v>1280</v>
      </c>
      <c r="BR884">
        <f t="shared" si="144"/>
        <v>-13</v>
      </c>
      <c r="BS884">
        <f t="shared" si="145"/>
        <v>293</v>
      </c>
    </row>
    <row r="885" spans="1:71" x14ac:dyDescent="0.25">
      <c r="A885" s="5" t="s">
        <v>1451</v>
      </c>
      <c r="B885" s="5" t="s">
        <v>207</v>
      </c>
      <c r="C885" s="5" t="s">
        <v>207</v>
      </c>
      <c r="D885" s="1" t="s">
        <v>165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471</v>
      </c>
      <c r="K885">
        <v>212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13</v>
      </c>
      <c r="R885">
        <v>0</v>
      </c>
      <c r="S885" s="18" t="e">
        <f t="shared" si="136"/>
        <v>#DIV/0!</v>
      </c>
      <c r="T885" s="17" t="e">
        <f t="shared" si="137"/>
        <v>#DIV/0!</v>
      </c>
      <c r="U885" s="17" t="e">
        <f t="shared" si="138"/>
        <v>#DIV/0!</v>
      </c>
      <c r="V885" s="17" t="e">
        <f t="shared" si="139"/>
        <v>#DIV/0!</v>
      </c>
      <c r="W885" s="17" t="e">
        <f t="shared" si="140"/>
        <v>#DIV/0!</v>
      </c>
      <c r="X885" s="17" t="e">
        <f t="shared" si="141"/>
        <v>#DIV/0!</v>
      </c>
      <c r="Y885" s="19" t="e">
        <f t="shared" si="142"/>
        <v>#DIV/0!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471</v>
      </c>
      <c r="AL885">
        <v>471</v>
      </c>
      <c r="AM885">
        <v>0</v>
      </c>
      <c r="AN885">
        <v>0</v>
      </c>
      <c r="AO885">
        <v>212</v>
      </c>
      <c r="AP885">
        <v>12</v>
      </c>
      <c r="AQ885">
        <v>212</v>
      </c>
      <c r="AR885">
        <v>200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f t="shared" si="143"/>
        <v>1578</v>
      </c>
      <c r="BF885">
        <v>683</v>
      </c>
      <c r="BG885">
        <v>683</v>
      </c>
      <c r="BH885" t="s">
        <v>199</v>
      </c>
      <c r="BI885" t="s">
        <v>1599</v>
      </c>
      <c r="BJ885">
        <v>0</v>
      </c>
      <c r="BK885">
        <v>683</v>
      </c>
      <c r="BL885">
        <v>683</v>
      </c>
      <c r="BM885">
        <v>0</v>
      </c>
      <c r="BN885">
        <v>0</v>
      </c>
      <c r="BO885">
        <v>0</v>
      </c>
      <c r="BP885">
        <v>683</v>
      </c>
      <c r="BQ885">
        <v>683</v>
      </c>
      <c r="BR885">
        <f t="shared" si="144"/>
        <v>-13</v>
      </c>
      <c r="BS885">
        <f t="shared" si="145"/>
        <v>13</v>
      </c>
    </row>
    <row r="886" spans="1:71" x14ac:dyDescent="0.25">
      <c r="A886" s="6" t="s">
        <v>61</v>
      </c>
      <c r="B886" s="6" t="s">
        <v>207</v>
      </c>
      <c r="C886" s="6" t="s">
        <v>61</v>
      </c>
      <c r="D886" s="1" t="s">
        <v>88</v>
      </c>
      <c r="E886">
        <v>0</v>
      </c>
      <c r="F886">
        <v>76</v>
      </c>
      <c r="G886">
        <v>0</v>
      </c>
      <c r="H886">
        <v>0</v>
      </c>
      <c r="I886">
        <v>85</v>
      </c>
      <c r="J886">
        <v>415</v>
      </c>
      <c r="K886">
        <v>27</v>
      </c>
      <c r="L886">
        <v>0</v>
      </c>
      <c r="M886">
        <v>0</v>
      </c>
      <c r="N886">
        <v>0</v>
      </c>
      <c r="O886">
        <v>0</v>
      </c>
      <c r="P886">
        <v>630</v>
      </c>
      <c r="Q886">
        <v>84</v>
      </c>
      <c r="R886">
        <v>70</v>
      </c>
      <c r="S886" s="18">
        <f t="shared" si="136"/>
        <v>9</v>
      </c>
      <c r="T886" s="17">
        <f t="shared" si="137"/>
        <v>0</v>
      </c>
      <c r="U886" s="17">
        <f t="shared" si="138"/>
        <v>0</v>
      </c>
      <c r="V886" s="17">
        <f t="shared" si="139"/>
        <v>0</v>
      </c>
      <c r="W886" s="17">
        <f t="shared" si="140"/>
        <v>70</v>
      </c>
      <c r="X886" s="17">
        <f t="shared" si="141"/>
        <v>14</v>
      </c>
      <c r="Y886" s="19">
        <f t="shared" si="142"/>
        <v>0</v>
      </c>
      <c r="Z886">
        <v>76</v>
      </c>
      <c r="AA886">
        <v>0</v>
      </c>
      <c r="AB886">
        <v>0</v>
      </c>
      <c r="AC886">
        <v>547</v>
      </c>
      <c r="AD886">
        <v>0</v>
      </c>
      <c r="AE886">
        <v>0</v>
      </c>
      <c r="AF886">
        <v>0</v>
      </c>
      <c r="AG886">
        <v>85</v>
      </c>
      <c r="AH886">
        <v>85</v>
      </c>
      <c r="AI886">
        <v>0</v>
      </c>
      <c r="AJ886">
        <v>0</v>
      </c>
      <c r="AK886">
        <v>415</v>
      </c>
      <c r="AL886">
        <v>415</v>
      </c>
      <c r="AM886">
        <v>0</v>
      </c>
      <c r="AN886">
        <v>0</v>
      </c>
      <c r="AO886">
        <v>27</v>
      </c>
      <c r="AP886">
        <v>0</v>
      </c>
      <c r="AQ886">
        <v>27</v>
      </c>
      <c r="AR886">
        <v>27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f t="shared" si="143"/>
        <v>1628</v>
      </c>
      <c r="BF886">
        <v>1150</v>
      </c>
      <c r="BG886">
        <v>1150</v>
      </c>
      <c r="BH886" t="s">
        <v>82</v>
      </c>
      <c r="BI886" t="s">
        <v>220</v>
      </c>
      <c r="BJ886">
        <v>547</v>
      </c>
      <c r="BK886">
        <v>527</v>
      </c>
      <c r="BL886">
        <v>1150</v>
      </c>
      <c r="BM886">
        <v>0</v>
      </c>
      <c r="BN886">
        <v>0</v>
      </c>
      <c r="BO886">
        <v>0</v>
      </c>
      <c r="BP886">
        <v>1157</v>
      </c>
      <c r="BQ886">
        <v>1157</v>
      </c>
      <c r="BR886">
        <f t="shared" si="144"/>
        <v>-14</v>
      </c>
      <c r="BS886">
        <f t="shared" si="145"/>
        <v>154</v>
      </c>
    </row>
    <row r="887" spans="1:71" x14ac:dyDescent="0.25">
      <c r="A887" s="7" t="s">
        <v>61</v>
      </c>
      <c r="B887" s="7" t="s">
        <v>207</v>
      </c>
      <c r="C887" s="7" t="s">
        <v>207</v>
      </c>
      <c r="D887" s="1" t="s">
        <v>203</v>
      </c>
      <c r="E887">
        <v>0</v>
      </c>
      <c r="F887">
        <v>7</v>
      </c>
      <c r="G887">
        <v>0</v>
      </c>
      <c r="H887">
        <v>0</v>
      </c>
      <c r="I887">
        <v>0</v>
      </c>
      <c r="J887">
        <v>120</v>
      </c>
      <c r="K887">
        <v>20</v>
      </c>
      <c r="L887">
        <v>130</v>
      </c>
      <c r="M887">
        <v>0</v>
      </c>
      <c r="N887">
        <v>0</v>
      </c>
      <c r="O887">
        <v>0</v>
      </c>
      <c r="P887">
        <v>63</v>
      </c>
      <c r="Q887">
        <v>21</v>
      </c>
      <c r="R887">
        <v>7</v>
      </c>
      <c r="S887" s="18">
        <f t="shared" si="136"/>
        <v>9</v>
      </c>
      <c r="T887" s="17">
        <f t="shared" si="137"/>
        <v>0</v>
      </c>
      <c r="U887" s="17">
        <f t="shared" si="138"/>
        <v>0</v>
      </c>
      <c r="V887" s="17">
        <f t="shared" si="139"/>
        <v>0</v>
      </c>
      <c r="W887" s="17">
        <f t="shared" si="140"/>
        <v>7</v>
      </c>
      <c r="X887" s="17">
        <f t="shared" si="141"/>
        <v>14</v>
      </c>
      <c r="Y887" s="19">
        <f t="shared" si="142"/>
        <v>0</v>
      </c>
      <c r="Z887">
        <v>7</v>
      </c>
      <c r="AA887">
        <v>0</v>
      </c>
      <c r="AB887">
        <v>0</v>
      </c>
      <c r="AC887">
        <v>38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120</v>
      </c>
      <c r="AL887">
        <v>120</v>
      </c>
      <c r="AM887">
        <v>0</v>
      </c>
      <c r="AN887">
        <v>0</v>
      </c>
      <c r="AO887">
        <v>20</v>
      </c>
      <c r="AP887">
        <v>0</v>
      </c>
      <c r="AQ887">
        <v>20</v>
      </c>
      <c r="AR887">
        <v>20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130</v>
      </c>
      <c r="BA887">
        <v>130</v>
      </c>
      <c r="BB887">
        <v>0</v>
      </c>
      <c r="BC887">
        <v>0</v>
      </c>
      <c r="BD887">
        <v>0</v>
      </c>
      <c r="BE887">
        <f t="shared" si="143"/>
        <v>598</v>
      </c>
      <c r="BF887">
        <v>315</v>
      </c>
      <c r="BG887">
        <v>315</v>
      </c>
      <c r="BH887" t="s">
        <v>190</v>
      </c>
      <c r="BI887" t="s">
        <v>347</v>
      </c>
      <c r="BJ887">
        <v>38</v>
      </c>
      <c r="BK887">
        <v>270</v>
      </c>
      <c r="BL887">
        <v>315</v>
      </c>
      <c r="BM887">
        <v>0</v>
      </c>
      <c r="BN887">
        <v>0</v>
      </c>
      <c r="BO887">
        <v>0</v>
      </c>
      <c r="BP887">
        <v>333</v>
      </c>
      <c r="BQ887">
        <v>333</v>
      </c>
      <c r="BR887">
        <f t="shared" si="144"/>
        <v>-14</v>
      </c>
      <c r="BS887">
        <f t="shared" si="145"/>
        <v>28</v>
      </c>
    </row>
    <row r="888" spans="1:71" x14ac:dyDescent="0.25">
      <c r="A888" s="5" t="s">
        <v>61</v>
      </c>
      <c r="B888" s="5" t="s">
        <v>359</v>
      </c>
      <c r="C888" s="5" t="s">
        <v>61</v>
      </c>
      <c r="D888" s="1" t="s">
        <v>149</v>
      </c>
      <c r="E888">
        <v>0</v>
      </c>
      <c r="F888">
        <v>650</v>
      </c>
      <c r="G888">
        <v>0</v>
      </c>
      <c r="H888">
        <v>0</v>
      </c>
      <c r="I888">
        <v>62</v>
      </c>
      <c r="J888">
        <v>0</v>
      </c>
      <c r="K888">
        <v>0</v>
      </c>
      <c r="L888">
        <v>0</v>
      </c>
      <c r="M888">
        <v>2781</v>
      </c>
      <c r="N888">
        <v>0</v>
      </c>
      <c r="O888">
        <v>0</v>
      </c>
      <c r="P888">
        <v>0</v>
      </c>
      <c r="Q888">
        <v>323</v>
      </c>
      <c r="R888">
        <v>309</v>
      </c>
      <c r="S888" s="18">
        <f t="shared" si="136"/>
        <v>9</v>
      </c>
      <c r="T888" s="17">
        <f t="shared" si="137"/>
        <v>309</v>
      </c>
      <c r="U888" s="17">
        <f t="shared" si="138"/>
        <v>0</v>
      </c>
      <c r="V888" s="17">
        <f t="shared" si="139"/>
        <v>0</v>
      </c>
      <c r="W888" s="17">
        <f t="shared" si="140"/>
        <v>0</v>
      </c>
      <c r="X888" s="17">
        <f t="shared" si="141"/>
        <v>14</v>
      </c>
      <c r="Y888" s="19">
        <f t="shared" si="142"/>
        <v>0</v>
      </c>
      <c r="Z888">
        <v>650</v>
      </c>
      <c r="AA888">
        <v>0</v>
      </c>
      <c r="AB888">
        <v>0</v>
      </c>
      <c r="AC888">
        <v>0</v>
      </c>
      <c r="AD888">
        <v>62</v>
      </c>
      <c r="AE888">
        <v>0</v>
      </c>
      <c r="AF888">
        <v>0</v>
      </c>
      <c r="AG888">
        <v>0</v>
      </c>
      <c r="AH888">
        <v>62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f t="shared" si="143"/>
        <v>124</v>
      </c>
      <c r="BF888">
        <v>712</v>
      </c>
      <c r="BG888">
        <v>712</v>
      </c>
      <c r="BH888" t="s">
        <v>109</v>
      </c>
      <c r="BI888" t="s">
        <v>402</v>
      </c>
      <c r="BJ888">
        <v>0</v>
      </c>
      <c r="BK888">
        <v>62</v>
      </c>
      <c r="BL888">
        <v>712</v>
      </c>
      <c r="BM888">
        <v>2843</v>
      </c>
      <c r="BN888">
        <v>0</v>
      </c>
      <c r="BO888">
        <v>0</v>
      </c>
      <c r="BP888">
        <v>0</v>
      </c>
      <c r="BQ888">
        <v>2843</v>
      </c>
      <c r="BR888">
        <f t="shared" si="144"/>
        <v>-14</v>
      </c>
      <c r="BS888">
        <f t="shared" si="145"/>
        <v>632</v>
      </c>
    </row>
    <row r="889" spans="1:71" x14ac:dyDescent="0.25">
      <c r="A889" s="5" t="s">
        <v>207</v>
      </c>
      <c r="B889" s="5" t="s">
        <v>61</v>
      </c>
      <c r="C889" s="5" t="s">
        <v>359</v>
      </c>
      <c r="D889" s="1" t="s">
        <v>129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490</v>
      </c>
      <c r="L889">
        <v>24</v>
      </c>
      <c r="M889">
        <v>0</v>
      </c>
      <c r="N889">
        <v>0</v>
      </c>
      <c r="O889">
        <v>0</v>
      </c>
      <c r="P889">
        <v>0</v>
      </c>
      <c r="Q889">
        <v>14</v>
      </c>
      <c r="R889">
        <v>0</v>
      </c>
      <c r="S889" s="18" t="e">
        <f t="shared" si="136"/>
        <v>#DIV/0!</v>
      </c>
      <c r="T889" s="17" t="e">
        <f t="shared" si="137"/>
        <v>#DIV/0!</v>
      </c>
      <c r="U889" s="17" t="e">
        <f t="shared" si="138"/>
        <v>#DIV/0!</v>
      </c>
      <c r="V889" s="17" t="e">
        <f t="shared" si="139"/>
        <v>#DIV/0!</v>
      </c>
      <c r="W889" s="17" t="e">
        <f t="shared" si="140"/>
        <v>#DIV/0!</v>
      </c>
      <c r="X889" s="17" t="e">
        <f t="shared" si="141"/>
        <v>#DIV/0!</v>
      </c>
      <c r="Y889" s="19" t="e">
        <f t="shared" si="142"/>
        <v>#DIV/0!</v>
      </c>
      <c r="Z889">
        <v>0</v>
      </c>
      <c r="AA889">
        <v>0</v>
      </c>
      <c r="AB889">
        <v>0</v>
      </c>
      <c r="AC889">
        <v>30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275</v>
      </c>
      <c r="AN889">
        <v>0</v>
      </c>
      <c r="AO889">
        <v>215</v>
      </c>
      <c r="AP889">
        <v>215</v>
      </c>
      <c r="AQ889">
        <v>490</v>
      </c>
      <c r="AR889">
        <v>275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24</v>
      </c>
      <c r="BA889">
        <v>24</v>
      </c>
      <c r="BB889">
        <v>0</v>
      </c>
      <c r="BC889">
        <v>0</v>
      </c>
      <c r="BD889">
        <v>0</v>
      </c>
      <c r="BE889">
        <f t="shared" si="143"/>
        <v>1548</v>
      </c>
      <c r="BF889">
        <v>701</v>
      </c>
      <c r="BG889">
        <v>701</v>
      </c>
      <c r="BH889" t="s">
        <v>199</v>
      </c>
      <c r="BI889" t="s">
        <v>529</v>
      </c>
      <c r="BJ889">
        <v>30</v>
      </c>
      <c r="BK889">
        <v>514</v>
      </c>
      <c r="BL889">
        <v>544</v>
      </c>
      <c r="BM889">
        <v>275</v>
      </c>
      <c r="BN889">
        <v>0</v>
      </c>
      <c r="BO889">
        <v>0</v>
      </c>
      <c r="BP889">
        <v>239</v>
      </c>
      <c r="BQ889">
        <v>514</v>
      </c>
      <c r="BR889">
        <f t="shared" si="144"/>
        <v>-14</v>
      </c>
      <c r="BS889">
        <f t="shared" si="145"/>
        <v>14</v>
      </c>
    </row>
    <row r="890" spans="1:71" x14ac:dyDescent="0.25">
      <c r="A890" s="5" t="s">
        <v>1337</v>
      </c>
      <c r="B890" s="5" t="s">
        <v>207</v>
      </c>
      <c r="C890" s="5" t="s">
        <v>61</v>
      </c>
      <c r="D890" s="1" t="s">
        <v>100</v>
      </c>
      <c r="E890">
        <v>0</v>
      </c>
      <c r="F890">
        <v>669</v>
      </c>
      <c r="G890">
        <v>0</v>
      </c>
      <c r="H890">
        <v>0</v>
      </c>
      <c r="I890">
        <v>536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6021</v>
      </c>
      <c r="Q890">
        <v>683</v>
      </c>
      <c r="R890">
        <v>669</v>
      </c>
      <c r="S890" s="18">
        <f t="shared" si="136"/>
        <v>9</v>
      </c>
      <c r="T890" s="17">
        <f t="shared" si="137"/>
        <v>0</v>
      </c>
      <c r="U890" s="17">
        <f t="shared" si="138"/>
        <v>0</v>
      </c>
      <c r="V890" s="17">
        <f t="shared" si="139"/>
        <v>0</v>
      </c>
      <c r="W890" s="17">
        <f t="shared" si="140"/>
        <v>669</v>
      </c>
      <c r="X890" s="17">
        <f t="shared" si="141"/>
        <v>14</v>
      </c>
      <c r="Y890" s="19">
        <f t="shared" si="142"/>
        <v>0</v>
      </c>
      <c r="Z890">
        <v>669</v>
      </c>
      <c r="AA890">
        <v>0</v>
      </c>
      <c r="AB890">
        <v>0</v>
      </c>
      <c r="AC890">
        <v>0</v>
      </c>
      <c r="AD890">
        <v>536</v>
      </c>
      <c r="AE890">
        <v>0</v>
      </c>
      <c r="AF890">
        <v>0</v>
      </c>
      <c r="AG890">
        <v>0</v>
      </c>
      <c r="AH890">
        <v>536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f t="shared" si="143"/>
        <v>1072</v>
      </c>
      <c r="BF890">
        <v>1205</v>
      </c>
      <c r="BG890">
        <v>1205</v>
      </c>
      <c r="BH890" t="s">
        <v>109</v>
      </c>
      <c r="BI890" t="s">
        <v>1388</v>
      </c>
      <c r="BJ890">
        <v>0</v>
      </c>
      <c r="BK890">
        <v>536</v>
      </c>
      <c r="BL890">
        <v>1205</v>
      </c>
      <c r="BM890">
        <v>536</v>
      </c>
      <c r="BN890">
        <v>0</v>
      </c>
      <c r="BO890">
        <v>0</v>
      </c>
      <c r="BP890">
        <v>6021</v>
      </c>
      <c r="BQ890">
        <v>6557</v>
      </c>
      <c r="BR890">
        <f t="shared" si="144"/>
        <v>-14</v>
      </c>
      <c r="BS890">
        <f t="shared" si="145"/>
        <v>1352</v>
      </c>
    </row>
    <row r="891" spans="1:71" x14ac:dyDescent="0.25">
      <c r="A891" s="5" t="s">
        <v>1451</v>
      </c>
      <c r="B891" s="5" t="s">
        <v>207</v>
      </c>
      <c r="C891" s="5" t="s">
        <v>207</v>
      </c>
      <c r="D891" s="1" t="s">
        <v>167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742</v>
      </c>
      <c r="K891">
        <v>251</v>
      </c>
      <c r="L891">
        <v>95</v>
      </c>
      <c r="M891">
        <v>0</v>
      </c>
      <c r="N891">
        <v>0</v>
      </c>
      <c r="O891">
        <v>0</v>
      </c>
      <c r="P891">
        <v>0</v>
      </c>
      <c r="Q891">
        <v>14</v>
      </c>
      <c r="R891">
        <v>0</v>
      </c>
      <c r="S891" s="18" t="e">
        <f t="shared" si="136"/>
        <v>#DIV/0!</v>
      </c>
      <c r="T891" s="17" t="e">
        <f t="shared" si="137"/>
        <v>#DIV/0!</v>
      </c>
      <c r="U891" s="17" t="e">
        <f t="shared" si="138"/>
        <v>#DIV/0!</v>
      </c>
      <c r="V891" s="17" t="e">
        <f t="shared" si="139"/>
        <v>#DIV/0!</v>
      </c>
      <c r="W891" s="17" t="e">
        <f t="shared" si="140"/>
        <v>#DIV/0!</v>
      </c>
      <c r="X891" s="17" t="e">
        <f t="shared" si="141"/>
        <v>#DIV/0!</v>
      </c>
      <c r="Y891" s="19" t="e">
        <f t="shared" si="142"/>
        <v>#DIV/0!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742</v>
      </c>
      <c r="AL891">
        <v>742</v>
      </c>
      <c r="AM891">
        <v>0</v>
      </c>
      <c r="AN891">
        <v>0</v>
      </c>
      <c r="AO891">
        <v>251</v>
      </c>
      <c r="AP891">
        <v>15</v>
      </c>
      <c r="AQ891">
        <v>251</v>
      </c>
      <c r="AR891">
        <v>236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95</v>
      </c>
      <c r="BA891">
        <v>95</v>
      </c>
      <c r="BB891">
        <v>0</v>
      </c>
      <c r="BC891">
        <v>0</v>
      </c>
      <c r="BD891">
        <v>0</v>
      </c>
      <c r="BE891">
        <f t="shared" si="143"/>
        <v>2427</v>
      </c>
      <c r="BF891">
        <v>1088</v>
      </c>
      <c r="BG891">
        <v>1088</v>
      </c>
      <c r="BH891" t="s">
        <v>199</v>
      </c>
      <c r="BI891" t="s">
        <v>1600</v>
      </c>
      <c r="BJ891">
        <v>0</v>
      </c>
      <c r="BK891">
        <v>1088</v>
      </c>
      <c r="BL891">
        <v>1088</v>
      </c>
      <c r="BM891">
        <v>0</v>
      </c>
      <c r="BN891">
        <v>0</v>
      </c>
      <c r="BO891">
        <v>0</v>
      </c>
      <c r="BP891">
        <v>1088</v>
      </c>
      <c r="BQ891">
        <v>1088</v>
      </c>
      <c r="BR891">
        <f t="shared" si="144"/>
        <v>-14</v>
      </c>
      <c r="BS891">
        <f t="shared" si="145"/>
        <v>14</v>
      </c>
    </row>
    <row r="892" spans="1:71" x14ac:dyDescent="0.25">
      <c r="A892" s="5" t="s">
        <v>1946</v>
      </c>
      <c r="B892" s="5" t="s">
        <v>61</v>
      </c>
      <c r="C892" s="5" t="s">
        <v>61</v>
      </c>
      <c r="D892" s="1" t="s">
        <v>185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520</v>
      </c>
      <c r="K892">
        <v>200</v>
      </c>
      <c r="L892">
        <v>90</v>
      </c>
      <c r="M892">
        <v>0</v>
      </c>
      <c r="N892">
        <v>0</v>
      </c>
      <c r="O892">
        <v>0</v>
      </c>
      <c r="P892">
        <v>0</v>
      </c>
      <c r="Q892">
        <v>14</v>
      </c>
      <c r="R892">
        <v>0</v>
      </c>
      <c r="S892" s="18" t="e">
        <f t="shared" si="136"/>
        <v>#DIV/0!</v>
      </c>
      <c r="T892" s="17" t="e">
        <f t="shared" si="137"/>
        <v>#DIV/0!</v>
      </c>
      <c r="U892" s="17" t="e">
        <f t="shared" si="138"/>
        <v>#DIV/0!</v>
      </c>
      <c r="V892" s="17" t="e">
        <f t="shared" si="139"/>
        <v>#DIV/0!</v>
      </c>
      <c r="W892" s="17" t="e">
        <f t="shared" si="140"/>
        <v>#DIV/0!</v>
      </c>
      <c r="X892" s="17" t="e">
        <f t="shared" si="141"/>
        <v>#DIV/0!</v>
      </c>
      <c r="Y892" s="19" t="e">
        <f t="shared" si="142"/>
        <v>#DIV/0!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520</v>
      </c>
      <c r="AL892">
        <v>520</v>
      </c>
      <c r="AM892">
        <v>0</v>
      </c>
      <c r="AN892">
        <v>0</v>
      </c>
      <c r="AO892">
        <v>200</v>
      </c>
      <c r="AP892">
        <v>0</v>
      </c>
      <c r="AQ892">
        <v>200</v>
      </c>
      <c r="AR892">
        <v>200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90</v>
      </c>
      <c r="BA892">
        <v>90</v>
      </c>
      <c r="BB892">
        <v>0</v>
      </c>
      <c r="BC892">
        <v>0</v>
      </c>
      <c r="BD892">
        <v>0</v>
      </c>
      <c r="BE892">
        <f t="shared" si="143"/>
        <v>1820</v>
      </c>
      <c r="BF892">
        <v>810</v>
      </c>
      <c r="BG892">
        <v>810</v>
      </c>
      <c r="BH892" t="s">
        <v>199</v>
      </c>
      <c r="BI892" t="s">
        <v>2004</v>
      </c>
      <c r="BJ892">
        <v>0</v>
      </c>
      <c r="BK892">
        <v>810</v>
      </c>
      <c r="BL892">
        <v>810</v>
      </c>
      <c r="BM892">
        <v>0</v>
      </c>
      <c r="BN892">
        <v>0</v>
      </c>
      <c r="BO892">
        <v>0</v>
      </c>
      <c r="BP892">
        <v>810</v>
      </c>
      <c r="BQ892">
        <v>810</v>
      </c>
      <c r="BR892">
        <f t="shared" si="144"/>
        <v>-14</v>
      </c>
      <c r="BS892">
        <f t="shared" si="145"/>
        <v>14</v>
      </c>
    </row>
    <row r="893" spans="1:71" x14ac:dyDescent="0.25">
      <c r="A893" s="5" t="s">
        <v>61</v>
      </c>
      <c r="B893" s="5" t="s">
        <v>207</v>
      </c>
      <c r="C893" s="5" t="s">
        <v>61</v>
      </c>
      <c r="D893" s="1" t="s">
        <v>133</v>
      </c>
      <c r="E893">
        <v>0</v>
      </c>
      <c r="F893">
        <v>61</v>
      </c>
      <c r="G893">
        <v>0</v>
      </c>
      <c r="H893">
        <v>0</v>
      </c>
      <c r="I893">
        <v>150</v>
      </c>
      <c r="J893">
        <v>0</v>
      </c>
      <c r="K893">
        <v>0</v>
      </c>
      <c r="L893">
        <v>0</v>
      </c>
      <c r="M893">
        <v>549</v>
      </c>
      <c r="N893">
        <v>0</v>
      </c>
      <c r="O893">
        <v>0</v>
      </c>
      <c r="P893">
        <v>0</v>
      </c>
      <c r="Q893">
        <v>76</v>
      </c>
      <c r="R893">
        <v>61</v>
      </c>
      <c r="S893" s="18">
        <f t="shared" si="136"/>
        <v>9</v>
      </c>
      <c r="T893" s="17">
        <f t="shared" si="137"/>
        <v>61</v>
      </c>
      <c r="U893" s="17">
        <f t="shared" si="138"/>
        <v>0</v>
      </c>
      <c r="V893" s="17">
        <f t="shared" si="139"/>
        <v>0</v>
      </c>
      <c r="W893" s="17">
        <f t="shared" si="140"/>
        <v>0</v>
      </c>
      <c r="X893" s="17">
        <f t="shared" si="141"/>
        <v>15</v>
      </c>
      <c r="Y893" s="19">
        <f t="shared" si="142"/>
        <v>0</v>
      </c>
      <c r="Z893">
        <v>61</v>
      </c>
      <c r="AA893">
        <v>0</v>
      </c>
      <c r="AB893">
        <v>0</v>
      </c>
      <c r="AC893">
        <v>0</v>
      </c>
      <c r="AD893">
        <v>150</v>
      </c>
      <c r="AE893">
        <v>0</v>
      </c>
      <c r="AF893">
        <v>0</v>
      </c>
      <c r="AG893">
        <v>0</v>
      </c>
      <c r="AH893">
        <v>150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f t="shared" si="143"/>
        <v>300</v>
      </c>
      <c r="BF893">
        <v>211</v>
      </c>
      <c r="BG893">
        <v>211</v>
      </c>
      <c r="BH893" t="s">
        <v>109</v>
      </c>
      <c r="BI893" t="s">
        <v>243</v>
      </c>
      <c r="BJ893">
        <v>0</v>
      </c>
      <c r="BK893">
        <v>150</v>
      </c>
      <c r="BL893">
        <v>211</v>
      </c>
      <c r="BM893">
        <v>699</v>
      </c>
      <c r="BN893">
        <v>0</v>
      </c>
      <c r="BO893">
        <v>0</v>
      </c>
      <c r="BP893">
        <v>0</v>
      </c>
      <c r="BQ893">
        <v>699</v>
      </c>
      <c r="BR893">
        <f t="shared" si="144"/>
        <v>-15</v>
      </c>
      <c r="BS893">
        <f t="shared" si="145"/>
        <v>137</v>
      </c>
    </row>
    <row r="894" spans="1:71" x14ac:dyDescent="0.25">
      <c r="A894" s="5" t="s">
        <v>61</v>
      </c>
      <c r="B894" s="5" t="s">
        <v>207</v>
      </c>
      <c r="C894" s="5" t="s">
        <v>61</v>
      </c>
      <c r="D894" s="1" t="s">
        <v>149</v>
      </c>
      <c r="E894">
        <v>0</v>
      </c>
      <c r="F894">
        <v>135</v>
      </c>
      <c r="G894">
        <v>0</v>
      </c>
      <c r="H894">
        <v>0</v>
      </c>
      <c r="I894">
        <v>27</v>
      </c>
      <c r="J894">
        <v>0</v>
      </c>
      <c r="K894">
        <v>0</v>
      </c>
      <c r="L894">
        <v>0</v>
      </c>
      <c r="M894">
        <v>801</v>
      </c>
      <c r="N894">
        <v>0</v>
      </c>
      <c r="O894">
        <v>0</v>
      </c>
      <c r="P894">
        <v>0</v>
      </c>
      <c r="Q894">
        <v>104</v>
      </c>
      <c r="R894">
        <v>89</v>
      </c>
      <c r="S894" s="18">
        <f t="shared" si="136"/>
        <v>9</v>
      </c>
      <c r="T894" s="17">
        <f t="shared" si="137"/>
        <v>89</v>
      </c>
      <c r="U894" s="17">
        <f t="shared" si="138"/>
        <v>0</v>
      </c>
      <c r="V894" s="17">
        <f t="shared" si="139"/>
        <v>0</v>
      </c>
      <c r="W894" s="17">
        <f t="shared" si="140"/>
        <v>0</v>
      </c>
      <c r="X894" s="17">
        <f t="shared" si="141"/>
        <v>15</v>
      </c>
      <c r="Y894" s="19">
        <f t="shared" si="142"/>
        <v>0</v>
      </c>
      <c r="Z894">
        <v>135</v>
      </c>
      <c r="AA894">
        <v>0</v>
      </c>
      <c r="AB894">
        <v>0</v>
      </c>
      <c r="AC894">
        <v>0</v>
      </c>
      <c r="AD894">
        <v>27</v>
      </c>
      <c r="AE894">
        <v>0</v>
      </c>
      <c r="AF894">
        <v>0</v>
      </c>
      <c r="AG894">
        <v>0</v>
      </c>
      <c r="AH894">
        <v>27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f t="shared" si="143"/>
        <v>54</v>
      </c>
      <c r="BF894">
        <v>162</v>
      </c>
      <c r="BG894">
        <v>162</v>
      </c>
      <c r="BH894" t="s">
        <v>109</v>
      </c>
      <c r="BI894" t="s">
        <v>251</v>
      </c>
      <c r="BJ894">
        <v>0</v>
      </c>
      <c r="BK894">
        <v>27</v>
      </c>
      <c r="BL894">
        <v>162</v>
      </c>
      <c r="BM894">
        <v>828</v>
      </c>
      <c r="BN894">
        <v>0</v>
      </c>
      <c r="BO894">
        <v>0</v>
      </c>
      <c r="BP894">
        <v>0</v>
      </c>
      <c r="BQ894">
        <v>828</v>
      </c>
      <c r="BR894">
        <f t="shared" si="144"/>
        <v>-15</v>
      </c>
      <c r="BS894">
        <f t="shared" si="145"/>
        <v>193</v>
      </c>
    </row>
    <row r="895" spans="1:71" x14ac:dyDescent="0.25">
      <c r="A895" s="5" t="s">
        <v>61</v>
      </c>
      <c r="B895" s="5" t="s">
        <v>207</v>
      </c>
      <c r="C895" s="5" t="s">
        <v>61</v>
      </c>
      <c r="D895" s="1" t="s">
        <v>192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142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15</v>
      </c>
      <c r="R895">
        <v>0</v>
      </c>
      <c r="S895" s="18" t="e">
        <f t="shared" si="136"/>
        <v>#DIV/0!</v>
      </c>
      <c r="T895" s="17" t="e">
        <f t="shared" si="137"/>
        <v>#DIV/0!</v>
      </c>
      <c r="U895" s="17" t="e">
        <f t="shared" si="138"/>
        <v>#DIV/0!</v>
      </c>
      <c r="V895" s="17" t="e">
        <f t="shared" si="139"/>
        <v>#DIV/0!</v>
      </c>
      <c r="W895" s="17" t="e">
        <f t="shared" si="140"/>
        <v>#DIV/0!</v>
      </c>
      <c r="X895" s="17" t="e">
        <f t="shared" si="141"/>
        <v>#DIV/0!</v>
      </c>
      <c r="Y895" s="19" t="e">
        <f t="shared" si="142"/>
        <v>#DIV/0!</v>
      </c>
      <c r="Z895">
        <v>0</v>
      </c>
      <c r="AA895">
        <v>0</v>
      </c>
      <c r="AB895">
        <v>0</v>
      </c>
      <c r="AC895">
        <v>120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142</v>
      </c>
      <c r="AP895">
        <v>10</v>
      </c>
      <c r="AQ895">
        <v>142</v>
      </c>
      <c r="AR895">
        <v>132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f t="shared" si="143"/>
        <v>546</v>
      </c>
      <c r="BF895">
        <v>262</v>
      </c>
      <c r="BG895">
        <v>262</v>
      </c>
      <c r="BH895" t="s">
        <v>190</v>
      </c>
      <c r="BI895" t="s">
        <v>272</v>
      </c>
      <c r="BJ895">
        <v>120</v>
      </c>
      <c r="BK895">
        <v>142</v>
      </c>
      <c r="BL895">
        <v>262</v>
      </c>
      <c r="BM895">
        <v>0</v>
      </c>
      <c r="BN895">
        <v>0</v>
      </c>
      <c r="BO895">
        <v>0</v>
      </c>
      <c r="BP895">
        <v>142</v>
      </c>
      <c r="BQ895">
        <v>142</v>
      </c>
      <c r="BR895">
        <f t="shared" si="144"/>
        <v>-15</v>
      </c>
      <c r="BS895">
        <f t="shared" si="145"/>
        <v>15</v>
      </c>
    </row>
    <row r="896" spans="1:71" x14ac:dyDescent="0.25">
      <c r="A896" s="5" t="s">
        <v>61</v>
      </c>
      <c r="B896" s="5" t="s">
        <v>359</v>
      </c>
      <c r="C896" s="5" t="s">
        <v>61</v>
      </c>
      <c r="D896" s="1" t="s">
        <v>125</v>
      </c>
      <c r="E896">
        <v>0</v>
      </c>
      <c r="F896">
        <v>452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1512</v>
      </c>
      <c r="N896">
        <v>0</v>
      </c>
      <c r="O896">
        <v>0</v>
      </c>
      <c r="P896">
        <v>0</v>
      </c>
      <c r="Q896">
        <v>183</v>
      </c>
      <c r="R896">
        <v>168</v>
      </c>
      <c r="S896" s="18">
        <f t="shared" si="136"/>
        <v>9</v>
      </c>
      <c r="T896" s="17">
        <f t="shared" si="137"/>
        <v>168</v>
      </c>
      <c r="U896" s="17">
        <f t="shared" si="138"/>
        <v>0</v>
      </c>
      <c r="V896" s="17">
        <f t="shared" si="139"/>
        <v>0</v>
      </c>
      <c r="W896" s="17">
        <f t="shared" si="140"/>
        <v>0</v>
      </c>
      <c r="X896" s="17">
        <f t="shared" si="141"/>
        <v>15</v>
      </c>
      <c r="Y896" s="19">
        <f t="shared" si="142"/>
        <v>0</v>
      </c>
      <c r="Z896">
        <v>452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f t="shared" si="143"/>
        <v>0</v>
      </c>
      <c r="BF896">
        <v>452</v>
      </c>
      <c r="BG896">
        <v>452</v>
      </c>
      <c r="BH896" t="s">
        <v>109</v>
      </c>
      <c r="BI896" t="s">
        <v>390</v>
      </c>
      <c r="BJ896">
        <v>0</v>
      </c>
      <c r="BK896">
        <v>0</v>
      </c>
      <c r="BL896">
        <v>452</v>
      </c>
      <c r="BM896">
        <v>1512</v>
      </c>
      <c r="BN896">
        <v>0</v>
      </c>
      <c r="BO896">
        <v>0</v>
      </c>
      <c r="BP896">
        <v>0</v>
      </c>
      <c r="BQ896">
        <v>1512</v>
      </c>
      <c r="BR896">
        <f t="shared" si="144"/>
        <v>-15</v>
      </c>
      <c r="BS896">
        <f t="shared" si="145"/>
        <v>351</v>
      </c>
    </row>
    <row r="897" spans="1:74" x14ac:dyDescent="0.25">
      <c r="A897" s="5" t="s">
        <v>207</v>
      </c>
      <c r="B897" s="5" t="s">
        <v>627</v>
      </c>
      <c r="C897" s="5" t="s">
        <v>207</v>
      </c>
      <c r="D897" s="1" t="s">
        <v>131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110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15</v>
      </c>
      <c r="R897">
        <v>0</v>
      </c>
      <c r="S897" s="18" t="e">
        <f t="shared" si="136"/>
        <v>#DIV/0!</v>
      </c>
      <c r="T897" s="17" t="e">
        <f t="shared" si="137"/>
        <v>#DIV/0!</v>
      </c>
      <c r="U897" s="17" t="e">
        <f t="shared" si="138"/>
        <v>#DIV/0!</v>
      </c>
      <c r="V897" s="17" t="e">
        <f t="shared" si="139"/>
        <v>#DIV/0!</v>
      </c>
      <c r="W897" s="17" t="e">
        <f t="shared" si="140"/>
        <v>#DIV/0!</v>
      </c>
      <c r="X897" s="17" t="e">
        <f t="shared" si="141"/>
        <v>#DIV/0!</v>
      </c>
      <c r="Y897" s="19" t="e">
        <f t="shared" si="142"/>
        <v>#DIV/0!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110</v>
      </c>
      <c r="AN897">
        <v>0</v>
      </c>
      <c r="AO897">
        <v>0</v>
      </c>
      <c r="AP897">
        <v>0</v>
      </c>
      <c r="AQ897">
        <v>110</v>
      </c>
      <c r="AR897">
        <v>110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f t="shared" si="143"/>
        <v>330</v>
      </c>
      <c r="BF897">
        <v>110</v>
      </c>
      <c r="BG897">
        <v>110</v>
      </c>
      <c r="BH897" t="s">
        <v>190</v>
      </c>
      <c r="BI897" t="s">
        <v>691</v>
      </c>
      <c r="BJ897">
        <v>0</v>
      </c>
      <c r="BK897">
        <v>110</v>
      </c>
      <c r="BL897">
        <v>110</v>
      </c>
      <c r="BM897">
        <v>110</v>
      </c>
      <c r="BN897">
        <v>0</v>
      </c>
      <c r="BO897">
        <v>0</v>
      </c>
      <c r="BP897">
        <v>0</v>
      </c>
      <c r="BQ897">
        <v>110</v>
      </c>
      <c r="BR897">
        <f t="shared" si="144"/>
        <v>-15</v>
      </c>
      <c r="BS897">
        <f t="shared" si="145"/>
        <v>15</v>
      </c>
    </row>
    <row r="898" spans="1:74" x14ac:dyDescent="0.25">
      <c r="A898" s="5" t="s">
        <v>1135</v>
      </c>
      <c r="B898" s="5" t="s">
        <v>207</v>
      </c>
      <c r="C898" s="5" t="s">
        <v>359</v>
      </c>
      <c r="D898" s="1" t="s">
        <v>62</v>
      </c>
      <c r="E898">
        <v>0</v>
      </c>
      <c r="F898">
        <v>920</v>
      </c>
      <c r="G898">
        <v>0</v>
      </c>
      <c r="H898">
        <v>0</v>
      </c>
      <c r="I898">
        <v>940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1035</v>
      </c>
      <c r="Q898">
        <v>115</v>
      </c>
      <c r="R898">
        <v>115</v>
      </c>
      <c r="S898" s="18">
        <f t="shared" ref="S898:S961" si="146">(M898+N898+O898+P898)/R898</f>
        <v>9</v>
      </c>
      <c r="T898" s="17">
        <f t="shared" ref="T898:T961" si="147">M898/$S898</f>
        <v>0</v>
      </c>
      <c r="U898" s="17">
        <f t="shared" ref="U898:U961" si="148">N898/$S898</f>
        <v>0</v>
      </c>
      <c r="V898" s="17">
        <f t="shared" ref="V898:V961" si="149">O898/$S898</f>
        <v>0</v>
      </c>
      <c r="W898" s="17">
        <f t="shared" ref="W898:W961" si="150">P898/$S898</f>
        <v>115</v>
      </c>
      <c r="X898" s="17">
        <f t="shared" ref="X898:X961" si="151">Q898-T898-U898-W898</f>
        <v>0</v>
      </c>
      <c r="Y898" s="19" t="e">
        <f t="shared" ref="Y898:Y961" si="152">V898/X898</f>
        <v>#DIV/0!</v>
      </c>
      <c r="Z898">
        <v>920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940</v>
      </c>
      <c r="AH898">
        <v>940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f t="shared" ref="BE898:BE961" si="153">SUM(AC898:BD898)</f>
        <v>1880</v>
      </c>
      <c r="BF898">
        <v>1860</v>
      </c>
      <c r="BG898">
        <v>1860</v>
      </c>
      <c r="BH898" t="s">
        <v>63</v>
      </c>
      <c r="BI898" t="s">
        <v>1283</v>
      </c>
      <c r="BJ898">
        <v>0</v>
      </c>
      <c r="BK898">
        <v>940</v>
      </c>
      <c r="BL898">
        <v>1860</v>
      </c>
      <c r="BM898">
        <v>0</v>
      </c>
      <c r="BN898">
        <v>0</v>
      </c>
      <c r="BO898">
        <v>0</v>
      </c>
      <c r="BP898">
        <v>1975</v>
      </c>
      <c r="BQ898">
        <v>1975</v>
      </c>
      <c r="BR898">
        <f t="shared" ref="BR898:BR961" si="154">R898-Q898</f>
        <v>0</v>
      </c>
      <c r="BS898">
        <f t="shared" ref="BS898:BS961" si="155">R898+Q898</f>
        <v>230</v>
      </c>
      <c r="BU898">
        <f>R898*9</f>
        <v>1035</v>
      </c>
      <c r="BV898">
        <f>IF(BU898&gt;BG898, 1, 0)</f>
        <v>0</v>
      </c>
    </row>
    <row r="899" spans="1:74" x14ac:dyDescent="0.25">
      <c r="A899" s="5" t="s">
        <v>1451</v>
      </c>
      <c r="B899" s="5" t="s">
        <v>359</v>
      </c>
      <c r="C899" s="5" t="s">
        <v>61</v>
      </c>
      <c r="D899" s="1" t="s">
        <v>171</v>
      </c>
      <c r="E899">
        <v>62</v>
      </c>
      <c r="F899">
        <v>0</v>
      </c>
      <c r="G899">
        <v>0</v>
      </c>
      <c r="H899">
        <v>0</v>
      </c>
      <c r="I899">
        <v>260</v>
      </c>
      <c r="J899">
        <v>1860</v>
      </c>
      <c r="K899">
        <v>160</v>
      </c>
      <c r="L899">
        <v>60</v>
      </c>
      <c r="M899">
        <v>0</v>
      </c>
      <c r="N899">
        <v>0</v>
      </c>
      <c r="O899">
        <v>0</v>
      </c>
      <c r="P899">
        <v>0</v>
      </c>
      <c r="Q899">
        <v>15</v>
      </c>
      <c r="R899">
        <v>0</v>
      </c>
      <c r="S899" s="18" t="e">
        <f t="shared" si="146"/>
        <v>#DIV/0!</v>
      </c>
      <c r="T899" s="17" t="e">
        <f t="shared" si="147"/>
        <v>#DIV/0!</v>
      </c>
      <c r="U899" s="17" t="e">
        <f t="shared" si="148"/>
        <v>#DIV/0!</v>
      </c>
      <c r="V899" s="17" t="e">
        <f t="shared" si="149"/>
        <v>#DIV/0!</v>
      </c>
      <c r="W899" s="17" t="e">
        <f t="shared" si="150"/>
        <v>#DIV/0!</v>
      </c>
      <c r="X899" s="17" t="e">
        <f t="shared" si="151"/>
        <v>#DIV/0!</v>
      </c>
      <c r="Y899" s="19" t="e">
        <f t="shared" si="152"/>
        <v>#DIV/0!</v>
      </c>
      <c r="Z899">
        <v>0</v>
      </c>
      <c r="AA899">
        <v>0</v>
      </c>
      <c r="AB899">
        <v>0</v>
      </c>
      <c r="AC899">
        <v>400</v>
      </c>
      <c r="AD899">
        <v>0</v>
      </c>
      <c r="AE899">
        <v>0</v>
      </c>
      <c r="AF899">
        <v>0</v>
      </c>
      <c r="AG899">
        <v>260</v>
      </c>
      <c r="AH899">
        <v>260</v>
      </c>
      <c r="AI899">
        <v>0</v>
      </c>
      <c r="AJ899">
        <v>0</v>
      </c>
      <c r="AK899">
        <v>1860</v>
      </c>
      <c r="AL899">
        <v>1860</v>
      </c>
      <c r="AM899">
        <v>0</v>
      </c>
      <c r="AN899">
        <v>0</v>
      </c>
      <c r="AO899">
        <v>160</v>
      </c>
      <c r="AP899">
        <v>0</v>
      </c>
      <c r="AQ899">
        <v>160</v>
      </c>
      <c r="AR899">
        <v>160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60</v>
      </c>
      <c r="BA899">
        <v>60</v>
      </c>
      <c r="BB899">
        <v>0</v>
      </c>
      <c r="BC899">
        <v>0</v>
      </c>
      <c r="BD899">
        <v>0</v>
      </c>
      <c r="BE899">
        <f t="shared" si="153"/>
        <v>5240</v>
      </c>
      <c r="BF899">
        <v>2802</v>
      </c>
      <c r="BG899">
        <v>2802</v>
      </c>
      <c r="BH899" t="s">
        <v>199</v>
      </c>
      <c r="BI899" t="s">
        <v>1647</v>
      </c>
      <c r="BJ899">
        <v>462</v>
      </c>
      <c r="BK899">
        <v>2340</v>
      </c>
      <c r="BL899">
        <v>2802</v>
      </c>
      <c r="BM899">
        <v>0</v>
      </c>
      <c r="BN899">
        <v>0</v>
      </c>
      <c r="BO899">
        <v>0</v>
      </c>
      <c r="BP899">
        <v>2340</v>
      </c>
      <c r="BQ899">
        <v>2340</v>
      </c>
      <c r="BR899">
        <f t="shared" si="154"/>
        <v>-15</v>
      </c>
      <c r="BS899">
        <f t="shared" si="155"/>
        <v>15</v>
      </c>
    </row>
    <row r="900" spans="1:74" x14ac:dyDescent="0.25">
      <c r="A900" s="5" t="s">
        <v>1946</v>
      </c>
      <c r="B900" s="5" t="s">
        <v>61</v>
      </c>
      <c r="C900" s="5" t="s">
        <v>61</v>
      </c>
      <c r="D900" s="1" t="s">
        <v>163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90</v>
      </c>
      <c r="L900">
        <v>150</v>
      </c>
      <c r="M900">
        <v>0</v>
      </c>
      <c r="N900">
        <v>0</v>
      </c>
      <c r="O900">
        <v>0</v>
      </c>
      <c r="P900">
        <v>0</v>
      </c>
      <c r="Q900">
        <v>15</v>
      </c>
      <c r="R900">
        <v>0</v>
      </c>
      <c r="S900" s="18" t="e">
        <f t="shared" si="146"/>
        <v>#DIV/0!</v>
      </c>
      <c r="T900" s="17" t="e">
        <f t="shared" si="147"/>
        <v>#DIV/0!</v>
      </c>
      <c r="U900" s="17" t="e">
        <f t="shared" si="148"/>
        <v>#DIV/0!</v>
      </c>
      <c r="V900" s="17" t="e">
        <f t="shared" si="149"/>
        <v>#DIV/0!</v>
      </c>
      <c r="W900" s="17" t="e">
        <f t="shared" si="150"/>
        <v>#DIV/0!</v>
      </c>
      <c r="X900" s="17" t="e">
        <f t="shared" si="151"/>
        <v>#DIV/0!</v>
      </c>
      <c r="Y900" s="19" t="e">
        <f t="shared" si="152"/>
        <v>#DIV/0!</v>
      </c>
      <c r="Z900">
        <v>0</v>
      </c>
      <c r="AA900">
        <v>0</v>
      </c>
      <c r="AB900">
        <v>0</v>
      </c>
      <c r="AC900">
        <v>70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90</v>
      </c>
      <c r="AP900">
        <v>40</v>
      </c>
      <c r="AQ900">
        <v>90</v>
      </c>
      <c r="AR900">
        <v>50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150</v>
      </c>
      <c r="BA900">
        <v>150</v>
      </c>
      <c r="BB900">
        <v>0</v>
      </c>
      <c r="BC900">
        <v>0</v>
      </c>
      <c r="BD900">
        <v>0</v>
      </c>
      <c r="BE900">
        <f t="shared" si="153"/>
        <v>640</v>
      </c>
      <c r="BF900">
        <v>310</v>
      </c>
      <c r="BG900">
        <v>310</v>
      </c>
      <c r="BH900" t="s">
        <v>190</v>
      </c>
      <c r="BI900" t="s">
        <v>1993</v>
      </c>
      <c r="BJ900">
        <v>70</v>
      </c>
      <c r="BK900">
        <v>240</v>
      </c>
      <c r="BL900">
        <v>310</v>
      </c>
      <c r="BM900">
        <v>0</v>
      </c>
      <c r="BN900">
        <v>0</v>
      </c>
      <c r="BO900">
        <v>0</v>
      </c>
      <c r="BP900">
        <v>240</v>
      </c>
      <c r="BQ900">
        <v>240</v>
      </c>
      <c r="BR900">
        <f t="shared" si="154"/>
        <v>-15</v>
      </c>
      <c r="BS900">
        <f t="shared" si="155"/>
        <v>15</v>
      </c>
    </row>
    <row r="901" spans="1:74" x14ac:dyDescent="0.25">
      <c r="A901" s="5" t="s">
        <v>2090</v>
      </c>
      <c r="B901" s="5" t="s">
        <v>359</v>
      </c>
      <c r="C901" s="5" t="s">
        <v>61</v>
      </c>
      <c r="D901" s="1" t="s">
        <v>90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350</v>
      </c>
      <c r="K901">
        <v>30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15</v>
      </c>
      <c r="R901">
        <v>0</v>
      </c>
      <c r="S901" s="18" t="e">
        <f t="shared" si="146"/>
        <v>#DIV/0!</v>
      </c>
      <c r="T901" s="17" t="e">
        <f t="shared" si="147"/>
        <v>#DIV/0!</v>
      </c>
      <c r="U901" s="17" t="e">
        <f t="shared" si="148"/>
        <v>#DIV/0!</v>
      </c>
      <c r="V901" s="17" t="e">
        <f t="shared" si="149"/>
        <v>#DIV/0!</v>
      </c>
      <c r="W901" s="17" t="e">
        <f t="shared" si="150"/>
        <v>#DIV/0!</v>
      </c>
      <c r="X901" s="17" t="e">
        <f t="shared" si="151"/>
        <v>#DIV/0!</v>
      </c>
      <c r="Y901" s="19" t="e">
        <f t="shared" si="152"/>
        <v>#DIV/0!</v>
      </c>
      <c r="Z901">
        <v>0</v>
      </c>
      <c r="AA901">
        <v>0</v>
      </c>
      <c r="AB901">
        <v>150</v>
      </c>
      <c r="AC901">
        <v>200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350</v>
      </c>
      <c r="AL901">
        <v>350</v>
      </c>
      <c r="AM901">
        <v>0</v>
      </c>
      <c r="AN901">
        <v>0</v>
      </c>
      <c r="AO901">
        <v>30</v>
      </c>
      <c r="AP901">
        <v>0</v>
      </c>
      <c r="AQ901">
        <v>30</v>
      </c>
      <c r="AR901">
        <v>30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f t="shared" si="153"/>
        <v>990</v>
      </c>
      <c r="BF901">
        <v>730</v>
      </c>
      <c r="BG901">
        <v>730</v>
      </c>
      <c r="BH901" t="s">
        <v>82</v>
      </c>
      <c r="BI901" t="s">
        <v>2293</v>
      </c>
      <c r="BJ901">
        <v>350</v>
      </c>
      <c r="BK901">
        <v>380</v>
      </c>
      <c r="BL901">
        <v>730</v>
      </c>
      <c r="BM901">
        <v>0</v>
      </c>
      <c r="BN901">
        <v>0</v>
      </c>
      <c r="BO901">
        <v>0</v>
      </c>
      <c r="BP901">
        <v>380</v>
      </c>
      <c r="BQ901">
        <v>380</v>
      </c>
      <c r="BR901">
        <f t="shared" si="154"/>
        <v>-15</v>
      </c>
      <c r="BS901">
        <f t="shared" si="155"/>
        <v>15</v>
      </c>
    </row>
    <row r="902" spans="1:74" x14ac:dyDescent="0.25">
      <c r="A902" s="5" t="s">
        <v>61</v>
      </c>
      <c r="B902" s="5" t="s">
        <v>207</v>
      </c>
      <c r="C902" s="5" t="s">
        <v>61</v>
      </c>
      <c r="D902" s="1" t="s">
        <v>187</v>
      </c>
      <c r="E902">
        <v>0</v>
      </c>
      <c r="F902">
        <v>40</v>
      </c>
      <c r="G902">
        <v>0</v>
      </c>
      <c r="H902">
        <v>0</v>
      </c>
      <c r="I902">
        <v>0</v>
      </c>
      <c r="J902">
        <v>0</v>
      </c>
      <c r="K902">
        <v>77</v>
      </c>
      <c r="L902">
        <v>0</v>
      </c>
      <c r="M902">
        <v>360</v>
      </c>
      <c r="N902">
        <v>0</v>
      </c>
      <c r="O902">
        <v>0</v>
      </c>
      <c r="P902">
        <v>0</v>
      </c>
      <c r="Q902">
        <v>56</v>
      </c>
      <c r="R902">
        <v>40</v>
      </c>
      <c r="S902" s="18">
        <f t="shared" si="146"/>
        <v>9</v>
      </c>
      <c r="T902" s="17">
        <f t="shared" si="147"/>
        <v>40</v>
      </c>
      <c r="U902" s="17">
        <f t="shared" si="148"/>
        <v>0</v>
      </c>
      <c r="V902" s="17">
        <f t="shared" si="149"/>
        <v>0</v>
      </c>
      <c r="W902" s="17">
        <f t="shared" si="150"/>
        <v>0</v>
      </c>
      <c r="X902" s="17">
        <f t="shared" si="151"/>
        <v>16</v>
      </c>
      <c r="Y902" s="19">
        <f t="shared" si="152"/>
        <v>0</v>
      </c>
      <c r="Z902">
        <v>40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77</v>
      </c>
      <c r="AN902">
        <v>0</v>
      </c>
      <c r="AO902">
        <v>0</v>
      </c>
      <c r="AP902">
        <v>44</v>
      </c>
      <c r="AQ902">
        <v>77</v>
      </c>
      <c r="AR902">
        <v>33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f t="shared" si="153"/>
        <v>231</v>
      </c>
      <c r="BF902">
        <v>117</v>
      </c>
      <c r="BG902">
        <v>117</v>
      </c>
      <c r="BH902" t="s">
        <v>190</v>
      </c>
      <c r="BI902" t="s">
        <v>270</v>
      </c>
      <c r="BJ902">
        <v>0</v>
      </c>
      <c r="BK902">
        <v>77</v>
      </c>
      <c r="BL902">
        <v>117</v>
      </c>
      <c r="BM902">
        <v>437</v>
      </c>
      <c r="BN902">
        <v>0</v>
      </c>
      <c r="BO902">
        <v>0</v>
      </c>
      <c r="BP902">
        <v>0</v>
      </c>
      <c r="BQ902">
        <v>437</v>
      </c>
      <c r="BR902">
        <f t="shared" si="154"/>
        <v>-16</v>
      </c>
      <c r="BS902">
        <f t="shared" si="155"/>
        <v>96</v>
      </c>
    </row>
    <row r="903" spans="1:74" x14ac:dyDescent="0.25">
      <c r="A903" s="5" t="s">
        <v>61</v>
      </c>
      <c r="B903" s="5" t="s">
        <v>359</v>
      </c>
      <c r="C903" s="5" t="s">
        <v>61</v>
      </c>
      <c r="D903" s="1" t="s">
        <v>73</v>
      </c>
      <c r="E903">
        <v>0</v>
      </c>
      <c r="F903">
        <v>217</v>
      </c>
      <c r="G903">
        <v>0</v>
      </c>
      <c r="H903">
        <v>0</v>
      </c>
      <c r="I903">
        <v>150</v>
      </c>
      <c r="J903">
        <v>0</v>
      </c>
      <c r="K903">
        <v>0</v>
      </c>
      <c r="L903">
        <v>0</v>
      </c>
      <c r="M903">
        <v>639</v>
      </c>
      <c r="N903">
        <v>0</v>
      </c>
      <c r="O903">
        <v>0</v>
      </c>
      <c r="P903">
        <v>0</v>
      </c>
      <c r="Q903">
        <v>87</v>
      </c>
      <c r="R903">
        <v>71</v>
      </c>
      <c r="S903" s="18">
        <f t="shared" si="146"/>
        <v>9</v>
      </c>
      <c r="T903" s="17">
        <f t="shared" si="147"/>
        <v>71</v>
      </c>
      <c r="U903" s="17">
        <f t="shared" si="148"/>
        <v>0</v>
      </c>
      <c r="V903" s="17">
        <f t="shared" si="149"/>
        <v>0</v>
      </c>
      <c r="W903" s="17">
        <f t="shared" si="150"/>
        <v>0</v>
      </c>
      <c r="X903" s="17">
        <f t="shared" si="151"/>
        <v>16</v>
      </c>
      <c r="Y903" s="19">
        <f t="shared" si="152"/>
        <v>0</v>
      </c>
      <c r="Z903">
        <v>217</v>
      </c>
      <c r="AA903">
        <v>0</v>
      </c>
      <c r="AB903">
        <v>0</v>
      </c>
      <c r="AC903">
        <v>0</v>
      </c>
      <c r="AD903">
        <v>150</v>
      </c>
      <c r="AE903">
        <v>0</v>
      </c>
      <c r="AF903">
        <v>0</v>
      </c>
      <c r="AG903">
        <v>0</v>
      </c>
      <c r="AH903">
        <v>150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f t="shared" si="153"/>
        <v>300</v>
      </c>
      <c r="BF903">
        <v>367</v>
      </c>
      <c r="BG903">
        <v>367</v>
      </c>
      <c r="BH903" t="s">
        <v>109</v>
      </c>
      <c r="BI903" t="s">
        <v>365</v>
      </c>
      <c r="BJ903">
        <v>0</v>
      </c>
      <c r="BK903">
        <v>150</v>
      </c>
      <c r="BL903">
        <v>367</v>
      </c>
      <c r="BM903">
        <v>789</v>
      </c>
      <c r="BN903">
        <v>0</v>
      </c>
      <c r="BO903">
        <v>0</v>
      </c>
      <c r="BP903">
        <v>0</v>
      </c>
      <c r="BQ903">
        <v>789</v>
      </c>
      <c r="BR903">
        <f t="shared" si="154"/>
        <v>-16</v>
      </c>
      <c r="BS903">
        <f t="shared" si="155"/>
        <v>158</v>
      </c>
    </row>
    <row r="904" spans="1:74" x14ac:dyDescent="0.25">
      <c r="A904" s="5" t="s">
        <v>61</v>
      </c>
      <c r="B904" s="5" t="s">
        <v>359</v>
      </c>
      <c r="C904" s="5" t="s">
        <v>61</v>
      </c>
      <c r="D904" s="1" t="s">
        <v>108</v>
      </c>
      <c r="E904">
        <v>0</v>
      </c>
      <c r="F904">
        <v>615</v>
      </c>
      <c r="G904">
        <v>0</v>
      </c>
      <c r="H904">
        <v>0</v>
      </c>
      <c r="I904">
        <v>150</v>
      </c>
      <c r="J904">
        <v>0</v>
      </c>
      <c r="K904">
        <v>0</v>
      </c>
      <c r="L904">
        <v>0</v>
      </c>
      <c r="M904">
        <v>2160</v>
      </c>
      <c r="N904">
        <v>0</v>
      </c>
      <c r="O904">
        <v>0</v>
      </c>
      <c r="P904">
        <v>0</v>
      </c>
      <c r="Q904">
        <v>256</v>
      </c>
      <c r="R904">
        <v>240</v>
      </c>
      <c r="S904" s="18">
        <f t="shared" si="146"/>
        <v>9</v>
      </c>
      <c r="T904" s="17">
        <f t="shared" si="147"/>
        <v>240</v>
      </c>
      <c r="U904" s="17">
        <f t="shared" si="148"/>
        <v>0</v>
      </c>
      <c r="V904" s="17">
        <f t="shared" si="149"/>
        <v>0</v>
      </c>
      <c r="W904" s="17">
        <f t="shared" si="150"/>
        <v>0</v>
      </c>
      <c r="X904" s="17">
        <f t="shared" si="151"/>
        <v>16</v>
      </c>
      <c r="Y904" s="19">
        <f t="shared" si="152"/>
        <v>0</v>
      </c>
      <c r="Z904">
        <v>615</v>
      </c>
      <c r="AA904">
        <v>0</v>
      </c>
      <c r="AB904">
        <v>0</v>
      </c>
      <c r="AC904">
        <v>0</v>
      </c>
      <c r="AD904">
        <v>150</v>
      </c>
      <c r="AE904">
        <v>0</v>
      </c>
      <c r="AF904">
        <v>0</v>
      </c>
      <c r="AG904">
        <v>0</v>
      </c>
      <c r="AH904">
        <v>150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f t="shared" si="153"/>
        <v>300</v>
      </c>
      <c r="BF904">
        <v>765</v>
      </c>
      <c r="BG904">
        <v>765</v>
      </c>
      <c r="BH904" t="s">
        <v>109</v>
      </c>
      <c r="BI904" t="s">
        <v>382</v>
      </c>
      <c r="BJ904">
        <v>0</v>
      </c>
      <c r="BK904">
        <v>150</v>
      </c>
      <c r="BL904">
        <v>765</v>
      </c>
      <c r="BM904">
        <v>2310</v>
      </c>
      <c r="BN904">
        <v>0</v>
      </c>
      <c r="BO904">
        <v>0</v>
      </c>
      <c r="BP904">
        <v>0</v>
      </c>
      <c r="BQ904">
        <v>2310</v>
      </c>
      <c r="BR904">
        <f t="shared" si="154"/>
        <v>-16</v>
      </c>
      <c r="BS904">
        <f t="shared" si="155"/>
        <v>496</v>
      </c>
    </row>
    <row r="905" spans="1:74" x14ac:dyDescent="0.25">
      <c r="A905" s="5" t="s">
        <v>61</v>
      </c>
      <c r="B905" s="5" t="s">
        <v>359</v>
      </c>
      <c r="C905" s="5" t="s">
        <v>61</v>
      </c>
      <c r="D905" s="1" t="s">
        <v>111</v>
      </c>
      <c r="E905">
        <v>0</v>
      </c>
      <c r="F905">
        <v>600</v>
      </c>
      <c r="G905">
        <v>0</v>
      </c>
      <c r="H905">
        <v>0</v>
      </c>
      <c r="I905">
        <v>100</v>
      </c>
      <c r="J905">
        <v>0</v>
      </c>
      <c r="K905">
        <v>0</v>
      </c>
      <c r="L905">
        <v>0</v>
      </c>
      <c r="M905">
        <v>2088</v>
      </c>
      <c r="N905">
        <v>0</v>
      </c>
      <c r="O905">
        <v>0</v>
      </c>
      <c r="P905">
        <v>0</v>
      </c>
      <c r="Q905">
        <v>248</v>
      </c>
      <c r="R905">
        <v>232</v>
      </c>
      <c r="S905" s="18">
        <f t="shared" si="146"/>
        <v>9</v>
      </c>
      <c r="T905" s="17">
        <f t="shared" si="147"/>
        <v>232</v>
      </c>
      <c r="U905" s="17">
        <f t="shared" si="148"/>
        <v>0</v>
      </c>
      <c r="V905" s="17">
        <f t="shared" si="149"/>
        <v>0</v>
      </c>
      <c r="W905" s="17">
        <f t="shared" si="150"/>
        <v>0</v>
      </c>
      <c r="X905" s="17">
        <f t="shared" si="151"/>
        <v>16</v>
      </c>
      <c r="Y905" s="19">
        <f t="shared" si="152"/>
        <v>0</v>
      </c>
      <c r="Z905">
        <v>600</v>
      </c>
      <c r="AA905">
        <v>0</v>
      </c>
      <c r="AB905">
        <v>0</v>
      </c>
      <c r="AC905">
        <v>0</v>
      </c>
      <c r="AD905">
        <v>100</v>
      </c>
      <c r="AE905">
        <v>0</v>
      </c>
      <c r="AF905">
        <v>0</v>
      </c>
      <c r="AG905">
        <v>0</v>
      </c>
      <c r="AH905">
        <v>100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f t="shared" si="153"/>
        <v>200</v>
      </c>
      <c r="BF905">
        <v>700</v>
      </c>
      <c r="BG905">
        <v>700</v>
      </c>
      <c r="BH905" t="s">
        <v>109</v>
      </c>
      <c r="BI905" t="s">
        <v>383</v>
      </c>
      <c r="BJ905">
        <v>0</v>
      </c>
      <c r="BK905">
        <v>100</v>
      </c>
      <c r="BL905">
        <v>700</v>
      </c>
      <c r="BM905">
        <v>2188</v>
      </c>
      <c r="BN905">
        <v>0</v>
      </c>
      <c r="BO905">
        <v>0</v>
      </c>
      <c r="BP905">
        <v>0</v>
      </c>
      <c r="BQ905">
        <v>2188</v>
      </c>
      <c r="BR905">
        <f t="shared" si="154"/>
        <v>-16</v>
      </c>
      <c r="BS905">
        <f t="shared" si="155"/>
        <v>480</v>
      </c>
    </row>
    <row r="906" spans="1:74" x14ac:dyDescent="0.25">
      <c r="A906" s="5" t="s">
        <v>61</v>
      </c>
      <c r="B906" s="5" t="s">
        <v>359</v>
      </c>
      <c r="C906" s="5" t="s">
        <v>61</v>
      </c>
      <c r="D906" s="1" t="s">
        <v>155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105</v>
      </c>
      <c r="L906">
        <v>45</v>
      </c>
      <c r="M906">
        <v>0</v>
      </c>
      <c r="N906">
        <v>0</v>
      </c>
      <c r="O906">
        <v>0</v>
      </c>
      <c r="P906">
        <v>9</v>
      </c>
      <c r="Q906">
        <v>17</v>
      </c>
      <c r="R906">
        <v>1</v>
      </c>
      <c r="S906" s="18">
        <f t="shared" si="146"/>
        <v>9</v>
      </c>
      <c r="T906" s="17">
        <f t="shared" si="147"/>
        <v>0</v>
      </c>
      <c r="U906" s="17">
        <f t="shared" si="148"/>
        <v>0</v>
      </c>
      <c r="V906" s="17">
        <f t="shared" si="149"/>
        <v>0</v>
      </c>
      <c r="W906" s="17">
        <f t="shared" si="150"/>
        <v>1</v>
      </c>
      <c r="X906" s="17">
        <f t="shared" si="151"/>
        <v>16</v>
      </c>
      <c r="Y906" s="19">
        <f t="shared" si="152"/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105</v>
      </c>
      <c r="AP906">
        <v>5</v>
      </c>
      <c r="AQ906">
        <v>105</v>
      </c>
      <c r="AR906">
        <v>100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45</v>
      </c>
      <c r="BA906">
        <v>45</v>
      </c>
      <c r="BB906">
        <v>0</v>
      </c>
      <c r="BC906">
        <v>0</v>
      </c>
      <c r="BD906">
        <v>0</v>
      </c>
      <c r="BE906">
        <f t="shared" si="153"/>
        <v>405</v>
      </c>
      <c r="BF906">
        <v>151</v>
      </c>
      <c r="BG906">
        <v>151</v>
      </c>
      <c r="BH906" t="s">
        <v>190</v>
      </c>
      <c r="BI906" t="s">
        <v>405</v>
      </c>
      <c r="BJ906">
        <v>0</v>
      </c>
      <c r="BK906">
        <v>150</v>
      </c>
      <c r="BL906">
        <v>151</v>
      </c>
      <c r="BM906">
        <v>0</v>
      </c>
      <c r="BN906">
        <v>0</v>
      </c>
      <c r="BO906">
        <v>0</v>
      </c>
      <c r="BP906">
        <v>159</v>
      </c>
      <c r="BQ906">
        <v>159</v>
      </c>
      <c r="BR906">
        <f t="shared" si="154"/>
        <v>-16</v>
      </c>
      <c r="BS906">
        <f t="shared" si="155"/>
        <v>18</v>
      </c>
    </row>
    <row r="907" spans="1:74" x14ac:dyDescent="0.25">
      <c r="A907" s="5" t="s">
        <v>207</v>
      </c>
      <c r="B907" s="5" t="s">
        <v>627</v>
      </c>
      <c r="C907" s="5" t="s">
        <v>207</v>
      </c>
      <c r="D907" s="1" t="s">
        <v>113</v>
      </c>
      <c r="E907">
        <v>0</v>
      </c>
      <c r="F907">
        <v>0</v>
      </c>
      <c r="G907">
        <v>0</v>
      </c>
      <c r="H907">
        <v>0</v>
      </c>
      <c r="I907">
        <v>24</v>
      </c>
      <c r="J907">
        <v>80</v>
      </c>
      <c r="K907">
        <v>20</v>
      </c>
      <c r="L907">
        <v>80</v>
      </c>
      <c r="M907">
        <v>0</v>
      </c>
      <c r="N907">
        <v>0</v>
      </c>
      <c r="O907">
        <v>0</v>
      </c>
      <c r="P907">
        <v>0</v>
      </c>
      <c r="Q907">
        <v>16</v>
      </c>
      <c r="R907">
        <v>0</v>
      </c>
      <c r="S907" s="18" t="e">
        <f t="shared" si="146"/>
        <v>#DIV/0!</v>
      </c>
      <c r="T907" s="17" t="e">
        <f t="shared" si="147"/>
        <v>#DIV/0!</v>
      </c>
      <c r="U907" s="17" t="e">
        <f t="shared" si="148"/>
        <v>#DIV/0!</v>
      </c>
      <c r="V907" s="17" t="e">
        <f t="shared" si="149"/>
        <v>#DIV/0!</v>
      </c>
      <c r="W907" s="17" t="e">
        <f t="shared" si="150"/>
        <v>#DIV/0!</v>
      </c>
      <c r="X907" s="17" t="e">
        <f t="shared" si="151"/>
        <v>#DIV/0!</v>
      </c>
      <c r="Y907" s="19" t="e">
        <f t="shared" si="152"/>
        <v>#DIV/0!</v>
      </c>
      <c r="Z907">
        <v>0</v>
      </c>
      <c r="AA907">
        <v>0</v>
      </c>
      <c r="AB907">
        <v>0</v>
      </c>
      <c r="AC907">
        <v>155</v>
      </c>
      <c r="AD907">
        <v>24</v>
      </c>
      <c r="AE907">
        <v>0</v>
      </c>
      <c r="AF907">
        <v>0</v>
      </c>
      <c r="AG907">
        <v>0</v>
      </c>
      <c r="AH907">
        <v>24</v>
      </c>
      <c r="AI907">
        <v>80</v>
      </c>
      <c r="AJ907">
        <v>0</v>
      </c>
      <c r="AK907">
        <v>0</v>
      </c>
      <c r="AL907">
        <v>80</v>
      </c>
      <c r="AM907">
        <v>20</v>
      </c>
      <c r="AN907">
        <v>0</v>
      </c>
      <c r="AO907">
        <v>0</v>
      </c>
      <c r="AP907">
        <v>20</v>
      </c>
      <c r="AQ907">
        <v>20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80</v>
      </c>
      <c r="AY907">
        <v>0</v>
      </c>
      <c r="AZ907">
        <v>0</v>
      </c>
      <c r="BA907">
        <v>80</v>
      </c>
      <c r="BB907">
        <v>0</v>
      </c>
      <c r="BC907">
        <v>0</v>
      </c>
      <c r="BD907">
        <v>0</v>
      </c>
      <c r="BE907">
        <f t="shared" si="153"/>
        <v>583</v>
      </c>
      <c r="BF907">
        <v>359</v>
      </c>
      <c r="BG907">
        <v>359</v>
      </c>
      <c r="BH907" t="s">
        <v>190</v>
      </c>
      <c r="BI907" t="s">
        <v>682</v>
      </c>
      <c r="BJ907">
        <v>155</v>
      </c>
      <c r="BK907">
        <v>204</v>
      </c>
      <c r="BL907">
        <v>359</v>
      </c>
      <c r="BM907">
        <v>204</v>
      </c>
      <c r="BN907">
        <v>0</v>
      </c>
      <c r="BO907">
        <v>0</v>
      </c>
      <c r="BP907">
        <v>0</v>
      </c>
      <c r="BQ907">
        <v>204</v>
      </c>
      <c r="BR907">
        <f t="shared" si="154"/>
        <v>-16</v>
      </c>
      <c r="BS907">
        <f t="shared" si="155"/>
        <v>16</v>
      </c>
    </row>
    <row r="908" spans="1:74" x14ac:dyDescent="0.25">
      <c r="A908" s="5" t="s">
        <v>359</v>
      </c>
      <c r="B908" s="5" t="s">
        <v>207</v>
      </c>
      <c r="C908" s="5" t="s">
        <v>61</v>
      </c>
      <c r="D908" s="1" t="s">
        <v>115</v>
      </c>
      <c r="E908">
        <v>0</v>
      </c>
      <c r="F908">
        <v>0</v>
      </c>
      <c r="G908">
        <v>0</v>
      </c>
      <c r="H908">
        <v>0</v>
      </c>
      <c r="I908">
        <v>160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16</v>
      </c>
      <c r="R908">
        <v>0</v>
      </c>
      <c r="S908" s="18" t="e">
        <f t="shared" si="146"/>
        <v>#DIV/0!</v>
      </c>
      <c r="T908" s="17" t="e">
        <f t="shared" si="147"/>
        <v>#DIV/0!</v>
      </c>
      <c r="U908" s="17" t="e">
        <f t="shared" si="148"/>
        <v>#DIV/0!</v>
      </c>
      <c r="V908" s="17" t="e">
        <f t="shared" si="149"/>
        <v>#DIV/0!</v>
      </c>
      <c r="W908" s="17" t="e">
        <f t="shared" si="150"/>
        <v>#DIV/0!</v>
      </c>
      <c r="X908" s="17" t="e">
        <f t="shared" si="151"/>
        <v>#DIV/0!</v>
      </c>
      <c r="Y908" s="19" t="e">
        <f t="shared" si="152"/>
        <v>#DIV/0!</v>
      </c>
      <c r="Z908">
        <v>0</v>
      </c>
      <c r="AA908">
        <v>0</v>
      </c>
      <c r="AB908">
        <v>0</v>
      </c>
      <c r="AC908">
        <v>115</v>
      </c>
      <c r="AD908">
        <v>160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f t="shared" si="153"/>
        <v>275</v>
      </c>
      <c r="BF908">
        <v>115</v>
      </c>
      <c r="BG908">
        <v>115</v>
      </c>
      <c r="BH908" t="s">
        <v>190</v>
      </c>
      <c r="BI908" t="s">
        <v>754</v>
      </c>
      <c r="BJ908">
        <v>115</v>
      </c>
      <c r="BK908">
        <v>0</v>
      </c>
      <c r="BL908">
        <v>115</v>
      </c>
      <c r="BM908">
        <v>160</v>
      </c>
      <c r="BN908">
        <v>0</v>
      </c>
      <c r="BO908">
        <v>0</v>
      </c>
      <c r="BP908">
        <v>0</v>
      </c>
      <c r="BQ908">
        <v>160</v>
      </c>
      <c r="BR908">
        <f t="shared" si="154"/>
        <v>-16</v>
      </c>
      <c r="BS908">
        <f t="shared" si="155"/>
        <v>16</v>
      </c>
    </row>
    <row r="909" spans="1:74" x14ac:dyDescent="0.25">
      <c r="A909" s="5" t="s">
        <v>1135</v>
      </c>
      <c r="B909" s="5" t="s">
        <v>61</v>
      </c>
      <c r="C909" s="5" t="s">
        <v>61</v>
      </c>
      <c r="D909" s="1" t="s">
        <v>185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187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16</v>
      </c>
      <c r="R909">
        <v>0</v>
      </c>
      <c r="S909" s="18" t="e">
        <f t="shared" si="146"/>
        <v>#DIV/0!</v>
      </c>
      <c r="T909" s="17" t="e">
        <f t="shared" si="147"/>
        <v>#DIV/0!</v>
      </c>
      <c r="U909" s="17" t="e">
        <f t="shared" si="148"/>
        <v>#DIV/0!</v>
      </c>
      <c r="V909" s="17" t="e">
        <f t="shared" si="149"/>
        <v>#DIV/0!</v>
      </c>
      <c r="W909" s="17" t="e">
        <f t="shared" si="150"/>
        <v>#DIV/0!</v>
      </c>
      <c r="X909" s="17" t="e">
        <f t="shared" si="151"/>
        <v>#DIV/0!</v>
      </c>
      <c r="Y909" s="19" t="e">
        <f t="shared" si="152"/>
        <v>#DIV/0!</v>
      </c>
      <c r="Z909">
        <v>0</v>
      </c>
      <c r="AA909">
        <v>0</v>
      </c>
      <c r="AB909">
        <v>0</v>
      </c>
      <c r="AC909">
        <v>108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187</v>
      </c>
      <c r="AP909">
        <v>187</v>
      </c>
      <c r="AQ909">
        <v>187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f t="shared" si="153"/>
        <v>669</v>
      </c>
      <c r="BF909">
        <v>295</v>
      </c>
      <c r="BG909">
        <v>295</v>
      </c>
      <c r="BH909" t="s">
        <v>190</v>
      </c>
      <c r="BI909" t="s">
        <v>1191</v>
      </c>
      <c r="BJ909">
        <v>108</v>
      </c>
      <c r="BK909">
        <v>187</v>
      </c>
      <c r="BL909">
        <v>295</v>
      </c>
      <c r="BM909">
        <v>0</v>
      </c>
      <c r="BN909">
        <v>0</v>
      </c>
      <c r="BO909">
        <v>0</v>
      </c>
      <c r="BP909">
        <v>187</v>
      </c>
      <c r="BQ909">
        <v>187</v>
      </c>
      <c r="BR909">
        <f t="shared" si="154"/>
        <v>-16</v>
      </c>
      <c r="BS909">
        <f t="shared" si="155"/>
        <v>16</v>
      </c>
    </row>
    <row r="910" spans="1:74" x14ac:dyDescent="0.25">
      <c r="A910" s="5" t="s">
        <v>2294</v>
      </c>
      <c r="B910" s="5" t="s">
        <v>61</v>
      </c>
      <c r="C910" s="5" t="s">
        <v>61</v>
      </c>
      <c r="D910" s="1" t="s">
        <v>94</v>
      </c>
      <c r="E910">
        <v>0</v>
      </c>
      <c r="F910">
        <v>12</v>
      </c>
      <c r="G910">
        <v>0</v>
      </c>
      <c r="H910">
        <v>0</v>
      </c>
      <c r="I910">
        <v>120</v>
      </c>
      <c r="J910">
        <v>400</v>
      </c>
      <c r="K910">
        <v>0</v>
      </c>
      <c r="L910">
        <v>50</v>
      </c>
      <c r="M910">
        <v>0</v>
      </c>
      <c r="N910">
        <v>0</v>
      </c>
      <c r="O910">
        <v>0</v>
      </c>
      <c r="P910">
        <v>108</v>
      </c>
      <c r="Q910">
        <v>28</v>
      </c>
      <c r="R910">
        <v>12</v>
      </c>
      <c r="S910" s="18">
        <f t="shared" si="146"/>
        <v>9</v>
      </c>
      <c r="T910" s="17">
        <f t="shared" si="147"/>
        <v>0</v>
      </c>
      <c r="U910" s="17">
        <f t="shared" si="148"/>
        <v>0</v>
      </c>
      <c r="V910" s="17">
        <f t="shared" si="149"/>
        <v>0</v>
      </c>
      <c r="W910" s="17">
        <f t="shared" si="150"/>
        <v>12</v>
      </c>
      <c r="X910" s="17">
        <f t="shared" si="151"/>
        <v>16</v>
      </c>
      <c r="Y910" s="19">
        <f t="shared" si="152"/>
        <v>0</v>
      </c>
      <c r="Z910">
        <v>12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120</v>
      </c>
      <c r="AH910">
        <v>120</v>
      </c>
      <c r="AI910">
        <v>0</v>
      </c>
      <c r="AJ910">
        <v>0</v>
      </c>
      <c r="AK910">
        <v>400</v>
      </c>
      <c r="AL910">
        <v>400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50</v>
      </c>
      <c r="BA910">
        <v>50</v>
      </c>
      <c r="BB910">
        <v>0</v>
      </c>
      <c r="BC910">
        <v>0</v>
      </c>
      <c r="BD910">
        <v>0</v>
      </c>
      <c r="BE910">
        <f t="shared" si="153"/>
        <v>1140</v>
      </c>
      <c r="BF910">
        <v>582</v>
      </c>
      <c r="BG910">
        <v>582</v>
      </c>
      <c r="BH910" t="s">
        <v>190</v>
      </c>
      <c r="BI910" t="s">
        <v>2309</v>
      </c>
      <c r="BJ910">
        <v>0</v>
      </c>
      <c r="BK910">
        <v>570</v>
      </c>
      <c r="BL910">
        <v>582</v>
      </c>
      <c r="BM910">
        <v>0</v>
      </c>
      <c r="BN910">
        <v>0</v>
      </c>
      <c r="BO910">
        <v>0</v>
      </c>
      <c r="BP910">
        <v>678</v>
      </c>
      <c r="BQ910">
        <v>678</v>
      </c>
      <c r="BR910">
        <f t="shared" si="154"/>
        <v>-16</v>
      </c>
      <c r="BS910">
        <f t="shared" si="155"/>
        <v>40</v>
      </c>
    </row>
    <row r="911" spans="1:74" x14ac:dyDescent="0.25">
      <c r="A911" s="5" t="s">
        <v>2294</v>
      </c>
      <c r="B911" s="5" t="s">
        <v>207</v>
      </c>
      <c r="C911" s="5" t="s">
        <v>61</v>
      </c>
      <c r="D911" s="1" t="s">
        <v>135</v>
      </c>
      <c r="E911">
        <v>0</v>
      </c>
      <c r="F911">
        <v>0</v>
      </c>
      <c r="G911">
        <v>0</v>
      </c>
      <c r="H911">
        <v>0</v>
      </c>
      <c r="I911">
        <v>102</v>
      </c>
      <c r="J911">
        <v>147</v>
      </c>
      <c r="K911">
        <v>5</v>
      </c>
      <c r="L911">
        <v>8</v>
      </c>
      <c r="M911">
        <v>0</v>
      </c>
      <c r="N911">
        <v>0</v>
      </c>
      <c r="O911">
        <v>0</v>
      </c>
      <c r="P911">
        <v>0</v>
      </c>
      <c r="Q911">
        <v>16</v>
      </c>
      <c r="R911">
        <v>0</v>
      </c>
      <c r="S911" s="18" t="e">
        <f t="shared" si="146"/>
        <v>#DIV/0!</v>
      </c>
      <c r="T911" s="17" t="e">
        <f t="shared" si="147"/>
        <v>#DIV/0!</v>
      </c>
      <c r="U911" s="17" t="e">
        <f t="shared" si="148"/>
        <v>#DIV/0!</v>
      </c>
      <c r="V911" s="17" t="e">
        <f t="shared" si="149"/>
        <v>#DIV/0!</v>
      </c>
      <c r="W911" s="17" t="e">
        <f t="shared" si="150"/>
        <v>#DIV/0!</v>
      </c>
      <c r="X911" s="17" t="e">
        <f t="shared" si="151"/>
        <v>#DIV/0!</v>
      </c>
      <c r="Y911" s="19" t="e">
        <f t="shared" si="152"/>
        <v>#DIV/0!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102</v>
      </c>
      <c r="AH911">
        <v>102</v>
      </c>
      <c r="AI911">
        <v>0</v>
      </c>
      <c r="AJ911">
        <v>0</v>
      </c>
      <c r="AK911">
        <v>147</v>
      </c>
      <c r="AL911">
        <v>147</v>
      </c>
      <c r="AM911">
        <v>0</v>
      </c>
      <c r="AN911">
        <v>0</v>
      </c>
      <c r="AO911">
        <v>5</v>
      </c>
      <c r="AP911">
        <v>0</v>
      </c>
      <c r="AQ911">
        <v>5</v>
      </c>
      <c r="AR911">
        <v>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8</v>
      </c>
      <c r="BA911">
        <v>8</v>
      </c>
      <c r="BB911">
        <v>0</v>
      </c>
      <c r="BC911">
        <v>0</v>
      </c>
      <c r="BD911">
        <v>0</v>
      </c>
      <c r="BE911">
        <f t="shared" si="153"/>
        <v>529</v>
      </c>
      <c r="BF911">
        <v>293</v>
      </c>
      <c r="BG911">
        <v>293</v>
      </c>
      <c r="BH911" t="s">
        <v>82</v>
      </c>
      <c r="BI911" t="s">
        <v>2356</v>
      </c>
      <c r="BJ911">
        <v>0</v>
      </c>
      <c r="BK911">
        <v>262</v>
      </c>
      <c r="BL911">
        <v>262</v>
      </c>
      <c r="BM911">
        <v>0</v>
      </c>
      <c r="BN911">
        <v>0</v>
      </c>
      <c r="BO911">
        <v>0</v>
      </c>
      <c r="BP911">
        <v>262</v>
      </c>
      <c r="BQ911">
        <v>262</v>
      </c>
      <c r="BR911">
        <f t="shared" si="154"/>
        <v>-16</v>
      </c>
      <c r="BS911">
        <f t="shared" si="155"/>
        <v>16</v>
      </c>
    </row>
    <row r="912" spans="1:74" x14ac:dyDescent="0.25">
      <c r="A912" s="5" t="s">
        <v>61</v>
      </c>
      <c r="B912" s="5" t="s">
        <v>207</v>
      </c>
      <c r="C912" s="5" t="s">
        <v>61</v>
      </c>
      <c r="D912" s="1" t="s">
        <v>145</v>
      </c>
      <c r="E912">
        <v>0</v>
      </c>
      <c r="F912">
        <v>80</v>
      </c>
      <c r="G912">
        <v>0</v>
      </c>
      <c r="H912">
        <v>0</v>
      </c>
      <c r="I912">
        <v>29</v>
      </c>
      <c r="J912">
        <v>0</v>
      </c>
      <c r="K912">
        <v>0</v>
      </c>
      <c r="L912">
        <v>0</v>
      </c>
      <c r="M912">
        <v>549</v>
      </c>
      <c r="N912">
        <v>0</v>
      </c>
      <c r="O912">
        <v>0</v>
      </c>
      <c r="P912">
        <v>0</v>
      </c>
      <c r="Q912">
        <v>78</v>
      </c>
      <c r="R912">
        <v>61</v>
      </c>
      <c r="S912" s="18">
        <f t="shared" si="146"/>
        <v>9</v>
      </c>
      <c r="T912" s="17">
        <f t="shared" si="147"/>
        <v>61</v>
      </c>
      <c r="U912" s="17">
        <f t="shared" si="148"/>
        <v>0</v>
      </c>
      <c r="V912" s="17">
        <f t="shared" si="149"/>
        <v>0</v>
      </c>
      <c r="W912" s="17">
        <f t="shared" si="150"/>
        <v>0</v>
      </c>
      <c r="X912" s="17">
        <f t="shared" si="151"/>
        <v>17</v>
      </c>
      <c r="Y912" s="19">
        <f t="shared" si="152"/>
        <v>0</v>
      </c>
      <c r="Z912">
        <v>80</v>
      </c>
      <c r="AA912">
        <v>0</v>
      </c>
      <c r="AB912">
        <v>0</v>
      </c>
      <c r="AC912">
        <v>0</v>
      </c>
      <c r="AD912">
        <v>29</v>
      </c>
      <c r="AE912">
        <v>0</v>
      </c>
      <c r="AF912">
        <v>0</v>
      </c>
      <c r="AG912">
        <v>0</v>
      </c>
      <c r="AH912">
        <v>29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f t="shared" si="153"/>
        <v>58</v>
      </c>
      <c r="BF912">
        <v>109</v>
      </c>
      <c r="BG912">
        <v>109</v>
      </c>
      <c r="BH912" t="s">
        <v>109</v>
      </c>
      <c r="BI912" t="s">
        <v>249</v>
      </c>
      <c r="BJ912">
        <v>0</v>
      </c>
      <c r="BK912">
        <v>29</v>
      </c>
      <c r="BL912">
        <v>109</v>
      </c>
      <c r="BM912">
        <v>578</v>
      </c>
      <c r="BN912">
        <v>0</v>
      </c>
      <c r="BO912">
        <v>0</v>
      </c>
      <c r="BP912">
        <v>0</v>
      </c>
      <c r="BQ912">
        <v>578</v>
      </c>
      <c r="BR912">
        <f t="shared" si="154"/>
        <v>-17</v>
      </c>
      <c r="BS912">
        <f t="shared" si="155"/>
        <v>139</v>
      </c>
    </row>
    <row r="913" spans="1:74" x14ac:dyDescent="0.25">
      <c r="A913" s="5" t="s">
        <v>61</v>
      </c>
      <c r="B913" s="5" t="s">
        <v>207</v>
      </c>
      <c r="C913" s="5" t="s">
        <v>207</v>
      </c>
      <c r="D913" s="1" t="s">
        <v>196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142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17</v>
      </c>
      <c r="R913">
        <v>0</v>
      </c>
      <c r="S913" s="18" t="e">
        <f t="shared" si="146"/>
        <v>#DIV/0!</v>
      </c>
      <c r="T913" s="17" t="e">
        <f t="shared" si="147"/>
        <v>#DIV/0!</v>
      </c>
      <c r="U913" s="17" t="e">
        <f t="shared" si="148"/>
        <v>#DIV/0!</v>
      </c>
      <c r="V913" s="17" t="e">
        <f t="shared" si="149"/>
        <v>#DIV/0!</v>
      </c>
      <c r="W913" s="17" t="e">
        <f t="shared" si="150"/>
        <v>#DIV/0!</v>
      </c>
      <c r="X913" s="17" t="e">
        <f t="shared" si="151"/>
        <v>#DIV/0!</v>
      </c>
      <c r="Y913" s="19" t="e">
        <f t="shared" si="152"/>
        <v>#DIV/0!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142</v>
      </c>
      <c r="AP913">
        <v>0</v>
      </c>
      <c r="AQ913">
        <v>142</v>
      </c>
      <c r="AR913">
        <v>142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f t="shared" si="153"/>
        <v>426</v>
      </c>
      <c r="BF913">
        <v>142</v>
      </c>
      <c r="BG913">
        <v>142</v>
      </c>
      <c r="BH913" t="s">
        <v>190</v>
      </c>
      <c r="BI913" t="s">
        <v>344</v>
      </c>
      <c r="BJ913">
        <v>0</v>
      </c>
      <c r="BK913">
        <v>142</v>
      </c>
      <c r="BL913">
        <v>142</v>
      </c>
      <c r="BM913">
        <v>0</v>
      </c>
      <c r="BN913">
        <v>0</v>
      </c>
      <c r="BO913">
        <v>0</v>
      </c>
      <c r="BP913">
        <v>142</v>
      </c>
      <c r="BQ913">
        <v>142</v>
      </c>
      <c r="BR913">
        <f t="shared" si="154"/>
        <v>-17</v>
      </c>
      <c r="BS913">
        <f t="shared" si="155"/>
        <v>17</v>
      </c>
    </row>
    <row r="914" spans="1:74" x14ac:dyDescent="0.25">
      <c r="A914" s="5" t="s">
        <v>61</v>
      </c>
      <c r="B914" s="5" t="s">
        <v>359</v>
      </c>
      <c r="C914" s="5" t="s">
        <v>61</v>
      </c>
      <c r="D914" s="1" t="s">
        <v>141</v>
      </c>
      <c r="E914">
        <v>0</v>
      </c>
      <c r="F914">
        <v>550</v>
      </c>
      <c r="G914">
        <v>0</v>
      </c>
      <c r="H914">
        <v>0</v>
      </c>
      <c r="I914">
        <v>50</v>
      </c>
      <c r="J914">
        <v>0</v>
      </c>
      <c r="K914">
        <v>0</v>
      </c>
      <c r="L914">
        <v>0</v>
      </c>
      <c r="M914">
        <v>1737</v>
      </c>
      <c r="N914">
        <v>0</v>
      </c>
      <c r="O914">
        <v>0</v>
      </c>
      <c r="P914">
        <v>0</v>
      </c>
      <c r="Q914">
        <v>210</v>
      </c>
      <c r="R914">
        <v>193</v>
      </c>
      <c r="S914" s="18">
        <f t="shared" si="146"/>
        <v>9</v>
      </c>
      <c r="T914" s="17">
        <f t="shared" si="147"/>
        <v>193</v>
      </c>
      <c r="U914" s="17">
        <f t="shared" si="148"/>
        <v>0</v>
      </c>
      <c r="V914" s="17">
        <f t="shared" si="149"/>
        <v>0</v>
      </c>
      <c r="W914" s="17">
        <f t="shared" si="150"/>
        <v>0</v>
      </c>
      <c r="X914" s="17">
        <f t="shared" si="151"/>
        <v>17</v>
      </c>
      <c r="Y914" s="19">
        <f t="shared" si="152"/>
        <v>0</v>
      </c>
      <c r="Z914">
        <v>550</v>
      </c>
      <c r="AA914">
        <v>0</v>
      </c>
      <c r="AB914">
        <v>0</v>
      </c>
      <c r="AC914">
        <v>0</v>
      </c>
      <c r="AD914">
        <v>50</v>
      </c>
      <c r="AE914">
        <v>0</v>
      </c>
      <c r="AF914">
        <v>0</v>
      </c>
      <c r="AG914">
        <v>0</v>
      </c>
      <c r="AH914">
        <v>50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f t="shared" si="153"/>
        <v>100</v>
      </c>
      <c r="BF914">
        <v>600</v>
      </c>
      <c r="BG914">
        <v>600</v>
      </c>
      <c r="BH914" t="s">
        <v>109</v>
      </c>
      <c r="BI914" t="s">
        <v>398</v>
      </c>
      <c r="BJ914">
        <v>0</v>
      </c>
      <c r="BK914">
        <v>50</v>
      </c>
      <c r="BL914">
        <v>600</v>
      </c>
      <c r="BM914">
        <v>1787</v>
      </c>
      <c r="BN914">
        <v>0</v>
      </c>
      <c r="BO914">
        <v>0</v>
      </c>
      <c r="BP914">
        <v>0</v>
      </c>
      <c r="BQ914">
        <v>1787</v>
      </c>
      <c r="BR914">
        <f t="shared" si="154"/>
        <v>-17</v>
      </c>
      <c r="BS914">
        <f t="shared" si="155"/>
        <v>403</v>
      </c>
    </row>
    <row r="915" spans="1:74" x14ac:dyDescent="0.25">
      <c r="A915" s="5" t="s">
        <v>61</v>
      </c>
      <c r="B915" s="5" t="s">
        <v>359</v>
      </c>
      <c r="C915" s="5" t="s">
        <v>61</v>
      </c>
      <c r="D915" s="1" t="s">
        <v>143</v>
      </c>
      <c r="E915">
        <v>0</v>
      </c>
      <c r="F915">
        <v>710</v>
      </c>
      <c r="G915">
        <v>0</v>
      </c>
      <c r="H915">
        <v>0</v>
      </c>
      <c r="I915">
        <v>50</v>
      </c>
      <c r="J915">
        <v>0</v>
      </c>
      <c r="K915">
        <v>0</v>
      </c>
      <c r="L915">
        <v>0</v>
      </c>
      <c r="M915">
        <v>3537</v>
      </c>
      <c r="N915">
        <v>0</v>
      </c>
      <c r="O915">
        <v>0</v>
      </c>
      <c r="P915">
        <v>0</v>
      </c>
      <c r="Q915">
        <v>410</v>
      </c>
      <c r="R915">
        <v>393</v>
      </c>
      <c r="S915" s="18">
        <f t="shared" si="146"/>
        <v>9</v>
      </c>
      <c r="T915" s="17">
        <f t="shared" si="147"/>
        <v>393</v>
      </c>
      <c r="U915" s="17">
        <f t="shared" si="148"/>
        <v>0</v>
      </c>
      <c r="V915" s="17">
        <f t="shared" si="149"/>
        <v>0</v>
      </c>
      <c r="W915" s="17">
        <f t="shared" si="150"/>
        <v>0</v>
      </c>
      <c r="X915" s="17">
        <f t="shared" si="151"/>
        <v>17</v>
      </c>
      <c r="Y915" s="19">
        <f t="shared" si="152"/>
        <v>0</v>
      </c>
      <c r="Z915">
        <v>710</v>
      </c>
      <c r="AA915">
        <v>0</v>
      </c>
      <c r="AB915">
        <v>0</v>
      </c>
      <c r="AC915">
        <v>0</v>
      </c>
      <c r="AD915">
        <v>50</v>
      </c>
      <c r="AE915">
        <v>0</v>
      </c>
      <c r="AF915">
        <v>0</v>
      </c>
      <c r="AG915">
        <v>0</v>
      </c>
      <c r="AH915">
        <v>50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f t="shared" si="153"/>
        <v>100</v>
      </c>
      <c r="BF915">
        <v>760</v>
      </c>
      <c r="BG915">
        <v>760</v>
      </c>
      <c r="BH915" t="s">
        <v>109</v>
      </c>
      <c r="BI915" t="s">
        <v>399</v>
      </c>
      <c r="BJ915">
        <v>0</v>
      </c>
      <c r="BK915">
        <v>50</v>
      </c>
      <c r="BL915">
        <v>760</v>
      </c>
      <c r="BM915">
        <v>3587</v>
      </c>
      <c r="BN915">
        <v>0</v>
      </c>
      <c r="BO915">
        <v>0</v>
      </c>
      <c r="BP915">
        <v>0</v>
      </c>
      <c r="BQ915">
        <v>3587</v>
      </c>
      <c r="BR915">
        <f t="shared" si="154"/>
        <v>-17</v>
      </c>
      <c r="BS915">
        <f t="shared" si="155"/>
        <v>803</v>
      </c>
    </row>
    <row r="916" spans="1:74" x14ac:dyDescent="0.25">
      <c r="A916" s="5" t="s">
        <v>207</v>
      </c>
      <c r="B916" s="5" t="s">
        <v>627</v>
      </c>
      <c r="C916" s="5" t="s">
        <v>207</v>
      </c>
      <c r="D916" s="1" t="s">
        <v>133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280</v>
      </c>
      <c r="K916">
        <v>0</v>
      </c>
      <c r="L916">
        <v>30</v>
      </c>
      <c r="M916">
        <v>0</v>
      </c>
      <c r="N916">
        <v>0</v>
      </c>
      <c r="O916">
        <v>0</v>
      </c>
      <c r="P916">
        <v>0</v>
      </c>
      <c r="Q916">
        <v>17</v>
      </c>
      <c r="R916">
        <v>0</v>
      </c>
      <c r="S916" s="18" t="e">
        <f t="shared" si="146"/>
        <v>#DIV/0!</v>
      </c>
      <c r="T916" s="17" t="e">
        <f t="shared" si="147"/>
        <v>#DIV/0!</v>
      </c>
      <c r="U916" s="17" t="e">
        <f t="shared" si="148"/>
        <v>#DIV/0!</v>
      </c>
      <c r="V916" s="17" t="e">
        <f t="shared" si="149"/>
        <v>#DIV/0!</v>
      </c>
      <c r="W916" s="17" t="e">
        <f t="shared" si="150"/>
        <v>#DIV/0!</v>
      </c>
      <c r="X916" s="17" t="e">
        <f t="shared" si="151"/>
        <v>#DIV/0!</v>
      </c>
      <c r="Y916" s="19" t="e">
        <f t="shared" si="152"/>
        <v>#DIV/0!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280</v>
      </c>
      <c r="AL916">
        <v>280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30</v>
      </c>
      <c r="BA916">
        <v>30</v>
      </c>
      <c r="BB916">
        <v>0</v>
      </c>
      <c r="BC916">
        <v>0</v>
      </c>
      <c r="BD916">
        <v>0</v>
      </c>
      <c r="BE916">
        <f t="shared" si="153"/>
        <v>620</v>
      </c>
      <c r="BF916">
        <v>310</v>
      </c>
      <c r="BG916">
        <v>310</v>
      </c>
      <c r="BH916" t="s">
        <v>199</v>
      </c>
      <c r="BI916" t="s">
        <v>692</v>
      </c>
      <c r="BJ916">
        <v>0</v>
      </c>
      <c r="BK916">
        <v>310</v>
      </c>
      <c r="BL916">
        <v>310</v>
      </c>
      <c r="BM916">
        <v>0</v>
      </c>
      <c r="BN916">
        <v>0</v>
      </c>
      <c r="BO916">
        <v>0</v>
      </c>
      <c r="BP916">
        <v>310</v>
      </c>
      <c r="BQ916">
        <v>310</v>
      </c>
      <c r="BR916">
        <f t="shared" si="154"/>
        <v>-17</v>
      </c>
      <c r="BS916">
        <f t="shared" si="155"/>
        <v>17</v>
      </c>
    </row>
    <row r="917" spans="1:74" x14ac:dyDescent="0.25">
      <c r="A917" s="5" t="s">
        <v>1017</v>
      </c>
      <c r="B917" s="5" t="s">
        <v>61</v>
      </c>
      <c r="C917" s="5" t="s">
        <v>61</v>
      </c>
      <c r="D917" s="1" t="s">
        <v>81</v>
      </c>
      <c r="E917">
        <v>0</v>
      </c>
      <c r="F917">
        <v>110</v>
      </c>
      <c r="G917">
        <v>0</v>
      </c>
      <c r="H917">
        <v>0</v>
      </c>
      <c r="I917">
        <v>65</v>
      </c>
      <c r="J917">
        <v>0</v>
      </c>
      <c r="K917">
        <v>0</v>
      </c>
      <c r="L917">
        <v>0</v>
      </c>
      <c r="M917">
        <v>729</v>
      </c>
      <c r="N917">
        <v>0</v>
      </c>
      <c r="O917">
        <v>0</v>
      </c>
      <c r="P917">
        <v>0</v>
      </c>
      <c r="Q917">
        <v>98</v>
      </c>
      <c r="R917">
        <v>81</v>
      </c>
      <c r="S917" s="18">
        <f t="shared" si="146"/>
        <v>9</v>
      </c>
      <c r="T917" s="17">
        <f t="shared" si="147"/>
        <v>81</v>
      </c>
      <c r="U917" s="17">
        <f t="shared" si="148"/>
        <v>0</v>
      </c>
      <c r="V917" s="17">
        <f t="shared" si="149"/>
        <v>0</v>
      </c>
      <c r="W917" s="17">
        <f t="shared" si="150"/>
        <v>0</v>
      </c>
      <c r="X917" s="17">
        <f t="shared" si="151"/>
        <v>17</v>
      </c>
      <c r="Y917" s="19">
        <f t="shared" si="152"/>
        <v>0</v>
      </c>
      <c r="Z917">
        <v>110</v>
      </c>
      <c r="AA917">
        <v>0</v>
      </c>
      <c r="AB917">
        <v>0</v>
      </c>
      <c r="AC917">
        <v>0</v>
      </c>
      <c r="AD917">
        <v>65</v>
      </c>
      <c r="AE917">
        <v>0</v>
      </c>
      <c r="AF917">
        <v>0</v>
      </c>
      <c r="AG917">
        <v>0</v>
      </c>
      <c r="AH917">
        <v>65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f t="shared" si="153"/>
        <v>130</v>
      </c>
      <c r="BF917">
        <v>175</v>
      </c>
      <c r="BG917">
        <v>175</v>
      </c>
      <c r="BH917" t="s">
        <v>109</v>
      </c>
      <c r="BI917" t="s">
        <v>1026</v>
      </c>
      <c r="BJ917">
        <v>0</v>
      </c>
      <c r="BK917">
        <v>65</v>
      </c>
      <c r="BL917">
        <v>175</v>
      </c>
      <c r="BM917">
        <v>794</v>
      </c>
      <c r="BN917">
        <v>0</v>
      </c>
      <c r="BO917">
        <v>0</v>
      </c>
      <c r="BP917">
        <v>0</v>
      </c>
      <c r="BQ917">
        <v>794</v>
      </c>
      <c r="BR917">
        <f t="shared" si="154"/>
        <v>-17</v>
      </c>
      <c r="BS917">
        <f t="shared" si="155"/>
        <v>179</v>
      </c>
    </row>
    <row r="918" spans="1:74" x14ac:dyDescent="0.25">
      <c r="A918" s="5" t="s">
        <v>1135</v>
      </c>
      <c r="B918" s="5" t="s">
        <v>61</v>
      </c>
      <c r="C918" s="6" t="s">
        <v>61</v>
      </c>
      <c r="D918" s="1" t="s">
        <v>137</v>
      </c>
      <c r="E918">
        <v>0</v>
      </c>
      <c r="F918">
        <v>1369</v>
      </c>
      <c r="G918">
        <v>0</v>
      </c>
      <c r="H918">
        <v>0</v>
      </c>
      <c r="I918">
        <v>200</v>
      </c>
      <c r="J918">
        <v>0</v>
      </c>
      <c r="K918">
        <v>0</v>
      </c>
      <c r="L918">
        <v>0</v>
      </c>
      <c r="M918">
        <v>0</v>
      </c>
      <c r="N918">
        <v>1350</v>
      </c>
      <c r="O918">
        <v>0</v>
      </c>
      <c r="P918">
        <v>0</v>
      </c>
      <c r="Q918">
        <v>167</v>
      </c>
      <c r="R918">
        <v>150</v>
      </c>
      <c r="S918" s="18">
        <f t="shared" si="146"/>
        <v>9</v>
      </c>
      <c r="T918" s="17">
        <f t="shared" si="147"/>
        <v>0</v>
      </c>
      <c r="U918" s="17">
        <f t="shared" si="148"/>
        <v>150</v>
      </c>
      <c r="V918" s="17">
        <f t="shared" si="149"/>
        <v>0</v>
      </c>
      <c r="W918" s="17">
        <f t="shared" si="150"/>
        <v>0</v>
      </c>
      <c r="X918" s="17">
        <f t="shared" si="151"/>
        <v>17</v>
      </c>
      <c r="Y918" s="19">
        <f t="shared" si="152"/>
        <v>0</v>
      </c>
      <c r="Z918">
        <v>1369</v>
      </c>
      <c r="AA918">
        <v>0</v>
      </c>
      <c r="AB918">
        <v>0</v>
      </c>
      <c r="AC918">
        <v>210</v>
      </c>
      <c r="AD918">
        <v>200</v>
      </c>
      <c r="AE918">
        <v>0</v>
      </c>
      <c r="AF918">
        <v>0</v>
      </c>
      <c r="AG918">
        <v>0</v>
      </c>
      <c r="AH918">
        <v>200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f t="shared" si="153"/>
        <v>610</v>
      </c>
      <c r="BF918">
        <v>1779</v>
      </c>
      <c r="BG918">
        <v>1779</v>
      </c>
      <c r="BH918" t="s">
        <v>109</v>
      </c>
      <c r="BI918" t="s">
        <v>1167</v>
      </c>
      <c r="BJ918">
        <v>210</v>
      </c>
      <c r="BK918">
        <v>200</v>
      </c>
      <c r="BL918">
        <v>1779</v>
      </c>
      <c r="BM918">
        <v>200</v>
      </c>
      <c r="BN918">
        <v>1350</v>
      </c>
      <c r="BO918">
        <v>0</v>
      </c>
      <c r="BP918">
        <v>0</v>
      </c>
      <c r="BQ918">
        <v>1550</v>
      </c>
      <c r="BR918">
        <f t="shared" si="154"/>
        <v>-17</v>
      </c>
      <c r="BS918">
        <f t="shared" si="155"/>
        <v>317</v>
      </c>
    </row>
    <row r="919" spans="1:74" x14ac:dyDescent="0.25">
      <c r="A919" s="5" t="s">
        <v>1135</v>
      </c>
      <c r="B919" s="5" t="s">
        <v>61</v>
      </c>
      <c r="C919" s="7" t="s">
        <v>61</v>
      </c>
      <c r="D919" s="1" t="s">
        <v>177</v>
      </c>
      <c r="E919">
        <v>0</v>
      </c>
      <c r="F919">
        <v>0</v>
      </c>
      <c r="G919">
        <v>0</v>
      </c>
      <c r="H919">
        <v>0</v>
      </c>
      <c r="I919">
        <v>40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17</v>
      </c>
      <c r="R919">
        <v>0</v>
      </c>
      <c r="S919" s="18" t="e">
        <f t="shared" si="146"/>
        <v>#DIV/0!</v>
      </c>
      <c r="T919" s="17" t="e">
        <f t="shared" si="147"/>
        <v>#DIV/0!</v>
      </c>
      <c r="U919" s="17" t="e">
        <f t="shared" si="148"/>
        <v>#DIV/0!</v>
      </c>
      <c r="V919" s="17" t="e">
        <f t="shared" si="149"/>
        <v>#DIV/0!</v>
      </c>
      <c r="W919" s="17" t="e">
        <f t="shared" si="150"/>
        <v>#DIV/0!</v>
      </c>
      <c r="X919" s="17" t="e">
        <f t="shared" si="151"/>
        <v>#DIV/0!</v>
      </c>
      <c r="Y919" s="19" t="e">
        <f t="shared" si="152"/>
        <v>#DIV/0!</v>
      </c>
      <c r="Z919">
        <v>0</v>
      </c>
      <c r="AA919">
        <v>0</v>
      </c>
      <c r="AB919">
        <v>0</v>
      </c>
      <c r="AC919">
        <v>0</v>
      </c>
      <c r="AD919">
        <v>40</v>
      </c>
      <c r="AE919">
        <v>0</v>
      </c>
      <c r="AF919">
        <v>0</v>
      </c>
      <c r="AG919">
        <v>0</v>
      </c>
      <c r="AH919">
        <v>40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f t="shared" si="153"/>
        <v>80</v>
      </c>
      <c r="BF919">
        <v>40</v>
      </c>
      <c r="BG919">
        <v>40</v>
      </c>
      <c r="BH919" t="s">
        <v>190</v>
      </c>
      <c r="BI919" t="s">
        <v>1187</v>
      </c>
      <c r="BJ919">
        <v>0</v>
      </c>
      <c r="BK919">
        <v>40</v>
      </c>
      <c r="BL919">
        <v>40</v>
      </c>
      <c r="BM919">
        <v>40</v>
      </c>
      <c r="BN919">
        <v>0</v>
      </c>
      <c r="BO919">
        <v>0</v>
      </c>
      <c r="BP919">
        <v>0</v>
      </c>
      <c r="BQ919">
        <v>40</v>
      </c>
      <c r="BR919">
        <f t="shared" si="154"/>
        <v>-17</v>
      </c>
      <c r="BS919">
        <f t="shared" si="155"/>
        <v>17</v>
      </c>
    </row>
    <row r="920" spans="1:74" x14ac:dyDescent="0.25">
      <c r="A920" s="5" t="s">
        <v>2294</v>
      </c>
      <c r="B920" s="5" t="s">
        <v>207</v>
      </c>
      <c r="C920" s="5" t="s">
        <v>61</v>
      </c>
      <c r="D920" s="1" t="s">
        <v>69</v>
      </c>
      <c r="E920">
        <v>0</v>
      </c>
      <c r="F920">
        <v>115</v>
      </c>
      <c r="G920">
        <v>0</v>
      </c>
      <c r="H920">
        <v>0</v>
      </c>
      <c r="I920">
        <v>522</v>
      </c>
      <c r="J920">
        <v>0</v>
      </c>
      <c r="K920">
        <v>15</v>
      </c>
      <c r="L920">
        <v>50</v>
      </c>
      <c r="M920">
        <v>0</v>
      </c>
      <c r="N920">
        <v>0</v>
      </c>
      <c r="O920">
        <v>0</v>
      </c>
      <c r="P920">
        <v>1035</v>
      </c>
      <c r="Q920">
        <v>237</v>
      </c>
      <c r="R920">
        <v>115</v>
      </c>
      <c r="S920" s="18">
        <f t="shared" si="146"/>
        <v>9</v>
      </c>
      <c r="T920" s="17">
        <f t="shared" si="147"/>
        <v>0</v>
      </c>
      <c r="U920" s="17">
        <f t="shared" si="148"/>
        <v>0</v>
      </c>
      <c r="V920" s="17">
        <f t="shared" si="149"/>
        <v>0</v>
      </c>
      <c r="W920" s="17">
        <f t="shared" si="150"/>
        <v>115</v>
      </c>
      <c r="X920" s="17">
        <f t="shared" si="151"/>
        <v>122</v>
      </c>
      <c r="Y920" s="19">
        <f t="shared" si="152"/>
        <v>0</v>
      </c>
      <c r="Z920">
        <v>115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522</v>
      </c>
      <c r="AH920">
        <v>522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15</v>
      </c>
      <c r="AP920">
        <v>0</v>
      </c>
      <c r="AQ920">
        <v>15</v>
      </c>
      <c r="AR920">
        <v>15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50</v>
      </c>
      <c r="BA920">
        <v>50</v>
      </c>
      <c r="BB920">
        <v>0</v>
      </c>
      <c r="BC920">
        <v>0</v>
      </c>
      <c r="BD920">
        <v>0</v>
      </c>
      <c r="BE920">
        <f t="shared" si="153"/>
        <v>1189</v>
      </c>
      <c r="BF920">
        <v>702</v>
      </c>
      <c r="BG920">
        <v>702</v>
      </c>
      <c r="BH920" t="s">
        <v>63</v>
      </c>
      <c r="BI920" t="s">
        <v>2326</v>
      </c>
      <c r="BJ920">
        <v>0</v>
      </c>
      <c r="BK920">
        <v>587</v>
      </c>
      <c r="BL920">
        <v>702</v>
      </c>
      <c r="BM920">
        <v>0</v>
      </c>
      <c r="BN920">
        <v>0</v>
      </c>
      <c r="BO920">
        <v>0</v>
      </c>
      <c r="BP920">
        <v>1622</v>
      </c>
      <c r="BQ920">
        <v>1622</v>
      </c>
      <c r="BR920">
        <f t="shared" si="154"/>
        <v>-122</v>
      </c>
      <c r="BS920">
        <f t="shared" si="155"/>
        <v>352</v>
      </c>
      <c r="BU920">
        <f>R920*9</f>
        <v>1035</v>
      </c>
      <c r="BV920">
        <f>IF(BU920&gt;BG920, 1, 0)</f>
        <v>1</v>
      </c>
    </row>
    <row r="921" spans="1:74" x14ac:dyDescent="0.25">
      <c r="A921" s="5" t="s">
        <v>1661</v>
      </c>
      <c r="B921" s="5" t="s">
        <v>61</v>
      </c>
      <c r="C921" s="5" t="s">
        <v>359</v>
      </c>
      <c r="D921" s="1" t="s">
        <v>115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95</v>
      </c>
      <c r="L921">
        <v>125</v>
      </c>
      <c r="M921">
        <v>0</v>
      </c>
      <c r="N921">
        <v>0</v>
      </c>
      <c r="O921">
        <v>0</v>
      </c>
      <c r="P921">
        <v>0</v>
      </c>
      <c r="Q921">
        <v>17</v>
      </c>
      <c r="R921">
        <v>0</v>
      </c>
      <c r="S921" s="18" t="e">
        <f t="shared" si="146"/>
        <v>#DIV/0!</v>
      </c>
      <c r="T921" s="17" t="e">
        <f t="shared" si="147"/>
        <v>#DIV/0!</v>
      </c>
      <c r="U921" s="17" t="e">
        <f t="shared" si="148"/>
        <v>#DIV/0!</v>
      </c>
      <c r="V921" s="17" t="e">
        <f t="shared" si="149"/>
        <v>#DIV/0!</v>
      </c>
      <c r="W921" s="17" t="e">
        <f t="shared" si="150"/>
        <v>#DIV/0!</v>
      </c>
      <c r="X921" s="17" t="e">
        <f t="shared" si="151"/>
        <v>#DIV/0!</v>
      </c>
      <c r="Y921" s="19" t="e">
        <f t="shared" si="152"/>
        <v>#DIV/0!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95</v>
      </c>
      <c r="AP921">
        <v>27</v>
      </c>
      <c r="AQ921">
        <v>95</v>
      </c>
      <c r="AR921">
        <v>68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125</v>
      </c>
      <c r="BA921">
        <v>125</v>
      </c>
      <c r="BB921">
        <v>0</v>
      </c>
      <c r="BC921">
        <v>0</v>
      </c>
      <c r="BD921">
        <v>0</v>
      </c>
      <c r="BE921">
        <f t="shared" si="153"/>
        <v>535</v>
      </c>
      <c r="BF921">
        <v>220</v>
      </c>
      <c r="BG921">
        <v>220</v>
      </c>
      <c r="BH921" t="s">
        <v>190</v>
      </c>
      <c r="BI921" t="s">
        <v>1737</v>
      </c>
      <c r="BJ921">
        <v>0</v>
      </c>
      <c r="BK921">
        <v>220</v>
      </c>
      <c r="BL921">
        <v>220</v>
      </c>
      <c r="BM921">
        <v>0</v>
      </c>
      <c r="BN921">
        <v>0</v>
      </c>
      <c r="BO921">
        <v>0</v>
      </c>
      <c r="BP921">
        <v>220</v>
      </c>
      <c r="BQ921">
        <v>220</v>
      </c>
      <c r="BR921">
        <f t="shared" si="154"/>
        <v>-17</v>
      </c>
      <c r="BS921">
        <f t="shared" si="155"/>
        <v>17</v>
      </c>
    </row>
    <row r="922" spans="1:74" x14ac:dyDescent="0.25">
      <c r="A922" s="5" t="s">
        <v>1661</v>
      </c>
      <c r="B922" s="5" t="s">
        <v>207</v>
      </c>
      <c r="C922" s="5" t="s">
        <v>207</v>
      </c>
      <c r="D922" s="1" t="s">
        <v>106</v>
      </c>
      <c r="E922">
        <v>0</v>
      </c>
      <c r="F922">
        <v>182</v>
      </c>
      <c r="G922">
        <v>0</v>
      </c>
      <c r="H922">
        <v>0</v>
      </c>
      <c r="I922">
        <v>15</v>
      </c>
      <c r="J922">
        <v>580</v>
      </c>
      <c r="K922">
        <v>247</v>
      </c>
      <c r="L922">
        <v>0</v>
      </c>
      <c r="M922">
        <v>0</v>
      </c>
      <c r="N922">
        <v>0</v>
      </c>
      <c r="O922">
        <v>0</v>
      </c>
      <c r="P922">
        <v>648</v>
      </c>
      <c r="Q922">
        <v>89</v>
      </c>
      <c r="R922">
        <v>72</v>
      </c>
      <c r="S922" s="18">
        <f t="shared" si="146"/>
        <v>9</v>
      </c>
      <c r="T922" s="17">
        <f t="shared" si="147"/>
        <v>0</v>
      </c>
      <c r="U922" s="17">
        <f t="shared" si="148"/>
        <v>0</v>
      </c>
      <c r="V922" s="17">
        <f t="shared" si="149"/>
        <v>0</v>
      </c>
      <c r="W922" s="17">
        <f t="shared" si="150"/>
        <v>72</v>
      </c>
      <c r="X922" s="17">
        <f t="shared" si="151"/>
        <v>17</v>
      </c>
      <c r="Y922" s="19">
        <f t="shared" si="152"/>
        <v>0</v>
      </c>
      <c r="Z922">
        <v>182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15</v>
      </c>
      <c r="AH922">
        <v>15</v>
      </c>
      <c r="AI922">
        <v>0</v>
      </c>
      <c r="AJ922">
        <v>0</v>
      </c>
      <c r="AK922">
        <v>580</v>
      </c>
      <c r="AL922">
        <v>580</v>
      </c>
      <c r="AM922">
        <v>0</v>
      </c>
      <c r="AN922">
        <v>0</v>
      </c>
      <c r="AO922">
        <v>247</v>
      </c>
      <c r="AP922">
        <v>222</v>
      </c>
      <c r="AQ922">
        <v>247</v>
      </c>
      <c r="AR922">
        <v>25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f t="shared" si="153"/>
        <v>1931</v>
      </c>
      <c r="BF922">
        <v>1024</v>
      </c>
      <c r="BG922">
        <v>1024</v>
      </c>
      <c r="BH922" t="s">
        <v>82</v>
      </c>
      <c r="BI922" t="s">
        <v>749</v>
      </c>
      <c r="BJ922">
        <v>0</v>
      </c>
      <c r="BK922">
        <v>842</v>
      </c>
      <c r="BL922">
        <v>1024</v>
      </c>
      <c r="BM922">
        <v>0</v>
      </c>
      <c r="BN922">
        <v>0</v>
      </c>
      <c r="BO922">
        <v>0</v>
      </c>
      <c r="BP922">
        <v>1490</v>
      </c>
      <c r="BQ922">
        <v>1490</v>
      </c>
      <c r="BR922">
        <f t="shared" si="154"/>
        <v>-17</v>
      </c>
      <c r="BS922">
        <f t="shared" si="155"/>
        <v>161</v>
      </c>
    </row>
    <row r="923" spans="1:74" x14ac:dyDescent="0.25">
      <c r="A923" s="5" t="s">
        <v>1661</v>
      </c>
      <c r="B923" s="5" t="s">
        <v>359</v>
      </c>
      <c r="C923" s="5" t="s">
        <v>359</v>
      </c>
      <c r="D923" s="1" t="s">
        <v>111</v>
      </c>
      <c r="E923">
        <v>335</v>
      </c>
      <c r="F923">
        <v>0</v>
      </c>
      <c r="G923">
        <v>0</v>
      </c>
      <c r="H923">
        <v>0</v>
      </c>
      <c r="I923">
        <v>0</v>
      </c>
      <c r="J923">
        <v>760</v>
      </c>
      <c r="K923">
        <v>86</v>
      </c>
      <c r="L923">
        <v>83</v>
      </c>
      <c r="M923">
        <v>0</v>
      </c>
      <c r="N923">
        <v>0</v>
      </c>
      <c r="O923">
        <v>0</v>
      </c>
      <c r="P923">
        <v>0</v>
      </c>
      <c r="Q923">
        <v>17</v>
      </c>
      <c r="R923">
        <v>0</v>
      </c>
      <c r="S923" s="18" t="e">
        <f t="shared" si="146"/>
        <v>#DIV/0!</v>
      </c>
      <c r="T923" s="17" t="e">
        <f t="shared" si="147"/>
        <v>#DIV/0!</v>
      </c>
      <c r="U923" s="17" t="e">
        <f t="shared" si="148"/>
        <v>#DIV/0!</v>
      </c>
      <c r="V923" s="17" t="e">
        <f t="shared" si="149"/>
        <v>#DIV/0!</v>
      </c>
      <c r="W923" s="17" t="e">
        <f t="shared" si="150"/>
        <v>#DIV/0!</v>
      </c>
      <c r="X923" s="17" t="e">
        <f t="shared" si="151"/>
        <v>#DIV/0!</v>
      </c>
      <c r="Y923" s="19" t="e">
        <f t="shared" si="152"/>
        <v>#DIV/0!</v>
      </c>
      <c r="Z923">
        <v>0</v>
      </c>
      <c r="AA923">
        <v>0</v>
      </c>
      <c r="AB923">
        <v>0</v>
      </c>
      <c r="AC923">
        <v>130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760</v>
      </c>
      <c r="AL923">
        <v>760</v>
      </c>
      <c r="AM923">
        <v>0</v>
      </c>
      <c r="AN923">
        <v>0</v>
      </c>
      <c r="AO923">
        <v>86</v>
      </c>
      <c r="AP923">
        <v>67</v>
      </c>
      <c r="AQ923">
        <v>86</v>
      </c>
      <c r="AR923">
        <v>19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83</v>
      </c>
      <c r="BA923">
        <v>83</v>
      </c>
      <c r="BB923">
        <v>0</v>
      </c>
      <c r="BC923">
        <v>0</v>
      </c>
      <c r="BD923">
        <v>0</v>
      </c>
      <c r="BE923">
        <f t="shared" si="153"/>
        <v>2074</v>
      </c>
      <c r="BF923">
        <v>1394</v>
      </c>
      <c r="BG923">
        <v>1394</v>
      </c>
      <c r="BH923" t="s">
        <v>199</v>
      </c>
      <c r="BI923" t="s">
        <v>1939</v>
      </c>
      <c r="BJ923">
        <v>465</v>
      </c>
      <c r="BK923">
        <v>929</v>
      </c>
      <c r="BL923">
        <v>1394</v>
      </c>
      <c r="BM923">
        <v>0</v>
      </c>
      <c r="BN923">
        <v>0</v>
      </c>
      <c r="BO923">
        <v>0</v>
      </c>
      <c r="BP923">
        <v>929</v>
      </c>
      <c r="BQ923">
        <v>929</v>
      </c>
      <c r="BR923">
        <f t="shared" si="154"/>
        <v>-17</v>
      </c>
      <c r="BS923">
        <f t="shared" si="155"/>
        <v>17</v>
      </c>
    </row>
    <row r="924" spans="1:74" x14ac:dyDescent="0.25">
      <c r="A924" s="5" t="s">
        <v>1946</v>
      </c>
      <c r="B924" s="5" t="s">
        <v>207</v>
      </c>
      <c r="C924" s="5" t="s">
        <v>207</v>
      </c>
      <c r="D924" s="1" t="s">
        <v>149</v>
      </c>
      <c r="E924">
        <v>0</v>
      </c>
      <c r="F924">
        <v>1000</v>
      </c>
      <c r="G924">
        <v>0</v>
      </c>
      <c r="H924">
        <v>0</v>
      </c>
      <c r="I924">
        <v>150</v>
      </c>
      <c r="J924">
        <v>0</v>
      </c>
      <c r="K924">
        <v>20</v>
      </c>
      <c r="L924">
        <v>0</v>
      </c>
      <c r="M924">
        <v>252</v>
      </c>
      <c r="N924">
        <v>0</v>
      </c>
      <c r="O924">
        <v>0</v>
      </c>
      <c r="P924">
        <v>0</v>
      </c>
      <c r="Q924">
        <v>45</v>
      </c>
      <c r="R924">
        <v>28</v>
      </c>
      <c r="S924" s="18">
        <f t="shared" si="146"/>
        <v>9</v>
      </c>
      <c r="T924" s="17">
        <f t="shared" si="147"/>
        <v>28</v>
      </c>
      <c r="U924" s="17">
        <f t="shared" si="148"/>
        <v>0</v>
      </c>
      <c r="V924" s="17">
        <f t="shared" si="149"/>
        <v>0</v>
      </c>
      <c r="W924" s="17">
        <f t="shared" si="150"/>
        <v>0</v>
      </c>
      <c r="X924" s="17">
        <f t="shared" si="151"/>
        <v>17</v>
      </c>
      <c r="Y924" s="19">
        <f t="shared" si="152"/>
        <v>0</v>
      </c>
      <c r="Z924">
        <v>1000</v>
      </c>
      <c r="AA924">
        <v>0</v>
      </c>
      <c r="AB924">
        <v>0</v>
      </c>
      <c r="AC924">
        <v>0</v>
      </c>
      <c r="AD924">
        <v>150</v>
      </c>
      <c r="AE924">
        <v>0</v>
      </c>
      <c r="AF924">
        <v>0</v>
      </c>
      <c r="AG924">
        <v>0</v>
      </c>
      <c r="AH924">
        <v>150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20</v>
      </c>
      <c r="AP924">
        <v>20</v>
      </c>
      <c r="AQ924">
        <v>20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f t="shared" si="153"/>
        <v>360</v>
      </c>
      <c r="BF924">
        <v>1170</v>
      </c>
      <c r="BG924">
        <v>1170</v>
      </c>
      <c r="BH924" t="s">
        <v>190</v>
      </c>
      <c r="BI924" t="s">
        <v>2078</v>
      </c>
      <c r="BJ924">
        <v>0</v>
      </c>
      <c r="BK924">
        <v>170</v>
      </c>
      <c r="BL924">
        <v>1170</v>
      </c>
      <c r="BM924">
        <v>402</v>
      </c>
      <c r="BN924">
        <v>0</v>
      </c>
      <c r="BO924">
        <v>0</v>
      </c>
      <c r="BP924">
        <v>20</v>
      </c>
      <c r="BQ924">
        <v>422</v>
      </c>
      <c r="BR924">
        <f t="shared" si="154"/>
        <v>-17</v>
      </c>
      <c r="BS924">
        <f t="shared" si="155"/>
        <v>73</v>
      </c>
    </row>
    <row r="925" spans="1:74" x14ac:dyDescent="0.25">
      <c r="A925" s="5" t="s">
        <v>2294</v>
      </c>
      <c r="B925" s="5" t="s">
        <v>207</v>
      </c>
      <c r="C925" s="5" t="s">
        <v>61</v>
      </c>
      <c r="D925" s="1" t="s">
        <v>106</v>
      </c>
      <c r="E925">
        <v>6</v>
      </c>
      <c r="F925">
        <v>0</v>
      </c>
      <c r="G925">
        <v>0</v>
      </c>
      <c r="H925">
        <v>0</v>
      </c>
      <c r="I925">
        <v>0</v>
      </c>
      <c r="J925">
        <v>169</v>
      </c>
      <c r="K925">
        <v>133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17</v>
      </c>
      <c r="R925">
        <v>0</v>
      </c>
      <c r="S925" s="18" t="e">
        <f t="shared" si="146"/>
        <v>#DIV/0!</v>
      </c>
      <c r="T925" s="17" t="e">
        <f t="shared" si="147"/>
        <v>#DIV/0!</v>
      </c>
      <c r="U925" s="17" t="e">
        <f t="shared" si="148"/>
        <v>#DIV/0!</v>
      </c>
      <c r="V925" s="17" t="e">
        <f t="shared" si="149"/>
        <v>#DIV/0!</v>
      </c>
      <c r="W925" s="17" t="e">
        <f t="shared" si="150"/>
        <v>#DIV/0!</v>
      </c>
      <c r="X925" s="17" t="e">
        <f t="shared" si="151"/>
        <v>#DIV/0!</v>
      </c>
      <c r="Y925" s="19" t="e">
        <f t="shared" si="152"/>
        <v>#DIV/0!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169</v>
      </c>
      <c r="AL925">
        <v>169</v>
      </c>
      <c r="AM925">
        <v>0</v>
      </c>
      <c r="AN925">
        <v>0</v>
      </c>
      <c r="AO925">
        <v>133</v>
      </c>
      <c r="AP925">
        <v>133</v>
      </c>
      <c r="AQ925">
        <v>133</v>
      </c>
      <c r="AR925">
        <v>54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f t="shared" si="153"/>
        <v>791</v>
      </c>
      <c r="BF925">
        <v>755</v>
      </c>
      <c r="BG925">
        <v>755</v>
      </c>
      <c r="BH925" t="s">
        <v>82</v>
      </c>
      <c r="BI925" t="s">
        <v>2343</v>
      </c>
      <c r="BJ925">
        <v>6</v>
      </c>
      <c r="BK925">
        <v>302</v>
      </c>
      <c r="BL925">
        <v>308</v>
      </c>
      <c r="BM925">
        <v>0</v>
      </c>
      <c r="BN925">
        <v>0</v>
      </c>
      <c r="BO925">
        <v>0</v>
      </c>
      <c r="BP925">
        <v>302</v>
      </c>
      <c r="BQ925">
        <v>302</v>
      </c>
      <c r="BR925">
        <f t="shared" si="154"/>
        <v>-17</v>
      </c>
      <c r="BS925">
        <f t="shared" si="155"/>
        <v>17</v>
      </c>
    </row>
    <row r="926" spans="1:74" x14ac:dyDescent="0.25">
      <c r="A926" s="5" t="s">
        <v>61</v>
      </c>
      <c r="B926" s="5" t="s">
        <v>207</v>
      </c>
      <c r="C926" s="5" t="s">
        <v>207</v>
      </c>
      <c r="D926" s="1" t="s">
        <v>135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18</v>
      </c>
      <c r="R926">
        <v>0</v>
      </c>
      <c r="S926" s="18" t="e">
        <f t="shared" si="146"/>
        <v>#DIV/0!</v>
      </c>
      <c r="T926" s="17" t="e">
        <f t="shared" si="147"/>
        <v>#DIV/0!</v>
      </c>
      <c r="U926" s="17" t="e">
        <f t="shared" si="148"/>
        <v>#DIV/0!</v>
      </c>
      <c r="V926" s="17" t="e">
        <f t="shared" si="149"/>
        <v>#DIV/0!</v>
      </c>
      <c r="W926" s="17" t="e">
        <f t="shared" si="150"/>
        <v>#DIV/0!</v>
      </c>
      <c r="X926" s="17" t="e">
        <f t="shared" si="151"/>
        <v>#DIV/0!</v>
      </c>
      <c r="Y926" s="19" t="e">
        <f t="shared" si="152"/>
        <v>#DIV/0!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f t="shared" si="153"/>
        <v>0</v>
      </c>
      <c r="BH926" t="s">
        <v>109</v>
      </c>
      <c r="BI926" t="s">
        <v>314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f t="shared" si="154"/>
        <v>-18</v>
      </c>
      <c r="BS926">
        <f t="shared" si="155"/>
        <v>18</v>
      </c>
    </row>
    <row r="927" spans="1:74" x14ac:dyDescent="0.25">
      <c r="A927" s="5" t="s">
        <v>2090</v>
      </c>
      <c r="B927" s="5" t="s">
        <v>61</v>
      </c>
      <c r="C927" s="5" t="s">
        <v>61</v>
      </c>
      <c r="D927" s="1" t="s">
        <v>69</v>
      </c>
      <c r="E927">
        <v>0</v>
      </c>
      <c r="F927">
        <v>1255</v>
      </c>
      <c r="G927">
        <v>0</v>
      </c>
      <c r="H927">
        <v>0</v>
      </c>
      <c r="I927">
        <v>900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1008</v>
      </c>
      <c r="Q927">
        <v>112</v>
      </c>
      <c r="R927">
        <v>112</v>
      </c>
      <c r="S927" s="18">
        <f t="shared" si="146"/>
        <v>9</v>
      </c>
      <c r="T927" s="17">
        <f t="shared" si="147"/>
        <v>0</v>
      </c>
      <c r="U927" s="17">
        <f t="shared" si="148"/>
        <v>0</v>
      </c>
      <c r="V927" s="17">
        <f t="shared" si="149"/>
        <v>0</v>
      </c>
      <c r="W927" s="17">
        <f t="shared" si="150"/>
        <v>112</v>
      </c>
      <c r="X927" s="17">
        <f t="shared" si="151"/>
        <v>0</v>
      </c>
      <c r="Y927" s="19" t="e">
        <f t="shared" si="152"/>
        <v>#DIV/0!</v>
      </c>
      <c r="Z927">
        <v>1255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900</v>
      </c>
      <c r="AH927">
        <v>900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f t="shared" si="153"/>
        <v>1800</v>
      </c>
      <c r="BF927">
        <v>2155</v>
      </c>
      <c r="BG927">
        <v>2155</v>
      </c>
      <c r="BH927" t="s">
        <v>63</v>
      </c>
      <c r="BI927" t="s">
        <v>2094</v>
      </c>
      <c r="BJ927">
        <v>0</v>
      </c>
      <c r="BK927">
        <v>900</v>
      </c>
      <c r="BL927">
        <v>2155</v>
      </c>
      <c r="BM927">
        <v>0</v>
      </c>
      <c r="BN927">
        <v>0</v>
      </c>
      <c r="BO927">
        <v>0</v>
      </c>
      <c r="BP927">
        <v>1908</v>
      </c>
      <c r="BQ927">
        <v>1908</v>
      </c>
      <c r="BR927">
        <f t="shared" si="154"/>
        <v>0</v>
      </c>
      <c r="BS927">
        <f t="shared" si="155"/>
        <v>224</v>
      </c>
      <c r="BU927">
        <f>R927*9</f>
        <v>1008</v>
      </c>
      <c r="BV927">
        <f>IF(BU927&gt;BG927, 1, 0)</f>
        <v>0</v>
      </c>
    </row>
    <row r="928" spans="1:74" x14ac:dyDescent="0.25">
      <c r="A928" s="5" t="s">
        <v>61</v>
      </c>
      <c r="B928" s="5" t="s">
        <v>359</v>
      </c>
      <c r="C928" s="5" t="s">
        <v>61</v>
      </c>
      <c r="D928" s="1" t="s">
        <v>75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60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18</v>
      </c>
      <c r="R928">
        <v>0</v>
      </c>
      <c r="S928" s="18" t="e">
        <f t="shared" si="146"/>
        <v>#DIV/0!</v>
      </c>
      <c r="T928" s="17" t="e">
        <f t="shared" si="147"/>
        <v>#DIV/0!</v>
      </c>
      <c r="U928" s="17" t="e">
        <f t="shared" si="148"/>
        <v>#DIV/0!</v>
      </c>
      <c r="V928" s="17" t="e">
        <f t="shared" si="149"/>
        <v>#DIV/0!</v>
      </c>
      <c r="W928" s="17" t="e">
        <f t="shared" si="150"/>
        <v>#DIV/0!</v>
      </c>
      <c r="X928" s="17" t="e">
        <f t="shared" si="151"/>
        <v>#DIV/0!</v>
      </c>
      <c r="Y928" s="19" t="e">
        <f t="shared" si="152"/>
        <v>#DIV/0!</v>
      </c>
      <c r="Z928">
        <v>0</v>
      </c>
      <c r="AA928">
        <v>0</v>
      </c>
      <c r="AB928">
        <v>0</v>
      </c>
      <c r="AC928">
        <v>60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60</v>
      </c>
      <c r="AP928">
        <v>60</v>
      </c>
      <c r="AQ928">
        <v>60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f t="shared" si="153"/>
        <v>240</v>
      </c>
      <c r="BF928">
        <v>120</v>
      </c>
      <c r="BG928">
        <v>120</v>
      </c>
      <c r="BH928" t="s">
        <v>109</v>
      </c>
      <c r="BI928" t="s">
        <v>366</v>
      </c>
      <c r="BJ928">
        <v>60</v>
      </c>
      <c r="BK928">
        <v>60</v>
      </c>
      <c r="BL928">
        <v>120</v>
      </c>
      <c r="BM928">
        <v>0</v>
      </c>
      <c r="BN928">
        <v>0</v>
      </c>
      <c r="BO928">
        <v>0</v>
      </c>
      <c r="BP928">
        <v>60</v>
      </c>
      <c r="BQ928">
        <v>60</v>
      </c>
      <c r="BR928">
        <f t="shared" si="154"/>
        <v>-18</v>
      </c>
      <c r="BS928">
        <f t="shared" si="155"/>
        <v>18</v>
      </c>
    </row>
    <row r="929" spans="1:74" x14ac:dyDescent="0.25">
      <c r="A929" s="5" t="s">
        <v>207</v>
      </c>
      <c r="B929" s="5" t="s">
        <v>61</v>
      </c>
      <c r="C929" s="5" t="s">
        <v>359</v>
      </c>
      <c r="D929" s="1" t="s">
        <v>121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300</v>
      </c>
      <c r="K929">
        <v>450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18</v>
      </c>
      <c r="R929">
        <v>0</v>
      </c>
      <c r="S929" s="18" t="e">
        <f t="shared" si="146"/>
        <v>#DIV/0!</v>
      </c>
      <c r="T929" s="17" t="e">
        <f t="shared" si="147"/>
        <v>#DIV/0!</v>
      </c>
      <c r="U929" s="17" t="e">
        <f t="shared" si="148"/>
        <v>#DIV/0!</v>
      </c>
      <c r="V929" s="17" t="e">
        <f t="shared" si="149"/>
        <v>#DIV/0!</v>
      </c>
      <c r="W929" s="17" t="e">
        <f t="shared" si="150"/>
        <v>#DIV/0!</v>
      </c>
      <c r="X929" s="17" t="e">
        <f t="shared" si="151"/>
        <v>#DIV/0!</v>
      </c>
      <c r="Y929" s="19" t="e">
        <f t="shared" si="152"/>
        <v>#DIV/0!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300</v>
      </c>
      <c r="AJ929">
        <v>0</v>
      </c>
      <c r="AK929">
        <v>0</v>
      </c>
      <c r="AL929">
        <v>300</v>
      </c>
      <c r="AM929">
        <v>450</v>
      </c>
      <c r="AN929">
        <v>0</v>
      </c>
      <c r="AO929">
        <v>0</v>
      </c>
      <c r="AP929">
        <v>0</v>
      </c>
      <c r="AQ929">
        <v>450</v>
      </c>
      <c r="AR929">
        <v>450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f t="shared" si="153"/>
        <v>1950</v>
      </c>
      <c r="BF929">
        <v>750</v>
      </c>
      <c r="BG929">
        <v>750</v>
      </c>
      <c r="BH929" t="s">
        <v>190</v>
      </c>
      <c r="BI929" t="s">
        <v>526</v>
      </c>
      <c r="BJ929">
        <v>0</v>
      </c>
      <c r="BK929">
        <v>750</v>
      </c>
      <c r="BL929">
        <v>750</v>
      </c>
      <c r="BM929">
        <v>750</v>
      </c>
      <c r="BN929">
        <v>0</v>
      </c>
      <c r="BO929">
        <v>0</v>
      </c>
      <c r="BP929">
        <v>0</v>
      </c>
      <c r="BQ929">
        <v>750</v>
      </c>
      <c r="BR929">
        <f t="shared" si="154"/>
        <v>-18</v>
      </c>
      <c r="BS929">
        <f t="shared" si="155"/>
        <v>18</v>
      </c>
    </row>
    <row r="930" spans="1:74" x14ac:dyDescent="0.25">
      <c r="A930" s="5" t="s">
        <v>207</v>
      </c>
      <c r="B930" s="5" t="s">
        <v>61</v>
      </c>
      <c r="C930" s="5" t="s">
        <v>359</v>
      </c>
      <c r="D930" s="1" t="s">
        <v>143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700</v>
      </c>
      <c r="K930">
        <v>100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18</v>
      </c>
      <c r="R930">
        <v>0</v>
      </c>
      <c r="S930" s="18" t="e">
        <f t="shared" si="146"/>
        <v>#DIV/0!</v>
      </c>
      <c r="T930" s="17" t="e">
        <f t="shared" si="147"/>
        <v>#DIV/0!</v>
      </c>
      <c r="U930" s="17" t="e">
        <f t="shared" si="148"/>
        <v>#DIV/0!</v>
      </c>
      <c r="V930" s="17" t="e">
        <f t="shared" si="149"/>
        <v>#DIV/0!</v>
      </c>
      <c r="W930" s="17" t="e">
        <f t="shared" si="150"/>
        <v>#DIV/0!</v>
      </c>
      <c r="X930" s="17" t="e">
        <f t="shared" si="151"/>
        <v>#DIV/0!</v>
      </c>
      <c r="Y930" s="19" t="e">
        <f t="shared" si="152"/>
        <v>#DIV/0!</v>
      </c>
      <c r="Z930">
        <v>0</v>
      </c>
      <c r="AA930">
        <v>0</v>
      </c>
      <c r="AB930">
        <v>125</v>
      </c>
      <c r="AC930">
        <v>800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700</v>
      </c>
      <c r="AL930">
        <v>700</v>
      </c>
      <c r="AM930">
        <v>0</v>
      </c>
      <c r="AN930">
        <v>0</v>
      </c>
      <c r="AO930">
        <v>100</v>
      </c>
      <c r="AP930">
        <v>0</v>
      </c>
      <c r="AQ930">
        <v>100</v>
      </c>
      <c r="AR930">
        <v>100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f t="shared" si="153"/>
        <v>2500</v>
      </c>
      <c r="BF930">
        <v>1725</v>
      </c>
      <c r="BG930">
        <v>1725</v>
      </c>
      <c r="BH930" t="s">
        <v>82</v>
      </c>
      <c r="BI930" t="s">
        <v>536</v>
      </c>
      <c r="BJ930">
        <v>925</v>
      </c>
      <c r="BK930">
        <v>800</v>
      </c>
      <c r="BL930">
        <v>1725</v>
      </c>
      <c r="BM930">
        <v>0</v>
      </c>
      <c r="BN930">
        <v>0</v>
      </c>
      <c r="BO930">
        <v>0</v>
      </c>
      <c r="BP930">
        <v>800</v>
      </c>
      <c r="BQ930">
        <v>800</v>
      </c>
      <c r="BR930">
        <f t="shared" si="154"/>
        <v>-18</v>
      </c>
      <c r="BS930">
        <f t="shared" si="155"/>
        <v>18</v>
      </c>
    </row>
    <row r="931" spans="1:74" x14ac:dyDescent="0.25">
      <c r="A931" s="5" t="s">
        <v>1135</v>
      </c>
      <c r="B931" s="5" t="s">
        <v>207</v>
      </c>
      <c r="C931" s="5" t="s">
        <v>207</v>
      </c>
      <c r="D931" s="1" t="s">
        <v>111</v>
      </c>
      <c r="E931">
        <v>0</v>
      </c>
      <c r="F931">
        <v>0</v>
      </c>
      <c r="G931">
        <v>0</v>
      </c>
      <c r="H931">
        <v>0</v>
      </c>
      <c r="I931">
        <v>52</v>
      </c>
      <c r="J931">
        <v>280</v>
      </c>
      <c r="K931">
        <v>76</v>
      </c>
      <c r="L931">
        <v>150</v>
      </c>
      <c r="M931">
        <v>0</v>
      </c>
      <c r="N931">
        <v>0</v>
      </c>
      <c r="O931">
        <v>0</v>
      </c>
      <c r="P931">
        <v>0</v>
      </c>
      <c r="Q931">
        <v>18</v>
      </c>
      <c r="R931">
        <v>0</v>
      </c>
      <c r="S931" s="18" t="e">
        <f t="shared" si="146"/>
        <v>#DIV/0!</v>
      </c>
      <c r="T931" s="17" t="e">
        <f t="shared" si="147"/>
        <v>#DIV/0!</v>
      </c>
      <c r="U931" s="17" t="e">
        <f t="shared" si="148"/>
        <v>#DIV/0!</v>
      </c>
      <c r="V931" s="17" t="e">
        <f t="shared" si="149"/>
        <v>#DIV/0!</v>
      </c>
      <c r="W931" s="17" t="e">
        <f t="shared" si="150"/>
        <v>#DIV/0!</v>
      </c>
      <c r="X931" s="17" t="e">
        <f t="shared" si="151"/>
        <v>#DIV/0!</v>
      </c>
      <c r="Y931" s="19" t="e">
        <f t="shared" si="152"/>
        <v>#DIV/0!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52</v>
      </c>
      <c r="AH931">
        <v>52</v>
      </c>
      <c r="AI931">
        <v>0</v>
      </c>
      <c r="AJ931">
        <v>0</v>
      </c>
      <c r="AK931">
        <v>280</v>
      </c>
      <c r="AL931">
        <v>280</v>
      </c>
      <c r="AM931">
        <v>0</v>
      </c>
      <c r="AN931">
        <v>0</v>
      </c>
      <c r="AO931">
        <v>76</v>
      </c>
      <c r="AP931">
        <v>44</v>
      </c>
      <c r="AQ931">
        <v>76</v>
      </c>
      <c r="AR931">
        <v>32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150</v>
      </c>
      <c r="BA931">
        <v>150</v>
      </c>
      <c r="BB931">
        <v>0</v>
      </c>
      <c r="BC931">
        <v>0</v>
      </c>
      <c r="BD931">
        <v>0</v>
      </c>
      <c r="BE931">
        <f t="shared" si="153"/>
        <v>1192</v>
      </c>
      <c r="BF931">
        <v>558</v>
      </c>
      <c r="BG931">
        <v>558</v>
      </c>
      <c r="BH931" t="s">
        <v>199</v>
      </c>
      <c r="BI931" t="s">
        <v>1278</v>
      </c>
      <c r="BJ931">
        <v>0</v>
      </c>
      <c r="BK931">
        <v>558</v>
      </c>
      <c r="BL931">
        <v>558</v>
      </c>
      <c r="BM931">
        <v>0</v>
      </c>
      <c r="BN931">
        <v>0</v>
      </c>
      <c r="BO931">
        <v>0</v>
      </c>
      <c r="BP931">
        <v>558</v>
      </c>
      <c r="BQ931">
        <v>558</v>
      </c>
      <c r="BR931">
        <f t="shared" si="154"/>
        <v>-18</v>
      </c>
      <c r="BS931">
        <f t="shared" si="155"/>
        <v>18</v>
      </c>
    </row>
    <row r="932" spans="1:74" x14ac:dyDescent="0.25">
      <c r="A932" s="5" t="s">
        <v>1135</v>
      </c>
      <c r="B932" s="5" t="s">
        <v>207</v>
      </c>
      <c r="C932" s="5" t="s">
        <v>359</v>
      </c>
      <c r="D932" s="1" t="s">
        <v>102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500</v>
      </c>
      <c r="K932">
        <v>114</v>
      </c>
      <c r="L932">
        <v>95</v>
      </c>
      <c r="M932">
        <v>0</v>
      </c>
      <c r="N932">
        <v>0</v>
      </c>
      <c r="O932">
        <v>0</v>
      </c>
      <c r="P932">
        <v>0</v>
      </c>
      <c r="Q932">
        <v>18</v>
      </c>
      <c r="R932">
        <v>0</v>
      </c>
      <c r="S932" s="18" t="e">
        <f t="shared" si="146"/>
        <v>#DIV/0!</v>
      </c>
      <c r="T932" s="17" t="e">
        <f t="shared" si="147"/>
        <v>#DIV/0!</v>
      </c>
      <c r="U932" s="17" t="e">
        <f t="shared" si="148"/>
        <v>#DIV/0!</v>
      </c>
      <c r="V932" s="17" t="e">
        <f t="shared" si="149"/>
        <v>#DIV/0!</v>
      </c>
      <c r="W932" s="17" t="e">
        <f t="shared" si="150"/>
        <v>#DIV/0!</v>
      </c>
      <c r="X932" s="17" t="e">
        <f t="shared" si="151"/>
        <v>#DIV/0!</v>
      </c>
      <c r="Y932" s="19" t="e">
        <f t="shared" si="152"/>
        <v>#DIV/0!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500</v>
      </c>
      <c r="AL932">
        <v>500</v>
      </c>
      <c r="AM932">
        <v>0</v>
      </c>
      <c r="AN932">
        <v>0</v>
      </c>
      <c r="AO932">
        <v>114</v>
      </c>
      <c r="AP932">
        <v>0</v>
      </c>
      <c r="AQ932">
        <v>114</v>
      </c>
      <c r="AR932">
        <v>114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95</v>
      </c>
      <c r="BA932">
        <v>95</v>
      </c>
      <c r="BB932">
        <v>0</v>
      </c>
      <c r="BC932">
        <v>0</v>
      </c>
      <c r="BD932">
        <v>0</v>
      </c>
      <c r="BE932">
        <f t="shared" si="153"/>
        <v>1532</v>
      </c>
      <c r="BF932">
        <v>709</v>
      </c>
      <c r="BG932">
        <v>709</v>
      </c>
      <c r="BH932" t="s">
        <v>199</v>
      </c>
      <c r="BI932" t="s">
        <v>1302</v>
      </c>
      <c r="BJ932">
        <v>0</v>
      </c>
      <c r="BK932">
        <v>709</v>
      </c>
      <c r="BL932">
        <v>709</v>
      </c>
      <c r="BM932">
        <v>0</v>
      </c>
      <c r="BN932">
        <v>0</v>
      </c>
      <c r="BO932">
        <v>0</v>
      </c>
      <c r="BP932">
        <v>709</v>
      </c>
      <c r="BQ932">
        <v>709</v>
      </c>
      <c r="BR932">
        <f t="shared" si="154"/>
        <v>-18</v>
      </c>
      <c r="BS932">
        <f t="shared" si="155"/>
        <v>18</v>
      </c>
    </row>
    <row r="933" spans="1:74" x14ac:dyDescent="0.25">
      <c r="A933" s="5" t="s">
        <v>1451</v>
      </c>
      <c r="B933" s="5" t="s">
        <v>61</v>
      </c>
      <c r="C933" s="5" t="s">
        <v>627</v>
      </c>
      <c r="D933" s="1" t="s">
        <v>100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630</v>
      </c>
      <c r="K933">
        <v>5</v>
      </c>
      <c r="L933">
        <v>120</v>
      </c>
      <c r="M933">
        <v>0</v>
      </c>
      <c r="N933">
        <v>0</v>
      </c>
      <c r="O933">
        <v>0</v>
      </c>
      <c r="P933">
        <v>0</v>
      </c>
      <c r="Q933">
        <v>18</v>
      </c>
      <c r="R933">
        <v>0</v>
      </c>
      <c r="S933" s="18" t="e">
        <f t="shared" si="146"/>
        <v>#DIV/0!</v>
      </c>
      <c r="T933" s="17" t="e">
        <f t="shared" si="147"/>
        <v>#DIV/0!</v>
      </c>
      <c r="U933" s="17" t="e">
        <f t="shared" si="148"/>
        <v>#DIV/0!</v>
      </c>
      <c r="V933" s="17" t="e">
        <f t="shared" si="149"/>
        <v>#DIV/0!</v>
      </c>
      <c r="W933" s="17" t="e">
        <f t="shared" si="150"/>
        <v>#DIV/0!</v>
      </c>
      <c r="X933" s="17" t="e">
        <f t="shared" si="151"/>
        <v>#DIV/0!</v>
      </c>
      <c r="Y933" s="19" t="e">
        <f t="shared" si="152"/>
        <v>#DIV/0!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630</v>
      </c>
      <c r="AL933">
        <v>630</v>
      </c>
      <c r="AM933">
        <v>0</v>
      </c>
      <c r="AN933">
        <v>0</v>
      </c>
      <c r="AO933">
        <v>5</v>
      </c>
      <c r="AP933">
        <v>5</v>
      </c>
      <c r="AQ933">
        <v>5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120</v>
      </c>
      <c r="BA933">
        <v>120</v>
      </c>
      <c r="BB933">
        <v>0</v>
      </c>
      <c r="BC933">
        <v>0</v>
      </c>
      <c r="BD933">
        <v>0</v>
      </c>
      <c r="BE933">
        <f t="shared" si="153"/>
        <v>1515</v>
      </c>
      <c r="BF933">
        <v>755</v>
      </c>
      <c r="BG933">
        <v>755</v>
      </c>
      <c r="BH933" t="s">
        <v>199</v>
      </c>
      <c r="BI933" t="s">
        <v>1526</v>
      </c>
      <c r="BJ933">
        <v>0</v>
      </c>
      <c r="BK933">
        <v>755</v>
      </c>
      <c r="BL933">
        <v>755</v>
      </c>
      <c r="BM933">
        <v>0</v>
      </c>
      <c r="BN933">
        <v>0</v>
      </c>
      <c r="BO933">
        <v>0</v>
      </c>
      <c r="BP933">
        <v>755</v>
      </c>
      <c r="BQ933">
        <v>755</v>
      </c>
      <c r="BR933">
        <f t="shared" si="154"/>
        <v>-18</v>
      </c>
      <c r="BS933">
        <f t="shared" si="155"/>
        <v>18</v>
      </c>
    </row>
    <row r="934" spans="1:74" x14ac:dyDescent="0.25">
      <c r="A934" s="5" t="s">
        <v>1661</v>
      </c>
      <c r="B934" s="5" t="s">
        <v>61</v>
      </c>
      <c r="C934" s="5" t="s">
        <v>359</v>
      </c>
      <c r="D934" s="1" t="s">
        <v>98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250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18</v>
      </c>
      <c r="R934">
        <v>0</v>
      </c>
      <c r="S934" s="18" t="e">
        <f t="shared" si="146"/>
        <v>#DIV/0!</v>
      </c>
      <c r="T934" s="17" t="e">
        <f t="shared" si="147"/>
        <v>#DIV/0!</v>
      </c>
      <c r="U934" s="17" t="e">
        <f t="shared" si="148"/>
        <v>#DIV/0!</v>
      </c>
      <c r="V934" s="17" t="e">
        <f t="shared" si="149"/>
        <v>#DIV/0!</v>
      </c>
      <c r="W934" s="17" t="e">
        <f t="shared" si="150"/>
        <v>#DIV/0!</v>
      </c>
      <c r="X934" s="17" t="e">
        <f t="shared" si="151"/>
        <v>#DIV/0!</v>
      </c>
      <c r="Y934" s="19" t="e">
        <f t="shared" si="152"/>
        <v>#DIV/0!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250</v>
      </c>
      <c r="AL934">
        <v>250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f t="shared" si="153"/>
        <v>500</v>
      </c>
      <c r="BF934">
        <v>250</v>
      </c>
      <c r="BG934">
        <v>250</v>
      </c>
      <c r="BH934" t="s">
        <v>190</v>
      </c>
      <c r="BI934" t="s">
        <v>1729</v>
      </c>
      <c r="BJ934">
        <v>0</v>
      </c>
      <c r="BK934">
        <v>250</v>
      </c>
      <c r="BL934">
        <v>250</v>
      </c>
      <c r="BM934">
        <v>0</v>
      </c>
      <c r="BN934">
        <v>0</v>
      </c>
      <c r="BO934">
        <v>0</v>
      </c>
      <c r="BP934">
        <v>250</v>
      </c>
      <c r="BQ934">
        <v>250</v>
      </c>
      <c r="BR934">
        <f t="shared" si="154"/>
        <v>-18</v>
      </c>
      <c r="BS934">
        <f t="shared" si="155"/>
        <v>18</v>
      </c>
    </row>
    <row r="935" spans="1:74" x14ac:dyDescent="0.25">
      <c r="A935" s="5" t="s">
        <v>1661</v>
      </c>
      <c r="B935" s="5" t="s">
        <v>61</v>
      </c>
      <c r="C935" s="5" t="s">
        <v>359</v>
      </c>
      <c r="D935" s="1" t="s">
        <v>104</v>
      </c>
      <c r="E935">
        <v>0</v>
      </c>
      <c r="F935">
        <v>1908</v>
      </c>
      <c r="G935">
        <v>0</v>
      </c>
      <c r="H935">
        <v>0</v>
      </c>
      <c r="I935">
        <v>163</v>
      </c>
      <c r="J935">
        <v>2412</v>
      </c>
      <c r="K935">
        <v>51</v>
      </c>
      <c r="L935">
        <v>28</v>
      </c>
      <c r="M935">
        <v>1710</v>
      </c>
      <c r="N935">
        <v>0</v>
      </c>
      <c r="O935">
        <v>0</v>
      </c>
      <c r="P935">
        <v>0</v>
      </c>
      <c r="Q935">
        <v>208</v>
      </c>
      <c r="R935">
        <v>190</v>
      </c>
      <c r="S935" s="18">
        <f t="shared" si="146"/>
        <v>9</v>
      </c>
      <c r="T935" s="17">
        <f t="shared" si="147"/>
        <v>190</v>
      </c>
      <c r="U935" s="17">
        <f t="shared" si="148"/>
        <v>0</v>
      </c>
      <c r="V935" s="17">
        <f t="shared" si="149"/>
        <v>0</v>
      </c>
      <c r="W935" s="17">
        <f t="shared" si="150"/>
        <v>0</v>
      </c>
      <c r="X935" s="17">
        <f t="shared" si="151"/>
        <v>18</v>
      </c>
      <c r="Y935" s="19">
        <f t="shared" si="152"/>
        <v>0</v>
      </c>
      <c r="Z935">
        <v>1908</v>
      </c>
      <c r="AA935">
        <v>0</v>
      </c>
      <c r="AB935">
        <v>0</v>
      </c>
      <c r="AC935">
        <v>0</v>
      </c>
      <c r="AD935">
        <v>0</v>
      </c>
      <c r="AE935">
        <v>163</v>
      </c>
      <c r="AF935">
        <v>0</v>
      </c>
      <c r="AG935">
        <v>0</v>
      </c>
      <c r="AH935">
        <v>163</v>
      </c>
      <c r="AI935">
        <v>0</v>
      </c>
      <c r="AJ935">
        <v>2412</v>
      </c>
      <c r="AK935">
        <v>0</v>
      </c>
      <c r="AL935">
        <v>2412</v>
      </c>
      <c r="AM935">
        <v>0</v>
      </c>
      <c r="AN935">
        <v>51</v>
      </c>
      <c r="AO935">
        <v>0</v>
      </c>
      <c r="AP935">
        <v>12</v>
      </c>
      <c r="AQ935">
        <v>51</v>
      </c>
      <c r="AR935">
        <v>39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28</v>
      </c>
      <c r="AZ935">
        <v>0</v>
      </c>
      <c r="BA935">
        <v>28</v>
      </c>
      <c r="BB935">
        <v>0</v>
      </c>
      <c r="BC935">
        <v>0</v>
      </c>
      <c r="BD935">
        <v>0</v>
      </c>
      <c r="BE935">
        <f t="shared" si="153"/>
        <v>5359</v>
      </c>
      <c r="BF935">
        <v>4562</v>
      </c>
      <c r="BG935">
        <v>4562</v>
      </c>
      <c r="BH935" t="s">
        <v>190</v>
      </c>
      <c r="BI935" t="s">
        <v>1732</v>
      </c>
      <c r="BJ935">
        <v>0</v>
      </c>
      <c r="BK935">
        <v>2654</v>
      </c>
      <c r="BL935">
        <v>4562</v>
      </c>
      <c r="BM935">
        <v>1710</v>
      </c>
      <c r="BN935">
        <v>2654</v>
      </c>
      <c r="BO935">
        <v>0</v>
      </c>
      <c r="BP935">
        <v>0</v>
      </c>
      <c r="BQ935">
        <v>4364</v>
      </c>
      <c r="BR935">
        <f t="shared" si="154"/>
        <v>-18</v>
      </c>
      <c r="BS935">
        <f t="shared" si="155"/>
        <v>398</v>
      </c>
    </row>
    <row r="936" spans="1:74" x14ac:dyDescent="0.25">
      <c r="A936" s="5" t="s">
        <v>1946</v>
      </c>
      <c r="B936" s="5" t="s">
        <v>61</v>
      </c>
      <c r="C936" s="5" t="s">
        <v>61</v>
      </c>
      <c r="D936" s="1" t="s">
        <v>151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250</v>
      </c>
      <c r="M936">
        <v>0</v>
      </c>
      <c r="N936">
        <v>0</v>
      </c>
      <c r="O936">
        <v>0</v>
      </c>
      <c r="P936">
        <v>0</v>
      </c>
      <c r="Q936">
        <v>18</v>
      </c>
      <c r="R936">
        <v>0</v>
      </c>
      <c r="S936" s="18" t="e">
        <f t="shared" si="146"/>
        <v>#DIV/0!</v>
      </c>
      <c r="T936" s="17" t="e">
        <f t="shared" si="147"/>
        <v>#DIV/0!</v>
      </c>
      <c r="U936" s="17" t="e">
        <f t="shared" si="148"/>
        <v>#DIV/0!</v>
      </c>
      <c r="V936" s="17" t="e">
        <f t="shared" si="149"/>
        <v>#DIV/0!</v>
      </c>
      <c r="W936" s="17" t="e">
        <f t="shared" si="150"/>
        <v>#DIV/0!</v>
      </c>
      <c r="X936" s="17" t="e">
        <f t="shared" si="151"/>
        <v>#DIV/0!</v>
      </c>
      <c r="Y936" s="19" t="e">
        <f t="shared" si="152"/>
        <v>#DIV/0!</v>
      </c>
      <c r="Z936">
        <v>0</v>
      </c>
      <c r="AA936">
        <v>0</v>
      </c>
      <c r="AB936">
        <v>0</v>
      </c>
      <c r="AC936">
        <v>320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250</v>
      </c>
      <c r="BA936">
        <v>250</v>
      </c>
      <c r="BB936">
        <v>0</v>
      </c>
      <c r="BC936">
        <v>0</v>
      </c>
      <c r="BD936">
        <v>0</v>
      </c>
      <c r="BE936">
        <f t="shared" si="153"/>
        <v>820</v>
      </c>
      <c r="BF936">
        <v>570</v>
      </c>
      <c r="BG936">
        <v>570</v>
      </c>
      <c r="BH936" t="s">
        <v>190</v>
      </c>
      <c r="BI936" t="s">
        <v>1988</v>
      </c>
      <c r="BJ936">
        <v>320</v>
      </c>
      <c r="BK936">
        <v>250</v>
      </c>
      <c r="BL936">
        <v>570</v>
      </c>
      <c r="BM936">
        <v>0</v>
      </c>
      <c r="BN936">
        <v>0</v>
      </c>
      <c r="BO936">
        <v>0</v>
      </c>
      <c r="BP936">
        <v>250</v>
      </c>
      <c r="BQ936">
        <v>250</v>
      </c>
      <c r="BR936">
        <f t="shared" si="154"/>
        <v>-18</v>
      </c>
      <c r="BS936">
        <f t="shared" si="155"/>
        <v>18</v>
      </c>
    </row>
    <row r="937" spans="1:74" x14ac:dyDescent="0.25">
      <c r="A937" s="5" t="s">
        <v>207</v>
      </c>
      <c r="B937" s="5" t="s">
        <v>61</v>
      </c>
      <c r="C937" s="5" t="s">
        <v>61</v>
      </c>
      <c r="D937" s="1" t="s">
        <v>131</v>
      </c>
      <c r="E937">
        <v>0</v>
      </c>
      <c r="F937">
        <v>0</v>
      </c>
      <c r="G937">
        <v>0</v>
      </c>
      <c r="H937">
        <v>0</v>
      </c>
      <c r="I937">
        <v>130</v>
      </c>
      <c r="J937">
        <v>638</v>
      </c>
      <c r="K937">
        <v>150</v>
      </c>
      <c r="L937">
        <v>20</v>
      </c>
      <c r="M937">
        <v>0</v>
      </c>
      <c r="N937">
        <v>0</v>
      </c>
      <c r="O937">
        <v>0</v>
      </c>
      <c r="P937">
        <v>0</v>
      </c>
      <c r="Q937">
        <v>19</v>
      </c>
      <c r="R937">
        <v>0</v>
      </c>
      <c r="S937" s="18" t="e">
        <f t="shared" si="146"/>
        <v>#DIV/0!</v>
      </c>
      <c r="T937" s="17" t="e">
        <f t="shared" si="147"/>
        <v>#DIV/0!</v>
      </c>
      <c r="U937" s="17" t="e">
        <f t="shared" si="148"/>
        <v>#DIV/0!</v>
      </c>
      <c r="V937" s="17" t="e">
        <f t="shared" si="149"/>
        <v>#DIV/0!</v>
      </c>
      <c r="W937" s="17" t="e">
        <f t="shared" si="150"/>
        <v>#DIV/0!</v>
      </c>
      <c r="X937" s="17" t="e">
        <f t="shared" si="151"/>
        <v>#DIV/0!</v>
      </c>
      <c r="Y937" s="19" t="e">
        <f t="shared" si="152"/>
        <v>#DIV/0!</v>
      </c>
      <c r="Z937">
        <v>0</v>
      </c>
      <c r="AA937">
        <v>5</v>
      </c>
      <c r="AB937">
        <v>230</v>
      </c>
      <c r="AC937">
        <v>850</v>
      </c>
      <c r="AD937">
        <v>0</v>
      </c>
      <c r="AE937">
        <v>0</v>
      </c>
      <c r="AF937">
        <v>0</v>
      </c>
      <c r="AG937">
        <v>130</v>
      </c>
      <c r="AH937">
        <v>130</v>
      </c>
      <c r="AI937">
        <v>0</v>
      </c>
      <c r="AJ937">
        <v>0</v>
      </c>
      <c r="AK937">
        <v>638</v>
      </c>
      <c r="AL937">
        <v>638</v>
      </c>
      <c r="AM937">
        <v>0</v>
      </c>
      <c r="AN937">
        <v>0</v>
      </c>
      <c r="AO937">
        <v>150</v>
      </c>
      <c r="AP937">
        <v>0</v>
      </c>
      <c r="AQ937">
        <v>150</v>
      </c>
      <c r="AR937">
        <v>150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20</v>
      </c>
      <c r="BA937">
        <v>20</v>
      </c>
      <c r="BB937">
        <v>0</v>
      </c>
      <c r="BC937">
        <v>0</v>
      </c>
      <c r="BD937">
        <v>0</v>
      </c>
      <c r="BE937">
        <f t="shared" si="153"/>
        <v>2876</v>
      </c>
      <c r="BF937">
        <v>2023</v>
      </c>
      <c r="BG937">
        <v>2023</v>
      </c>
      <c r="BH937" t="s">
        <v>82</v>
      </c>
      <c r="BI937" t="s">
        <v>459</v>
      </c>
      <c r="BJ937">
        <v>1085</v>
      </c>
      <c r="BK937">
        <v>938</v>
      </c>
      <c r="BL937">
        <v>2023</v>
      </c>
      <c r="BM937">
        <v>0</v>
      </c>
      <c r="BN937">
        <v>0</v>
      </c>
      <c r="BO937">
        <v>0</v>
      </c>
      <c r="BP937">
        <v>938</v>
      </c>
      <c r="BQ937">
        <v>938</v>
      </c>
      <c r="BR937">
        <f t="shared" si="154"/>
        <v>-19</v>
      </c>
      <c r="BS937">
        <f t="shared" si="155"/>
        <v>19</v>
      </c>
    </row>
    <row r="938" spans="1:74" x14ac:dyDescent="0.25">
      <c r="A938" s="5" t="s">
        <v>875</v>
      </c>
      <c r="B938" s="5" t="s">
        <v>207</v>
      </c>
      <c r="C938" s="5" t="s">
        <v>61</v>
      </c>
      <c r="D938" s="1" t="s">
        <v>119</v>
      </c>
      <c r="E938">
        <v>0</v>
      </c>
      <c r="F938">
        <v>3</v>
      </c>
      <c r="G938">
        <v>0</v>
      </c>
      <c r="H938">
        <v>0</v>
      </c>
      <c r="I938">
        <v>25</v>
      </c>
      <c r="J938">
        <v>0</v>
      </c>
      <c r="K938">
        <v>120</v>
      </c>
      <c r="L938">
        <v>0</v>
      </c>
      <c r="M938">
        <v>9</v>
      </c>
      <c r="N938">
        <v>0</v>
      </c>
      <c r="O938">
        <v>0</v>
      </c>
      <c r="P938">
        <v>0</v>
      </c>
      <c r="Q938">
        <v>20</v>
      </c>
      <c r="R938">
        <v>1</v>
      </c>
      <c r="S938" s="18">
        <f t="shared" si="146"/>
        <v>9</v>
      </c>
      <c r="T938" s="17">
        <f t="shared" si="147"/>
        <v>1</v>
      </c>
      <c r="U938" s="17">
        <f t="shared" si="148"/>
        <v>0</v>
      </c>
      <c r="V938" s="17">
        <f t="shared" si="149"/>
        <v>0</v>
      </c>
      <c r="W938" s="17">
        <f t="shared" si="150"/>
        <v>0</v>
      </c>
      <c r="X938" s="17">
        <f t="shared" si="151"/>
        <v>19</v>
      </c>
      <c r="Y938" s="19">
        <f t="shared" si="152"/>
        <v>0</v>
      </c>
      <c r="Z938">
        <v>3</v>
      </c>
      <c r="AA938">
        <v>0</v>
      </c>
      <c r="AB938">
        <v>0</v>
      </c>
      <c r="AC938">
        <v>200</v>
      </c>
      <c r="AD938">
        <v>25</v>
      </c>
      <c r="AE938">
        <v>0</v>
      </c>
      <c r="AF938">
        <v>0</v>
      </c>
      <c r="AG938">
        <v>0</v>
      </c>
      <c r="AH938">
        <v>25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120</v>
      </c>
      <c r="AP938">
        <v>0</v>
      </c>
      <c r="AQ938">
        <v>120</v>
      </c>
      <c r="AR938">
        <v>120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f t="shared" si="153"/>
        <v>610</v>
      </c>
      <c r="BF938">
        <v>348</v>
      </c>
      <c r="BG938">
        <v>348</v>
      </c>
      <c r="BH938" t="s">
        <v>190</v>
      </c>
      <c r="BI938" t="s">
        <v>992</v>
      </c>
      <c r="BJ938">
        <v>200</v>
      </c>
      <c r="BK938">
        <v>145</v>
      </c>
      <c r="BL938">
        <v>348</v>
      </c>
      <c r="BM938">
        <v>34</v>
      </c>
      <c r="BN938">
        <v>0</v>
      </c>
      <c r="BO938">
        <v>0</v>
      </c>
      <c r="BP938">
        <v>120</v>
      </c>
      <c r="BQ938">
        <v>154</v>
      </c>
      <c r="BR938">
        <f t="shared" si="154"/>
        <v>-19</v>
      </c>
      <c r="BS938">
        <f t="shared" si="155"/>
        <v>21</v>
      </c>
    </row>
    <row r="939" spans="1:74" x14ac:dyDescent="0.25">
      <c r="A939" s="5" t="s">
        <v>1337</v>
      </c>
      <c r="B939" s="5" t="s">
        <v>61</v>
      </c>
      <c r="C939" s="5" t="s">
        <v>61</v>
      </c>
      <c r="D939" s="1" t="s">
        <v>125</v>
      </c>
      <c r="E939">
        <v>0</v>
      </c>
      <c r="F939">
        <v>3</v>
      </c>
      <c r="G939">
        <v>0</v>
      </c>
      <c r="H939">
        <v>0</v>
      </c>
      <c r="I939">
        <v>81</v>
      </c>
      <c r="J939">
        <v>175</v>
      </c>
      <c r="K939">
        <v>10</v>
      </c>
      <c r="L939">
        <v>0</v>
      </c>
      <c r="M939">
        <v>0</v>
      </c>
      <c r="N939">
        <v>0</v>
      </c>
      <c r="O939">
        <v>0</v>
      </c>
      <c r="P939">
        <v>9</v>
      </c>
      <c r="Q939">
        <v>20</v>
      </c>
      <c r="R939">
        <v>1</v>
      </c>
      <c r="S939" s="18">
        <f t="shared" si="146"/>
        <v>9</v>
      </c>
      <c r="T939" s="17">
        <f t="shared" si="147"/>
        <v>0</v>
      </c>
      <c r="U939" s="17">
        <f t="shared" si="148"/>
        <v>0</v>
      </c>
      <c r="V939" s="17">
        <f t="shared" si="149"/>
        <v>0</v>
      </c>
      <c r="W939" s="17">
        <f t="shared" si="150"/>
        <v>1</v>
      </c>
      <c r="X939" s="17">
        <f t="shared" si="151"/>
        <v>19</v>
      </c>
      <c r="Y939" s="19">
        <f t="shared" si="152"/>
        <v>0</v>
      </c>
      <c r="Z939">
        <v>3</v>
      </c>
      <c r="AA939">
        <v>0</v>
      </c>
      <c r="AB939">
        <v>0</v>
      </c>
      <c r="AC939">
        <v>200</v>
      </c>
      <c r="AD939">
        <v>0</v>
      </c>
      <c r="AE939">
        <v>0</v>
      </c>
      <c r="AF939">
        <v>0</v>
      </c>
      <c r="AG939">
        <v>81</v>
      </c>
      <c r="AH939">
        <v>81</v>
      </c>
      <c r="AI939">
        <v>0</v>
      </c>
      <c r="AJ939">
        <v>0</v>
      </c>
      <c r="AK939">
        <v>175</v>
      </c>
      <c r="AL939">
        <v>175</v>
      </c>
      <c r="AM939">
        <v>0</v>
      </c>
      <c r="AN939">
        <v>0</v>
      </c>
      <c r="AO939">
        <v>10</v>
      </c>
      <c r="AP939">
        <v>0</v>
      </c>
      <c r="AQ939">
        <v>10</v>
      </c>
      <c r="AR939">
        <v>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f t="shared" si="153"/>
        <v>742</v>
      </c>
      <c r="BF939">
        <v>469</v>
      </c>
      <c r="BG939">
        <v>469</v>
      </c>
      <c r="BH939" t="s">
        <v>199</v>
      </c>
      <c r="BI939" t="s">
        <v>1365</v>
      </c>
      <c r="BJ939">
        <v>200</v>
      </c>
      <c r="BK939">
        <v>266</v>
      </c>
      <c r="BL939">
        <v>469</v>
      </c>
      <c r="BM939">
        <v>0</v>
      </c>
      <c r="BN939">
        <v>0</v>
      </c>
      <c r="BO939">
        <v>0</v>
      </c>
      <c r="BP939">
        <v>275</v>
      </c>
      <c r="BQ939">
        <v>275</v>
      </c>
      <c r="BR939">
        <f t="shared" si="154"/>
        <v>-19</v>
      </c>
      <c r="BS939">
        <f t="shared" si="155"/>
        <v>21</v>
      </c>
    </row>
    <row r="940" spans="1:74" x14ac:dyDescent="0.25">
      <c r="A940" s="5" t="s">
        <v>207</v>
      </c>
      <c r="B940" s="5" t="s">
        <v>627</v>
      </c>
      <c r="C940" s="5" t="s">
        <v>207</v>
      </c>
      <c r="D940" s="1" t="s">
        <v>71</v>
      </c>
      <c r="E940">
        <v>0</v>
      </c>
      <c r="F940">
        <v>111</v>
      </c>
      <c r="G940">
        <v>0</v>
      </c>
      <c r="H940">
        <v>0</v>
      </c>
      <c r="I940">
        <v>0</v>
      </c>
      <c r="J940">
        <v>0</v>
      </c>
      <c r="K940">
        <v>50</v>
      </c>
      <c r="L940">
        <v>50</v>
      </c>
      <c r="M940">
        <v>0</v>
      </c>
      <c r="N940">
        <v>0</v>
      </c>
      <c r="O940">
        <v>0</v>
      </c>
      <c r="P940">
        <v>999</v>
      </c>
      <c r="Q940">
        <v>111</v>
      </c>
      <c r="R940">
        <v>111</v>
      </c>
      <c r="S940" s="18">
        <f t="shared" si="146"/>
        <v>9</v>
      </c>
      <c r="T940" s="17">
        <f t="shared" si="147"/>
        <v>0</v>
      </c>
      <c r="U940" s="17">
        <f t="shared" si="148"/>
        <v>0</v>
      </c>
      <c r="V940" s="17">
        <f t="shared" si="149"/>
        <v>0</v>
      </c>
      <c r="W940" s="17">
        <f t="shared" si="150"/>
        <v>111</v>
      </c>
      <c r="X940" s="17">
        <f t="shared" si="151"/>
        <v>0</v>
      </c>
      <c r="Y940" s="19" t="e">
        <f t="shared" si="152"/>
        <v>#DIV/0!</v>
      </c>
      <c r="Z940">
        <v>111</v>
      </c>
      <c r="AA940">
        <v>0</v>
      </c>
      <c r="AB940">
        <v>0</v>
      </c>
      <c r="AC940">
        <v>870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50</v>
      </c>
      <c r="AP940">
        <v>50</v>
      </c>
      <c r="AQ940">
        <v>50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50</v>
      </c>
      <c r="BA940">
        <v>50</v>
      </c>
      <c r="BB940">
        <v>0</v>
      </c>
      <c r="BC940">
        <v>0</v>
      </c>
      <c r="BD940">
        <v>0</v>
      </c>
      <c r="BE940">
        <f t="shared" si="153"/>
        <v>1120</v>
      </c>
      <c r="BF940">
        <v>1081</v>
      </c>
      <c r="BG940">
        <v>1081</v>
      </c>
      <c r="BH940" t="s">
        <v>63</v>
      </c>
      <c r="BI940" t="s">
        <v>663</v>
      </c>
      <c r="BJ940">
        <v>870</v>
      </c>
      <c r="BK940">
        <v>100</v>
      </c>
      <c r="BL940">
        <v>1081</v>
      </c>
      <c r="BM940">
        <v>0</v>
      </c>
      <c r="BN940">
        <v>0</v>
      </c>
      <c r="BO940">
        <v>0</v>
      </c>
      <c r="BP940">
        <v>1099</v>
      </c>
      <c r="BQ940">
        <v>1099</v>
      </c>
      <c r="BR940">
        <f t="shared" si="154"/>
        <v>0</v>
      </c>
      <c r="BS940">
        <f t="shared" si="155"/>
        <v>222</v>
      </c>
      <c r="BU940">
        <f>R940*9</f>
        <v>999</v>
      </c>
      <c r="BV940">
        <f>IF(BU940&gt;BG940, 1, 0)</f>
        <v>0</v>
      </c>
    </row>
    <row r="941" spans="1:74" x14ac:dyDescent="0.25">
      <c r="A941" s="5" t="s">
        <v>1946</v>
      </c>
      <c r="B941" s="5" t="s">
        <v>207</v>
      </c>
      <c r="C941" s="5" t="s">
        <v>207</v>
      </c>
      <c r="D941" s="1" t="s">
        <v>145</v>
      </c>
      <c r="E941">
        <v>0</v>
      </c>
      <c r="F941">
        <v>850</v>
      </c>
      <c r="G941">
        <v>0</v>
      </c>
      <c r="H941">
        <v>0</v>
      </c>
      <c r="I941">
        <v>425</v>
      </c>
      <c r="J941">
        <v>100</v>
      </c>
      <c r="K941">
        <v>215</v>
      </c>
      <c r="L941">
        <v>110</v>
      </c>
      <c r="M941">
        <v>756</v>
      </c>
      <c r="N941">
        <v>0</v>
      </c>
      <c r="O941">
        <v>0</v>
      </c>
      <c r="P941">
        <v>0</v>
      </c>
      <c r="Q941">
        <v>103</v>
      </c>
      <c r="R941">
        <v>84</v>
      </c>
      <c r="S941" s="18">
        <f t="shared" si="146"/>
        <v>9</v>
      </c>
      <c r="T941" s="17">
        <f t="shared" si="147"/>
        <v>84</v>
      </c>
      <c r="U941" s="17">
        <f t="shared" si="148"/>
        <v>0</v>
      </c>
      <c r="V941" s="17">
        <f t="shared" si="149"/>
        <v>0</v>
      </c>
      <c r="W941" s="17">
        <f t="shared" si="150"/>
        <v>0</v>
      </c>
      <c r="X941" s="17">
        <f t="shared" si="151"/>
        <v>19</v>
      </c>
      <c r="Y941" s="19">
        <f t="shared" si="152"/>
        <v>0</v>
      </c>
      <c r="Z941">
        <v>850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425</v>
      </c>
      <c r="AH941">
        <v>425</v>
      </c>
      <c r="AI941">
        <v>0</v>
      </c>
      <c r="AJ941">
        <v>0</v>
      </c>
      <c r="AK941">
        <v>100</v>
      </c>
      <c r="AL941">
        <v>100</v>
      </c>
      <c r="AM941">
        <v>0</v>
      </c>
      <c r="AN941">
        <v>0</v>
      </c>
      <c r="AO941">
        <v>215</v>
      </c>
      <c r="AP941">
        <v>215</v>
      </c>
      <c r="AQ941">
        <v>215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110</v>
      </c>
      <c r="BA941">
        <v>110</v>
      </c>
      <c r="BB941">
        <v>0</v>
      </c>
      <c r="BC941">
        <v>0</v>
      </c>
      <c r="BD941">
        <v>0</v>
      </c>
      <c r="BE941">
        <f t="shared" si="153"/>
        <v>1915</v>
      </c>
      <c r="BF941">
        <v>1700</v>
      </c>
      <c r="BG941">
        <v>1700</v>
      </c>
      <c r="BH941" t="s">
        <v>190</v>
      </c>
      <c r="BI941" t="s">
        <v>2076</v>
      </c>
      <c r="BJ941">
        <v>0</v>
      </c>
      <c r="BK941">
        <v>850</v>
      </c>
      <c r="BL941">
        <v>1700</v>
      </c>
      <c r="BM941">
        <v>756</v>
      </c>
      <c r="BN941">
        <v>0</v>
      </c>
      <c r="BO941">
        <v>0</v>
      </c>
      <c r="BP941">
        <v>850</v>
      </c>
      <c r="BQ941">
        <v>1606</v>
      </c>
      <c r="BR941">
        <f t="shared" si="154"/>
        <v>-19</v>
      </c>
      <c r="BS941">
        <f t="shared" si="155"/>
        <v>187</v>
      </c>
    </row>
    <row r="942" spans="1:74" x14ac:dyDescent="0.25">
      <c r="A942" s="5" t="s">
        <v>2090</v>
      </c>
      <c r="B942" s="5" t="s">
        <v>61</v>
      </c>
      <c r="C942" s="5" t="s">
        <v>61</v>
      </c>
      <c r="D942" s="1" t="s">
        <v>2179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294</v>
      </c>
      <c r="K942">
        <v>361</v>
      </c>
      <c r="L942">
        <v>79</v>
      </c>
      <c r="M942">
        <v>0</v>
      </c>
      <c r="N942">
        <v>0</v>
      </c>
      <c r="O942">
        <v>0</v>
      </c>
      <c r="P942">
        <v>0</v>
      </c>
      <c r="Q942">
        <v>19</v>
      </c>
      <c r="R942">
        <v>0</v>
      </c>
      <c r="S942" s="18" t="e">
        <f t="shared" si="146"/>
        <v>#DIV/0!</v>
      </c>
      <c r="T942" s="17" t="e">
        <f t="shared" si="147"/>
        <v>#DIV/0!</v>
      </c>
      <c r="U942" s="17" t="e">
        <f t="shared" si="148"/>
        <v>#DIV/0!</v>
      </c>
      <c r="V942" s="17" t="e">
        <f t="shared" si="149"/>
        <v>#DIV/0!</v>
      </c>
      <c r="W942" s="17" t="e">
        <f t="shared" si="150"/>
        <v>#DIV/0!</v>
      </c>
      <c r="X942" s="17" t="e">
        <f t="shared" si="151"/>
        <v>#DIV/0!</v>
      </c>
      <c r="Y942" s="19" t="e">
        <f t="shared" si="152"/>
        <v>#DIV/0!</v>
      </c>
      <c r="Z942">
        <v>0</v>
      </c>
      <c r="AA942">
        <v>0</v>
      </c>
      <c r="AB942">
        <v>0</v>
      </c>
      <c r="AC942">
        <v>102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294</v>
      </c>
      <c r="AL942">
        <v>294</v>
      </c>
      <c r="AM942">
        <v>0</v>
      </c>
      <c r="AN942">
        <v>0</v>
      </c>
      <c r="AO942">
        <v>361</v>
      </c>
      <c r="AP942">
        <v>144</v>
      </c>
      <c r="AQ942">
        <v>361</v>
      </c>
      <c r="AR942">
        <v>217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79</v>
      </c>
      <c r="BA942">
        <v>79</v>
      </c>
      <c r="BB942">
        <v>0</v>
      </c>
      <c r="BC942">
        <v>0</v>
      </c>
      <c r="BD942">
        <v>0</v>
      </c>
      <c r="BE942">
        <f t="shared" si="153"/>
        <v>1931</v>
      </c>
      <c r="BF942">
        <v>836</v>
      </c>
      <c r="BG942">
        <v>836</v>
      </c>
      <c r="BH942" t="s">
        <v>199</v>
      </c>
      <c r="BI942" t="s">
        <v>2180</v>
      </c>
      <c r="BJ942">
        <v>102</v>
      </c>
      <c r="BK942">
        <v>734</v>
      </c>
      <c r="BL942">
        <v>836</v>
      </c>
      <c r="BM942">
        <v>0</v>
      </c>
      <c r="BN942">
        <v>0</v>
      </c>
      <c r="BO942">
        <v>0</v>
      </c>
      <c r="BP942">
        <v>734</v>
      </c>
      <c r="BQ942">
        <v>734</v>
      </c>
      <c r="BR942">
        <f t="shared" si="154"/>
        <v>-19</v>
      </c>
      <c r="BS942">
        <f t="shared" si="155"/>
        <v>19</v>
      </c>
    </row>
    <row r="943" spans="1:74" x14ac:dyDescent="0.25">
      <c r="A943" s="5" t="s">
        <v>61</v>
      </c>
      <c r="B943" s="5" t="s">
        <v>61</v>
      </c>
      <c r="C943" s="5" t="s">
        <v>61</v>
      </c>
      <c r="D943" s="1" t="s">
        <v>205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1251</v>
      </c>
      <c r="K943">
        <v>50</v>
      </c>
      <c r="L943">
        <v>250</v>
      </c>
      <c r="M943">
        <v>0</v>
      </c>
      <c r="N943">
        <v>0</v>
      </c>
      <c r="O943">
        <v>0</v>
      </c>
      <c r="P943">
        <v>0</v>
      </c>
      <c r="Q943">
        <v>20</v>
      </c>
      <c r="R943">
        <v>0</v>
      </c>
      <c r="S943" s="18" t="e">
        <f t="shared" si="146"/>
        <v>#DIV/0!</v>
      </c>
      <c r="T943" s="17" t="e">
        <f t="shared" si="147"/>
        <v>#DIV/0!</v>
      </c>
      <c r="U943" s="17" t="e">
        <f t="shared" si="148"/>
        <v>#DIV/0!</v>
      </c>
      <c r="V943" s="17" t="e">
        <f t="shared" si="149"/>
        <v>#DIV/0!</v>
      </c>
      <c r="W943" s="17" t="e">
        <f t="shared" si="150"/>
        <v>#DIV/0!</v>
      </c>
      <c r="X943" s="17" t="e">
        <f t="shared" si="151"/>
        <v>#DIV/0!</v>
      </c>
      <c r="Y943" s="19" t="e">
        <f t="shared" si="152"/>
        <v>#DIV/0!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1251</v>
      </c>
      <c r="AL943">
        <v>1251</v>
      </c>
      <c r="AM943">
        <v>0</v>
      </c>
      <c r="AN943">
        <v>0</v>
      </c>
      <c r="AO943">
        <v>50</v>
      </c>
      <c r="AP943">
        <v>0</v>
      </c>
      <c r="AQ943">
        <v>50</v>
      </c>
      <c r="AR943">
        <v>50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250</v>
      </c>
      <c r="BA943">
        <v>250</v>
      </c>
      <c r="BB943">
        <v>0</v>
      </c>
      <c r="BC943">
        <v>0</v>
      </c>
      <c r="BD943">
        <v>0</v>
      </c>
      <c r="BE943">
        <f t="shared" si="153"/>
        <v>3152</v>
      </c>
      <c r="BF943">
        <v>1551</v>
      </c>
      <c r="BG943">
        <v>1551</v>
      </c>
      <c r="BH943" t="s">
        <v>190</v>
      </c>
      <c r="BI943" t="s">
        <v>206</v>
      </c>
      <c r="BJ943">
        <v>0</v>
      </c>
      <c r="BK943">
        <v>1551</v>
      </c>
      <c r="BL943">
        <v>1551</v>
      </c>
      <c r="BM943">
        <v>0</v>
      </c>
      <c r="BN943">
        <v>0</v>
      </c>
      <c r="BO943">
        <v>0</v>
      </c>
      <c r="BP943">
        <v>1551</v>
      </c>
      <c r="BQ943">
        <v>1551</v>
      </c>
      <c r="BR943">
        <f t="shared" si="154"/>
        <v>-20</v>
      </c>
      <c r="BS943">
        <f t="shared" si="155"/>
        <v>20</v>
      </c>
    </row>
    <row r="944" spans="1:74" x14ac:dyDescent="0.25">
      <c r="A944" s="5" t="s">
        <v>61</v>
      </c>
      <c r="B944" s="5" t="s">
        <v>207</v>
      </c>
      <c r="C944" s="5" t="s">
        <v>61</v>
      </c>
      <c r="D944" s="1" t="s">
        <v>196</v>
      </c>
      <c r="E944">
        <v>0</v>
      </c>
      <c r="F944">
        <v>31</v>
      </c>
      <c r="G944">
        <v>0</v>
      </c>
      <c r="H944">
        <v>0</v>
      </c>
      <c r="I944">
        <v>170</v>
      </c>
      <c r="J944">
        <v>750</v>
      </c>
      <c r="K944">
        <v>137</v>
      </c>
      <c r="L944">
        <v>40</v>
      </c>
      <c r="M944">
        <v>0</v>
      </c>
      <c r="N944">
        <v>0</v>
      </c>
      <c r="O944">
        <v>0</v>
      </c>
      <c r="P944">
        <v>279</v>
      </c>
      <c r="Q944">
        <v>51</v>
      </c>
      <c r="R944">
        <v>31</v>
      </c>
      <c r="S944" s="18">
        <f t="shared" si="146"/>
        <v>9</v>
      </c>
      <c r="T944" s="17">
        <f t="shared" si="147"/>
        <v>0</v>
      </c>
      <c r="U944" s="17">
        <f t="shared" si="148"/>
        <v>0</v>
      </c>
      <c r="V944" s="17">
        <f t="shared" si="149"/>
        <v>0</v>
      </c>
      <c r="W944" s="17">
        <f t="shared" si="150"/>
        <v>31</v>
      </c>
      <c r="X944" s="17">
        <f t="shared" si="151"/>
        <v>20</v>
      </c>
      <c r="Y944" s="19">
        <f t="shared" si="152"/>
        <v>0</v>
      </c>
      <c r="Z944">
        <v>31</v>
      </c>
      <c r="AA944">
        <v>0</v>
      </c>
      <c r="AB944">
        <v>0</v>
      </c>
      <c r="AC944">
        <v>162</v>
      </c>
      <c r="AD944">
        <v>0</v>
      </c>
      <c r="AE944">
        <v>0</v>
      </c>
      <c r="AF944">
        <v>0</v>
      </c>
      <c r="AG944">
        <v>170</v>
      </c>
      <c r="AH944">
        <v>170</v>
      </c>
      <c r="AI944">
        <v>0</v>
      </c>
      <c r="AJ944">
        <v>0</v>
      </c>
      <c r="AK944">
        <v>750</v>
      </c>
      <c r="AL944">
        <v>750</v>
      </c>
      <c r="AM944">
        <v>0</v>
      </c>
      <c r="AN944">
        <v>0</v>
      </c>
      <c r="AO944">
        <v>137</v>
      </c>
      <c r="AP944">
        <v>72</v>
      </c>
      <c r="AQ944">
        <v>137</v>
      </c>
      <c r="AR944">
        <v>65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40</v>
      </c>
      <c r="BA944">
        <v>40</v>
      </c>
      <c r="BB944">
        <v>0</v>
      </c>
      <c r="BC944">
        <v>0</v>
      </c>
      <c r="BD944">
        <v>0</v>
      </c>
      <c r="BE944">
        <f t="shared" si="153"/>
        <v>2493</v>
      </c>
      <c r="BF944">
        <v>1290</v>
      </c>
      <c r="BG944">
        <v>1290</v>
      </c>
      <c r="BH944" t="s">
        <v>190</v>
      </c>
      <c r="BI944" t="s">
        <v>274</v>
      </c>
      <c r="BJ944">
        <v>162</v>
      </c>
      <c r="BK944">
        <v>1097</v>
      </c>
      <c r="BL944">
        <v>1290</v>
      </c>
      <c r="BM944">
        <v>0</v>
      </c>
      <c r="BN944">
        <v>0</v>
      </c>
      <c r="BO944">
        <v>0</v>
      </c>
      <c r="BP944">
        <v>1376</v>
      </c>
      <c r="BQ944">
        <v>1376</v>
      </c>
      <c r="BR944">
        <f t="shared" si="154"/>
        <v>-20</v>
      </c>
      <c r="BS944">
        <f t="shared" si="155"/>
        <v>82</v>
      </c>
    </row>
    <row r="945" spans="1:71" x14ac:dyDescent="0.25">
      <c r="A945" s="5" t="s">
        <v>61</v>
      </c>
      <c r="B945" s="5" t="s">
        <v>359</v>
      </c>
      <c r="C945" s="5" t="s">
        <v>61</v>
      </c>
      <c r="D945" s="1" t="s">
        <v>92</v>
      </c>
      <c r="E945">
        <v>0</v>
      </c>
      <c r="F945">
        <v>562</v>
      </c>
      <c r="G945">
        <v>0</v>
      </c>
      <c r="H945">
        <v>0</v>
      </c>
      <c r="I945">
        <v>120</v>
      </c>
      <c r="J945">
        <v>0</v>
      </c>
      <c r="K945">
        <v>0</v>
      </c>
      <c r="L945">
        <v>0</v>
      </c>
      <c r="M945">
        <v>1575</v>
      </c>
      <c r="N945">
        <v>0</v>
      </c>
      <c r="O945">
        <v>0</v>
      </c>
      <c r="P945">
        <v>0</v>
      </c>
      <c r="Q945">
        <v>195</v>
      </c>
      <c r="R945">
        <v>175</v>
      </c>
      <c r="S945" s="18">
        <f t="shared" si="146"/>
        <v>9</v>
      </c>
      <c r="T945" s="17">
        <f t="shared" si="147"/>
        <v>175</v>
      </c>
      <c r="U945" s="17">
        <f t="shared" si="148"/>
        <v>0</v>
      </c>
      <c r="V945" s="17">
        <f t="shared" si="149"/>
        <v>0</v>
      </c>
      <c r="W945" s="17">
        <f t="shared" si="150"/>
        <v>0</v>
      </c>
      <c r="X945" s="17">
        <f t="shared" si="151"/>
        <v>20</v>
      </c>
      <c r="Y945" s="19">
        <f t="shared" si="152"/>
        <v>0</v>
      </c>
      <c r="Z945">
        <v>562</v>
      </c>
      <c r="AA945">
        <v>0</v>
      </c>
      <c r="AB945">
        <v>0</v>
      </c>
      <c r="AC945">
        <v>0</v>
      </c>
      <c r="AD945">
        <v>120</v>
      </c>
      <c r="AE945">
        <v>0</v>
      </c>
      <c r="AF945">
        <v>0</v>
      </c>
      <c r="AG945">
        <v>0</v>
      </c>
      <c r="AH945">
        <v>120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f t="shared" si="153"/>
        <v>240</v>
      </c>
      <c r="BF945">
        <v>682</v>
      </c>
      <c r="BG945">
        <v>682</v>
      </c>
      <c r="BH945" t="s">
        <v>109</v>
      </c>
      <c r="BI945" t="s">
        <v>374</v>
      </c>
      <c r="BJ945">
        <v>0</v>
      </c>
      <c r="BK945">
        <v>120</v>
      </c>
      <c r="BL945">
        <v>682</v>
      </c>
      <c r="BM945">
        <v>1695</v>
      </c>
      <c r="BN945">
        <v>0</v>
      </c>
      <c r="BO945">
        <v>0</v>
      </c>
      <c r="BP945">
        <v>0</v>
      </c>
      <c r="BQ945">
        <v>1695</v>
      </c>
      <c r="BR945">
        <f t="shared" si="154"/>
        <v>-20</v>
      </c>
      <c r="BS945">
        <f t="shared" si="155"/>
        <v>370</v>
      </c>
    </row>
    <row r="946" spans="1:71" x14ac:dyDescent="0.25">
      <c r="A946" s="5" t="s">
        <v>207</v>
      </c>
      <c r="B946" s="5" t="s">
        <v>207</v>
      </c>
      <c r="C946" s="5" t="s">
        <v>61</v>
      </c>
      <c r="D946" s="1" t="s">
        <v>141</v>
      </c>
      <c r="E946">
        <v>0</v>
      </c>
      <c r="F946">
        <v>0</v>
      </c>
      <c r="G946">
        <v>0</v>
      </c>
      <c r="H946">
        <v>0</v>
      </c>
      <c r="I946">
        <v>47</v>
      </c>
      <c r="J946">
        <v>1500</v>
      </c>
      <c r="K946">
        <v>93</v>
      </c>
      <c r="L946">
        <v>150</v>
      </c>
      <c r="M946">
        <v>0</v>
      </c>
      <c r="N946">
        <v>0</v>
      </c>
      <c r="O946">
        <v>0</v>
      </c>
      <c r="P946">
        <v>0</v>
      </c>
      <c r="Q946">
        <v>20</v>
      </c>
      <c r="R946">
        <v>0</v>
      </c>
      <c r="S946" s="18" t="e">
        <f t="shared" si="146"/>
        <v>#DIV/0!</v>
      </c>
      <c r="T946" s="17" t="e">
        <f t="shared" si="147"/>
        <v>#DIV/0!</v>
      </c>
      <c r="U946" s="17" t="e">
        <f t="shared" si="148"/>
        <v>#DIV/0!</v>
      </c>
      <c r="V946" s="17" t="e">
        <f t="shared" si="149"/>
        <v>#DIV/0!</v>
      </c>
      <c r="W946" s="17" t="e">
        <f t="shared" si="150"/>
        <v>#DIV/0!</v>
      </c>
      <c r="X946" s="17" t="e">
        <f t="shared" si="151"/>
        <v>#DIV/0!</v>
      </c>
      <c r="Y946" s="19" t="e">
        <f t="shared" si="152"/>
        <v>#DIV/0!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47</v>
      </c>
      <c r="AH946">
        <v>47</v>
      </c>
      <c r="AI946">
        <v>0</v>
      </c>
      <c r="AJ946">
        <v>0</v>
      </c>
      <c r="AK946">
        <v>1500</v>
      </c>
      <c r="AL946">
        <v>1500</v>
      </c>
      <c r="AM946">
        <v>0</v>
      </c>
      <c r="AN946">
        <v>93</v>
      </c>
      <c r="AO946">
        <v>0</v>
      </c>
      <c r="AP946">
        <v>52</v>
      </c>
      <c r="AQ946">
        <v>93</v>
      </c>
      <c r="AR946">
        <v>41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150</v>
      </c>
      <c r="BA946">
        <v>150</v>
      </c>
      <c r="BB946">
        <v>0</v>
      </c>
      <c r="BC946">
        <v>0</v>
      </c>
      <c r="BD946">
        <v>0</v>
      </c>
      <c r="BE946">
        <f t="shared" si="153"/>
        <v>3673</v>
      </c>
      <c r="BF946">
        <v>1790</v>
      </c>
      <c r="BG946">
        <v>1790</v>
      </c>
      <c r="BH946" t="s">
        <v>199</v>
      </c>
      <c r="BI946" t="s">
        <v>580</v>
      </c>
      <c r="BJ946">
        <v>0</v>
      </c>
      <c r="BK946">
        <v>1790</v>
      </c>
      <c r="BL946">
        <v>1790</v>
      </c>
      <c r="BM946">
        <v>0</v>
      </c>
      <c r="BN946">
        <v>93</v>
      </c>
      <c r="BO946">
        <v>0</v>
      </c>
      <c r="BP946">
        <v>1697</v>
      </c>
      <c r="BQ946">
        <v>1790</v>
      </c>
      <c r="BR946">
        <f t="shared" si="154"/>
        <v>-20</v>
      </c>
      <c r="BS946">
        <f t="shared" si="155"/>
        <v>20</v>
      </c>
    </row>
    <row r="947" spans="1:71" x14ac:dyDescent="0.25">
      <c r="A947" s="5" t="s">
        <v>207</v>
      </c>
      <c r="B947" s="5" t="s">
        <v>627</v>
      </c>
      <c r="C947" s="5" t="s">
        <v>207</v>
      </c>
      <c r="D947" s="1" t="s">
        <v>108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146</v>
      </c>
      <c r="K947">
        <v>14</v>
      </c>
      <c r="L947">
        <v>40</v>
      </c>
      <c r="M947">
        <v>0</v>
      </c>
      <c r="N947">
        <v>0</v>
      </c>
      <c r="O947">
        <v>0</v>
      </c>
      <c r="P947">
        <v>0</v>
      </c>
      <c r="Q947">
        <v>20</v>
      </c>
      <c r="R947">
        <v>0</v>
      </c>
      <c r="S947" s="18" t="e">
        <f t="shared" si="146"/>
        <v>#DIV/0!</v>
      </c>
      <c r="T947" s="17" t="e">
        <f t="shared" si="147"/>
        <v>#DIV/0!</v>
      </c>
      <c r="U947" s="17" t="e">
        <f t="shared" si="148"/>
        <v>#DIV/0!</v>
      </c>
      <c r="V947" s="17" t="e">
        <f t="shared" si="149"/>
        <v>#DIV/0!</v>
      </c>
      <c r="W947" s="17" t="e">
        <f t="shared" si="150"/>
        <v>#DIV/0!</v>
      </c>
      <c r="X947" s="17" t="e">
        <f t="shared" si="151"/>
        <v>#DIV/0!</v>
      </c>
      <c r="Y947" s="19" t="e">
        <f t="shared" si="152"/>
        <v>#DIV/0!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146</v>
      </c>
      <c r="AL947">
        <v>146</v>
      </c>
      <c r="AM947">
        <v>0</v>
      </c>
      <c r="AN947">
        <v>0</v>
      </c>
      <c r="AO947">
        <v>14</v>
      </c>
      <c r="AP947">
        <v>0</v>
      </c>
      <c r="AQ947">
        <v>14</v>
      </c>
      <c r="AR947">
        <v>14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40</v>
      </c>
      <c r="BA947">
        <v>40</v>
      </c>
      <c r="BB947">
        <v>0</v>
      </c>
      <c r="BC947">
        <v>0</v>
      </c>
      <c r="BD947">
        <v>0</v>
      </c>
      <c r="BE947">
        <f t="shared" si="153"/>
        <v>414</v>
      </c>
      <c r="BF947">
        <v>200</v>
      </c>
      <c r="BG947">
        <v>200</v>
      </c>
      <c r="BH947" t="s">
        <v>190</v>
      </c>
      <c r="BI947" t="s">
        <v>680</v>
      </c>
      <c r="BJ947">
        <v>0</v>
      </c>
      <c r="BK947">
        <v>200</v>
      </c>
      <c r="BL947">
        <v>200</v>
      </c>
      <c r="BM947">
        <v>0</v>
      </c>
      <c r="BN947">
        <v>0</v>
      </c>
      <c r="BO947">
        <v>0</v>
      </c>
      <c r="BP947">
        <v>200</v>
      </c>
      <c r="BQ947">
        <v>200</v>
      </c>
      <c r="BR947">
        <f t="shared" si="154"/>
        <v>-20</v>
      </c>
      <c r="BS947">
        <f t="shared" si="155"/>
        <v>20</v>
      </c>
    </row>
    <row r="948" spans="1:71" x14ac:dyDescent="0.25">
      <c r="A948" s="5" t="s">
        <v>359</v>
      </c>
      <c r="B948" s="5" t="s">
        <v>207</v>
      </c>
      <c r="C948" s="5" t="s">
        <v>61</v>
      </c>
      <c r="D948" s="1" t="s">
        <v>113</v>
      </c>
      <c r="E948">
        <v>0</v>
      </c>
      <c r="F948">
        <v>0</v>
      </c>
      <c r="G948">
        <v>0</v>
      </c>
      <c r="H948">
        <v>0</v>
      </c>
      <c r="I948">
        <v>245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20</v>
      </c>
      <c r="R948">
        <v>0</v>
      </c>
      <c r="S948" s="18" t="e">
        <f t="shared" si="146"/>
        <v>#DIV/0!</v>
      </c>
      <c r="T948" s="17" t="e">
        <f t="shared" si="147"/>
        <v>#DIV/0!</v>
      </c>
      <c r="U948" s="17" t="e">
        <f t="shared" si="148"/>
        <v>#DIV/0!</v>
      </c>
      <c r="V948" s="17" t="e">
        <f t="shared" si="149"/>
        <v>#DIV/0!</v>
      </c>
      <c r="W948" s="17" t="e">
        <f t="shared" si="150"/>
        <v>#DIV/0!</v>
      </c>
      <c r="X948" s="17" t="e">
        <f t="shared" si="151"/>
        <v>#DIV/0!</v>
      </c>
      <c r="Y948" s="19" t="e">
        <f t="shared" si="152"/>
        <v>#DIV/0!</v>
      </c>
      <c r="Z948">
        <v>0</v>
      </c>
      <c r="AA948">
        <v>0</v>
      </c>
      <c r="AB948">
        <v>0</v>
      </c>
      <c r="AC948">
        <v>225</v>
      </c>
      <c r="AD948">
        <v>0</v>
      </c>
      <c r="AE948">
        <v>0</v>
      </c>
      <c r="AF948">
        <v>0</v>
      </c>
      <c r="AG948">
        <v>245</v>
      </c>
      <c r="AH948">
        <v>245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f t="shared" si="153"/>
        <v>715</v>
      </c>
      <c r="BF948">
        <v>470</v>
      </c>
      <c r="BG948">
        <v>470</v>
      </c>
      <c r="BH948" t="s">
        <v>190</v>
      </c>
      <c r="BI948" t="s">
        <v>753</v>
      </c>
      <c r="BJ948">
        <v>225</v>
      </c>
      <c r="BK948">
        <v>245</v>
      </c>
      <c r="BL948">
        <v>470</v>
      </c>
      <c r="BM948">
        <v>0</v>
      </c>
      <c r="BN948">
        <v>0</v>
      </c>
      <c r="BO948">
        <v>0</v>
      </c>
      <c r="BP948">
        <v>245</v>
      </c>
      <c r="BQ948">
        <v>245</v>
      </c>
      <c r="BR948">
        <f t="shared" si="154"/>
        <v>-20</v>
      </c>
      <c r="BS948">
        <f t="shared" si="155"/>
        <v>20</v>
      </c>
    </row>
    <row r="949" spans="1:71" x14ac:dyDescent="0.25">
      <c r="A949" s="5" t="s">
        <v>1135</v>
      </c>
      <c r="B949" s="5" t="s">
        <v>207</v>
      </c>
      <c r="C949" s="5" t="s">
        <v>207</v>
      </c>
      <c r="D949" s="1" t="s">
        <v>106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473</v>
      </c>
      <c r="K949">
        <v>5</v>
      </c>
      <c r="L949">
        <v>187</v>
      </c>
      <c r="M949">
        <v>0</v>
      </c>
      <c r="N949">
        <v>0</v>
      </c>
      <c r="O949">
        <v>0</v>
      </c>
      <c r="P949">
        <v>0</v>
      </c>
      <c r="Q949">
        <v>20</v>
      </c>
      <c r="R949">
        <v>0</v>
      </c>
      <c r="S949" s="18" t="e">
        <f t="shared" si="146"/>
        <v>#DIV/0!</v>
      </c>
      <c r="T949" s="17" t="e">
        <f t="shared" si="147"/>
        <v>#DIV/0!</v>
      </c>
      <c r="U949" s="17" t="e">
        <f t="shared" si="148"/>
        <v>#DIV/0!</v>
      </c>
      <c r="V949" s="17" t="e">
        <f t="shared" si="149"/>
        <v>#DIV/0!</v>
      </c>
      <c r="W949" s="17" t="e">
        <f t="shared" si="150"/>
        <v>#DIV/0!</v>
      </c>
      <c r="X949" s="17" t="e">
        <f t="shared" si="151"/>
        <v>#DIV/0!</v>
      </c>
      <c r="Y949" s="19" t="e">
        <f t="shared" si="152"/>
        <v>#DIV/0!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473</v>
      </c>
      <c r="AL949">
        <v>473</v>
      </c>
      <c r="AM949">
        <v>0</v>
      </c>
      <c r="AN949">
        <v>0</v>
      </c>
      <c r="AO949">
        <v>5</v>
      </c>
      <c r="AP949">
        <v>5</v>
      </c>
      <c r="AQ949">
        <v>5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187</v>
      </c>
      <c r="BA949">
        <v>187</v>
      </c>
      <c r="BB949">
        <v>0</v>
      </c>
      <c r="BC949">
        <v>0</v>
      </c>
      <c r="BD949">
        <v>0</v>
      </c>
      <c r="BE949">
        <f t="shared" si="153"/>
        <v>1335</v>
      </c>
      <c r="BF949">
        <v>665</v>
      </c>
      <c r="BG949">
        <v>665</v>
      </c>
      <c r="BH949" t="s">
        <v>199</v>
      </c>
      <c r="BI949" t="s">
        <v>1276</v>
      </c>
      <c r="BJ949">
        <v>0</v>
      </c>
      <c r="BK949">
        <v>665</v>
      </c>
      <c r="BL949">
        <v>665</v>
      </c>
      <c r="BM949">
        <v>0</v>
      </c>
      <c r="BN949">
        <v>0</v>
      </c>
      <c r="BO949">
        <v>0</v>
      </c>
      <c r="BP949">
        <v>665</v>
      </c>
      <c r="BQ949">
        <v>665</v>
      </c>
      <c r="BR949">
        <f t="shared" si="154"/>
        <v>-20</v>
      </c>
      <c r="BS949">
        <f t="shared" si="155"/>
        <v>20</v>
      </c>
    </row>
    <row r="950" spans="1:71" x14ac:dyDescent="0.25">
      <c r="A950" s="5" t="s">
        <v>1451</v>
      </c>
      <c r="B950" s="5" t="s">
        <v>61</v>
      </c>
      <c r="C950" s="5" t="s">
        <v>207</v>
      </c>
      <c r="D950" s="1" t="s">
        <v>113</v>
      </c>
      <c r="E950">
        <v>0</v>
      </c>
      <c r="F950">
        <v>55</v>
      </c>
      <c r="G950">
        <v>0</v>
      </c>
      <c r="H950">
        <v>0</v>
      </c>
      <c r="I950">
        <v>50</v>
      </c>
      <c r="J950">
        <v>215</v>
      </c>
      <c r="K950">
        <v>132</v>
      </c>
      <c r="L950">
        <v>100</v>
      </c>
      <c r="M950">
        <v>405</v>
      </c>
      <c r="N950">
        <v>0</v>
      </c>
      <c r="O950">
        <v>0</v>
      </c>
      <c r="P950">
        <v>0</v>
      </c>
      <c r="Q950">
        <v>65</v>
      </c>
      <c r="R950">
        <v>45</v>
      </c>
      <c r="S950" s="18">
        <f t="shared" si="146"/>
        <v>9</v>
      </c>
      <c r="T950" s="17">
        <f t="shared" si="147"/>
        <v>45</v>
      </c>
      <c r="U950" s="17">
        <f t="shared" si="148"/>
        <v>0</v>
      </c>
      <c r="V950" s="17">
        <f t="shared" si="149"/>
        <v>0</v>
      </c>
      <c r="W950" s="17">
        <f t="shared" si="150"/>
        <v>0</v>
      </c>
      <c r="X950" s="17">
        <f t="shared" si="151"/>
        <v>20</v>
      </c>
      <c r="Y950" s="19">
        <f t="shared" si="152"/>
        <v>0</v>
      </c>
      <c r="Z950">
        <v>55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50</v>
      </c>
      <c r="AH950">
        <v>50</v>
      </c>
      <c r="AI950">
        <v>0</v>
      </c>
      <c r="AJ950">
        <v>0</v>
      </c>
      <c r="AK950">
        <v>215</v>
      </c>
      <c r="AL950">
        <v>215</v>
      </c>
      <c r="AM950">
        <v>0</v>
      </c>
      <c r="AN950">
        <v>0</v>
      </c>
      <c r="AO950">
        <v>132</v>
      </c>
      <c r="AP950">
        <v>82</v>
      </c>
      <c r="AQ950">
        <v>132</v>
      </c>
      <c r="AR950">
        <v>50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100</v>
      </c>
      <c r="BA950">
        <v>100</v>
      </c>
      <c r="BB950">
        <v>0</v>
      </c>
      <c r="BC950">
        <v>0</v>
      </c>
      <c r="BD950">
        <v>0</v>
      </c>
      <c r="BE950">
        <f t="shared" si="153"/>
        <v>1126</v>
      </c>
      <c r="BF950">
        <v>552</v>
      </c>
      <c r="BG950">
        <v>552</v>
      </c>
      <c r="BH950" t="s">
        <v>190</v>
      </c>
      <c r="BI950" t="s">
        <v>1494</v>
      </c>
      <c r="BJ950">
        <v>0</v>
      </c>
      <c r="BK950">
        <v>497</v>
      </c>
      <c r="BL950">
        <v>552</v>
      </c>
      <c r="BM950">
        <v>405</v>
      </c>
      <c r="BN950">
        <v>0</v>
      </c>
      <c r="BO950">
        <v>0</v>
      </c>
      <c r="BP950">
        <v>497</v>
      </c>
      <c r="BQ950">
        <v>902</v>
      </c>
      <c r="BR950">
        <f t="shared" si="154"/>
        <v>-20</v>
      </c>
      <c r="BS950">
        <f t="shared" si="155"/>
        <v>110</v>
      </c>
    </row>
    <row r="951" spans="1:71" x14ac:dyDescent="0.25">
      <c r="A951" s="5" t="s">
        <v>1946</v>
      </c>
      <c r="B951" s="5" t="s">
        <v>61</v>
      </c>
      <c r="C951" s="5" t="s">
        <v>61</v>
      </c>
      <c r="D951" s="1" t="s">
        <v>169</v>
      </c>
      <c r="E951">
        <v>22</v>
      </c>
      <c r="F951">
        <v>0</v>
      </c>
      <c r="G951">
        <v>0</v>
      </c>
      <c r="H951">
        <v>0</v>
      </c>
      <c r="I951">
        <v>0</v>
      </c>
      <c r="J951">
        <v>415</v>
      </c>
      <c r="K951">
        <v>0</v>
      </c>
      <c r="L951">
        <v>120</v>
      </c>
      <c r="M951">
        <v>0</v>
      </c>
      <c r="N951">
        <v>0</v>
      </c>
      <c r="O951">
        <v>0</v>
      </c>
      <c r="P951">
        <v>0</v>
      </c>
      <c r="Q951">
        <v>20</v>
      </c>
      <c r="R951">
        <v>0</v>
      </c>
      <c r="S951" s="18" t="e">
        <f t="shared" si="146"/>
        <v>#DIV/0!</v>
      </c>
      <c r="T951" s="17" t="e">
        <f t="shared" si="147"/>
        <v>#DIV/0!</v>
      </c>
      <c r="U951" s="17" t="e">
        <f t="shared" si="148"/>
        <v>#DIV/0!</v>
      </c>
      <c r="V951" s="17" t="e">
        <f t="shared" si="149"/>
        <v>#DIV/0!</v>
      </c>
      <c r="W951" s="17" t="e">
        <f t="shared" si="150"/>
        <v>#DIV/0!</v>
      </c>
      <c r="X951" s="17" t="e">
        <f t="shared" si="151"/>
        <v>#DIV/0!</v>
      </c>
      <c r="Y951" s="19" t="e">
        <f t="shared" si="152"/>
        <v>#DIV/0!</v>
      </c>
      <c r="Z951">
        <v>0</v>
      </c>
      <c r="AA951">
        <v>0</v>
      </c>
      <c r="AB951">
        <v>0</v>
      </c>
      <c r="AC951">
        <v>155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415</v>
      </c>
      <c r="AL951">
        <v>415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120</v>
      </c>
      <c r="BA951">
        <v>120</v>
      </c>
      <c r="BB951">
        <v>0</v>
      </c>
      <c r="BC951">
        <v>0</v>
      </c>
      <c r="BD951">
        <v>0</v>
      </c>
      <c r="BE951">
        <f t="shared" si="153"/>
        <v>1225</v>
      </c>
      <c r="BF951">
        <v>712</v>
      </c>
      <c r="BG951">
        <v>712</v>
      </c>
      <c r="BH951" t="s">
        <v>190</v>
      </c>
      <c r="BI951" t="s">
        <v>1996</v>
      </c>
      <c r="BJ951">
        <v>177</v>
      </c>
      <c r="BK951">
        <v>535</v>
      </c>
      <c r="BL951">
        <v>712</v>
      </c>
      <c r="BM951">
        <v>0</v>
      </c>
      <c r="BN951">
        <v>0</v>
      </c>
      <c r="BO951">
        <v>0</v>
      </c>
      <c r="BP951">
        <v>535</v>
      </c>
      <c r="BQ951">
        <v>535</v>
      </c>
      <c r="BR951">
        <f t="shared" si="154"/>
        <v>-20</v>
      </c>
      <c r="BS951">
        <f t="shared" si="155"/>
        <v>20</v>
      </c>
    </row>
    <row r="952" spans="1:71" x14ac:dyDescent="0.25">
      <c r="A952" s="5" t="s">
        <v>2090</v>
      </c>
      <c r="B952" s="5" t="s">
        <v>61</v>
      </c>
      <c r="C952" s="5" t="s">
        <v>61</v>
      </c>
      <c r="D952" s="1" t="s">
        <v>2173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251</v>
      </c>
      <c r="K952">
        <v>143</v>
      </c>
      <c r="L952">
        <v>22</v>
      </c>
      <c r="M952">
        <v>0</v>
      </c>
      <c r="N952">
        <v>0</v>
      </c>
      <c r="O952">
        <v>0</v>
      </c>
      <c r="P952">
        <v>0</v>
      </c>
      <c r="Q952">
        <v>20</v>
      </c>
      <c r="R952">
        <v>0</v>
      </c>
      <c r="S952" s="18" t="e">
        <f t="shared" si="146"/>
        <v>#DIV/0!</v>
      </c>
      <c r="T952" s="17" t="e">
        <f t="shared" si="147"/>
        <v>#DIV/0!</v>
      </c>
      <c r="U952" s="17" t="e">
        <f t="shared" si="148"/>
        <v>#DIV/0!</v>
      </c>
      <c r="V952" s="17" t="e">
        <f t="shared" si="149"/>
        <v>#DIV/0!</v>
      </c>
      <c r="W952" s="17" t="e">
        <f t="shared" si="150"/>
        <v>#DIV/0!</v>
      </c>
      <c r="X952" s="17" t="e">
        <f t="shared" si="151"/>
        <v>#DIV/0!</v>
      </c>
      <c r="Y952" s="19" t="e">
        <f t="shared" si="152"/>
        <v>#DIV/0!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251</v>
      </c>
      <c r="AL952">
        <v>251</v>
      </c>
      <c r="AM952">
        <v>0</v>
      </c>
      <c r="AN952">
        <v>0</v>
      </c>
      <c r="AO952">
        <v>143</v>
      </c>
      <c r="AP952">
        <v>106</v>
      </c>
      <c r="AQ952">
        <v>143</v>
      </c>
      <c r="AR952">
        <v>37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22</v>
      </c>
      <c r="BA952">
        <v>22</v>
      </c>
      <c r="BB952">
        <v>0</v>
      </c>
      <c r="BC952">
        <v>0</v>
      </c>
      <c r="BD952">
        <v>0</v>
      </c>
      <c r="BE952">
        <f t="shared" si="153"/>
        <v>975</v>
      </c>
      <c r="BF952">
        <v>416</v>
      </c>
      <c r="BG952">
        <v>416</v>
      </c>
      <c r="BH952" t="s">
        <v>199</v>
      </c>
      <c r="BI952" t="s">
        <v>2174</v>
      </c>
      <c r="BJ952">
        <v>0</v>
      </c>
      <c r="BK952">
        <v>416</v>
      </c>
      <c r="BL952">
        <v>416</v>
      </c>
      <c r="BM952">
        <v>0</v>
      </c>
      <c r="BN952">
        <v>0</v>
      </c>
      <c r="BO952">
        <v>0</v>
      </c>
      <c r="BP952">
        <v>416</v>
      </c>
      <c r="BQ952">
        <v>416</v>
      </c>
      <c r="BR952">
        <f t="shared" si="154"/>
        <v>-20</v>
      </c>
      <c r="BS952">
        <f t="shared" si="155"/>
        <v>20</v>
      </c>
    </row>
    <row r="953" spans="1:71" x14ac:dyDescent="0.25">
      <c r="A953" s="5" t="s">
        <v>2090</v>
      </c>
      <c r="B953" s="5" t="s">
        <v>359</v>
      </c>
      <c r="C953" s="5" t="s">
        <v>61</v>
      </c>
      <c r="D953" s="1" t="s">
        <v>86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750</v>
      </c>
      <c r="K953">
        <v>300</v>
      </c>
      <c r="L953">
        <v>150</v>
      </c>
      <c r="M953">
        <v>0</v>
      </c>
      <c r="N953">
        <v>0</v>
      </c>
      <c r="O953">
        <v>0</v>
      </c>
      <c r="P953">
        <v>0</v>
      </c>
      <c r="Q953">
        <v>20</v>
      </c>
      <c r="R953">
        <v>0</v>
      </c>
      <c r="S953" s="18" t="e">
        <f t="shared" si="146"/>
        <v>#DIV/0!</v>
      </c>
      <c r="T953" s="17" t="e">
        <f t="shared" si="147"/>
        <v>#DIV/0!</v>
      </c>
      <c r="U953" s="17" t="e">
        <f t="shared" si="148"/>
        <v>#DIV/0!</v>
      </c>
      <c r="V953" s="17" t="e">
        <f t="shared" si="149"/>
        <v>#DIV/0!</v>
      </c>
      <c r="W953" s="17" t="e">
        <f t="shared" si="150"/>
        <v>#DIV/0!</v>
      </c>
      <c r="X953" s="17" t="e">
        <f t="shared" si="151"/>
        <v>#DIV/0!</v>
      </c>
      <c r="Y953" s="19" t="e">
        <f t="shared" si="152"/>
        <v>#DIV/0!</v>
      </c>
      <c r="Z953">
        <v>0</v>
      </c>
      <c r="AA953">
        <v>0</v>
      </c>
      <c r="AB953">
        <v>0</v>
      </c>
      <c r="AC953">
        <v>70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750</v>
      </c>
      <c r="AL953">
        <v>750</v>
      </c>
      <c r="AM953">
        <v>0</v>
      </c>
      <c r="AN953">
        <v>0</v>
      </c>
      <c r="AO953">
        <v>300</v>
      </c>
      <c r="AP953">
        <v>300</v>
      </c>
      <c r="AQ953">
        <v>300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150</v>
      </c>
      <c r="BA953">
        <v>150</v>
      </c>
      <c r="BB953">
        <v>0</v>
      </c>
      <c r="BC953">
        <v>0</v>
      </c>
      <c r="BD953">
        <v>0</v>
      </c>
      <c r="BE953">
        <f t="shared" si="153"/>
        <v>2770</v>
      </c>
      <c r="BF953">
        <v>1270</v>
      </c>
      <c r="BG953">
        <v>1270</v>
      </c>
      <c r="BH953" t="s">
        <v>199</v>
      </c>
      <c r="BI953" t="s">
        <v>2291</v>
      </c>
      <c r="BJ953">
        <v>70</v>
      </c>
      <c r="BK953">
        <v>1200</v>
      </c>
      <c r="BL953">
        <v>1270</v>
      </c>
      <c r="BM953">
        <v>0</v>
      </c>
      <c r="BN953">
        <v>0</v>
      </c>
      <c r="BO953">
        <v>0</v>
      </c>
      <c r="BP953">
        <v>1200</v>
      </c>
      <c r="BQ953">
        <v>1200</v>
      </c>
      <c r="BR953">
        <f t="shared" si="154"/>
        <v>-20</v>
      </c>
      <c r="BS953">
        <f t="shared" si="155"/>
        <v>20</v>
      </c>
    </row>
    <row r="954" spans="1:71" x14ac:dyDescent="0.25">
      <c r="A954" s="5" t="s">
        <v>61</v>
      </c>
      <c r="B954" s="5" t="s">
        <v>207</v>
      </c>
      <c r="C954" s="5" t="s">
        <v>61</v>
      </c>
      <c r="D954" s="1" t="s">
        <v>173</v>
      </c>
      <c r="E954">
        <v>0</v>
      </c>
      <c r="F954">
        <v>115</v>
      </c>
      <c r="G954">
        <v>0</v>
      </c>
      <c r="H954">
        <v>0</v>
      </c>
      <c r="I954">
        <v>38</v>
      </c>
      <c r="J954">
        <v>0</v>
      </c>
      <c r="K954">
        <v>0</v>
      </c>
      <c r="L954">
        <v>0</v>
      </c>
      <c r="M954">
        <v>1035</v>
      </c>
      <c r="N954">
        <v>0</v>
      </c>
      <c r="O954">
        <v>0</v>
      </c>
      <c r="P954">
        <v>0</v>
      </c>
      <c r="Q954">
        <v>136</v>
      </c>
      <c r="R954">
        <v>115</v>
      </c>
      <c r="S954" s="18">
        <f t="shared" si="146"/>
        <v>9</v>
      </c>
      <c r="T954" s="17">
        <f t="shared" si="147"/>
        <v>115</v>
      </c>
      <c r="U954" s="17">
        <f t="shared" si="148"/>
        <v>0</v>
      </c>
      <c r="V954" s="17">
        <f t="shared" si="149"/>
        <v>0</v>
      </c>
      <c r="W954" s="17">
        <f t="shared" si="150"/>
        <v>0</v>
      </c>
      <c r="X954" s="17">
        <f t="shared" si="151"/>
        <v>21</v>
      </c>
      <c r="Y954" s="19">
        <f t="shared" si="152"/>
        <v>0</v>
      </c>
      <c r="Z954">
        <v>115</v>
      </c>
      <c r="AA954">
        <v>0</v>
      </c>
      <c r="AB954">
        <v>0</v>
      </c>
      <c r="AC954">
        <v>0</v>
      </c>
      <c r="AD954">
        <v>38</v>
      </c>
      <c r="AE954">
        <v>0</v>
      </c>
      <c r="AF954">
        <v>0</v>
      </c>
      <c r="AG954">
        <v>0</v>
      </c>
      <c r="AH954">
        <v>38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f t="shared" si="153"/>
        <v>76</v>
      </c>
      <c r="BF954">
        <v>153</v>
      </c>
      <c r="BG954">
        <v>153</v>
      </c>
      <c r="BH954" t="s">
        <v>109</v>
      </c>
      <c r="BI954" t="s">
        <v>263</v>
      </c>
      <c r="BJ954">
        <v>0</v>
      </c>
      <c r="BK954">
        <v>38</v>
      </c>
      <c r="BL954">
        <v>153</v>
      </c>
      <c r="BM954">
        <v>1073</v>
      </c>
      <c r="BN954">
        <v>0</v>
      </c>
      <c r="BO954">
        <v>0</v>
      </c>
      <c r="BP954">
        <v>0</v>
      </c>
      <c r="BQ954">
        <v>1073</v>
      </c>
      <c r="BR954">
        <f t="shared" si="154"/>
        <v>-21</v>
      </c>
      <c r="BS954">
        <f t="shared" si="155"/>
        <v>251</v>
      </c>
    </row>
    <row r="955" spans="1:71" x14ac:dyDescent="0.25">
      <c r="A955" s="5" t="s">
        <v>207</v>
      </c>
      <c r="B955" s="5" t="s">
        <v>359</v>
      </c>
      <c r="C955" s="5" t="s">
        <v>61</v>
      </c>
      <c r="D955" s="1" t="s">
        <v>119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200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21</v>
      </c>
      <c r="R955">
        <v>0</v>
      </c>
      <c r="S955" s="18" t="e">
        <f t="shared" si="146"/>
        <v>#DIV/0!</v>
      </c>
      <c r="T955" s="17" t="e">
        <f t="shared" si="147"/>
        <v>#DIV/0!</v>
      </c>
      <c r="U955" s="17" t="e">
        <f t="shared" si="148"/>
        <v>#DIV/0!</v>
      </c>
      <c r="V955" s="17" t="e">
        <f t="shared" si="149"/>
        <v>#DIV/0!</v>
      </c>
      <c r="W955" s="17" t="e">
        <f t="shared" si="150"/>
        <v>#DIV/0!</v>
      </c>
      <c r="X955" s="17" t="e">
        <f t="shared" si="151"/>
        <v>#DIV/0!</v>
      </c>
      <c r="Y955" s="19" t="e">
        <f t="shared" si="152"/>
        <v>#DIV/0!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200</v>
      </c>
      <c r="AP955">
        <v>20</v>
      </c>
      <c r="AQ955">
        <v>200</v>
      </c>
      <c r="AR955">
        <v>180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f t="shared" si="153"/>
        <v>600</v>
      </c>
      <c r="BF955">
        <v>200</v>
      </c>
      <c r="BG955">
        <v>200</v>
      </c>
      <c r="BH955" t="s">
        <v>190</v>
      </c>
      <c r="BI955" t="s">
        <v>617</v>
      </c>
      <c r="BJ955">
        <v>0</v>
      </c>
      <c r="BK955">
        <v>200</v>
      </c>
      <c r="BL955">
        <v>200</v>
      </c>
      <c r="BM955">
        <v>0</v>
      </c>
      <c r="BN955">
        <v>0</v>
      </c>
      <c r="BO955">
        <v>0</v>
      </c>
      <c r="BP955">
        <v>200</v>
      </c>
      <c r="BQ955">
        <v>200</v>
      </c>
      <c r="BR955">
        <f t="shared" si="154"/>
        <v>-21</v>
      </c>
      <c r="BS955">
        <f t="shared" si="155"/>
        <v>21</v>
      </c>
    </row>
    <row r="956" spans="1:71" x14ac:dyDescent="0.25">
      <c r="A956" s="5" t="s">
        <v>359</v>
      </c>
      <c r="B956" s="5" t="s">
        <v>627</v>
      </c>
      <c r="C956" s="5" t="s">
        <v>61</v>
      </c>
      <c r="D956" s="1" t="s">
        <v>84</v>
      </c>
      <c r="E956">
        <v>0</v>
      </c>
      <c r="F956">
        <v>1081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3033</v>
      </c>
      <c r="Q956">
        <v>358</v>
      </c>
      <c r="R956">
        <v>337</v>
      </c>
      <c r="S956" s="18">
        <f t="shared" si="146"/>
        <v>9</v>
      </c>
      <c r="T956" s="17">
        <f t="shared" si="147"/>
        <v>0</v>
      </c>
      <c r="U956" s="17">
        <f t="shared" si="148"/>
        <v>0</v>
      </c>
      <c r="V956" s="17">
        <f t="shared" si="149"/>
        <v>0</v>
      </c>
      <c r="W956" s="17">
        <f t="shared" si="150"/>
        <v>337</v>
      </c>
      <c r="X956" s="17">
        <f t="shared" si="151"/>
        <v>21</v>
      </c>
      <c r="Y956" s="19">
        <f t="shared" si="152"/>
        <v>0</v>
      </c>
      <c r="Z956">
        <v>1081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f t="shared" si="153"/>
        <v>0</v>
      </c>
      <c r="BF956">
        <v>1081</v>
      </c>
      <c r="BG956">
        <v>1081</v>
      </c>
      <c r="BH956" t="s">
        <v>190</v>
      </c>
      <c r="BI956" t="s">
        <v>801</v>
      </c>
      <c r="BJ956">
        <v>0</v>
      </c>
      <c r="BK956">
        <v>0</v>
      </c>
      <c r="BL956">
        <v>1081</v>
      </c>
      <c r="BM956">
        <v>0</v>
      </c>
      <c r="BN956">
        <v>0</v>
      </c>
      <c r="BO956">
        <v>0</v>
      </c>
      <c r="BP956">
        <v>3033</v>
      </c>
      <c r="BQ956">
        <v>3033</v>
      </c>
      <c r="BR956">
        <f t="shared" si="154"/>
        <v>-21</v>
      </c>
      <c r="BS956">
        <f t="shared" si="155"/>
        <v>695</v>
      </c>
    </row>
    <row r="957" spans="1:71" x14ac:dyDescent="0.25">
      <c r="A957" s="5" t="s">
        <v>1017</v>
      </c>
      <c r="B957" s="6" t="s">
        <v>61</v>
      </c>
      <c r="C957" s="6" t="s">
        <v>61</v>
      </c>
      <c r="D957" s="1" t="s">
        <v>106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635</v>
      </c>
      <c r="K957">
        <v>351</v>
      </c>
      <c r="L957">
        <v>265</v>
      </c>
      <c r="M957">
        <v>0</v>
      </c>
      <c r="N957">
        <v>0</v>
      </c>
      <c r="O957">
        <v>0</v>
      </c>
      <c r="P957">
        <v>0</v>
      </c>
      <c r="Q957">
        <v>21</v>
      </c>
      <c r="R957">
        <v>0</v>
      </c>
      <c r="S957" s="18" t="e">
        <f t="shared" si="146"/>
        <v>#DIV/0!</v>
      </c>
      <c r="T957" s="17" t="e">
        <f t="shared" si="147"/>
        <v>#DIV/0!</v>
      </c>
      <c r="U957" s="17" t="e">
        <f t="shared" si="148"/>
        <v>#DIV/0!</v>
      </c>
      <c r="V957" s="17" t="e">
        <f t="shared" si="149"/>
        <v>#DIV/0!</v>
      </c>
      <c r="W957" s="17" t="e">
        <f t="shared" si="150"/>
        <v>#DIV/0!</v>
      </c>
      <c r="X957" s="17" t="e">
        <f t="shared" si="151"/>
        <v>#DIV/0!</v>
      </c>
      <c r="Y957" s="19" t="e">
        <f t="shared" si="152"/>
        <v>#DIV/0!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635</v>
      </c>
      <c r="AL957">
        <v>635</v>
      </c>
      <c r="AM957">
        <v>0</v>
      </c>
      <c r="AN957">
        <v>0</v>
      </c>
      <c r="AO957">
        <v>351</v>
      </c>
      <c r="AP957">
        <v>210</v>
      </c>
      <c r="AQ957">
        <v>351</v>
      </c>
      <c r="AR957">
        <v>141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265</v>
      </c>
      <c r="BA957">
        <v>265</v>
      </c>
      <c r="BB957">
        <v>0</v>
      </c>
      <c r="BC957">
        <v>0</v>
      </c>
      <c r="BD957">
        <v>0</v>
      </c>
      <c r="BE957">
        <f t="shared" si="153"/>
        <v>2853</v>
      </c>
      <c r="BF957">
        <v>1251</v>
      </c>
      <c r="BG957">
        <v>1251</v>
      </c>
      <c r="BH957" t="s">
        <v>199</v>
      </c>
      <c r="BI957" t="s">
        <v>1038</v>
      </c>
      <c r="BJ957">
        <v>0</v>
      </c>
      <c r="BK957">
        <v>1251</v>
      </c>
      <c r="BL957">
        <v>1251</v>
      </c>
      <c r="BM957">
        <v>0</v>
      </c>
      <c r="BN957">
        <v>0</v>
      </c>
      <c r="BO957">
        <v>0</v>
      </c>
      <c r="BP957">
        <v>1251</v>
      </c>
      <c r="BQ957">
        <v>1251</v>
      </c>
      <c r="BR957">
        <f t="shared" si="154"/>
        <v>-21</v>
      </c>
      <c r="BS957">
        <f t="shared" si="155"/>
        <v>21</v>
      </c>
    </row>
    <row r="958" spans="1:71" x14ac:dyDescent="0.25">
      <c r="A958" s="5" t="s">
        <v>1337</v>
      </c>
      <c r="B958" s="7" t="s">
        <v>359</v>
      </c>
      <c r="C958" s="7" t="s">
        <v>61</v>
      </c>
      <c r="D958" s="1" t="s">
        <v>125</v>
      </c>
      <c r="E958">
        <v>0</v>
      </c>
      <c r="F958">
        <v>0</v>
      </c>
      <c r="G958">
        <v>0</v>
      </c>
      <c r="H958">
        <v>0</v>
      </c>
      <c r="I958">
        <v>215</v>
      </c>
      <c r="J958">
        <v>234</v>
      </c>
      <c r="K958">
        <v>75</v>
      </c>
      <c r="L958">
        <v>170</v>
      </c>
      <c r="M958">
        <v>0</v>
      </c>
      <c r="N958">
        <v>0</v>
      </c>
      <c r="O958">
        <v>0</v>
      </c>
      <c r="P958">
        <v>0</v>
      </c>
      <c r="Q958">
        <v>21</v>
      </c>
      <c r="R958">
        <v>0</v>
      </c>
      <c r="S958" s="18" t="e">
        <f t="shared" si="146"/>
        <v>#DIV/0!</v>
      </c>
      <c r="T958" s="17" t="e">
        <f t="shared" si="147"/>
        <v>#DIV/0!</v>
      </c>
      <c r="U958" s="17" t="e">
        <f t="shared" si="148"/>
        <v>#DIV/0!</v>
      </c>
      <c r="V958" s="17" t="e">
        <f t="shared" si="149"/>
        <v>#DIV/0!</v>
      </c>
      <c r="W958" s="17" t="e">
        <f t="shared" si="150"/>
        <v>#DIV/0!</v>
      </c>
      <c r="X958" s="17" t="e">
        <f t="shared" si="151"/>
        <v>#DIV/0!</v>
      </c>
      <c r="Y958" s="19" t="e">
        <f t="shared" si="152"/>
        <v>#DIV/0!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215</v>
      </c>
      <c r="AH958">
        <v>215</v>
      </c>
      <c r="AI958">
        <v>0</v>
      </c>
      <c r="AJ958">
        <v>0</v>
      </c>
      <c r="AK958">
        <v>234</v>
      </c>
      <c r="AL958">
        <v>234</v>
      </c>
      <c r="AM958">
        <v>0</v>
      </c>
      <c r="AN958">
        <v>0</v>
      </c>
      <c r="AO958">
        <v>75</v>
      </c>
      <c r="AP958">
        <v>70</v>
      </c>
      <c r="AQ958">
        <v>75</v>
      </c>
      <c r="AR958">
        <v>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170</v>
      </c>
      <c r="BA958">
        <v>170</v>
      </c>
      <c r="BB958">
        <v>0</v>
      </c>
      <c r="BC958">
        <v>0</v>
      </c>
      <c r="BD958">
        <v>0</v>
      </c>
      <c r="BE958">
        <f t="shared" si="153"/>
        <v>1463</v>
      </c>
      <c r="BF958">
        <v>694</v>
      </c>
      <c r="BG958">
        <v>694</v>
      </c>
      <c r="BH958" t="s">
        <v>82</v>
      </c>
      <c r="BI958" t="s">
        <v>1441</v>
      </c>
      <c r="BJ958">
        <v>0</v>
      </c>
      <c r="BK958">
        <v>694</v>
      </c>
      <c r="BL958">
        <v>694</v>
      </c>
      <c r="BM958">
        <v>0</v>
      </c>
      <c r="BN958">
        <v>0</v>
      </c>
      <c r="BO958">
        <v>0</v>
      </c>
      <c r="BP958">
        <v>694</v>
      </c>
      <c r="BQ958">
        <v>694</v>
      </c>
      <c r="BR958">
        <f t="shared" si="154"/>
        <v>-21</v>
      </c>
      <c r="BS958">
        <f t="shared" si="155"/>
        <v>21</v>
      </c>
    </row>
    <row r="959" spans="1:71" x14ac:dyDescent="0.25">
      <c r="A959" s="5" t="s">
        <v>2090</v>
      </c>
      <c r="B959" s="5" t="s">
        <v>61</v>
      </c>
      <c r="C959" s="5" t="s">
        <v>61</v>
      </c>
      <c r="D959" s="1" t="s">
        <v>205</v>
      </c>
      <c r="E959">
        <v>0</v>
      </c>
      <c r="F959">
        <v>0</v>
      </c>
      <c r="G959">
        <v>0</v>
      </c>
      <c r="H959">
        <v>0</v>
      </c>
      <c r="I959">
        <v>75</v>
      </c>
      <c r="J959">
        <v>388</v>
      </c>
      <c r="K959">
        <v>14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21</v>
      </c>
      <c r="R959">
        <v>0</v>
      </c>
      <c r="S959" s="18" t="e">
        <f t="shared" si="146"/>
        <v>#DIV/0!</v>
      </c>
      <c r="T959" s="17" t="e">
        <f t="shared" si="147"/>
        <v>#DIV/0!</v>
      </c>
      <c r="U959" s="17" t="e">
        <f t="shared" si="148"/>
        <v>#DIV/0!</v>
      </c>
      <c r="V959" s="17" t="e">
        <f t="shared" si="149"/>
        <v>#DIV/0!</v>
      </c>
      <c r="W959" s="17" t="e">
        <f t="shared" si="150"/>
        <v>#DIV/0!</v>
      </c>
      <c r="X959" s="17" t="e">
        <f t="shared" si="151"/>
        <v>#DIV/0!</v>
      </c>
      <c r="Y959" s="19" t="e">
        <f t="shared" si="152"/>
        <v>#DIV/0!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75</v>
      </c>
      <c r="AH959">
        <v>75</v>
      </c>
      <c r="AI959">
        <v>0</v>
      </c>
      <c r="AJ959">
        <v>0</v>
      </c>
      <c r="AK959">
        <v>388</v>
      </c>
      <c r="AL959">
        <v>388</v>
      </c>
      <c r="AM959">
        <v>0</v>
      </c>
      <c r="AN959">
        <v>0</v>
      </c>
      <c r="AO959">
        <v>14</v>
      </c>
      <c r="AP959">
        <v>4</v>
      </c>
      <c r="AQ959">
        <v>14</v>
      </c>
      <c r="AR959">
        <v>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f t="shared" si="153"/>
        <v>968</v>
      </c>
      <c r="BF959">
        <v>477</v>
      </c>
      <c r="BG959">
        <v>477</v>
      </c>
      <c r="BH959" t="s">
        <v>190</v>
      </c>
      <c r="BI959" t="s">
        <v>2157</v>
      </c>
      <c r="BJ959">
        <v>0</v>
      </c>
      <c r="BK959">
        <v>477</v>
      </c>
      <c r="BL959">
        <v>477</v>
      </c>
      <c r="BM959">
        <v>0</v>
      </c>
      <c r="BN959">
        <v>0</v>
      </c>
      <c r="BO959">
        <v>0</v>
      </c>
      <c r="BP959">
        <v>477</v>
      </c>
      <c r="BQ959">
        <v>477</v>
      </c>
      <c r="BR959">
        <f t="shared" si="154"/>
        <v>-21</v>
      </c>
      <c r="BS959">
        <f t="shared" si="155"/>
        <v>21</v>
      </c>
    </row>
    <row r="960" spans="1:71" x14ac:dyDescent="0.25">
      <c r="A960" s="5" t="s">
        <v>2090</v>
      </c>
      <c r="B960" s="5" t="s">
        <v>61</v>
      </c>
      <c r="C960" s="5" t="s">
        <v>61</v>
      </c>
      <c r="D960" s="1" t="s">
        <v>2175</v>
      </c>
      <c r="E960">
        <v>0</v>
      </c>
      <c r="F960">
        <v>0</v>
      </c>
      <c r="G960">
        <v>0</v>
      </c>
      <c r="H960">
        <v>0</v>
      </c>
      <c r="I960">
        <v>10</v>
      </c>
      <c r="J960">
        <v>1215</v>
      </c>
      <c r="K960">
        <v>50</v>
      </c>
      <c r="L960">
        <v>15</v>
      </c>
      <c r="M960">
        <v>0</v>
      </c>
      <c r="N960">
        <v>0</v>
      </c>
      <c r="O960">
        <v>0</v>
      </c>
      <c r="P960">
        <v>0</v>
      </c>
      <c r="Q960">
        <v>21</v>
      </c>
      <c r="R960">
        <v>0</v>
      </c>
      <c r="S960" s="18" t="e">
        <f t="shared" si="146"/>
        <v>#DIV/0!</v>
      </c>
      <c r="T960" s="17" t="e">
        <f t="shared" si="147"/>
        <v>#DIV/0!</v>
      </c>
      <c r="U960" s="17" t="e">
        <f t="shared" si="148"/>
        <v>#DIV/0!</v>
      </c>
      <c r="V960" s="17" t="e">
        <f t="shared" si="149"/>
        <v>#DIV/0!</v>
      </c>
      <c r="W960" s="17" t="e">
        <f t="shared" si="150"/>
        <v>#DIV/0!</v>
      </c>
      <c r="X960" s="17" t="e">
        <f t="shared" si="151"/>
        <v>#DIV/0!</v>
      </c>
      <c r="Y960" s="19" t="e">
        <f t="shared" si="152"/>
        <v>#DIV/0!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10</v>
      </c>
      <c r="AH960">
        <v>10</v>
      </c>
      <c r="AI960">
        <v>0</v>
      </c>
      <c r="AJ960">
        <v>0</v>
      </c>
      <c r="AK960">
        <v>1215</v>
      </c>
      <c r="AL960">
        <v>1215</v>
      </c>
      <c r="AM960">
        <v>0</v>
      </c>
      <c r="AN960">
        <v>0</v>
      </c>
      <c r="AO960">
        <v>50</v>
      </c>
      <c r="AP960">
        <v>0</v>
      </c>
      <c r="AQ960">
        <v>50</v>
      </c>
      <c r="AR960">
        <v>50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15</v>
      </c>
      <c r="BA960">
        <v>15</v>
      </c>
      <c r="BB960">
        <v>0</v>
      </c>
      <c r="BC960">
        <v>0</v>
      </c>
      <c r="BD960">
        <v>0</v>
      </c>
      <c r="BE960">
        <f t="shared" si="153"/>
        <v>2630</v>
      </c>
      <c r="BF960">
        <v>1290</v>
      </c>
      <c r="BG960">
        <v>1290</v>
      </c>
      <c r="BH960" t="s">
        <v>199</v>
      </c>
      <c r="BI960" t="s">
        <v>2176</v>
      </c>
      <c r="BJ960">
        <v>0</v>
      </c>
      <c r="BK960">
        <v>1290</v>
      </c>
      <c r="BL960">
        <v>1290</v>
      </c>
      <c r="BM960">
        <v>0</v>
      </c>
      <c r="BN960">
        <v>0</v>
      </c>
      <c r="BO960">
        <v>0</v>
      </c>
      <c r="BP960">
        <v>1290</v>
      </c>
      <c r="BQ960">
        <v>1290</v>
      </c>
      <c r="BR960">
        <f t="shared" si="154"/>
        <v>-21</v>
      </c>
      <c r="BS960">
        <f t="shared" si="155"/>
        <v>21</v>
      </c>
    </row>
    <row r="961" spans="1:74" x14ac:dyDescent="0.25">
      <c r="A961" s="5" t="s">
        <v>61</v>
      </c>
      <c r="B961" s="5" t="s">
        <v>207</v>
      </c>
      <c r="C961" s="5" t="s">
        <v>61</v>
      </c>
      <c r="D961" s="1" t="s">
        <v>135</v>
      </c>
      <c r="E961">
        <v>0</v>
      </c>
      <c r="F961">
        <v>98</v>
      </c>
      <c r="G961">
        <v>0</v>
      </c>
      <c r="H961">
        <v>0</v>
      </c>
      <c r="I961">
        <v>32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882</v>
      </c>
      <c r="Q961">
        <v>120</v>
      </c>
      <c r="R961">
        <v>98</v>
      </c>
      <c r="S961" s="18">
        <f t="shared" si="146"/>
        <v>9</v>
      </c>
      <c r="T961" s="17">
        <f t="shared" si="147"/>
        <v>0</v>
      </c>
      <c r="U961" s="17">
        <f t="shared" si="148"/>
        <v>0</v>
      </c>
      <c r="V961" s="17">
        <f t="shared" si="149"/>
        <v>0</v>
      </c>
      <c r="W961" s="17">
        <f t="shared" si="150"/>
        <v>98</v>
      </c>
      <c r="X961" s="17">
        <f t="shared" si="151"/>
        <v>22</v>
      </c>
      <c r="Y961" s="19">
        <f t="shared" si="152"/>
        <v>0</v>
      </c>
      <c r="Z961">
        <v>98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32</v>
      </c>
      <c r="AH961">
        <v>32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f t="shared" si="153"/>
        <v>64</v>
      </c>
      <c r="BF961">
        <v>130</v>
      </c>
      <c r="BG961">
        <v>130</v>
      </c>
      <c r="BH961" t="s">
        <v>109</v>
      </c>
      <c r="BI961" t="s">
        <v>244</v>
      </c>
      <c r="BJ961">
        <v>0</v>
      </c>
      <c r="BK961">
        <v>32</v>
      </c>
      <c r="BL961">
        <v>130</v>
      </c>
      <c r="BM961">
        <v>0</v>
      </c>
      <c r="BN961">
        <v>0</v>
      </c>
      <c r="BO961">
        <v>0</v>
      </c>
      <c r="BP961">
        <v>914</v>
      </c>
      <c r="BQ961">
        <v>914</v>
      </c>
      <c r="BR961">
        <f t="shared" si="154"/>
        <v>-22</v>
      </c>
      <c r="BS961">
        <f t="shared" si="155"/>
        <v>218</v>
      </c>
    </row>
    <row r="962" spans="1:74" x14ac:dyDescent="0.25">
      <c r="A962" s="5" t="s">
        <v>61</v>
      </c>
      <c r="B962" s="5" t="s">
        <v>359</v>
      </c>
      <c r="C962" s="5" t="s">
        <v>61</v>
      </c>
      <c r="D962" s="1" t="s">
        <v>90</v>
      </c>
      <c r="E962">
        <v>0</v>
      </c>
      <c r="F962">
        <v>530</v>
      </c>
      <c r="G962">
        <v>0</v>
      </c>
      <c r="H962">
        <v>0</v>
      </c>
      <c r="I962">
        <v>20</v>
      </c>
      <c r="J962">
        <v>0</v>
      </c>
      <c r="K962">
        <v>0</v>
      </c>
      <c r="L962">
        <v>0</v>
      </c>
      <c r="M962">
        <v>1800</v>
      </c>
      <c r="N962">
        <v>0</v>
      </c>
      <c r="O962">
        <v>0</v>
      </c>
      <c r="P962">
        <v>0</v>
      </c>
      <c r="Q962">
        <v>222</v>
      </c>
      <c r="R962">
        <v>200</v>
      </c>
      <c r="S962" s="18">
        <f t="shared" ref="S962:S1025" si="156">(M962+N962+O962+P962)/R962</f>
        <v>9</v>
      </c>
      <c r="T962" s="17">
        <f t="shared" ref="T962:T1025" si="157">M962/$S962</f>
        <v>200</v>
      </c>
      <c r="U962" s="17">
        <f t="shared" ref="U962:U1025" si="158">N962/$S962</f>
        <v>0</v>
      </c>
      <c r="V962" s="17">
        <f t="shared" ref="V962:V1025" si="159">O962/$S962</f>
        <v>0</v>
      </c>
      <c r="W962" s="17">
        <f t="shared" ref="W962:W1025" si="160">P962/$S962</f>
        <v>0</v>
      </c>
      <c r="X962" s="17">
        <f t="shared" ref="X962:X1025" si="161">Q962-T962-U962-W962</f>
        <v>22</v>
      </c>
      <c r="Y962" s="19">
        <f t="shared" ref="Y962:Y1025" si="162">V962/X962</f>
        <v>0</v>
      </c>
      <c r="Z962">
        <v>530</v>
      </c>
      <c r="AA962">
        <v>0</v>
      </c>
      <c r="AB962">
        <v>0</v>
      </c>
      <c r="AC962">
        <v>0</v>
      </c>
      <c r="AD962">
        <v>20</v>
      </c>
      <c r="AE962">
        <v>0</v>
      </c>
      <c r="AF962">
        <v>0</v>
      </c>
      <c r="AG962">
        <v>0</v>
      </c>
      <c r="AH962">
        <v>20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f t="shared" ref="BE962:BE1025" si="163">SUM(AC962:BD962)</f>
        <v>40</v>
      </c>
      <c r="BF962">
        <v>550</v>
      </c>
      <c r="BG962">
        <v>550</v>
      </c>
      <c r="BH962" t="s">
        <v>109</v>
      </c>
      <c r="BI962" t="s">
        <v>373</v>
      </c>
      <c r="BJ962">
        <v>0</v>
      </c>
      <c r="BK962">
        <v>20</v>
      </c>
      <c r="BL962">
        <v>550</v>
      </c>
      <c r="BM962">
        <v>1820</v>
      </c>
      <c r="BN962">
        <v>0</v>
      </c>
      <c r="BO962">
        <v>0</v>
      </c>
      <c r="BP962">
        <v>0</v>
      </c>
      <c r="BQ962">
        <v>1820</v>
      </c>
      <c r="BR962">
        <f t="shared" ref="BR962:BR1025" si="164">R962-Q962</f>
        <v>-22</v>
      </c>
      <c r="BS962">
        <f t="shared" ref="BS962:BS1025" si="165">R962+Q962</f>
        <v>422</v>
      </c>
    </row>
    <row r="963" spans="1:74" x14ac:dyDescent="0.25">
      <c r="A963" s="5" t="s">
        <v>1135</v>
      </c>
      <c r="B963" s="5" t="s">
        <v>207</v>
      </c>
      <c r="C963" s="5" t="s">
        <v>359</v>
      </c>
      <c r="D963" s="1" t="s">
        <v>69</v>
      </c>
      <c r="E963">
        <v>0</v>
      </c>
      <c r="F963">
        <v>980</v>
      </c>
      <c r="G963">
        <v>0</v>
      </c>
      <c r="H963">
        <v>0</v>
      </c>
      <c r="I963">
        <v>850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990</v>
      </c>
      <c r="Q963">
        <v>110</v>
      </c>
      <c r="R963">
        <v>110</v>
      </c>
      <c r="S963" s="18">
        <f t="shared" si="156"/>
        <v>9</v>
      </c>
      <c r="T963" s="17">
        <f t="shared" si="157"/>
        <v>0</v>
      </c>
      <c r="U963" s="17">
        <f t="shared" si="158"/>
        <v>0</v>
      </c>
      <c r="V963" s="17">
        <f t="shared" si="159"/>
        <v>0</v>
      </c>
      <c r="W963" s="17">
        <f t="shared" si="160"/>
        <v>110</v>
      </c>
      <c r="X963" s="17">
        <f t="shared" si="161"/>
        <v>0</v>
      </c>
      <c r="Y963" s="19" t="e">
        <f t="shared" si="162"/>
        <v>#DIV/0!</v>
      </c>
      <c r="Z963">
        <v>980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850</v>
      </c>
      <c r="AH963">
        <v>850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f t="shared" si="163"/>
        <v>1700</v>
      </c>
      <c r="BF963">
        <v>1830</v>
      </c>
      <c r="BG963">
        <v>1830</v>
      </c>
      <c r="BH963" t="s">
        <v>63</v>
      </c>
      <c r="BI963" t="s">
        <v>1286</v>
      </c>
      <c r="BJ963">
        <v>0</v>
      </c>
      <c r="BK963">
        <v>850</v>
      </c>
      <c r="BL963">
        <v>1830</v>
      </c>
      <c r="BM963">
        <v>0</v>
      </c>
      <c r="BN963">
        <v>0</v>
      </c>
      <c r="BO963">
        <v>0</v>
      </c>
      <c r="BP963">
        <v>1840</v>
      </c>
      <c r="BQ963">
        <v>1840</v>
      </c>
      <c r="BR963">
        <f t="shared" si="164"/>
        <v>0</v>
      </c>
      <c r="BS963">
        <f t="shared" si="165"/>
        <v>220</v>
      </c>
      <c r="BU963">
        <f>R963*9</f>
        <v>990</v>
      </c>
      <c r="BV963">
        <f>IF(BU963&gt;BG963, 1, 0)</f>
        <v>0</v>
      </c>
    </row>
    <row r="964" spans="1:74" x14ac:dyDescent="0.25">
      <c r="A964" s="5" t="s">
        <v>1135</v>
      </c>
      <c r="B964" s="5" t="s">
        <v>359</v>
      </c>
      <c r="C964" s="5" t="s">
        <v>61</v>
      </c>
      <c r="D964" s="1" t="s">
        <v>67</v>
      </c>
      <c r="E964">
        <v>0</v>
      </c>
      <c r="F964">
        <v>440</v>
      </c>
      <c r="G964">
        <v>0</v>
      </c>
      <c r="H964">
        <v>0</v>
      </c>
      <c r="I964">
        <v>1500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990</v>
      </c>
      <c r="Q964">
        <v>110</v>
      </c>
      <c r="R964">
        <v>110</v>
      </c>
      <c r="S964" s="18">
        <f t="shared" si="156"/>
        <v>9</v>
      </c>
      <c r="T964" s="17">
        <f t="shared" si="157"/>
        <v>0</v>
      </c>
      <c r="U964" s="17">
        <f t="shared" si="158"/>
        <v>0</v>
      </c>
      <c r="V964" s="17">
        <f t="shared" si="159"/>
        <v>0</v>
      </c>
      <c r="W964" s="17">
        <f t="shared" si="160"/>
        <v>110</v>
      </c>
      <c r="X964" s="17">
        <f t="shared" si="161"/>
        <v>0</v>
      </c>
      <c r="Y964" s="19" t="e">
        <f t="shared" si="162"/>
        <v>#DIV/0!</v>
      </c>
      <c r="Z964">
        <v>440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1500</v>
      </c>
      <c r="AH964">
        <v>1500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f t="shared" si="163"/>
        <v>3000</v>
      </c>
      <c r="BF964">
        <v>1940</v>
      </c>
      <c r="BG964">
        <v>1940</v>
      </c>
      <c r="BH964" t="s">
        <v>63</v>
      </c>
      <c r="BI964" t="s">
        <v>1311</v>
      </c>
      <c r="BJ964">
        <v>0</v>
      </c>
      <c r="BK964">
        <v>1500</v>
      </c>
      <c r="BL964">
        <v>1940</v>
      </c>
      <c r="BM964">
        <v>0</v>
      </c>
      <c r="BN964">
        <v>0</v>
      </c>
      <c r="BO964">
        <v>0</v>
      </c>
      <c r="BP964">
        <v>2490</v>
      </c>
      <c r="BQ964">
        <v>2490</v>
      </c>
      <c r="BR964">
        <f t="shared" si="164"/>
        <v>0</v>
      </c>
      <c r="BS964">
        <f t="shared" si="165"/>
        <v>220</v>
      </c>
      <c r="BU964">
        <f>R964*9</f>
        <v>990</v>
      </c>
      <c r="BV964">
        <f>IF(BU964&gt;BG964, 1, 0)</f>
        <v>0</v>
      </c>
    </row>
    <row r="965" spans="1:74" x14ac:dyDescent="0.25">
      <c r="A965" s="5" t="s">
        <v>207</v>
      </c>
      <c r="B965" s="5" t="s">
        <v>207</v>
      </c>
      <c r="C965" s="5" t="s">
        <v>61</v>
      </c>
      <c r="D965" s="1" t="s">
        <v>69</v>
      </c>
      <c r="E965">
        <v>0</v>
      </c>
      <c r="F965">
        <v>523</v>
      </c>
      <c r="G965">
        <v>0</v>
      </c>
      <c r="H965">
        <v>0</v>
      </c>
      <c r="I965">
        <v>678</v>
      </c>
      <c r="J965">
        <v>200</v>
      </c>
      <c r="K965">
        <v>93</v>
      </c>
      <c r="L965">
        <v>32</v>
      </c>
      <c r="M965">
        <v>972</v>
      </c>
      <c r="N965">
        <v>0</v>
      </c>
      <c r="O965">
        <v>0</v>
      </c>
      <c r="P965">
        <v>0</v>
      </c>
      <c r="Q965">
        <v>200</v>
      </c>
      <c r="R965">
        <v>108</v>
      </c>
      <c r="S965" s="18">
        <f t="shared" si="156"/>
        <v>9</v>
      </c>
      <c r="T965" s="17">
        <f t="shared" si="157"/>
        <v>108</v>
      </c>
      <c r="U965" s="17">
        <f t="shared" si="158"/>
        <v>0</v>
      </c>
      <c r="V965" s="17">
        <f t="shared" si="159"/>
        <v>0</v>
      </c>
      <c r="W965" s="17">
        <f t="shared" si="160"/>
        <v>0</v>
      </c>
      <c r="X965" s="17">
        <f t="shared" si="161"/>
        <v>92</v>
      </c>
      <c r="Y965" s="19">
        <f t="shared" si="162"/>
        <v>0</v>
      </c>
      <c r="Z965">
        <v>523</v>
      </c>
      <c r="AA965">
        <v>0</v>
      </c>
      <c r="AB965">
        <v>0</v>
      </c>
      <c r="AC965">
        <v>0</v>
      </c>
      <c r="AD965">
        <v>678</v>
      </c>
      <c r="AE965">
        <v>0</v>
      </c>
      <c r="AF965">
        <v>0</v>
      </c>
      <c r="AG965">
        <v>0</v>
      </c>
      <c r="AH965">
        <v>678</v>
      </c>
      <c r="AI965">
        <v>0</v>
      </c>
      <c r="AJ965">
        <v>0</v>
      </c>
      <c r="AK965">
        <v>200</v>
      </c>
      <c r="AL965">
        <v>200</v>
      </c>
      <c r="AM965">
        <v>0</v>
      </c>
      <c r="AN965">
        <v>0</v>
      </c>
      <c r="AO965">
        <v>93</v>
      </c>
      <c r="AP965">
        <v>32</v>
      </c>
      <c r="AQ965">
        <v>93</v>
      </c>
      <c r="AR965">
        <v>61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32</v>
      </c>
      <c r="AY965">
        <v>0</v>
      </c>
      <c r="AZ965">
        <v>0</v>
      </c>
      <c r="BA965">
        <v>32</v>
      </c>
      <c r="BB965">
        <v>0</v>
      </c>
      <c r="BC965">
        <v>0</v>
      </c>
      <c r="BD965">
        <v>0</v>
      </c>
      <c r="BE965">
        <f t="shared" si="163"/>
        <v>2099</v>
      </c>
      <c r="BF965">
        <v>1526</v>
      </c>
      <c r="BG965">
        <v>1526</v>
      </c>
      <c r="BH965" t="s">
        <v>63</v>
      </c>
      <c r="BI965" t="s">
        <v>542</v>
      </c>
      <c r="BJ965">
        <v>0</v>
      </c>
      <c r="BK965">
        <v>1003</v>
      </c>
      <c r="BL965">
        <v>1526</v>
      </c>
      <c r="BM965">
        <v>1682</v>
      </c>
      <c r="BN965">
        <v>0</v>
      </c>
      <c r="BO965">
        <v>0</v>
      </c>
      <c r="BP965">
        <v>293</v>
      </c>
      <c r="BQ965">
        <v>1975</v>
      </c>
      <c r="BR965">
        <f t="shared" si="164"/>
        <v>-92</v>
      </c>
      <c r="BS965">
        <f t="shared" si="165"/>
        <v>308</v>
      </c>
      <c r="BU965">
        <f>R965*9</f>
        <v>972</v>
      </c>
      <c r="BV965">
        <f>IF(BU965&gt;BG965, 1, 0)</f>
        <v>0</v>
      </c>
    </row>
    <row r="966" spans="1:74" x14ac:dyDescent="0.25">
      <c r="A966" s="5" t="s">
        <v>1017</v>
      </c>
      <c r="B966" s="5" t="s">
        <v>61</v>
      </c>
      <c r="C966" s="5" t="s">
        <v>61</v>
      </c>
      <c r="D966" s="1" t="s">
        <v>98</v>
      </c>
      <c r="E966">
        <v>0</v>
      </c>
      <c r="F966">
        <v>0</v>
      </c>
      <c r="G966">
        <v>0</v>
      </c>
      <c r="H966">
        <v>0</v>
      </c>
      <c r="I966">
        <v>30</v>
      </c>
      <c r="J966">
        <v>487</v>
      </c>
      <c r="K966">
        <v>7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22</v>
      </c>
      <c r="R966">
        <v>0</v>
      </c>
      <c r="S966" s="18" t="e">
        <f t="shared" si="156"/>
        <v>#DIV/0!</v>
      </c>
      <c r="T966" s="17" t="e">
        <f t="shared" si="157"/>
        <v>#DIV/0!</v>
      </c>
      <c r="U966" s="17" t="e">
        <f t="shared" si="158"/>
        <v>#DIV/0!</v>
      </c>
      <c r="V966" s="17" t="e">
        <f t="shared" si="159"/>
        <v>#DIV/0!</v>
      </c>
      <c r="W966" s="17" t="e">
        <f t="shared" si="160"/>
        <v>#DIV/0!</v>
      </c>
      <c r="X966" s="17" t="e">
        <f t="shared" si="161"/>
        <v>#DIV/0!</v>
      </c>
      <c r="Y966" s="19" t="e">
        <f t="shared" si="162"/>
        <v>#DIV/0!</v>
      </c>
      <c r="Z966">
        <v>0</v>
      </c>
      <c r="AA966">
        <v>0</v>
      </c>
      <c r="AB966">
        <v>0</v>
      </c>
      <c r="AC966">
        <v>120</v>
      </c>
      <c r="AD966">
        <v>0</v>
      </c>
      <c r="AE966">
        <v>0</v>
      </c>
      <c r="AF966">
        <v>0</v>
      </c>
      <c r="AG966">
        <v>30</v>
      </c>
      <c r="AH966">
        <v>30</v>
      </c>
      <c r="AI966">
        <v>0</v>
      </c>
      <c r="AJ966">
        <v>0</v>
      </c>
      <c r="AK966">
        <v>487</v>
      </c>
      <c r="AL966">
        <v>487</v>
      </c>
      <c r="AM966">
        <v>0</v>
      </c>
      <c r="AN966">
        <v>0</v>
      </c>
      <c r="AO966">
        <v>7</v>
      </c>
      <c r="AP966">
        <v>0</v>
      </c>
      <c r="AQ966">
        <v>7</v>
      </c>
      <c r="AR966">
        <v>7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f t="shared" si="163"/>
        <v>1175</v>
      </c>
      <c r="BF966">
        <v>644</v>
      </c>
      <c r="BG966">
        <v>644</v>
      </c>
      <c r="BH966" t="s">
        <v>190</v>
      </c>
      <c r="BI966" t="s">
        <v>1034</v>
      </c>
      <c r="BJ966">
        <v>120</v>
      </c>
      <c r="BK966">
        <v>524</v>
      </c>
      <c r="BL966">
        <v>644</v>
      </c>
      <c r="BM966">
        <v>0</v>
      </c>
      <c r="BN966">
        <v>0</v>
      </c>
      <c r="BO966">
        <v>0</v>
      </c>
      <c r="BP966">
        <v>524</v>
      </c>
      <c r="BQ966">
        <v>524</v>
      </c>
      <c r="BR966">
        <f t="shared" si="164"/>
        <v>-22</v>
      </c>
      <c r="BS966">
        <f t="shared" si="165"/>
        <v>22</v>
      </c>
    </row>
    <row r="967" spans="1:74" x14ac:dyDescent="0.25">
      <c r="A967" s="5" t="s">
        <v>1135</v>
      </c>
      <c r="B967" s="5" t="s">
        <v>61</v>
      </c>
      <c r="C967" s="5" t="s">
        <v>61</v>
      </c>
      <c r="D967" s="1" t="s">
        <v>169</v>
      </c>
      <c r="E967">
        <v>0</v>
      </c>
      <c r="F967">
        <v>0</v>
      </c>
      <c r="G967">
        <v>0</v>
      </c>
      <c r="H967">
        <v>0</v>
      </c>
      <c r="I967">
        <v>300</v>
      </c>
      <c r="J967">
        <v>965</v>
      </c>
      <c r="K967">
        <v>195</v>
      </c>
      <c r="L967">
        <v>230</v>
      </c>
      <c r="M967">
        <v>0</v>
      </c>
      <c r="N967">
        <v>0</v>
      </c>
      <c r="O967">
        <v>0</v>
      </c>
      <c r="P967">
        <v>0</v>
      </c>
      <c r="Q967">
        <v>22</v>
      </c>
      <c r="R967">
        <v>0</v>
      </c>
      <c r="S967" s="18" t="e">
        <f t="shared" si="156"/>
        <v>#DIV/0!</v>
      </c>
      <c r="T967" s="17" t="e">
        <f t="shared" si="157"/>
        <v>#DIV/0!</v>
      </c>
      <c r="U967" s="17" t="e">
        <f t="shared" si="158"/>
        <v>#DIV/0!</v>
      </c>
      <c r="V967" s="17" t="e">
        <f t="shared" si="159"/>
        <v>#DIV/0!</v>
      </c>
      <c r="W967" s="17" t="e">
        <f t="shared" si="160"/>
        <v>#DIV/0!</v>
      </c>
      <c r="X967" s="17" t="e">
        <f t="shared" si="161"/>
        <v>#DIV/0!</v>
      </c>
      <c r="Y967" s="19" t="e">
        <f t="shared" si="162"/>
        <v>#DIV/0!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300</v>
      </c>
      <c r="AH967">
        <v>300</v>
      </c>
      <c r="AI967">
        <v>0</v>
      </c>
      <c r="AJ967">
        <v>0</v>
      </c>
      <c r="AK967">
        <v>965</v>
      </c>
      <c r="AL967">
        <v>965</v>
      </c>
      <c r="AM967">
        <v>0</v>
      </c>
      <c r="AN967">
        <v>0</v>
      </c>
      <c r="AO967">
        <v>195</v>
      </c>
      <c r="AP967">
        <v>130</v>
      </c>
      <c r="AQ967">
        <v>195</v>
      </c>
      <c r="AR967">
        <v>65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230</v>
      </c>
      <c r="BA967">
        <v>230</v>
      </c>
      <c r="BB967">
        <v>0</v>
      </c>
      <c r="BC967">
        <v>0</v>
      </c>
      <c r="BD967">
        <v>0</v>
      </c>
      <c r="BE967">
        <f t="shared" si="163"/>
        <v>3575</v>
      </c>
      <c r="BF967">
        <v>1690</v>
      </c>
      <c r="BG967">
        <v>1690</v>
      </c>
      <c r="BH967" t="s">
        <v>190</v>
      </c>
      <c r="BI967" t="s">
        <v>1183</v>
      </c>
      <c r="BJ967">
        <v>0</v>
      </c>
      <c r="BK967">
        <v>1690</v>
      </c>
      <c r="BL967">
        <v>1690</v>
      </c>
      <c r="BM967">
        <v>0</v>
      </c>
      <c r="BN967">
        <v>0</v>
      </c>
      <c r="BO967">
        <v>0</v>
      </c>
      <c r="BP967">
        <v>1690</v>
      </c>
      <c r="BQ967">
        <v>1690</v>
      </c>
      <c r="BR967">
        <f t="shared" si="164"/>
        <v>-22</v>
      </c>
      <c r="BS967">
        <f t="shared" si="165"/>
        <v>22</v>
      </c>
    </row>
    <row r="968" spans="1:74" x14ac:dyDescent="0.25">
      <c r="A968" s="5" t="s">
        <v>1451</v>
      </c>
      <c r="B968" s="5" t="s">
        <v>359</v>
      </c>
      <c r="C968" s="5" t="s">
        <v>61</v>
      </c>
      <c r="D968" s="1" t="s">
        <v>157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400</v>
      </c>
      <c r="K968">
        <v>50</v>
      </c>
      <c r="L968">
        <v>40</v>
      </c>
      <c r="M968">
        <v>0</v>
      </c>
      <c r="N968">
        <v>0</v>
      </c>
      <c r="O968">
        <v>0</v>
      </c>
      <c r="P968">
        <v>0</v>
      </c>
      <c r="Q968">
        <v>22</v>
      </c>
      <c r="R968">
        <v>0</v>
      </c>
      <c r="S968" s="18" t="e">
        <f t="shared" si="156"/>
        <v>#DIV/0!</v>
      </c>
      <c r="T968" s="17" t="e">
        <f t="shared" si="157"/>
        <v>#DIV/0!</v>
      </c>
      <c r="U968" s="17" t="e">
        <f t="shared" si="158"/>
        <v>#DIV/0!</v>
      </c>
      <c r="V968" s="17" t="e">
        <f t="shared" si="159"/>
        <v>#DIV/0!</v>
      </c>
      <c r="W968" s="17" t="e">
        <f t="shared" si="160"/>
        <v>#DIV/0!</v>
      </c>
      <c r="X968" s="17" t="e">
        <f t="shared" si="161"/>
        <v>#DIV/0!</v>
      </c>
      <c r="Y968" s="19" t="e">
        <f t="shared" si="162"/>
        <v>#DIV/0!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400</v>
      </c>
      <c r="AL968">
        <v>400</v>
      </c>
      <c r="AM968">
        <v>0</v>
      </c>
      <c r="AN968">
        <v>0</v>
      </c>
      <c r="AO968">
        <v>50</v>
      </c>
      <c r="AP968">
        <v>30</v>
      </c>
      <c r="AQ968">
        <v>50</v>
      </c>
      <c r="AR968">
        <v>20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40</v>
      </c>
      <c r="BA968">
        <v>40</v>
      </c>
      <c r="BB968">
        <v>0</v>
      </c>
      <c r="BC968">
        <v>0</v>
      </c>
      <c r="BD968">
        <v>0</v>
      </c>
      <c r="BE968">
        <f t="shared" si="163"/>
        <v>1030</v>
      </c>
      <c r="BF968">
        <v>490</v>
      </c>
      <c r="BG968">
        <v>490</v>
      </c>
      <c r="BH968" t="s">
        <v>199</v>
      </c>
      <c r="BI968" t="s">
        <v>1641</v>
      </c>
      <c r="BJ968">
        <v>0</v>
      </c>
      <c r="BK968">
        <v>490</v>
      </c>
      <c r="BL968">
        <v>490</v>
      </c>
      <c r="BM968">
        <v>0</v>
      </c>
      <c r="BN968">
        <v>0</v>
      </c>
      <c r="BO968">
        <v>0</v>
      </c>
      <c r="BP968">
        <v>490</v>
      </c>
      <c r="BQ968">
        <v>490</v>
      </c>
      <c r="BR968">
        <f t="shared" si="164"/>
        <v>-22</v>
      </c>
      <c r="BS968">
        <f t="shared" si="165"/>
        <v>22</v>
      </c>
    </row>
    <row r="969" spans="1:74" x14ac:dyDescent="0.25">
      <c r="A969" s="5" t="s">
        <v>1946</v>
      </c>
      <c r="B969" s="5" t="s">
        <v>207</v>
      </c>
      <c r="C969" s="5" t="s">
        <v>61</v>
      </c>
      <c r="D969" s="1" t="s">
        <v>123</v>
      </c>
      <c r="E969">
        <v>0</v>
      </c>
      <c r="F969">
        <v>140</v>
      </c>
      <c r="G969">
        <v>0</v>
      </c>
      <c r="H969">
        <v>0</v>
      </c>
      <c r="I969">
        <v>162</v>
      </c>
      <c r="J969">
        <v>881</v>
      </c>
      <c r="K969">
        <v>250</v>
      </c>
      <c r="L969">
        <v>100</v>
      </c>
      <c r="M969">
        <v>0</v>
      </c>
      <c r="N969">
        <v>0</v>
      </c>
      <c r="O969">
        <v>0</v>
      </c>
      <c r="P969">
        <v>315</v>
      </c>
      <c r="Q969">
        <v>57</v>
      </c>
      <c r="R969">
        <v>35</v>
      </c>
      <c r="S969" s="18">
        <f t="shared" si="156"/>
        <v>9</v>
      </c>
      <c r="T969" s="17">
        <f t="shared" si="157"/>
        <v>0</v>
      </c>
      <c r="U969" s="17">
        <f t="shared" si="158"/>
        <v>0</v>
      </c>
      <c r="V969" s="17">
        <f t="shared" si="159"/>
        <v>0</v>
      </c>
      <c r="W969" s="17">
        <f t="shared" si="160"/>
        <v>35</v>
      </c>
      <c r="X969" s="17">
        <f t="shared" si="161"/>
        <v>22</v>
      </c>
      <c r="Y969" s="19">
        <f t="shared" si="162"/>
        <v>0</v>
      </c>
      <c r="Z969">
        <v>140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162</v>
      </c>
      <c r="AH969">
        <v>162</v>
      </c>
      <c r="AI969">
        <v>0</v>
      </c>
      <c r="AJ969">
        <v>0</v>
      </c>
      <c r="AK969">
        <v>881</v>
      </c>
      <c r="AL969">
        <v>881</v>
      </c>
      <c r="AM969">
        <v>0</v>
      </c>
      <c r="AN969">
        <v>0</v>
      </c>
      <c r="AO969">
        <v>250</v>
      </c>
      <c r="AP969">
        <v>0</v>
      </c>
      <c r="AQ969">
        <v>250</v>
      </c>
      <c r="AR969">
        <v>250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100</v>
      </c>
      <c r="BA969">
        <v>100</v>
      </c>
      <c r="BB969">
        <v>0</v>
      </c>
      <c r="BC969">
        <v>0</v>
      </c>
      <c r="BD969">
        <v>0</v>
      </c>
      <c r="BE969">
        <f t="shared" si="163"/>
        <v>3036</v>
      </c>
      <c r="BF969">
        <v>1533</v>
      </c>
      <c r="BG969">
        <v>1533</v>
      </c>
      <c r="BH969" t="s">
        <v>199</v>
      </c>
      <c r="BI969" t="s">
        <v>2037</v>
      </c>
      <c r="BJ969">
        <v>0</v>
      </c>
      <c r="BK969">
        <v>1393</v>
      </c>
      <c r="BL969">
        <v>1533</v>
      </c>
      <c r="BM969">
        <v>0</v>
      </c>
      <c r="BN969">
        <v>0</v>
      </c>
      <c r="BO969">
        <v>0</v>
      </c>
      <c r="BP969">
        <v>1708</v>
      </c>
      <c r="BQ969">
        <v>1708</v>
      </c>
      <c r="BR969">
        <f t="shared" si="164"/>
        <v>-22</v>
      </c>
      <c r="BS969">
        <f t="shared" si="165"/>
        <v>92</v>
      </c>
    </row>
    <row r="970" spans="1:74" x14ac:dyDescent="0.25">
      <c r="A970" s="5" t="s">
        <v>1946</v>
      </c>
      <c r="B970" s="5" t="s">
        <v>207</v>
      </c>
      <c r="C970" s="5" t="s">
        <v>207</v>
      </c>
      <c r="D970" s="1" t="s">
        <v>151</v>
      </c>
      <c r="E970">
        <v>50</v>
      </c>
      <c r="F970">
        <v>0</v>
      </c>
      <c r="G970">
        <v>0</v>
      </c>
      <c r="H970">
        <v>0</v>
      </c>
      <c r="I970">
        <v>0</v>
      </c>
      <c r="J970">
        <v>220</v>
      </c>
      <c r="K970">
        <v>150</v>
      </c>
      <c r="L970">
        <v>125</v>
      </c>
      <c r="M970">
        <v>0</v>
      </c>
      <c r="N970">
        <v>0</v>
      </c>
      <c r="O970">
        <v>0</v>
      </c>
      <c r="P970">
        <v>0</v>
      </c>
      <c r="Q970">
        <v>22</v>
      </c>
      <c r="R970">
        <v>0</v>
      </c>
      <c r="S970" s="18" t="e">
        <f t="shared" si="156"/>
        <v>#DIV/0!</v>
      </c>
      <c r="T970" s="17" t="e">
        <f t="shared" si="157"/>
        <v>#DIV/0!</v>
      </c>
      <c r="U970" s="17" t="e">
        <f t="shared" si="158"/>
        <v>#DIV/0!</v>
      </c>
      <c r="V970" s="17" t="e">
        <f t="shared" si="159"/>
        <v>#DIV/0!</v>
      </c>
      <c r="W970" s="17" t="e">
        <f t="shared" si="160"/>
        <v>#DIV/0!</v>
      </c>
      <c r="X970" s="17" t="e">
        <f t="shared" si="161"/>
        <v>#DIV/0!</v>
      </c>
      <c r="Y970" s="19" t="e">
        <f t="shared" si="162"/>
        <v>#DIV/0!</v>
      </c>
      <c r="Z970">
        <v>0</v>
      </c>
      <c r="AA970">
        <v>0</v>
      </c>
      <c r="AB970">
        <v>0</v>
      </c>
      <c r="AC970">
        <v>250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220</v>
      </c>
      <c r="AL970">
        <v>220</v>
      </c>
      <c r="AM970">
        <v>0</v>
      </c>
      <c r="AN970">
        <v>0</v>
      </c>
      <c r="AO970">
        <v>150</v>
      </c>
      <c r="AP970">
        <v>20</v>
      </c>
      <c r="AQ970">
        <v>150</v>
      </c>
      <c r="AR970">
        <v>130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125</v>
      </c>
      <c r="BA970">
        <v>125</v>
      </c>
      <c r="BB970">
        <v>0</v>
      </c>
      <c r="BC970">
        <v>0</v>
      </c>
      <c r="BD970">
        <v>0</v>
      </c>
      <c r="BE970">
        <f t="shared" si="163"/>
        <v>1390</v>
      </c>
      <c r="BF970">
        <v>795</v>
      </c>
      <c r="BG970">
        <v>795</v>
      </c>
      <c r="BH970" t="s">
        <v>190</v>
      </c>
      <c r="BI970" t="s">
        <v>2079</v>
      </c>
      <c r="BJ970">
        <v>300</v>
      </c>
      <c r="BK970">
        <v>495</v>
      </c>
      <c r="BL970">
        <v>795</v>
      </c>
      <c r="BM970">
        <v>0</v>
      </c>
      <c r="BN970">
        <v>0</v>
      </c>
      <c r="BO970">
        <v>0</v>
      </c>
      <c r="BP970">
        <v>495</v>
      </c>
      <c r="BQ970">
        <v>495</v>
      </c>
      <c r="BR970">
        <f t="shared" si="164"/>
        <v>-22</v>
      </c>
      <c r="BS970">
        <f t="shared" si="165"/>
        <v>22</v>
      </c>
    </row>
    <row r="971" spans="1:74" x14ac:dyDescent="0.25">
      <c r="A971" s="5" t="s">
        <v>627</v>
      </c>
      <c r="B971" s="5" t="s">
        <v>61</v>
      </c>
      <c r="C971" s="5" t="s">
        <v>61</v>
      </c>
      <c r="D971" s="1" t="s">
        <v>96</v>
      </c>
      <c r="E971">
        <v>0</v>
      </c>
      <c r="F971">
        <v>0</v>
      </c>
      <c r="G971">
        <v>0</v>
      </c>
      <c r="H971">
        <v>0</v>
      </c>
      <c r="I971">
        <v>10</v>
      </c>
      <c r="J971">
        <v>220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23</v>
      </c>
      <c r="R971">
        <v>0</v>
      </c>
      <c r="S971" s="18" t="e">
        <f t="shared" si="156"/>
        <v>#DIV/0!</v>
      </c>
      <c r="T971" s="17" t="e">
        <f t="shared" si="157"/>
        <v>#DIV/0!</v>
      </c>
      <c r="U971" s="17" t="e">
        <f t="shared" si="158"/>
        <v>#DIV/0!</v>
      </c>
      <c r="V971" s="17" t="e">
        <f t="shared" si="159"/>
        <v>#DIV/0!</v>
      </c>
      <c r="W971" s="17" t="e">
        <f t="shared" si="160"/>
        <v>#DIV/0!</v>
      </c>
      <c r="X971" s="17" t="e">
        <f t="shared" si="161"/>
        <v>#DIV/0!</v>
      </c>
      <c r="Y971" s="19" t="e">
        <f t="shared" si="162"/>
        <v>#DIV/0!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</v>
      </c>
      <c r="AH971">
        <v>10</v>
      </c>
      <c r="AI971">
        <v>0</v>
      </c>
      <c r="AJ971">
        <v>0</v>
      </c>
      <c r="AK971">
        <v>220</v>
      </c>
      <c r="AL971">
        <v>220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f t="shared" si="163"/>
        <v>460</v>
      </c>
      <c r="BF971">
        <v>230</v>
      </c>
      <c r="BG971">
        <v>230</v>
      </c>
      <c r="BH971" t="s">
        <v>190</v>
      </c>
      <c r="BI971" t="s">
        <v>825</v>
      </c>
      <c r="BJ971">
        <v>0</v>
      </c>
      <c r="BK971">
        <v>230</v>
      </c>
      <c r="BL971">
        <v>230</v>
      </c>
      <c r="BM971">
        <v>0</v>
      </c>
      <c r="BN971">
        <v>0</v>
      </c>
      <c r="BO971">
        <v>0</v>
      </c>
      <c r="BP971">
        <v>230</v>
      </c>
      <c r="BQ971">
        <v>230</v>
      </c>
      <c r="BR971">
        <f t="shared" si="164"/>
        <v>-23</v>
      </c>
      <c r="BS971">
        <f t="shared" si="165"/>
        <v>23</v>
      </c>
    </row>
    <row r="972" spans="1:74" x14ac:dyDescent="0.25">
      <c r="A972" s="5" t="s">
        <v>1946</v>
      </c>
      <c r="B972" s="5" t="s">
        <v>207</v>
      </c>
      <c r="C972" s="5" t="s">
        <v>61</v>
      </c>
      <c r="D972" s="1" t="s">
        <v>102</v>
      </c>
      <c r="E972">
        <v>0</v>
      </c>
      <c r="F972">
        <v>90</v>
      </c>
      <c r="G972">
        <v>0</v>
      </c>
      <c r="H972">
        <v>0</v>
      </c>
      <c r="I972">
        <v>0</v>
      </c>
      <c r="J972">
        <v>150</v>
      </c>
      <c r="K972">
        <v>35</v>
      </c>
      <c r="L972">
        <v>65</v>
      </c>
      <c r="M972">
        <v>0</v>
      </c>
      <c r="N972">
        <v>0</v>
      </c>
      <c r="O972">
        <v>0</v>
      </c>
      <c r="P972">
        <v>162</v>
      </c>
      <c r="Q972">
        <v>41</v>
      </c>
      <c r="R972">
        <v>18</v>
      </c>
      <c r="S972" s="18">
        <f t="shared" si="156"/>
        <v>9</v>
      </c>
      <c r="T972" s="17">
        <f t="shared" si="157"/>
        <v>0</v>
      </c>
      <c r="U972" s="17">
        <f t="shared" si="158"/>
        <v>0</v>
      </c>
      <c r="V972" s="17">
        <f t="shared" si="159"/>
        <v>0</v>
      </c>
      <c r="W972" s="17">
        <f t="shared" si="160"/>
        <v>18</v>
      </c>
      <c r="X972" s="17">
        <f t="shared" si="161"/>
        <v>23</v>
      </c>
      <c r="Y972" s="19">
        <f t="shared" si="162"/>
        <v>0</v>
      </c>
      <c r="Z972">
        <v>90</v>
      </c>
      <c r="AA972">
        <v>0</v>
      </c>
      <c r="AB972">
        <v>0</v>
      </c>
      <c r="AC972">
        <v>175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150</v>
      </c>
      <c r="AL972">
        <v>150</v>
      </c>
      <c r="AM972">
        <v>0</v>
      </c>
      <c r="AN972">
        <v>0</v>
      </c>
      <c r="AO972">
        <v>35</v>
      </c>
      <c r="AP972">
        <v>0</v>
      </c>
      <c r="AQ972">
        <v>35</v>
      </c>
      <c r="AR972">
        <v>35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65</v>
      </c>
      <c r="BA972">
        <v>65</v>
      </c>
      <c r="BB972">
        <v>0</v>
      </c>
      <c r="BC972">
        <v>0</v>
      </c>
      <c r="BD972">
        <v>0</v>
      </c>
      <c r="BE972">
        <f t="shared" si="163"/>
        <v>710</v>
      </c>
      <c r="BF972">
        <v>515</v>
      </c>
      <c r="BG972">
        <v>515</v>
      </c>
      <c r="BH972" t="s">
        <v>190</v>
      </c>
      <c r="BI972" t="s">
        <v>2027</v>
      </c>
      <c r="BJ972">
        <v>175</v>
      </c>
      <c r="BK972">
        <v>250</v>
      </c>
      <c r="BL972">
        <v>515</v>
      </c>
      <c r="BM972">
        <v>0</v>
      </c>
      <c r="BN972">
        <v>0</v>
      </c>
      <c r="BO972">
        <v>0</v>
      </c>
      <c r="BP972">
        <v>412</v>
      </c>
      <c r="BQ972">
        <v>412</v>
      </c>
      <c r="BR972">
        <f t="shared" si="164"/>
        <v>-23</v>
      </c>
      <c r="BS972">
        <f t="shared" si="165"/>
        <v>59</v>
      </c>
    </row>
    <row r="973" spans="1:74" x14ac:dyDescent="0.25">
      <c r="A973" s="5" t="s">
        <v>1946</v>
      </c>
      <c r="B973" s="5" t="s">
        <v>207</v>
      </c>
      <c r="C973" s="5" t="s">
        <v>61</v>
      </c>
      <c r="D973" s="1" t="s">
        <v>113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704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23</v>
      </c>
      <c r="R973">
        <v>0</v>
      </c>
      <c r="S973" s="18" t="e">
        <f t="shared" si="156"/>
        <v>#DIV/0!</v>
      </c>
      <c r="T973" s="17" t="e">
        <f t="shared" si="157"/>
        <v>#DIV/0!</v>
      </c>
      <c r="U973" s="17" t="e">
        <f t="shared" si="158"/>
        <v>#DIV/0!</v>
      </c>
      <c r="V973" s="17" t="e">
        <f t="shared" si="159"/>
        <v>#DIV/0!</v>
      </c>
      <c r="W973" s="17" t="e">
        <f t="shared" si="160"/>
        <v>#DIV/0!</v>
      </c>
      <c r="X973" s="17" t="e">
        <f t="shared" si="161"/>
        <v>#DIV/0!</v>
      </c>
      <c r="Y973" s="19" t="e">
        <f t="shared" si="162"/>
        <v>#DIV/0!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704</v>
      </c>
      <c r="AP973">
        <v>344</v>
      </c>
      <c r="AQ973">
        <v>704</v>
      </c>
      <c r="AR973">
        <v>360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f t="shared" si="163"/>
        <v>2112</v>
      </c>
      <c r="BF973">
        <v>704</v>
      </c>
      <c r="BG973">
        <v>704</v>
      </c>
      <c r="BH973" t="s">
        <v>190</v>
      </c>
      <c r="BI973" t="s">
        <v>2032</v>
      </c>
      <c r="BJ973">
        <v>0</v>
      </c>
      <c r="BK973">
        <v>704</v>
      </c>
      <c r="BL973">
        <v>704</v>
      </c>
      <c r="BM973">
        <v>0</v>
      </c>
      <c r="BN973">
        <v>0</v>
      </c>
      <c r="BO973">
        <v>0</v>
      </c>
      <c r="BP973">
        <v>704</v>
      </c>
      <c r="BQ973">
        <v>704</v>
      </c>
      <c r="BR973">
        <f t="shared" si="164"/>
        <v>-23</v>
      </c>
      <c r="BS973">
        <f t="shared" si="165"/>
        <v>23</v>
      </c>
    </row>
    <row r="974" spans="1:74" x14ac:dyDescent="0.25">
      <c r="A974" s="5" t="s">
        <v>1135</v>
      </c>
      <c r="B974" s="5" t="s">
        <v>207</v>
      </c>
      <c r="C974" s="5" t="s">
        <v>359</v>
      </c>
      <c r="D974" s="1" t="s">
        <v>71</v>
      </c>
      <c r="E974">
        <v>0</v>
      </c>
      <c r="F974">
        <v>895</v>
      </c>
      <c r="G974">
        <v>0</v>
      </c>
      <c r="H974">
        <v>0</v>
      </c>
      <c r="I974">
        <v>1120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963</v>
      </c>
      <c r="Q974">
        <v>107</v>
      </c>
      <c r="R974">
        <v>107</v>
      </c>
      <c r="S974" s="18">
        <f t="shared" si="156"/>
        <v>9</v>
      </c>
      <c r="T974" s="17">
        <f t="shared" si="157"/>
        <v>0</v>
      </c>
      <c r="U974" s="17">
        <f t="shared" si="158"/>
        <v>0</v>
      </c>
      <c r="V974" s="17">
        <f t="shared" si="159"/>
        <v>0</v>
      </c>
      <c r="W974" s="17">
        <f t="shared" si="160"/>
        <v>107</v>
      </c>
      <c r="X974" s="17">
        <f t="shared" si="161"/>
        <v>0</v>
      </c>
      <c r="Y974" s="19" t="e">
        <f t="shared" si="162"/>
        <v>#DIV/0!</v>
      </c>
      <c r="Z974">
        <v>895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1120</v>
      </c>
      <c r="AH974">
        <v>1120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f t="shared" si="163"/>
        <v>2240</v>
      </c>
      <c r="BF974">
        <v>2015</v>
      </c>
      <c r="BG974">
        <v>2015</v>
      </c>
      <c r="BH974" t="s">
        <v>63</v>
      </c>
      <c r="BI974" t="s">
        <v>1287</v>
      </c>
      <c r="BJ974">
        <v>0</v>
      </c>
      <c r="BK974">
        <v>1120</v>
      </c>
      <c r="BL974">
        <v>2015</v>
      </c>
      <c r="BM974">
        <v>0</v>
      </c>
      <c r="BN974">
        <v>0</v>
      </c>
      <c r="BO974">
        <v>0</v>
      </c>
      <c r="BP974">
        <v>2083</v>
      </c>
      <c r="BQ974">
        <v>2083</v>
      </c>
      <c r="BR974">
        <f t="shared" si="164"/>
        <v>0</v>
      </c>
      <c r="BS974">
        <f t="shared" si="165"/>
        <v>214</v>
      </c>
      <c r="BU974">
        <f>R974*9</f>
        <v>963</v>
      </c>
      <c r="BV974">
        <f>IF(BU974&gt;BG974, 1, 0)</f>
        <v>0</v>
      </c>
    </row>
    <row r="975" spans="1:74" x14ac:dyDescent="0.25">
      <c r="A975" s="5" t="s">
        <v>1946</v>
      </c>
      <c r="B975" s="5" t="s">
        <v>207</v>
      </c>
      <c r="C975" s="5" t="s">
        <v>207</v>
      </c>
      <c r="D975" s="1" t="s">
        <v>137</v>
      </c>
      <c r="E975">
        <v>0</v>
      </c>
      <c r="F975">
        <v>2700</v>
      </c>
      <c r="G975">
        <v>0</v>
      </c>
      <c r="H975">
        <v>0</v>
      </c>
      <c r="I975">
        <v>85</v>
      </c>
      <c r="J975">
        <v>0</v>
      </c>
      <c r="K975">
        <v>435</v>
      </c>
      <c r="L975">
        <v>0</v>
      </c>
      <c r="M975">
        <v>6075</v>
      </c>
      <c r="N975">
        <v>0</v>
      </c>
      <c r="O975">
        <v>0</v>
      </c>
      <c r="P975">
        <v>0</v>
      </c>
      <c r="Q975">
        <v>698</v>
      </c>
      <c r="R975">
        <v>675</v>
      </c>
      <c r="S975" s="18">
        <f t="shared" si="156"/>
        <v>9</v>
      </c>
      <c r="T975" s="17">
        <f t="shared" si="157"/>
        <v>675</v>
      </c>
      <c r="U975" s="17">
        <f t="shared" si="158"/>
        <v>0</v>
      </c>
      <c r="V975" s="17">
        <f t="shared" si="159"/>
        <v>0</v>
      </c>
      <c r="W975" s="17">
        <f t="shared" si="160"/>
        <v>0</v>
      </c>
      <c r="X975" s="17">
        <f t="shared" si="161"/>
        <v>23</v>
      </c>
      <c r="Y975" s="19">
        <f t="shared" si="162"/>
        <v>0</v>
      </c>
      <c r="Z975">
        <v>2700</v>
      </c>
      <c r="AA975">
        <v>0</v>
      </c>
      <c r="AB975">
        <v>0</v>
      </c>
      <c r="AC975">
        <v>0</v>
      </c>
      <c r="AD975">
        <v>85</v>
      </c>
      <c r="AE975">
        <v>0</v>
      </c>
      <c r="AF975">
        <v>0</v>
      </c>
      <c r="AG975">
        <v>0</v>
      </c>
      <c r="AH975">
        <v>85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435</v>
      </c>
      <c r="AP975">
        <v>163</v>
      </c>
      <c r="AQ975">
        <v>435</v>
      </c>
      <c r="AR975">
        <v>272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f t="shared" si="163"/>
        <v>1475</v>
      </c>
      <c r="BF975">
        <v>3220</v>
      </c>
      <c r="BG975">
        <v>3220</v>
      </c>
      <c r="BH975" t="s">
        <v>109</v>
      </c>
      <c r="BI975" t="s">
        <v>2072</v>
      </c>
      <c r="BJ975">
        <v>0</v>
      </c>
      <c r="BK975">
        <v>520</v>
      </c>
      <c r="BL975">
        <v>3220</v>
      </c>
      <c r="BM975">
        <v>6160</v>
      </c>
      <c r="BN975">
        <v>0</v>
      </c>
      <c r="BO975">
        <v>0</v>
      </c>
      <c r="BP975">
        <v>435</v>
      </c>
      <c r="BQ975">
        <v>6595</v>
      </c>
      <c r="BR975">
        <f t="shared" si="164"/>
        <v>-23</v>
      </c>
      <c r="BS975">
        <f t="shared" si="165"/>
        <v>1373</v>
      </c>
    </row>
    <row r="976" spans="1:74" x14ac:dyDescent="0.25">
      <c r="A976" s="5" t="s">
        <v>2294</v>
      </c>
      <c r="B976" s="5" t="s">
        <v>207</v>
      </c>
      <c r="C976" s="5" t="s">
        <v>61</v>
      </c>
      <c r="D976" s="1" t="s">
        <v>117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23</v>
      </c>
      <c r="R976">
        <v>0</v>
      </c>
      <c r="S976" s="18" t="e">
        <f t="shared" si="156"/>
        <v>#DIV/0!</v>
      </c>
      <c r="T976" s="17" t="e">
        <f t="shared" si="157"/>
        <v>#DIV/0!</v>
      </c>
      <c r="U976" s="17" t="e">
        <f t="shared" si="158"/>
        <v>#DIV/0!</v>
      </c>
      <c r="V976" s="17" t="e">
        <f t="shared" si="159"/>
        <v>#DIV/0!</v>
      </c>
      <c r="W976" s="17" t="e">
        <f t="shared" si="160"/>
        <v>#DIV/0!</v>
      </c>
      <c r="X976" s="17" t="e">
        <f t="shared" si="161"/>
        <v>#DIV/0!</v>
      </c>
      <c r="Y976" s="19" t="e">
        <f t="shared" si="162"/>
        <v>#DIV/0!</v>
      </c>
      <c r="Z976">
        <v>0</v>
      </c>
      <c r="AA976">
        <v>0</v>
      </c>
      <c r="AB976">
        <v>0</v>
      </c>
      <c r="AC976">
        <v>100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f t="shared" si="163"/>
        <v>112</v>
      </c>
      <c r="BF976">
        <v>100</v>
      </c>
      <c r="BG976">
        <v>100</v>
      </c>
      <c r="BH976" t="s">
        <v>190</v>
      </c>
      <c r="BI976" t="s">
        <v>2348</v>
      </c>
      <c r="BJ976">
        <v>100</v>
      </c>
      <c r="BK976">
        <v>0</v>
      </c>
      <c r="BL976">
        <v>100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f t="shared" si="164"/>
        <v>-23</v>
      </c>
      <c r="BS976">
        <f t="shared" si="165"/>
        <v>23</v>
      </c>
    </row>
    <row r="977" spans="1:71" x14ac:dyDescent="0.25">
      <c r="A977" s="5" t="s">
        <v>207</v>
      </c>
      <c r="B977" s="5" t="s">
        <v>627</v>
      </c>
      <c r="C977" s="5" t="s">
        <v>207</v>
      </c>
      <c r="D977" s="1" t="s">
        <v>123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400</v>
      </c>
      <c r="K977">
        <v>25</v>
      </c>
      <c r="L977">
        <v>115</v>
      </c>
      <c r="M977">
        <v>0</v>
      </c>
      <c r="N977">
        <v>0</v>
      </c>
      <c r="O977">
        <v>0</v>
      </c>
      <c r="P977">
        <v>0</v>
      </c>
      <c r="Q977">
        <v>24</v>
      </c>
      <c r="R977">
        <v>0</v>
      </c>
      <c r="S977" s="18" t="e">
        <f t="shared" si="156"/>
        <v>#DIV/0!</v>
      </c>
      <c r="T977" s="17" t="e">
        <f t="shared" si="157"/>
        <v>#DIV/0!</v>
      </c>
      <c r="U977" s="17" t="e">
        <f t="shared" si="158"/>
        <v>#DIV/0!</v>
      </c>
      <c r="V977" s="17" t="e">
        <f t="shared" si="159"/>
        <v>#DIV/0!</v>
      </c>
      <c r="W977" s="17" t="e">
        <f t="shared" si="160"/>
        <v>#DIV/0!</v>
      </c>
      <c r="X977" s="17" t="e">
        <f t="shared" si="161"/>
        <v>#DIV/0!</v>
      </c>
      <c r="Y977" s="19" t="e">
        <f t="shared" si="162"/>
        <v>#DIV/0!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400</v>
      </c>
      <c r="AL977">
        <v>400</v>
      </c>
      <c r="AM977">
        <v>0</v>
      </c>
      <c r="AN977">
        <v>0</v>
      </c>
      <c r="AO977">
        <v>25</v>
      </c>
      <c r="AP977">
        <v>25</v>
      </c>
      <c r="AQ977">
        <v>25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115</v>
      </c>
      <c r="BA977">
        <v>115</v>
      </c>
      <c r="BB977">
        <v>0</v>
      </c>
      <c r="BC977">
        <v>0</v>
      </c>
      <c r="BD977">
        <v>0</v>
      </c>
      <c r="BE977">
        <f t="shared" si="163"/>
        <v>1105</v>
      </c>
      <c r="BF977">
        <v>540</v>
      </c>
      <c r="BG977">
        <v>540</v>
      </c>
      <c r="BH977" t="s">
        <v>190</v>
      </c>
      <c r="BI977" t="s">
        <v>687</v>
      </c>
      <c r="BJ977">
        <v>0</v>
      </c>
      <c r="BK977">
        <v>540</v>
      </c>
      <c r="BL977">
        <v>540</v>
      </c>
      <c r="BM977">
        <v>0</v>
      </c>
      <c r="BN977">
        <v>0</v>
      </c>
      <c r="BO977">
        <v>0</v>
      </c>
      <c r="BP977">
        <v>540</v>
      </c>
      <c r="BQ977">
        <v>540</v>
      </c>
      <c r="BR977">
        <f t="shared" si="164"/>
        <v>-24</v>
      </c>
      <c r="BS977">
        <f t="shared" si="165"/>
        <v>24</v>
      </c>
    </row>
    <row r="978" spans="1:71" x14ac:dyDescent="0.25">
      <c r="A978" s="5" t="s">
        <v>1017</v>
      </c>
      <c r="B978" s="5" t="s">
        <v>359</v>
      </c>
      <c r="C978" s="5" t="s">
        <v>61</v>
      </c>
      <c r="D978" s="1" t="s">
        <v>77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156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24</v>
      </c>
      <c r="R978">
        <v>0</v>
      </c>
      <c r="S978" s="18" t="e">
        <f t="shared" si="156"/>
        <v>#DIV/0!</v>
      </c>
      <c r="T978" s="17" t="e">
        <f t="shared" si="157"/>
        <v>#DIV/0!</v>
      </c>
      <c r="U978" s="17" t="e">
        <f t="shared" si="158"/>
        <v>#DIV/0!</v>
      </c>
      <c r="V978" s="17" t="e">
        <f t="shared" si="159"/>
        <v>#DIV/0!</v>
      </c>
      <c r="W978" s="17" t="e">
        <f t="shared" si="160"/>
        <v>#DIV/0!</v>
      </c>
      <c r="X978" s="17" t="e">
        <f t="shared" si="161"/>
        <v>#DIV/0!</v>
      </c>
      <c r="Y978" s="19" t="e">
        <f t="shared" si="162"/>
        <v>#DIV/0!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156</v>
      </c>
      <c r="AL978">
        <v>156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f t="shared" si="163"/>
        <v>312</v>
      </c>
      <c r="BF978">
        <v>156</v>
      </c>
      <c r="BG978">
        <v>156</v>
      </c>
      <c r="BH978" t="s">
        <v>190</v>
      </c>
      <c r="BI978" t="s">
        <v>1126</v>
      </c>
      <c r="BJ978">
        <v>0</v>
      </c>
      <c r="BK978">
        <v>156</v>
      </c>
      <c r="BL978">
        <v>156</v>
      </c>
      <c r="BM978">
        <v>0</v>
      </c>
      <c r="BN978">
        <v>0</v>
      </c>
      <c r="BO978">
        <v>0</v>
      </c>
      <c r="BP978">
        <v>156</v>
      </c>
      <c r="BQ978">
        <v>156</v>
      </c>
      <c r="BR978">
        <f t="shared" si="164"/>
        <v>-24</v>
      </c>
      <c r="BS978">
        <f t="shared" si="165"/>
        <v>24</v>
      </c>
    </row>
    <row r="979" spans="1:71" x14ac:dyDescent="0.25">
      <c r="A979" s="5" t="s">
        <v>2294</v>
      </c>
      <c r="B979" s="5" t="s">
        <v>61</v>
      </c>
      <c r="C979" s="5" t="s">
        <v>61</v>
      </c>
      <c r="D979" s="1" t="s">
        <v>113</v>
      </c>
      <c r="E979">
        <v>0</v>
      </c>
      <c r="F979">
        <v>0</v>
      </c>
      <c r="G979">
        <v>0</v>
      </c>
      <c r="H979">
        <v>0</v>
      </c>
      <c r="I979">
        <v>100</v>
      </c>
      <c r="J979">
        <v>175</v>
      </c>
      <c r="K979">
        <v>111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24</v>
      </c>
      <c r="R979">
        <v>0</v>
      </c>
      <c r="S979" s="18" t="e">
        <f t="shared" si="156"/>
        <v>#DIV/0!</v>
      </c>
      <c r="T979" s="17" t="e">
        <f t="shared" si="157"/>
        <v>#DIV/0!</v>
      </c>
      <c r="U979" s="17" t="e">
        <f t="shared" si="158"/>
        <v>#DIV/0!</v>
      </c>
      <c r="V979" s="17" t="e">
        <f t="shared" si="159"/>
        <v>#DIV/0!</v>
      </c>
      <c r="W979" s="17" t="e">
        <f t="shared" si="160"/>
        <v>#DIV/0!</v>
      </c>
      <c r="X979" s="17" t="e">
        <f t="shared" si="161"/>
        <v>#DIV/0!</v>
      </c>
      <c r="Y979" s="19" t="e">
        <f t="shared" si="162"/>
        <v>#DIV/0!</v>
      </c>
      <c r="Z979">
        <v>0</v>
      </c>
      <c r="AA979">
        <v>0</v>
      </c>
      <c r="AB979">
        <v>0</v>
      </c>
      <c r="AC979">
        <v>199</v>
      </c>
      <c r="AD979">
        <v>0</v>
      </c>
      <c r="AE979">
        <v>0</v>
      </c>
      <c r="AF979">
        <v>0</v>
      </c>
      <c r="AG979">
        <v>100</v>
      </c>
      <c r="AH979">
        <v>100</v>
      </c>
      <c r="AI979">
        <v>0</v>
      </c>
      <c r="AJ979">
        <v>0</v>
      </c>
      <c r="AK979">
        <v>175</v>
      </c>
      <c r="AL979">
        <v>175</v>
      </c>
      <c r="AM979">
        <v>0</v>
      </c>
      <c r="AN979">
        <v>0</v>
      </c>
      <c r="AO979">
        <v>111</v>
      </c>
      <c r="AP979">
        <v>111</v>
      </c>
      <c r="AQ979">
        <v>111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f t="shared" si="163"/>
        <v>1082</v>
      </c>
      <c r="BF979">
        <v>585</v>
      </c>
      <c r="BG979">
        <v>585</v>
      </c>
      <c r="BH979" t="s">
        <v>82</v>
      </c>
      <c r="BI979" t="s">
        <v>2317</v>
      </c>
      <c r="BJ979">
        <v>199</v>
      </c>
      <c r="BK979">
        <v>386</v>
      </c>
      <c r="BL979">
        <v>585</v>
      </c>
      <c r="BM979">
        <v>0</v>
      </c>
      <c r="BN979">
        <v>0</v>
      </c>
      <c r="BO979">
        <v>0</v>
      </c>
      <c r="BP979">
        <v>386</v>
      </c>
      <c r="BQ979">
        <v>386</v>
      </c>
      <c r="BR979">
        <f t="shared" si="164"/>
        <v>-24</v>
      </c>
      <c r="BS979">
        <f t="shared" si="165"/>
        <v>24</v>
      </c>
    </row>
    <row r="980" spans="1:71" x14ac:dyDescent="0.25">
      <c r="A980" s="5" t="s">
        <v>61</v>
      </c>
      <c r="B980" s="5" t="s">
        <v>359</v>
      </c>
      <c r="C980" s="5" t="s">
        <v>61</v>
      </c>
      <c r="D980" s="1" t="s">
        <v>167</v>
      </c>
      <c r="E980">
        <v>0</v>
      </c>
      <c r="F980">
        <v>0</v>
      </c>
      <c r="G980">
        <v>0</v>
      </c>
      <c r="H980">
        <v>0</v>
      </c>
      <c r="I980">
        <v>15</v>
      </c>
      <c r="J980">
        <v>0</v>
      </c>
      <c r="K980">
        <v>85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25</v>
      </c>
      <c r="R980">
        <v>0</v>
      </c>
      <c r="S980" s="18" t="e">
        <f t="shared" si="156"/>
        <v>#DIV/0!</v>
      </c>
      <c r="T980" s="17" t="e">
        <f t="shared" si="157"/>
        <v>#DIV/0!</v>
      </c>
      <c r="U980" s="17" t="e">
        <f t="shared" si="158"/>
        <v>#DIV/0!</v>
      </c>
      <c r="V980" s="17" t="e">
        <f t="shared" si="159"/>
        <v>#DIV/0!</v>
      </c>
      <c r="W980" s="17" t="e">
        <f t="shared" si="160"/>
        <v>#DIV/0!</v>
      </c>
      <c r="X980" s="17" t="e">
        <f t="shared" si="161"/>
        <v>#DIV/0!</v>
      </c>
      <c r="Y980" s="19" t="e">
        <f t="shared" si="162"/>
        <v>#DIV/0!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15</v>
      </c>
      <c r="AH980">
        <v>15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85</v>
      </c>
      <c r="AP980">
        <v>85</v>
      </c>
      <c r="AQ980">
        <v>85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f t="shared" si="163"/>
        <v>285</v>
      </c>
      <c r="BF980">
        <v>100</v>
      </c>
      <c r="BG980">
        <v>100</v>
      </c>
      <c r="BH980" t="s">
        <v>190</v>
      </c>
      <c r="BI980" t="s">
        <v>411</v>
      </c>
      <c r="BJ980">
        <v>0</v>
      </c>
      <c r="BK980">
        <v>100</v>
      </c>
      <c r="BL980">
        <v>100</v>
      </c>
      <c r="BM980">
        <v>0</v>
      </c>
      <c r="BN980">
        <v>0</v>
      </c>
      <c r="BO980">
        <v>0</v>
      </c>
      <c r="BP980">
        <v>100</v>
      </c>
      <c r="BQ980">
        <v>100</v>
      </c>
      <c r="BR980">
        <f t="shared" si="164"/>
        <v>-25</v>
      </c>
      <c r="BS980">
        <f t="shared" si="165"/>
        <v>25</v>
      </c>
    </row>
    <row r="981" spans="1:71" x14ac:dyDescent="0.25">
      <c r="A981" s="5" t="s">
        <v>875</v>
      </c>
      <c r="B981" s="5" t="s">
        <v>61</v>
      </c>
      <c r="C981" s="5" t="s">
        <v>207</v>
      </c>
      <c r="D981" s="1" t="s">
        <v>113</v>
      </c>
      <c r="E981">
        <v>0</v>
      </c>
      <c r="F981">
        <v>0</v>
      </c>
      <c r="G981">
        <v>0</v>
      </c>
      <c r="H981">
        <v>0</v>
      </c>
      <c r="I981">
        <v>42</v>
      </c>
      <c r="J981">
        <v>1550</v>
      </c>
      <c r="K981">
        <v>60</v>
      </c>
      <c r="L981">
        <v>15</v>
      </c>
      <c r="M981">
        <v>0</v>
      </c>
      <c r="N981">
        <v>0</v>
      </c>
      <c r="O981">
        <v>0</v>
      </c>
      <c r="P981">
        <v>0</v>
      </c>
      <c r="Q981">
        <v>25</v>
      </c>
      <c r="R981">
        <v>0</v>
      </c>
      <c r="S981" s="18" t="e">
        <f t="shared" si="156"/>
        <v>#DIV/0!</v>
      </c>
      <c r="T981" s="17" t="e">
        <f t="shared" si="157"/>
        <v>#DIV/0!</v>
      </c>
      <c r="U981" s="17" t="e">
        <f t="shared" si="158"/>
        <v>#DIV/0!</v>
      </c>
      <c r="V981" s="17" t="e">
        <f t="shared" si="159"/>
        <v>#DIV/0!</v>
      </c>
      <c r="W981" s="17" t="e">
        <f t="shared" si="160"/>
        <v>#DIV/0!</v>
      </c>
      <c r="X981" s="17" t="e">
        <f t="shared" si="161"/>
        <v>#DIV/0!</v>
      </c>
      <c r="Y981" s="19" t="e">
        <f t="shared" si="162"/>
        <v>#DIV/0!</v>
      </c>
      <c r="Z981">
        <v>0</v>
      </c>
      <c r="AA981">
        <v>0</v>
      </c>
      <c r="AB981">
        <v>0</v>
      </c>
      <c r="AC981">
        <v>550</v>
      </c>
      <c r="AD981">
        <v>0</v>
      </c>
      <c r="AE981">
        <v>0</v>
      </c>
      <c r="AF981">
        <v>0</v>
      </c>
      <c r="AG981">
        <v>42</v>
      </c>
      <c r="AH981">
        <v>42</v>
      </c>
      <c r="AI981">
        <v>0</v>
      </c>
      <c r="AJ981">
        <v>0</v>
      </c>
      <c r="AK981">
        <v>1550</v>
      </c>
      <c r="AL981">
        <v>1550</v>
      </c>
      <c r="AM981">
        <v>0</v>
      </c>
      <c r="AN981">
        <v>0</v>
      </c>
      <c r="AO981">
        <v>60</v>
      </c>
      <c r="AP981">
        <v>10</v>
      </c>
      <c r="AQ981">
        <v>60</v>
      </c>
      <c r="AR981">
        <v>50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15</v>
      </c>
      <c r="BA981">
        <v>15</v>
      </c>
      <c r="BB981">
        <v>0</v>
      </c>
      <c r="BC981">
        <v>0</v>
      </c>
      <c r="BD981">
        <v>0</v>
      </c>
      <c r="BE981">
        <f t="shared" si="163"/>
        <v>3944</v>
      </c>
      <c r="BF981">
        <v>2217</v>
      </c>
      <c r="BG981">
        <v>2217</v>
      </c>
      <c r="BH981" t="s">
        <v>82</v>
      </c>
      <c r="BI981" t="s">
        <v>296</v>
      </c>
      <c r="BJ981">
        <v>550</v>
      </c>
      <c r="BK981">
        <v>1667</v>
      </c>
      <c r="BL981">
        <v>2217</v>
      </c>
      <c r="BM981">
        <v>0</v>
      </c>
      <c r="BN981">
        <v>0</v>
      </c>
      <c r="BO981">
        <v>0</v>
      </c>
      <c r="BP981">
        <v>1667</v>
      </c>
      <c r="BQ981">
        <v>1667</v>
      </c>
      <c r="BR981">
        <f t="shared" si="164"/>
        <v>-25</v>
      </c>
      <c r="BS981">
        <f t="shared" si="165"/>
        <v>25</v>
      </c>
    </row>
    <row r="982" spans="1:71" x14ac:dyDescent="0.25">
      <c r="A982" s="5" t="s">
        <v>875</v>
      </c>
      <c r="B982" s="5" t="s">
        <v>207</v>
      </c>
      <c r="C982" s="6" t="s">
        <v>61</v>
      </c>
      <c r="D982" s="1" t="s">
        <v>98</v>
      </c>
      <c r="E982">
        <v>0</v>
      </c>
      <c r="F982">
        <v>125</v>
      </c>
      <c r="G982">
        <v>0</v>
      </c>
      <c r="H982">
        <v>0</v>
      </c>
      <c r="I982">
        <v>627</v>
      </c>
      <c r="J982">
        <v>0</v>
      </c>
      <c r="K982">
        <v>15</v>
      </c>
      <c r="L982">
        <v>0</v>
      </c>
      <c r="M982">
        <v>0</v>
      </c>
      <c r="N982">
        <v>0</v>
      </c>
      <c r="O982">
        <v>0</v>
      </c>
      <c r="P982">
        <v>918</v>
      </c>
      <c r="Q982">
        <v>127</v>
      </c>
      <c r="R982">
        <v>102</v>
      </c>
      <c r="S982" s="18">
        <f t="shared" si="156"/>
        <v>9</v>
      </c>
      <c r="T982" s="17">
        <f t="shared" si="157"/>
        <v>0</v>
      </c>
      <c r="U982" s="17">
        <f t="shared" si="158"/>
        <v>0</v>
      </c>
      <c r="V982" s="17">
        <f t="shared" si="159"/>
        <v>0</v>
      </c>
      <c r="W982" s="17">
        <f t="shared" si="160"/>
        <v>102</v>
      </c>
      <c r="X982" s="17">
        <f t="shared" si="161"/>
        <v>25</v>
      </c>
      <c r="Y982" s="19">
        <f t="shared" si="162"/>
        <v>0</v>
      </c>
      <c r="Z982">
        <v>125</v>
      </c>
      <c r="AA982">
        <v>0</v>
      </c>
      <c r="AB982">
        <v>0</v>
      </c>
      <c r="AC982">
        <v>8</v>
      </c>
      <c r="AD982">
        <v>0</v>
      </c>
      <c r="AE982">
        <v>0</v>
      </c>
      <c r="AF982">
        <v>0</v>
      </c>
      <c r="AG982">
        <v>627</v>
      </c>
      <c r="AH982">
        <v>627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15</v>
      </c>
      <c r="AP982">
        <v>0</v>
      </c>
      <c r="AQ982">
        <v>15</v>
      </c>
      <c r="AR982">
        <v>15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f t="shared" si="163"/>
        <v>1307</v>
      </c>
      <c r="BF982">
        <v>775</v>
      </c>
      <c r="BG982">
        <v>775</v>
      </c>
      <c r="BH982" t="s">
        <v>109</v>
      </c>
      <c r="BI982" t="s">
        <v>982</v>
      </c>
      <c r="BJ982">
        <v>8</v>
      </c>
      <c r="BK982">
        <v>642</v>
      </c>
      <c r="BL982">
        <v>775</v>
      </c>
      <c r="BM982">
        <v>0</v>
      </c>
      <c r="BN982">
        <v>0</v>
      </c>
      <c r="BO982">
        <v>0</v>
      </c>
      <c r="BP982">
        <v>1560</v>
      </c>
      <c r="BQ982">
        <v>1560</v>
      </c>
      <c r="BR982">
        <f t="shared" si="164"/>
        <v>-25</v>
      </c>
      <c r="BS982">
        <f t="shared" si="165"/>
        <v>229</v>
      </c>
    </row>
    <row r="983" spans="1:71" x14ac:dyDescent="0.25">
      <c r="A983" s="5" t="s">
        <v>1135</v>
      </c>
      <c r="B983" s="5" t="s">
        <v>61</v>
      </c>
      <c r="C983" s="7" t="s">
        <v>61</v>
      </c>
      <c r="D983" s="1" t="s">
        <v>133</v>
      </c>
      <c r="E983">
        <v>0</v>
      </c>
      <c r="F983">
        <v>208</v>
      </c>
      <c r="G983">
        <v>0</v>
      </c>
      <c r="H983">
        <v>0</v>
      </c>
      <c r="I983">
        <v>40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1872</v>
      </c>
      <c r="Q983">
        <v>233</v>
      </c>
      <c r="R983">
        <v>208</v>
      </c>
      <c r="S983" s="18">
        <f t="shared" si="156"/>
        <v>9</v>
      </c>
      <c r="T983" s="17">
        <f t="shared" si="157"/>
        <v>0</v>
      </c>
      <c r="U983" s="17">
        <f t="shared" si="158"/>
        <v>0</v>
      </c>
      <c r="V983" s="17">
        <f t="shared" si="159"/>
        <v>0</v>
      </c>
      <c r="W983" s="17">
        <f t="shared" si="160"/>
        <v>208</v>
      </c>
      <c r="X983" s="17">
        <f t="shared" si="161"/>
        <v>25</v>
      </c>
      <c r="Y983" s="19">
        <f t="shared" si="162"/>
        <v>0</v>
      </c>
      <c r="Z983">
        <v>208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40</v>
      </c>
      <c r="AH983">
        <v>40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f t="shared" si="163"/>
        <v>80</v>
      </c>
      <c r="BF983">
        <v>248</v>
      </c>
      <c r="BG983">
        <v>248</v>
      </c>
      <c r="BH983" t="s">
        <v>109</v>
      </c>
      <c r="BI983" t="s">
        <v>1165</v>
      </c>
      <c r="BJ983">
        <v>0</v>
      </c>
      <c r="BK983">
        <v>40</v>
      </c>
      <c r="BL983">
        <v>248</v>
      </c>
      <c r="BM983">
        <v>0</v>
      </c>
      <c r="BN983">
        <v>0</v>
      </c>
      <c r="BO983">
        <v>0</v>
      </c>
      <c r="BP983">
        <v>1912</v>
      </c>
      <c r="BQ983">
        <v>1912</v>
      </c>
      <c r="BR983">
        <f t="shared" si="164"/>
        <v>-25</v>
      </c>
      <c r="BS983">
        <f t="shared" si="165"/>
        <v>441</v>
      </c>
    </row>
    <row r="984" spans="1:71" x14ac:dyDescent="0.25">
      <c r="A984" s="5" t="s">
        <v>1135</v>
      </c>
      <c r="B984" s="5" t="s">
        <v>61</v>
      </c>
      <c r="C984" s="5" t="s">
        <v>61</v>
      </c>
      <c r="D984" s="1" t="s">
        <v>187</v>
      </c>
      <c r="E984">
        <v>0</v>
      </c>
      <c r="F984">
        <v>1875</v>
      </c>
      <c r="G984">
        <v>0</v>
      </c>
      <c r="H984">
        <v>0</v>
      </c>
      <c r="I984">
        <v>310</v>
      </c>
      <c r="J984">
        <v>6150</v>
      </c>
      <c r="K984">
        <v>0</v>
      </c>
      <c r="L984">
        <v>320</v>
      </c>
      <c r="M984">
        <v>0</v>
      </c>
      <c r="N984">
        <v>0</v>
      </c>
      <c r="O984">
        <v>0</v>
      </c>
      <c r="P984">
        <v>7290</v>
      </c>
      <c r="Q984">
        <v>835</v>
      </c>
      <c r="R984">
        <v>810</v>
      </c>
      <c r="S984" s="18">
        <f t="shared" si="156"/>
        <v>9</v>
      </c>
      <c r="T984" s="17">
        <f t="shared" si="157"/>
        <v>0</v>
      </c>
      <c r="U984" s="17">
        <f t="shared" si="158"/>
        <v>0</v>
      </c>
      <c r="V984" s="17">
        <f t="shared" si="159"/>
        <v>0</v>
      </c>
      <c r="W984" s="17">
        <f t="shared" si="160"/>
        <v>810</v>
      </c>
      <c r="X984" s="17">
        <f t="shared" si="161"/>
        <v>25</v>
      </c>
      <c r="Y984" s="19">
        <f t="shared" si="162"/>
        <v>0</v>
      </c>
      <c r="Z984">
        <v>1875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310</v>
      </c>
      <c r="AH984">
        <v>310</v>
      </c>
      <c r="AI984">
        <v>0</v>
      </c>
      <c r="AJ984">
        <v>6150</v>
      </c>
      <c r="AK984">
        <v>0</v>
      </c>
      <c r="AL984">
        <v>6150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320</v>
      </c>
      <c r="BA984">
        <v>320</v>
      </c>
      <c r="BB984">
        <v>0</v>
      </c>
      <c r="BC984">
        <v>0</v>
      </c>
      <c r="BD984">
        <v>0</v>
      </c>
      <c r="BE984">
        <f t="shared" si="163"/>
        <v>13560</v>
      </c>
      <c r="BF984">
        <v>8655</v>
      </c>
      <c r="BG984">
        <v>8655</v>
      </c>
      <c r="BH984" t="s">
        <v>199</v>
      </c>
      <c r="BI984" t="s">
        <v>1192</v>
      </c>
      <c r="BJ984">
        <v>0</v>
      </c>
      <c r="BK984">
        <v>6780</v>
      </c>
      <c r="BL984">
        <v>8655</v>
      </c>
      <c r="BM984">
        <v>0</v>
      </c>
      <c r="BN984">
        <v>6150</v>
      </c>
      <c r="BO984">
        <v>0</v>
      </c>
      <c r="BP984">
        <v>7920</v>
      </c>
      <c r="BQ984">
        <v>14070</v>
      </c>
      <c r="BR984">
        <f t="shared" si="164"/>
        <v>-25</v>
      </c>
      <c r="BS984">
        <f t="shared" si="165"/>
        <v>1645</v>
      </c>
    </row>
    <row r="985" spans="1:71" x14ac:dyDescent="0.25">
      <c r="A985" s="5" t="s">
        <v>1337</v>
      </c>
      <c r="B985" s="5" t="s">
        <v>207</v>
      </c>
      <c r="C985" s="5" t="s">
        <v>61</v>
      </c>
      <c r="D985" s="1" t="s">
        <v>137</v>
      </c>
      <c r="E985">
        <v>0</v>
      </c>
      <c r="F985">
        <v>628</v>
      </c>
      <c r="G985">
        <v>0</v>
      </c>
      <c r="H985">
        <v>0</v>
      </c>
      <c r="I985">
        <v>78</v>
      </c>
      <c r="J985">
        <v>0</v>
      </c>
      <c r="K985">
        <v>70</v>
      </c>
      <c r="L985">
        <v>0</v>
      </c>
      <c r="M985">
        <v>0</v>
      </c>
      <c r="N985">
        <v>0</v>
      </c>
      <c r="O985">
        <v>0</v>
      </c>
      <c r="P985">
        <v>882</v>
      </c>
      <c r="Q985">
        <v>123</v>
      </c>
      <c r="R985">
        <v>98</v>
      </c>
      <c r="S985" s="18">
        <f t="shared" si="156"/>
        <v>9</v>
      </c>
      <c r="T985" s="17">
        <f t="shared" si="157"/>
        <v>0</v>
      </c>
      <c r="U985" s="17">
        <f t="shared" si="158"/>
        <v>0</v>
      </c>
      <c r="V985" s="17">
        <f t="shared" si="159"/>
        <v>0</v>
      </c>
      <c r="W985" s="17">
        <f t="shared" si="160"/>
        <v>98</v>
      </c>
      <c r="X985" s="17">
        <f t="shared" si="161"/>
        <v>25</v>
      </c>
      <c r="Y985" s="19">
        <f t="shared" si="162"/>
        <v>0</v>
      </c>
      <c r="Z985">
        <v>628</v>
      </c>
      <c r="AA985">
        <v>0</v>
      </c>
      <c r="AB985">
        <v>180</v>
      </c>
      <c r="AC985">
        <v>628</v>
      </c>
      <c r="AD985">
        <v>0</v>
      </c>
      <c r="AE985">
        <v>0</v>
      </c>
      <c r="AF985">
        <v>0</v>
      </c>
      <c r="AG985">
        <v>78</v>
      </c>
      <c r="AH985">
        <v>78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70</v>
      </c>
      <c r="AP985">
        <v>50</v>
      </c>
      <c r="AQ985">
        <v>70</v>
      </c>
      <c r="AR985">
        <v>20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f t="shared" si="163"/>
        <v>994</v>
      </c>
      <c r="BF985">
        <v>1584</v>
      </c>
      <c r="BG985">
        <v>1584</v>
      </c>
      <c r="BH985" t="s">
        <v>82</v>
      </c>
      <c r="BI985" t="s">
        <v>1405</v>
      </c>
      <c r="BJ985">
        <v>808</v>
      </c>
      <c r="BK985">
        <v>148</v>
      </c>
      <c r="BL985">
        <v>1584</v>
      </c>
      <c r="BM985">
        <v>0</v>
      </c>
      <c r="BN985">
        <v>0</v>
      </c>
      <c r="BO985">
        <v>0</v>
      </c>
      <c r="BP985">
        <v>1030</v>
      </c>
      <c r="BQ985">
        <v>1030</v>
      </c>
      <c r="BR985">
        <f t="shared" si="164"/>
        <v>-25</v>
      </c>
      <c r="BS985">
        <f t="shared" si="165"/>
        <v>221</v>
      </c>
    </row>
    <row r="986" spans="1:71" x14ac:dyDescent="0.25">
      <c r="A986" s="5" t="s">
        <v>1661</v>
      </c>
      <c r="B986" s="5" t="s">
        <v>207</v>
      </c>
      <c r="C986" s="5" t="s">
        <v>61</v>
      </c>
      <c r="D986" s="1" t="s">
        <v>115</v>
      </c>
      <c r="E986">
        <v>19</v>
      </c>
      <c r="F986">
        <v>0</v>
      </c>
      <c r="G986">
        <v>0</v>
      </c>
      <c r="H986">
        <v>0</v>
      </c>
      <c r="I986">
        <v>5</v>
      </c>
      <c r="J986">
        <v>130</v>
      </c>
      <c r="K986">
        <v>376</v>
      </c>
      <c r="L986">
        <v>201</v>
      </c>
      <c r="M986">
        <v>0</v>
      </c>
      <c r="N986">
        <v>0</v>
      </c>
      <c r="O986">
        <v>0</v>
      </c>
      <c r="P986">
        <v>0</v>
      </c>
      <c r="Q986">
        <v>25</v>
      </c>
      <c r="R986">
        <v>0</v>
      </c>
      <c r="S986" s="18" t="e">
        <f t="shared" si="156"/>
        <v>#DIV/0!</v>
      </c>
      <c r="T986" s="17" t="e">
        <f t="shared" si="157"/>
        <v>#DIV/0!</v>
      </c>
      <c r="U986" s="17" t="e">
        <f t="shared" si="158"/>
        <v>#DIV/0!</v>
      </c>
      <c r="V986" s="17" t="e">
        <f t="shared" si="159"/>
        <v>#DIV/0!</v>
      </c>
      <c r="W986" s="17" t="e">
        <f t="shared" si="160"/>
        <v>#DIV/0!</v>
      </c>
      <c r="X986" s="17" t="e">
        <f t="shared" si="161"/>
        <v>#DIV/0!</v>
      </c>
      <c r="Y986" s="19" t="e">
        <f t="shared" si="162"/>
        <v>#DIV/0!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</v>
      </c>
      <c r="AH986">
        <v>5</v>
      </c>
      <c r="AI986">
        <v>0</v>
      </c>
      <c r="AJ986">
        <v>0</v>
      </c>
      <c r="AK986">
        <v>130</v>
      </c>
      <c r="AL986">
        <v>130</v>
      </c>
      <c r="AM986">
        <v>0</v>
      </c>
      <c r="AN986">
        <v>0</v>
      </c>
      <c r="AO986">
        <v>376</v>
      </c>
      <c r="AP986">
        <v>109</v>
      </c>
      <c r="AQ986">
        <v>376</v>
      </c>
      <c r="AR986">
        <v>267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201</v>
      </c>
      <c r="BA986">
        <v>201</v>
      </c>
      <c r="BB986">
        <v>0</v>
      </c>
      <c r="BC986">
        <v>0</v>
      </c>
      <c r="BD986">
        <v>0</v>
      </c>
      <c r="BE986">
        <f t="shared" si="163"/>
        <v>1800</v>
      </c>
      <c r="BF986">
        <v>731</v>
      </c>
      <c r="BG986">
        <v>731</v>
      </c>
      <c r="BH986" t="s">
        <v>190</v>
      </c>
      <c r="BI986" t="s">
        <v>1781</v>
      </c>
      <c r="BJ986">
        <v>19</v>
      </c>
      <c r="BK986">
        <v>712</v>
      </c>
      <c r="BL986">
        <v>731</v>
      </c>
      <c r="BM986">
        <v>0</v>
      </c>
      <c r="BN986">
        <v>0</v>
      </c>
      <c r="BO986">
        <v>0</v>
      </c>
      <c r="BP986">
        <v>712</v>
      </c>
      <c r="BQ986">
        <v>712</v>
      </c>
      <c r="BR986">
        <f t="shared" si="164"/>
        <v>-25</v>
      </c>
      <c r="BS986">
        <f t="shared" si="165"/>
        <v>25</v>
      </c>
    </row>
    <row r="987" spans="1:71" x14ac:dyDescent="0.25">
      <c r="A987" s="5" t="s">
        <v>1946</v>
      </c>
      <c r="B987" s="5" t="s">
        <v>61</v>
      </c>
      <c r="C987" s="5" t="s">
        <v>61</v>
      </c>
      <c r="D987" s="1" t="s">
        <v>153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380</v>
      </c>
      <c r="K987">
        <v>50</v>
      </c>
      <c r="L987">
        <v>90</v>
      </c>
      <c r="M987">
        <v>0</v>
      </c>
      <c r="N987">
        <v>0</v>
      </c>
      <c r="O987">
        <v>0</v>
      </c>
      <c r="P987">
        <v>0</v>
      </c>
      <c r="Q987">
        <v>25</v>
      </c>
      <c r="R987">
        <v>0</v>
      </c>
      <c r="S987" s="18" t="e">
        <f t="shared" si="156"/>
        <v>#DIV/0!</v>
      </c>
      <c r="T987" s="17" t="e">
        <f t="shared" si="157"/>
        <v>#DIV/0!</v>
      </c>
      <c r="U987" s="17" t="e">
        <f t="shared" si="158"/>
        <v>#DIV/0!</v>
      </c>
      <c r="V987" s="17" t="e">
        <f t="shared" si="159"/>
        <v>#DIV/0!</v>
      </c>
      <c r="W987" s="17" t="e">
        <f t="shared" si="160"/>
        <v>#DIV/0!</v>
      </c>
      <c r="X987" s="17" t="e">
        <f t="shared" si="161"/>
        <v>#DIV/0!</v>
      </c>
      <c r="Y987" s="19" t="e">
        <f t="shared" si="162"/>
        <v>#DIV/0!</v>
      </c>
      <c r="Z987">
        <v>0</v>
      </c>
      <c r="AA987">
        <v>0</v>
      </c>
      <c r="AB987">
        <v>0</v>
      </c>
      <c r="AC987">
        <v>240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380</v>
      </c>
      <c r="AL987">
        <v>380</v>
      </c>
      <c r="AM987">
        <v>0</v>
      </c>
      <c r="AN987">
        <v>0</v>
      </c>
      <c r="AO987">
        <v>50</v>
      </c>
      <c r="AP987">
        <v>0</v>
      </c>
      <c r="AQ987">
        <v>50</v>
      </c>
      <c r="AR987">
        <v>50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90</v>
      </c>
      <c r="BA987">
        <v>90</v>
      </c>
      <c r="BB987">
        <v>0</v>
      </c>
      <c r="BC987">
        <v>0</v>
      </c>
      <c r="BD987">
        <v>0</v>
      </c>
      <c r="BE987">
        <f t="shared" si="163"/>
        <v>1330</v>
      </c>
      <c r="BF987">
        <v>760</v>
      </c>
      <c r="BG987">
        <v>760</v>
      </c>
      <c r="BH987" t="s">
        <v>190</v>
      </c>
      <c r="BI987" t="s">
        <v>1989</v>
      </c>
      <c r="BJ987">
        <v>240</v>
      </c>
      <c r="BK987">
        <v>520</v>
      </c>
      <c r="BL987">
        <v>760</v>
      </c>
      <c r="BM987">
        <v>0</v>
      </c>
      <c r="BN987">
        <v>0</v>
      </c>
      <c r="BO987">
        <v>0</v>
      </c>
      <c r="BP987">
        <v>520</v>
      </c>
      <c r="BQ987">
        <v>520</v>
      </c>
      <c r="BR987">
        <f t="shared" si="164"/>
        <v>-25</v>
      </c>
      <c r="BS987">
        <f t="shared" si="165"/>
        <v>25</v>
      </c>
    </row>
    <row r="988" spans="1:71" x14ac:dyDescent="0.25">
      <c r="A988" s="5" t="s">
        <v>2090</v>
      </c>
      <c r="B988" s="5" t="s">
        <v>61</v>
      </c>
      <c r="C988" s="5" t="s">
        <v>61</v>
      </c>
      <c r="D988" s="1" t="s">
        <v>351</v>
      </c>
      <c r="E988">
        <v>0</v>
      </c>
      <c r="F988">
        <v>0</v>
      </c>
      <c r="G988">
        <v>0</v>
      </c>
      <c r="H988">
        <v>0</v>
      </c>
      <c r="I988">
        <v>74</v>
      </c>
      <c r="J988">
        <v>0</v>
      </c>
      <c r="K988">
        <v>100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25</v>
      </c>
      <c r="R988">
        <v>0</v>
      </c>
      <c r="S988" s="18" t="e">
        <f t="shared" si="156"/>
        <v>#DIV/0!</v>
      </c>
      <c r="T988" s="17" t="e">
        <f t="shared" si="157"/>
        <v>#DIV/0!</v>
      </c>
      <c r="U988" s="17" t="e">
        <f t="shared" si="158"/>
        <v>#DIV/0!</v>
      </c>
      <c r="V988" s="17" t="e">
        <f t="shared" si="159"/>
        <v>#DIV/0!</v>
      </c>
      <c r="W988" s="17" t="e">
        <f t="shared" si="160"/>
        <v>#DIV/0!</v>
      </c>
      <c r="X988" s="17" t="e">
        <f t="shared" si="161"/>
        <v>#DIV/0!</v>
      </c>
      <c r="Y988" s="19" t="e">
        <f t="shared" si="162"/>
        <v>#DIV/0!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74</v>
      </c>
      <c r="AH988">
        <v>74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100</v>
      </c>
      <c r="AP988">
        <v>0</v>
      </c>
      <c r="AQ988">
        <v>100</v>
      </c>
      <c r="AR988">
        <v>100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f t="shared" si="163"/>
        <v>448</v>
      </c>
      <c r="BF988">
        <v>174</v>
      </c>
      <c r="BG988">
        <v>174</v>
      </c>
      <c r="BH988" t="s">
        <v>190</v>
      </c>
      <c r="BI988" t="s">
        <v>2159</v>
      </c>
      <c r="BJ988">
        <v>0</v>
      </c>
      <c r="BK988">
        <v>174</v>
      </c>
      <c r="BL988">
        <v>174</v>
      </c>
      <c r="BM988">
        <v>0</v>
      </c>
      <c r="BN988">
        <v>0</v>
      </c>
      <c r="BO988">
        <v>0</v>
      </c>
      <c r="BP988">
        <v>174</v>
      </c>
      <c r="BQ988">
        <v>174</v>
      </c>
      <c r="BR988">
        <f t="shared" si="164"/>
        <v>-25</v>
      </c>
      <c r="BS988">
        <f t="shared" si="165"/>
        <v>25</v>
      </c>
    </row>
    <row r="989" spans="1:71" x14ac:dyDescent="0.25">
      <c r="A989" s="5" t="s">
        <v>61</v>
      </c>
      <c r="B989" s="5" t="s">
        <v>207</v>
      </c>
      <c r="C989" s="5" t="s">
        <v>207</v>
      </c>
      <c r="D989" s="1" t="s">
        <v>187</v>
      </c>
      <c r="E989">
        <v>0</v>
      </c>
      <c r="F989">
        <v>0</v>
      </c>
      <c r="G989">
        <v>0</v>
      </c>
      <c r="H989">
        <v>0</v>
      </c>
      <c r="I989">
        <v>64</v>
      </c>
      <c r="J989">
        <v>252</v>
      </c>
      <c r="K989">
        <v>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26</v>
      </c>
      <c r="R989">
        <v>0</v>
      </c>
      <c r="S989" s="18" t="e">
        <f t="shared" si="156"/>
        <v>#DIV/0!</v>
      </c>
      <c r="T989" s="17" t="e">
        <f t="shared" si="157"/>
        <v>#DIV/0!</v>
      </c>
      <c r="U989" s="17" t="e">
        <f t="shared" si="158"/>
        <v>#DIV/0!</v>
      </c>
      <c r="V989" s="17" t="e">
        <f t="shared" si="159"/>
        <v>#DIV/0!</v>
      </c>
      <c r="W989" s="17" t="e">
        <f t="shared" si="160"/>
        <v>#DIV/0!</v>
      </c>
      <c r="X989" s="17" t="e">
        <f t="shared" si="161"/>
        <v>#DIV/0!</v>
      </c>
      <c r="Y989" s="19" t="e">
        <f t="shared" si="162"/>
        <v>#DIV/0!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64</v>
      </c>
      <c r="AH989">
        <v>64</v>
      </c>
      <c r="AI989">
        <v>0</v>
      </c>
      <c r="AJ989">
        <v>0</v>
      </c>
      <c r="AK989">
        <v>252</v>
      </c>
      <c r="AL989">
        <v>252</v>
      </c>
      <c r="AM989">
        <v>0</v>
      </c>
      <c r="AN989">
        <v>0</v>
      </c>
      <c r="AO989">
        <v>5</v>
      </c>
      <c r="AP989">
        <v>0</v>
      </c>
      <c r="AQ989">
        <v>5</v>
      </c>
      <c r="AR989">
        <v>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f t="shared" si="163"/>
        <v>647</v>
      </c>
      <c r="BF989">
        <v>321</v>
      </c>
      <c r="BG989">
        <v>321</v>
      </c>
      <c r="BH989" t="s">
        <v>190</v>
      </c>
      <c r="BI989" t="s">
        <v>340</v>
      </c>
      <c r="BJ989">
        <v>0</v>
      </c>
      <c r="BK989">
        <v>321</v>
      </c>
      <c r="BL989">
        <v>321</v>
      </c>
      <c r="BM989">
        <v>0</v>
      </c>
      <c r="BN989">
        <v>0</v>
      </c>
      <c r="BO989">
        <v>0</v>
      </c>
      <c r="BP989">
        <v>321</v>
      </c>
      <c r="BQ989">
        <v>321</v>
      </c>
      <c r="BR989">
        <f t="shared" si="164"/>
        <v>-26</v>
      </c>
      <c r="BS989">
        <f t="shared" si="165"/>
        <v>26</v>
      </c>
    </row>
    <row r="990" spans="1:71" x14ac:dyDescent="0.25">
      <c r="A990" s="5" t="s">
        <v>875</v>
      </c>
      <c r="B990" s="5" t="s">
        <v>61</v>
      </c>
      <c r="C990" s="5" t="s">
        <v>207</v>
      </c>
      <c r="D990" s="1" t="s">
        <v>175</v>
      </c>
      <c r="E990">
        <v>0</v>
      </c>
      <c r="F990">
        <v>0</v>
      </c>
      <c r="G990">
        <v>0</v>
      </c>
      <c r="H990">
        <v>0</v>
      </c>
      <c r="I990">
        <v>15</v>
      </c>
      <c r="J990">
        <v>275</v>
      </c>
      <c r="K990">
        <v>66</v>
      </c>
      <c r="L990">
        <v>10</v>
      </c>
      <c r="M990">
        <v>0</v>
      </c>
      <c r="N990">
        <v>0</v>
      </c>
      <c r="O990">
        <v>0</v>
      </c>
      <c r="P990">
        <v>0</v>
      </c>
      <c r="Q990">
        <v>26</v>
      </c>
      <c r="R990">
        <v>0</v>
      </c>
      <c r="S990" s="18" t="e">
        <f t="shared" si="156"/>
        <v>#DIV/0!</v>
      </c>
      <c r="T990" s="17" t="e">
        <f t="shared" si="157"/>
        <v>#DIV/0!</v>
      </c>
      <c r="U990" s="17" t="e">
        <f t="shared" si="158"/>
        <v>#DIV/0!</v>
      </c>
      <c r="V990" s="17" t="e">
        <f t="shared" si="159"/>
        <v>#DIV/0!</v>
      </c>
      <c r="W990" s="17" t="e">
        <f t="shared" si="160"/>
        <v>#DIV/0!</v>
      </c>
      <c r="X990" s="17" t="e">
        <f t="shared" si="161"/>
        <v>#DIV/0!</v>
      </c>
      <c r="Y990" s="19" t="e">
        <f t="shared" si="162"/>
        <v>#DIV/0!</v>
      </c>
      <c r="Z990">
        <v>0</v>
      </c>
      <c r="AA990">
        <v>0</v>
      </c>
      <c r="AB990">
        <v>0</v>
      </c>
      <c r="AC990">
        <v>46</v>
      </c>
      <c r="AD990">
        <v>0</v>
      </c>
      <c r="AE990">
        <v>0</v>
      </c>
      <c r="AF990">
        <v>0</v>
      </c>
      <c r="AG990">
        <v>15</v>
      </c>
      <c r="AH990">
        <v>15</v>
      </c>
      <c r="AI990">
        <v>0</v>
      </c>
      <c r="AJ990">
        <v>0</v>
      </c>
      <c r="AK990">
        <v>275</v>
      </c>
      <c r="AL990">
        <v>275</v>
      </c>
      <c r="AM990">
        <v>0</v>
      </c>
      <c r="AN990">
        <v>0</v>
      </c>
      <c r="AO990">
        <v>66</v>
      </c>
      <c r="AP990">
        <v>12</v>
      </c>
      <c r="AQ990">
        <v>66</v>
      </c>
      <c r="AR990">
        <v>54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10</v>
      </c>
      <c r="BA990">
        <v>10</v>
      </c>
      <c r="BB990">
        <v>0</v>
      </c>
      <c r="BC990">
        <v>0</v>
      </c>
      <c r="BD990">
        <v>0</v>
      </c>
      <c r="BE990">
        <f t="shared" si="163"/>
        <v>844</v>
      </c>
      <c r="BF990">
        <v>412</v>
      </c>
      <c r="BG990">
        <v>412</v>
      </c>
      <c r="BH990" t="s">
        <v>190</v>
      </c>
      <c r="BI990" t="s">
        <v>927</v>
      </c>
      <c r="BJ990">
        <v>46</v>
      </c>
      <c r="BK990">
        <v>366</v>
      </c>
      <c r="BL990">
        <v>412</v>
      </c>
      <c r="BM990">
        <v>0</v>
      </c>
      <c r="BN990">
        <v>0</v>
      </c>
      <c r="BO990">
        <v>0</v>
      </c>
      <c r="BP990">
        <v>366</v>
      </c>
      <c r="BQ990">
        <v>366</v>
      </c>
      <c r="BR990">
        <f t="shared" si="164"/>
        <v>-26</v>
      </c>
      <c r="BS990">
        <f t="shared" si="165"/>
        <v>26</v>
      </c>
    </row>
    <row r="991" spans="1:71" x14ac:dyDescent="0.25">
      <c r="A991" s="5" t="s">
        <v>1017</v>
      </c>
      <c r="B991" s="5" t="s">
        <v>61</v>
      </c>
      <c r="C991" s="5" t="s">
        <v>207</v>
      </c>
      <c r="D991" s="1" t="s">
        <v>141</v>
      </c>
      <c r="E991">
        <v>0</v>
      </c>
      <c r="F991">
        <v>0</v>
      </c>
      <c r="G991">
        <v>0</v>
      </c>
      <c r="H991">
        <v>0</v>
      </c>
      <c r="I991">
        <v>26</v>
      </c>
      <c r="J991">
        <v>270</v>
      </c>
      <c r="K991">
        <v>25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26</v>
      </c>
      <c r="R991">
        <v>0</v>
      </c>
      <c r="S991" s="18" t="e">
        <f t="shared" si="156"/>
        <v>#DIV/0!</v>
      </c>
      <c r="T991" s="17" t="e">
        <f t="shared" si="157"/>
        <v>#DIV/0!</v>
      </c>
      <c r="U991" s="17" t="e">
        <f t="shared" si="158"/>
        <v>#DIV/0!</v>
      </c>
      <c r="V991" s="17" t="e">
        <f t="shared" si="159"/>
        <v>#DIV/0!</v>
      </c>
      <c r="W991" s="17" t="e">
        <f t="shared" si="160"/>
        <v>#DIV/0!</v>
      </c>
      <c r="X991" s="17" t="e">
        <f t="shared" si="161"/>
        <v>#DIV/0!</v>
      </c>
      <c r="Y991" s="19" t="e">
        <f t="shared" si="162"/>
        <v>#DIV/0!</v>
      </c>
      <c r="Z991">
        <v>0</v>
      </c>
      <c r="AA991">
        <v>0</v>
      </c>
      <c r="AB991">
        <v>0</v>
      </c>
      <c r="AC991">
        <v>120</v>
      </c>
      <c r="AD991">
        <v>0</v>
      </c>
      <c r="AE991">
        <v>0</v>
      </c>
      <c r="AF991">
        <v>0</v>
      </c>
      <c r="AG991">
        <v>26</v>
      </c>
      <c r="AH991">
        <v>26</v>
      </c>
      <c r="AI991">
        <v>0</v>
      </c>
      <c r="AJ991">
        <v>0</v>
      </c>
      <c r="AK991">
        <v>270</v>
      </c>
      <c r="AL991">
        <v>270</v>
      </c>
      <c r="AM991">
        <v>0</v>
      </c>
      <c r="AN991">
        <v>0</v>
      </c>
      <c r="AO991">
        <v>25</v>
      </c>
      <c r="AP991">
        <v>0</v>
      </c>
      <c r="AQ991">
        <v>25</v>
      </c>
      <c r="AR991">
        <v>25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f t="shared" si="163"/>
        <v>787</v>
      </c>
      <c r="BF991">
        <v>441</v>
      </c>
      <c r="BG991">
        <v>441</v>
      </c>
      <c r="BH991" t="s">
        <v>82</v>
      </c>
      <c r="BI991" t="s">
        <v>1082</v>
      </c>
      <c r="BJ991">
        <v>120</v>
      </c>
      <c r="BK991">
        <v>321</v>
      </c>
      <c r="BL991">
        <v>441</v>
      </c>
      <c r="BM991">
        <v>0</v>
      </c>
      <c r="BN991">
        <v>0</v>
      </c>
      <c r="BO991">
        <v>0</v>
      </c>
      <c r="BP991">
        <v>321</v>
      </c>
      <c r="BQ991">
        <v>321</v>
      </c>
      <c r="BR991">
        <f t="shared" si="164"/>
        <v>-26</v>
      </c>
      <c r="BS991">
        <f t="shared" si="165"/>
        <v>26</v>
      </c>
    </row>
    <row r="992" spans="1:71" x14ac:dyDescent="0.25">
      <c r="A992" s="5" t="s">
        <v>1661</v>
      </c>
      <c r="B992" s="5" t="s">
        <v>207</v>
      </c>
      <c r="C992" s="5" t="s">
        <v>207</v>
      </c>
      <c r="D992" s="1" t="s">
        <v>149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26</v>
      </c>
      <c r="R992">
        <v>0</v>
      </c>
      <c r="S992" s="18" t="e">
        <f t="shared" si="156"/>
        <v>#DIV/0!</v>
      </c>
      <c r="T992" s="17" t="e">
        <f t="shared" si="157"/>
        <v>#DIV/0!</v>
      </c>
      <c r="U992" s="17" t="e">
        <f t="shared" si="158"/>
        <v>#DIV/0!</v>
      </c>
      <c r="V992" s="17" t="e">
        <f t="shared" si="159"/>
        <v>#DIV/0!</v>
      </c>
      <c r="W992" s="17" t="e">
        <f t="shared" si="160"/>
        <v>#DIV/0!</v>
      </c>
      <c r="X992" s="17" t="e">
        <f t="shared" si="161"/>
        <v>#DIV/0!</v>
      </c>
      <c r="Y992" s="19" t="e">
        <f t="shared" si="162"/>
        <v>#DIV/0!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200</v>
      </c>
      <c r="AL992">
        <v>200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f t="shared" si="163"/>
        <v>400</v>
      </c>
      <c r="BF992">
        <v>200</v>
      </c>
      <c r="BG992">
        <v>200</v>
      </c>
      <c r="BH992" t="s">
        <v>190</v>
      </c>
      <c r="BI992" t="s">
        <v>1832</v>
      </c>
      <c r="BJ992">
        <v>0</v>
      </c>
      <c r="BK992">
        <v>200</v>
      </c>
      <c r="BL992">
        <v>200</v>
      </c>
      <c r="BM992">
        <v>0</v>
      </c>
      <c r="BN992">
        <v>0</v>
      </c>
      <c r="BO992">
        <v>0</v>
      </c>
      <c r="BP992">
        <v>200</v>
      </c>
      <c r="BQ992">
        <v>200</v>
      </c>
      <c r="BR992">
        <f t="shared" si="164"/>
        <v>-26</v>
      </c>
      <c r="BS992">
        <f t="shared" si="165"/>
        <v>26</v>
      </c>
    </row>
    <row r="993" spans="1:74" x14ac:dyDescent="0.25">
      <c r="A993" s="5" t="s">
        <v>2294</v>
      </c>
      <c r="B993" s="6" t="s">
        <v>61</v>
      </c>
      <c r="C993" s="6" t="s">
        <v>61</v>
      </c>
      <c r="D993" s="1" t="s">
        <v>106</v>
      </c>
      <c r="E993">
        <v>0</v>
      </c>
      <c r="F993">
        <v>0</v>
      </c>
      <c r="G993">
        <v>0</v>
      </c>
      <c r="H993">
        <v>0</v>
      </c>
      <c r="I993">
        <v>80</v>
      </c>
      <c r="J993">
        <v>0</v>
      </c>
      <c r="K993">
        <v>260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26</v>
      </c>
      <c r="R993">
        <v>0</v>
      </c>
      <c r="S993" s="18" t="e">
        <f t="shared" si="156"/>
        <v>#DIV/0!</v>
      </c>
      <c r="T993" s="17" t="e">
        <f t="shared" si="157"/>
        <v>#DIV/0!</v>
      </c>
      <c r="U993" s="17" t="e">
        <f t="shared" si="158"/>
        <v>#DIV/0!</v>
      </c>
      <c r="V993" s="17" t="e">
        <f t="shared" si="159"/>
        <v>#DIV/0!</v>
      </c>
      <c r="W993" s="17" t="e">
        <f t="shared" si="160"/>
        <v>#DIV/0!</v>
      </c>
      <c r="X993" s="17" t="e">
        <f t="shared" si="161"/>
        <v>#DIV/0!</v>
      </c>
      <c r="Y993" s="19" t="e">
        <f t="shared" si="162"/>
        <v>#DIV/0!</v>
      </c>
      <c r="Z993">
        <v>0</v>
      </c>
      <c r="AA993">
        <v>0</v>
      </c>
      <c r="AB993">
        <v>0</v>
      </c>
      <c r="AC993">
        <v>270</v>
      </c>
      <c r="AD993">
        <v>0</v>
      </c>
      <c r="AE993">
        <v>0</v>
      </c>
      <c r="AF993">
        <v>0</v>
      </c>
      <c r="AG993">
        <v>80</v>
      </c>
      <c r="AH993">
        <v>80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260</v>
      </c>
      <c r="AP993">
        <v>240</v>
      </c>
      <c r="AQ993">
        <v>260</v>
      </c>
      <c r="AR993">
        <v>20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f t="shared" si="163"/>
        <v>1210</v>
      </c>
      <c r="BF993">
        <v>610</v>
      </c>
      <c r="BG993">
        <v>610</v>
      </c>
      <c r="BH993" t="s">
        <v>82</v>
      </c>
      <c r="BI993" t="s">
        <v>2314</v>
      </c>
      <c r="BJ993">
        <v>270</v>
      </c>
      <c r="BK993">
        <v>340</v>
      </c>
      <c r="BL993">
        <v>610</v>
      </c>
      <c r="BM993">
        <v>0</v>
      </c>
      <c r="BN993">
        <v>0</v>
      </c>
      <c r="BO993">
        <v>0</v>
      </c>
      <c r="BP993">
        <v>340</v>
      </c>
      <c r="BQ993">
        <v>340</v>
      </c>
      <c r="BR993">
        <f t="shared" si="164"/>
        <v>-26</v>
      </c>
      <c r="BS993">
        <f t="shared" si="165"/>
        <v>26</v>
      </c>
    </row>
    <row r="994" spans="1:74" x14ac:dyDescent="0.25">
      <c r="A994" s="5" t="s">
        <v>207</v>
      </c>
      <c r="B994" s="7" t="s">
        <v>359</v>
      </c>
      <c r="C994" s="7" t="s">
        <v>61</v>
      </c>
      <c r="D994" s="1" t="s">
        <v>90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310</v>
      </c>
      <c r="K994">
        <v>40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27</v>
      </c>
      <c r="R994">
        <v>0</v>
      </c>
      <c r="S994" s="18" t="e">
        <f t="shared" si="156"/>
        <v>#DIV/0!</v>
      </c>
      <c r="T994" s="17" t="e">
        <f t="shared" si="157"/>
        <v>#DIV/0!</v>
      </c>
      <c r="U994" s="17" t="e">
        <f t="shared" si="158"/>
        <v>#DIV/0!</v>
      </c>
      <c r="V994" s="17" t="e">
        <f t="shared" si="159"/>
        <v>#DIV/0!</v>
      </c>
      <c r="W994" s="17" t="e">
        <f t="shared" si="160"/>
        <v>#DIV/0!</v>
      </c>
      <c r="X994" s="17" t="e">
        <f t="shared" si="161"/>
        <v>#DIV/0!</v>
      </c>
      <c r="Y994" s="19" t="e">
        <f t="shared" si="162"/>
        <v>#DIV/0!</v>
      </c>
      <c r="Z994">
        <v>0</v>
      </c>
      <c r="AA994">
        <v>0</v>
      </c>
      <c r="AB994">
        <v>0</v>
      </c>
      <c r="AC994">
        <v>250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310</v>
      </c>
      <c r="AL994">
        <v>310</v>
      </c>
      <c r="AM994">
        <v>0</v>
      </c>
      <c r="AN994">
        <v>0</v>
      </c>
      <c r="AO994">
        <v>40</v>
      </c>
      <c r="AP994">
        <v>5</v>
      </c>
      <c r="AQ994">
        <v>40</v>
      </c>
      <c r="AR994">
        <v>35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5</v>
      </c>
      <c r="BA994">
        <v>5</v>
      </c>
      <c r="BB994">
        <v>0</v>
      </c>
      <c r="BC994">
        <v>0</v>
      </c>
      <c r="BD994">
        <v>0</v>
      </c>
      <c r="BE994">
        <f t="shared" si="163"/>
        <v>1000</v>
      </c>
      <c r="BF994">
        <v>605</v>
      </c>
      <c r="BG994">
        <v>605</v>
      </c>
      <c r="BH994" t="s">
        <v>82</v>
      </c>
      <c r="BI994" t="s">
        <v>607</v>
      </c>
      <c r="BJ994">
        <v>250</v>
      </c>
      <c r="BK994">
        <v>355</v>
      </c>
      <c r="BL994">
        <v>605</v>
      </c>
      <c r="BM994">
        <v>0</v>
      </c>
      <c r="BN994">
        <v>0</v>
      </c>
      <c r="BO994">
        <v>0</v>
      </c>
      <c r="BP994">
        <v>355</v>
      </c>
      <c r="BQ994">
        <v>355</v>
      </c>
      <c r="BR994">
        <f t="shared" si="164"/>
        <v>-27</v>
      </c>
      <c r="BS994">
        <f t="shared" si="165"/>
        <v>27</v>
      </c>
    </row>
    <row r="995" spans="1:74" x14ac:dyDescent="0.25">
      <c r="A995" s="5" t="s">
        <v>207</v>
      </c>
      <c r="B995" s="5" t="s">
        <v>627</v>
      </c>
      <c r="C995" s="5" t="s">
        <v>207</v>
      </c>
      <c r="D995" s="1" t="s">
        <v>127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307</v>
      </c>
      <c r="K995">
        <v>210</v>
      </c>
      <c r="L995">
        <v>144</v>
      </c>
      <c r="M995">
        <v>0</v>
      </c>
      <c r="N995">
        <v>0</v>
      </c>
      <c r="O995">
        <v>0</v>
      </c>
      <c r="P995">
        <v>0</v>
      </c>
      <c r="Q995">
        <v>27</v>
      </c>
      <c r="R995">
        <v>0</v>
      </c>
      <c r="S995" s="18" t="e">
        <f t="shared" si="156"/>
        <v>#DIV/0!</v>
      </c>
      <c r="T995" s="17" t="e">
        <f t="shared" si="157"/>
        <v>#DIV/0!</v>
      </c>
      <c r="U995" s="17" t="e">
        <f t="shared" si="158"/>
        <v>#DIV/0!</v>
      </c>
      <c r="V995" s="17" t="e">
        <f t="shared" si="159"/>
        <v>#DIV/0!</v>
      </c>
      <c r="W995" s="17" t="e">
        <f t="shared" si="160"/>
        <v>#DIV/0!</v>
      </c>
      <c r="X995" s="17" t="e">
        <f t="shared" si="161"/>
        <v>#DIV/0!</v>
      </c>
      <c r="Y995" s="19" t="e">
        <f t="shared" si="162"/>
        <v>#DIV/0!</v>
      </c>
      <c r="Z995">
        <v>0</v>
      </c>
      <c r="AA995">
        <v>0</v>
      </c>
      <c r="AB995">
        <v>0</v>
      </c>
      <c r="AC995">
        <v>75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307</v>
      </c>
      <c r="AL995">
        <v>307</v>
      </c>
      <c r="AM995">
        <v>0</v>
      </c>
      <c r="AN995">
        <v>0</v>
      </c>
      <c r="AO995">
        <v>210</v>
      </c>
      <c r="AP995">
        <v>160</v>
      </c>
      <c r="AQ995">
        <v>210</v>
      </c>
      <c r="AR995">
        <v>50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144</v>
      </c>
      <c r="BA995">
        <v>144</v>
      </c>
      <c r="BB995">
        <v>0</v>
      </c>
      <c r="BC995">
        <v>0</v>
      </c>
      <c r="BD995">
        <v>0</v>
      </c>
      <c r="BE995">
        <f t="shared" si="163"/>
        <v>1607</v>
      </c>
      <c r="BF995">
        <v>736</v>
      </c>
      <c r="BG995">
        <v>736</v>
      </c>
      <c r="BH995" t="s">
        <v>190</v>
      </c>
      <c r="BI995" t="s">
        <v>689</v>
      </c>
      <c r="BJ995">
        <v>75</v>
      </c>
      <c r="BK995">
        <v>661</v>
      </c>
      <c r="BL995">
        <v>736</v>
      </c>
      <c r="BM995">
        <v>0</v>
      </c>
      <c r="BN995">
        <v>0</v>
      </c>
      <c r="BO995">
        <v>0</v>
      </c>
      <c r="BP995">
        <v>661</v>
      </c>
      <c r="BQ995">
        <v>661</v>
      </c>
      <c r="BR995">
        <f t="shared" si="164"/>
        <v>-27</v>
      </c>
      <c r="BS995">
        <f t="shared" si="165"/>
        <v>27</v>
      </c>
    </row>
    <row r="996" spans="1:74" x14ac:dyDescent="0.25">
      <c r="A996" s="5" t="s">
        <v>207</v>
      </c>
      <c r="B996" s="5" t="s">
        <v>627</v>
      </c>
      <c r="C996" s="5" t="s">
        <v>207</v>
      </c>
      <c r="D996" s="1" t="s">
        <v>129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500</v>
      </c>
      <c r="K996">
        <v>125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27</v>
      </c>
      <c r="R996">
        <v>0</v>
      </c>
      <c r="S996" s="18" t="e">
        <f t="shared" si="156"/>
        <v>#DIV/0!</v>
      </c>
      <c r="T996" s="17" t="e">
        <f t="shared" si="157"/>
        <v>#DIV/0!</v>
      </c>
      <c r="U996" s="17" t="e">
        <f t="shared" si="158"/>
        <v>#DIV/0!</v>
      </c>
      <c r="V996" s="17" t="e">
        <f t="shared" si="159"/>
        <v>#DIV/0!</v>
      </c>
      <c r="W996" s="17" t="e">
        <f t="shared" si="160"/>
        <v>#DIV/0!</v>
      </c>
      <c r="X996" s="17" t="e">
        <f t="shared" si="161"/>
        <v>#DIV/0!</v>
      </c>
      <c r="Y996" s="19" t="e">
        <f t="shared" si="162"/>
        <v>#DIV/0!</v>
      </c>
      <c r="Z996">
        <v>0</v>
      </c>
      <c r="AA996">
        <v>0</v>
      </c>
      <c r="AB996">
        <v>0</v>
      </c>
      <c r="AC996">
        <v>143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500</v>
      </c>
      <c r="AL996">
        <v>500</v>
      </c>
      <c r="AM996">
        <v>0</v>
      </c>
      <c r="AN996">
        <v>0</v>
      </c>
      <c r="AO996">
        <v>125</v>
      </c>
      <c r="AP996">
        <v>20</v>
      </c>
      <c r="AQ996">
        <v>125</v>
      </c>
      <c r="AR996">
        <v>105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f t="shared" si="163"/>
        <v>1518</v>
      </c>
      <c r="BF996">
        <v>768</v>
      </c>
      <c r="BG996">
        <v>768</v>
      </c>
      <c r="BH996" t="s">
        <v>190</v>
      </c>
      <c r="BI996" t="s">
        <v>690</v>
      </c>
      <c r="BJ996">
        <v>143</v>
      </c>
      <c r="BK996">
        <v>625</v>
      </c>
      <c r="BL996">
        <v>768</v>
      </c>
      <c r="BM996">
        <v>0</v>
      </c>
      <c r="BN996">
        <v>0</v>
      </c>
      <c r="BO996">
        <v>0</v>
      </c>
      <c r="BP996">
        <v>625</v>
      </c>
      <c r="BQ996">
        <v>625</v>
      </c>
      <c r="BR996">
        <f t="shared" si="164"/>
        <v>-27</v>
      </c>
      <c r="BS996">
        <f t="shared" si="165"/>
        <v>27</v>
      </c>
    </row>
    <row r="997" spans="1:74" x14ac:dyDescent="0.25">
      <c r="A997" s="5" t="s">
        <v>1946</v>
      </c>
      <c r="B997" s="5" t="s">
        <v>61</v>
      </c>
      <c r="C997" s="5" t="s">
        <v>61</v>
      </c>
      <c r="D997" s="1" t="s">
        <v>69</v>
      </c>
      <c r="E997">
        <v>0</v>
      </c>
      <c r="F997">
        <v>260</v>
      </c>
      <c r="G997">
        <v>0</v>
      </c>
      <c r="H997">
        <v>0</v>
      </c>
      <c r="I997">
        <v>680</v>
      </c>
      <c r="J997">
        <v>0</v>
      </c>
      <c r="K997">
        <v>40</v>
      </c>
      <c r="L997">
        <v>0</v>
      </c>
      <c r="M997">
        <v>0</v>
      </c>
      <c r="N997">
        <v>0</v>
      </c>
      <c r="O997">
        <v>0</v>
      </c>
      <c r="P997">
        <v>900</v>
      </c>
      <c r="Q997">
        <v>100</v>
      </c>
      <c r="R997">
        <v>100</v>
      </c>
      <c r="S997" s="18">
        <f t="shared" si="156"/>
        <v>9</v>
      </c>
      <c r="T997" s="17">
        <f t="shared" si="157"/>
        <v>0</v>
      </c>
      <c r="U997" s="17">
        <f t="shared" si="158"/>
        <v>0</v>
      </c>
      <c r="V997" s="17">
        <f t="shared" si="159"/>
        <v>0</v>
      </c>
      <c r="W997" s="17">
        <f t="shared" si="160"/>
        <v>100</v>
      </c>
      <c r="X997" s="17">
        <f t="shared" si="161"/>
        <v>0</v>
      </c>
      <c r="Y997" s="19" t="e">
        <f t="shared" si="162"/>
        <v>#DIV/0!</v>
      </c>
      <c r="Z997">
        <v>260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680</v>
      </c>
      <c r="AH997">
        <v>680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40</v>
      </c>
      <c r="AP997">
        <v>0</v>
      </c>
      <c r="AQ997">
        <v>40</v>
      </c>
      <c r="AR997">
        <v>40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f t="shared" si="163"/>
        <v>1480</v>
      </c>
      <c r="BF997">
        <v>980</v>
      </c>
      <c r="BG997">
        <v>980</v>
      </c>
      <c r="BH997" t="s">
        <v>63</v>
      </c>
      <c r="BI997" t="s">
        <v>1950</v>
      </c>
      <c r="BJ997">
        <v>0</v>
      </c>
      <c r="BK997">
        <v>720</v>
      </c>
      <c r="BL997">
        <v>980</v>
      </c>
      <c r="BM997">
        <v>0</v>
      </c>
      <c r="BN997">
        <v>0</v>
      </c>
      <c r="BO997">
        <v>0</v>
      </c>
      <c r="BP997">
        <v>1620</v>
      </c>
      <c r="BQ997">
        <v>1620</v>
      </c>
      <c r="BR997">
        <f t="shared" si="164"/>
        <v>0</v>
      </c>
      <c r="BS997">
        <f t="shared" si="165"/>
        <v>200</v>
      </c>
      <c r="BU997">
        <f>R997*9</f>
        <v>900</v>
      </c>
      <c r="BV997">
        <f>IF(BU997&gt;BG997, 1, 0)</f>
        <v>0</v>
      </c>
    </row>
    <row r="998" spans="1:74" x14ac:dyDescent="0.25">
      <c r="A998" s="5" t="s">
        <v>1661</v>
      </c>
      <c r="B998" s="5" t="s">
        <v>61</v>
      </c>
      <c r="C998" s="5" t="s">
        <v>61</v>
      </c>
      <c r="D998" s="1" t="s">
        <v>129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120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27</v>
      </c>
      <c r="R998">
        <v>0</v>
      </c>
      <c r="S998" s="18" t="e">
        <f t="shared" si="156"/>
        <v>#DIV/0!</v>
      </c>
      <c r="T998" s="17" t="e">
        <f t="shared" si="157"/>
        <v>#DIV/0!</v>
      </c>
      <c r="U998" s="17" t="e">
        <f t="shared" si="158"/>
        <v>#DIV/0!</v>
      </c>
      <c r="V998" s="17" t="e">
        <f t="shared" si="159"/>
        <v>#DIV/0!</v>
      </c>
      <c r="W998" s="17" t="e">
        <f t="shared" si="160"/>
        <v>#DIV/0!</v>
      </c>
      <c r="X998" s="17" t="e">
        <f t="shared" si="161"/>
        <v>#DIV/0!</v>
      </c>
      <c r="Y998" s="19" t="e">
        <f t="shared" si="162"/>
        <v>#DIV/0!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120</v>
      </c>
      <c r="AL998">
        <v>120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f t="shared" si="163"/>
        <v>240</v>
      </c>
      <c r="BF998">
        <v>120</v>
      </c>
      <c r="BG998">
        <v>120</v>
      </c>
      <c r="BH998" t="s">
        <v>190</v>
      </c>
      <c r="BI998" t="s">
        <v>1690</v>
      </c>
      <c r="BJ998">
        <v>0</v>
      </c>
      <c r="BK998">
        <v>120</v>
      </c>
      <c r="BL998">
        <v>120</v>
      </c>
      <c r="BM998">
        <v>0</v>
      </c>
      <c r="BN998">
        <v>0</v>
      </c>
      <c r="BO998">
        <v>0</v>
      </c>
      <c r="BP998">
        <v>120</v>
      </c>
      <c r="BQ998">
        <v>120</v>
      </c>
      <c r="BR998">
        <f t="shared" si="164"/>
        <v>-27</v>
      </c>
      <c r="BS998">
        <f t="shared" si="165"/>
        <v>27</v>
      </c>
    </row>
    <row r="999" spans="1:74" x14ac:dyDescent="0.25">
      <c r="A999" s="5" t="s">
        <v>1661</v>
      </c>
      <c r="B999" s="5" t="s">
        <v>359</v>
      </c>
      <c r="C999" s="5" t="s">
        <v>207</v>
      </c>
      <c r="D999" s="1" t="s">
        <v>137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369</v>
      </c>
      <c r="K999">
        <v>52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27</v>
      </c>
      <c r="R999">
        <v>0</v>
      </c>
      <c r="S999" s="18" t="e">
        <f t="shared" si="156"/>
        <v>#DIV/0!</v>
      </c>
      <c r="T999" s="17" t="e">
        <f t="shared" si="157"/>
        <v>#DIV/0!</v>
      </c>
      <c r="U999" s="17" t="e">
        <f t="shared" si="158"/>
        <v>#DIV/0!</v>
      </c>
      <c r="V999" s="17" t="e">
        <f t="shared" si="159"/>
        <v>#DIV/0!</v>
      </c>
      <c r="W999" s="17" t="e">
        <f t="shared" si="160"/>
        <v>#DIV/0!</v>
      </c>
      <c r="X999" s="17" t="e">
        <f t="shared" si="161"/>
        <v>#DIV/0!</v>
      </c>
      <c r="Y999" s="19" t="e">
        <f t="shared" si="162"/>
        <v>#DIV/0!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369</v>
      </c>
      <c r="AL999">
        <v>369</v>
      </c>
      <c r="AM999">
        <v>0</v>
      </c>
      <c r="AN999">
        <v>0</v>
      </c>
      <c r="AO999">
        <v>52</v>
      </c>
      <c r="AP999">
        <v>3</v>
      </c>
      <c r="AQ999">
        <v>52</v>
      </c>
      <c r="AR999">
        <v>49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f t="shared" si="163"/>
        <v>894</v>
      </c>
      <c r="BF999">
        <v>761</v>
      </c>
      <c r="BG999">
        <v>761</v>
      </c>
      <c r="BH999" t="s">
        <v>82</v>
      </c>
      <c r="BI999" t="s">
        <v>1916</v>
      </c>
      <c r="BJ999">
        <v>0</v>
      </c>
      <c r="BK999">
        <v>421</v>
      </c>
      <c r="BL999">
        <v>421</v>
      </c>
      <c r="BM999">
        <v>0</v>
      </c>
      <c r="BN999">
        <v>0</v>
      </c>
      <c r="BO999">
        <v>0</v>
      </c>
      <c r="BP999">
        <v>421</v>
      </c>
      <c r="BQ999">
        <v>421</v>
      </c>
      <c r="BR999">
        <f t="shared" si="164"/>
        <v>-27</v>
      </c>
      <c r="BS999">
        <f t="shared" si="165"/>
        <v>27</v>
      </c>
    </row>
    <row r="1000" spans="1:74" x14ac:dyDescent="0.25">
      <c r="A1000" s="5" t="s">
        <v>2294</v>
      </c>
      <c r="B1000" s="5" t="s">
        <v>61</v>
      </c>
      <c r="C1000" s="5" t="s">
        <v>61</v>
      </c>
      <c r="D1000" s="1" t="s">
        <v>92</v>
      </c>
      <c r="E1000">
        <v>0</v>
      </c>
      <c r="F1000">
        <v>0</v>
      </c>
      <c r="G1000">
        <v>0</v>
      </c>
      <c r="H1000">
        <v>0</v>
      </c>
      <c r="I1000">
        <v>294</v>
      </c>
      <c r="J1000">
        <v>434</v>
      </c>
      <c r="K1000">
        <v>0</v>
      </c>
      <c r="L1000">
        <v>30</v>
      </c>
      <c r="M1000">
        <v>0</v>
      </c>
      <c r="N1000">
        <v>0</v>
      </c>
      <c r="O1000">
        <v>0</v>
      </c>
      <c r="P1000">
        <v>0</v>
      </c>
      <c r="Q1000">
        <v>27</v>
      </c>
      <c r="R1000">
        <v>0</v>
      </c>
      <c r="S1000" s="18" t="e">
        <f t="shared" si="156"/>
        <v>#DIV/0!</v>
      </c>
      <c r="T1000" s="17" t="e">
        <f t="shared" si="157"/>
        <v>#DIV/0!</v>
      </c>
      <c r="U1000" s="17" t="e">
        <f t="shared" si="158"/>
        <v>#DIV/0!</v>
      </c>
      <c r="V1000" s="17" t="e">
        <f t="shared" si="159"/>
        <v>#DIV/0!</v>
      </c>
      <c r="W1000" s="17" t="e">
        <f t="shared" si="160"/>
        <v>#DIV/0!</v>
      </c>
      <c r="X1000" s="17" t="e">
        <f t="shared" si="161"/>
        <v>#DIV/0!</v>
      </c>
      <c r="Y1000" s="19" t="e">
        <f t="shared" si="162"/>
        <v>#DIV/0!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294</v>
      </c>
      <c r="AH1000">
        <v>294</v>
      </c>
      <c r="AI1000">
        <v>0</v>
      </c>
      <c r="AJ1000">
        <v>0</v>
      </c>
      <c r="AK1000">
        <v>434</v>
      </c>
      <c r="AL1000">
        <v>434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30</v>
      </c>
      <c r="BA1000">
        <v>30</v>
      </c>
      <c r="BB1000">
        <v>0</v>
      </c>
      <c r="BC1000">
        <v>0</v>
      </c>
      <c r="BD1000">
        <v>0</v>
      </c>
      <c r="BE1000">
        <f t="shared" si="163"/>
        <v>1516</v>
      </c>
      <c r="BF1000">
        <v>758</v>
      </c>
      <c r="BG1000">
        <v>758</v>
      </c>
      <c r="BH1000" t="s">
        <v>190</v>
      </c>
      <c r="BI1000" t="s">
        <v>2308</v>
      </c>
      <c r="BJ1000">
        <v>0</v>
      </c>
      <c r="BK1000">
        <v>758</v>
      </c>
      <c r="BL1000">
        <v>758</v>
      </c>
      <c r="BM1000">
        <v>0</v>
      </c>
      <c r="BN1000">
        <v>0</v>
      </c>
      <c r="BO1000">
        <v>0</v>
      </c>
      <c r="BP1000">
        <v>758</v>
      </c>
      <c r="BQ1000">
        <v>758</v>
      </c>
      <c r="BR1000">
        <f t="shared" si="164"/>
        <v>-27</v>
      </c>
      <c r="BS1000">
        <f t="shared" si="165"/>
        <v>27</v>
      </c>
    </row>
    <row r="1001" spans="1:74" x14ac:dyDescent="0.25">
      <c r="A1001" s="5" t="s">
        <v>61</v>
      </c>
      <c r="B1001" s="5" t="s">
        <v>207</v>
      </c>
      <c r="C1001" s="5" t="s">
        <v>61</v>
      </c>
      <c r="D1001" s="1" t="s">
        <v>205</v>
      </c>
      <c r="E1001">
        <v>0</v>
      </c>
      <c r="F1001">
        <v>25</v>
      </c>
      <c r="G1001">
        <v>0</v>
      </c>
      <c r="H1001">
        <v>0</v>
      </c>
      <c r="I1001">
        <v>15</v>
      </c>
      <c r="J1001">
        <v>845</v>
      </c>
      <c r="K1001">
        <v>48</v>
      </c>
      <c r="L1001">
        <v>107</v>
      </c>
      <c r="M1001">
        <v>0</v>
      </c>
      <c r="N1001">
        <v>0</v>
      </c>
      <c r="O1001">
        <v>0</v>
      </c>
      <c r="P1001">
        <v>54</v>
      </c>
      <c r="Q1001">
        <v>34</v>
      </c>
      <c r="R1001">
        <v>6</v>
      </c>
      <c r="S1001" s="18">
        <f t="shared" si="156"/>
        <v>9</v>
      </c>
      <c r="T1001" s="17">
        <f t="shared" si="157"/>
        <v>0</v>
      </c>
      <c r="U1001" s="17">
        <f t="shared" si="158"/>
        <v>0</v>
      </c>
      <c r="V1001" s="17">
        <f t="shared" si="159"/>
        <v>0</v>
      </c>
      <c r="W1001" s="17">
        <f t="shared" si="160"/>
        <v>6</v>
      </c>
      <c r="X1001" s="17">
        <f t="shared" si="161"/>
        <v>28</v>
      </c>
      <c r="Y1001" s="19">
        <f t="shared" si="162"/>
        <v>0</v>
      </c>
      <c r="Z1001">
        <v>25</v>
      </c>
      <c r="AA1001">
        <v>0</v>
      </c>
      <c r="AB1001">
        <v>0</v>
      </c>
      <c r="AC1001">
        <v>32</v>
      </c>
      <c r="AD1001">
        <v>0</v>
      </c>
      <c r="AE1001">
        <v>0</v>
      </c>
      <c r="AF1001">
        <v>0</v>
      </c>
      <c r="AG1001">
        <v>15</v>
      </c>
      <c r="AH1001">
        <v>15</v>
      </c>
      <c r="AI1001">
        <v>0</v>
      </c>
      <c r="AJ1001">
        <v>0</v>
      </c>
      <c r="AK1001">
        <v>845</v>
      </c>
      <c r="AL1001">
        <v>845</v>
      </c>
      <c r="AM1001">
        <v>0</v>
      </c>
      <c r="AN1001">
        <v>0</v>
      </c>
      <c r="AO1001">
        <v>48</v>
      </c>
      <c r="AP1001">
        <v>18</v>
      </c>
      <c r="AQ1001">
        <v>48</v>
      </c>
      <c r="AR1001">
        <v>30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107</v>
      </c>
      <c r="BA1001">
        <v>107</v>
      </c>
      <c r="BB1001">
        <v>0</v>
      </c>
      <c r="BC1001">
        <v>0</v>
      </c>
      <c r="BD1001">
        <v>0</v>
      </c>
      <c r="BE1001">
        <f t="shared" si="163"/>
        <v>2110</v>
      </c>
      <c r="BF1001">
        <v>1072</v>
      </c>
      <c r="BG1001">
        <v>1072</v>
      </c>
      <c r="BH1001" t="s">
        <v>199</v>
      </c>
      <c r="BI1001" t="s">
        <v>278</v>
      </c>
      <c r="BJ1001">
        <v>32</v>
      </c>
      <c r="BK1001">
        <v>1015</v>
      </c>
      <c r="BL1001">
        <v>1072</v>
      </c>
      <c r="BM1001">
        <v>0</v>
      </c>
      <c r="BN1001">
        <v>0</v>
      </c>
      <c r="BO1001">
        <v>0</v>
      </c>
      <c r="BP1001">
        <v>1069</v>
      </c>
      <c r="BQ1001">
        <v>1069</v>
      </c>
      <c r="BR1001">
        <f t="shared" si="164"/>
        <v>-28</v>
      </c>
      <c r="BS1001">
        <f t="shared" si="165"/>
        <v>40</v>
      </c>
    </row>
    <row r="1002" spans="1:74" x14ac:dyDescent="0.25">
      <c r="A1002" s="5" t="s">
        <v>61</v>
      </c>
      <c r="B1002" s="5" t="s">
        <v>359</v>
      </c>
      <c r="C1002" s="5" t="s">
        <v>61</v>
      </c>
      <c r="D1002" s="1" t="s">
        <v>104</v>
      </c>
      <c r="E1002">
        <v>0</v>
      </c>
      <c r="F1002">
        <v>450</v>
      </c>
      <c r="G1002">
        <v>0</v>
      </c>
      <c r="H1002">
        <v>0</v>
      </c>
      <c r="I1002">
        <v>100</v>
      </c>
      <c r="J1002">
        <v>0</v>
      </c>
      <c r="K1002">
        <v>0</v>
      </c>
      <c r="L1002">
        <v>0</v>
      </c>
      <c r="M1002">
        <v>2430</v>
      </c>
      <c r="N1002">
        <v>0</v>
      </c>
      <c r="O1002">
        <v>0</v>
      </c>
      <c r="P1002">
        <v>0</v>
      </c>
      <c r="Q1002">
        <v>298</v>
      </c>
      <c r="R1002">
        <v>270</v>
      </c>
      <c r="S1002" s="18">
        <f t="shared" si="156"/>
        <v>9</v>
      </c>
      <c r="T1002" s="17">
        <f t="shared" si="157"/>
        <v>270</v>
      </c>
      <c r="U1002" s="17">
        <f t="shared" si="158"/>
        <v>0</v>
      </c>
      <c r="V1002" s="17">
        <f t="shared" si="159"/>
        <v>0</v>
      </c>
      <c r="W1002" s="17">
        <f t="shared" si="160"/>
        <v>0</v>
      </c>
      <c r="X1002" s="17">
        <f t="shared" si="161"/>
        <v>28</v>
      </c>
      <c r="Y1002" s="19">
        <f t="shared" si="162"/>
        <v>0</v>
      </c>
      <c r="Z1002">
        <v>450</v>
      </c>
      <c r="AA1002">
        <v>0</v>
      </c>
      <c r="AB1002">
        <v>0</v>
      </c>
      <c r="AC1002">
        <v>0</v>
      </c>
      <c r="AD1002">
        <v>100</v>
      </c>
      <c r="AE1002">
        <v>0</v>
      </c>
      <c r="AF1002">
        <v>0</v>
      </c>
      <c r="AG1002">
        <v>0</v>
      </c>
      <c r="AH1002">
        <v>100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f t="shared" si="163"/>
        <v>200</v>
      </c>
      <c r="BF1002">
        <v>550</v>
      </c>
      <c r="BG1002">
        <v>550</v>
      </c>
      <c r="BH1002" t="s">
        <v>109</v>
      </c>
      <c r="BI1002" t="s">
        <v>380</v>
      </c>
      <c r="BJ1002">
        <v>0</v>
      </c>
      <c r="BK1002">
        <v>100</v>
      </c>
      <c r="BL1002">
        <v>550</v>
      </c>
      <c r="BM1002">
        <v>2530</v>
      </c>
      <c r="BN1002">
        <v>0</v>
      </c>
      <c r="BO1002">
        <v>0</v>
      </c>
      <c r="BP1002">
        <v>0</v>
      </c>
      <c r="BQ1002">
        <v>2530</v>
      </c>
      <c r="BR1002">
        <f t="shared" si="164"/>
        <v>-28</v>
      </c>
      <c r="BS1002">
        <f t="shared" si="165"/>
        <v>568</v>
      </c>
    </row>
    <row r="1003" spans="1:74" x14ac:dyDescent="0.25">
      <c r="A1003" s="5" t="s">
        <v>207</v>
      </c>
      <c r="B1003" s="5" t="s">
        <v>61</v>
      </c>
      <c r="C1003" s="5" t="s">
        <v>207</v>
      </c>
      <c r="D1003" s="1" t="s">
        <v>125</v>
      </c>
      <c r="E1003">
        <v>0</v>
      </c>
      <c r="F1003">
        <v>0</v>
      </c>
      <c r="G1003">
        <v>0</v>
      </c>
      <c r="H1003">
        <v>0</v>
      </c>
      <c r="I1003">
        <v>38</v>
      </c>
      <c r="J1003">
        <v>1170</v>
      </c>
      <c r="K1003">
        <v>465</v>
      </c>
      <c r="L1003">
        <v>17</v>
      </c>
      <c r="M1003">
        <v>0</v>
      </c>
      <c r="N1003">
        <v>0</v>
      </c>
      <c r="O1003">
        <v>0</v>
      </c>
      <c r="P1003">
        <v>918</v>
      </c>
      <c r="Q1003">
        <v>130</v>
      </c>
      <c r="R1003">
        <v>102</v>
      </c>
      <c r="S1003" s="18">
        <f t="shared" si="156"/>
        <v>9</v>
      </c>
      <c r="T1003" s="17">
        <f t="shared" si="157"/>
        <v>0</v>
      </c>
      <c r="U1003" s="17">
        <f t="shared" si="158"/>
        <v>0</v>
      </c>
      <c r="V1003" s="17">
        <f t="shared" si="159"/>
        <v>0</v>
      </c>
      <c r="W1003" s="17">
        <f t="shared" si="160"/>
        <v>102</v>
      </c>
      <c r="X1003" s="17">
        <f t="shared" si="161"/>
        <v>28</v>
      </c>
      <c r="Y1003" s="19">
        <f t="shared" si="162"/>
        <v>0</v>
      </c>
      <c r="Z1003">
        <v>408</v>
      </c>
      <c r="AA1003">
        <v>0</v>
      </c>
      <c r="AB1003">
        <v>0</v>
      </c>
      <c r="AC1003">
        <v>631</v>
      </c>
      <c r="AD1003">
        <v>0</v>
      </c>
      <c r="AE1003">
        <v>38</v>
      </c>
      <c r="AF1003">
        <v>0</v>
      </c>
      <c r="AG1003">
        <v>0</v>
      </c>
      <c r="AH1003">
        <v>38</v>
      </c>
      <c r="AI1003">
        <v>0</v>
      </c>
      <c r="AJ1003">
        <v>1170</v>
      </c>
      <c r="AK1003">
        <v>0</v>
      </c>
      <c r="AL1003">
        <v>1170</v>
      </c>
      <c r="AM1003">
        <v>0</v>
      </c>
      <c r="AN1003">
        <v>465</v>
      </c>
      <c r="AO1003">
        <v>0</v>
      </c>
      <c r="AP1003">
        <v>366</v>
      </c>
      <c r="AQ1003">
        <v>465</v>
      </c>
      <c r="AR1003">
        <v>99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17</v>
      </c>
      <c r="AZ1003">
        <v>0</v>
      </c>
      <c r="BA1003">
        <v>17</v>
      </c>
      <c r="BB1003">
        <v>0</v>
      </c>
      <c r="BC1003">
        <v>0</v>
      </c>
      <c r="BD1003">
        <v>0</v>
      </c>
      <c r="BE1003">
        <f t="shared" si="163"/>
        <v>4476</v>
      </c>
      <c r="BF1003">
        <v>3628</v>
      </c>
      <c r="BG1003">
        <v>3628</v>
      </c>
      <c r="BH1003" t="s">
        <v>82</v>
      </c>
      <c r="BI1003" t="s">
        <v>492</v>
      </c>
      <c r="BJ1003">
        <v>631</v>
      </c>
      <c r="BK1003">
        <v>1690</v>
      </c>
      <c r="BL1003">
        <v>2729</v>
      </c>
      <c r="BM1003">
        <v>0</v>
      </c>
      <c r="BN1003">
        <v>1690</v>
      </c>
      <c r="BO1003">
        <v>0</v>
      </c>
      <c r="BP1003">
        <v>918</v>
      </c>
      <c r="BQ1003">
        <v>2608</v>
      </c>
      <c r="BR1003">
        <f t="shared" si="164"/>
        <v>-28</v>
      </c>
      <c r="BS1003">
        <f t="shared" si="165"/>
        <v>232</v>
      </c>
    </row>
    <row r="1004" spans="1:74" x14ac:dyDescent="0.25">
      <c r="A1004" s="5" t="s">
        <v>207</v>
      </c>
      <c r="B1004" s="5" t="s">
        <v>627</v>
      </c>
      <c r="C1004" s="5" t="s">
        <v>61</v>
      </c>
      <c r="D1004" s="1" t="s">
        <v>92</v>
      </c>
      <c r="E1004">
        <v>1640</v>
      </c>
      <c r="F1004">
        <v>0</v>
      </c>
      <c r="G1004">
        <v>0</v>
      </c>
      <c r="H1004">
        <v>0</v>
      </c>
      <c r="I1004">
        <v>0</v>
      </c>
      <c r="J1004">
        <v>2792</v>
      </c>
      <c r="K1004">
        <v>0</v>
      </c>
      <c r="L1004">
        <v>260</v>
      </c>
      <c r="M1004">
        <v>0</v>
      </c>
      <c r="N1004">
        <v>0</v>
      </c>
      <c r="O1004">
        <v>0</v>
      </c>
      <c r="P1004">
        <v>0</v>
      </c>
      <c r="Q1004">
        <v>28</v>
      </c>
      <c r="R1004">
        <v>0</v>
      </c>
      <c r="S1004" s="18" t="e">
        <f t="shared" si="156"/>
        <v>#DIV/0!</v>
      </c>
      <c r="T1004" s="17" t="e">
        <f t="shared" si="157"/>
        <v>#DIV/0!</v>
      </c>
      <c r="U1004" s="17" t="e">
        <f t="shared" si="158"/>
        <v>#DIV/0!</v>
      </c>
      <c r="V1004" s="17" t="e">
        <f t="shared" si="159"/>
        <v>#DIV/0!</v>
      </c>
      <c r="W1004" s="17" t="e">
        <f t="shared" si="160"/>
        <v>#DIV/0!</v>
      </c>
      <c r="X1004" s="17" t="e">
        <f t="shared" si="161"/>
        <v>#DIV/0!</v>
      </c>
      <c r="Y1004" s="19" t="e">
        <f t="shared" si="162"/>
        <v>#DIV/0!</v>
      </c>
      <c r="Z1004">
        <v>0</v>
      </c>
      <c r="AA1004">
        <v>0</v>
      </c>
      <c r="AB1004">
        <v>0</v>
      </c>
      <c r="AC1004">
        <v>11242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2792</v>
      </c>
      <c r="AL1004">
        <v>2792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260</v>
      </c>
      <c r="BA1004">
        <v>260</v>
      </c>
      <c r="BB1004">
        <v>0</v>
      </c>
      <c r="BC1004">
        <v>0</v>
      </c>
      <c r="BD1004">
        <v>0</v>
      </c>
      <c r="BE1004">
        <f t="shared" si="163"/>
        <v>17346</v>
      </c>
      <c r="BF1004">
        <v>15934</v>
      </c>
      <c r="BG1004">
        <v>15934</v>
      </c>
      <c r="BH1004" t="s">
        <v>190</v>
      </c>
      <c r="BI1004" t="s">
        <v>640</v>
      </c>
      <c r="BJ1004">
        <v>12882</v>
      </c>
      <c r="BK1004">
        <v>3052</v>
      </c>
      <c r="BL1004">
        <v>15934</v>
      </c>
      <c r="BM1004">
        <v>0</v>
      </c>
      <c r="BN1004">
        <v>0</v>
      </c>
      <c r="BO1004">
        <v>0</v>
      </c>
      <c r="BP1004">
        <v>3052</v>
      </c>
      <c r="BQ1004">
        <v>3052</v>
      </c>
      <c r="BR1004">
        <f t="shared" si="164"/>
        <v>-28</v>
      </c>
      <c r="BS1004">
        <f t="shared" si="165"/>
        <v>28</v>
      </c>
    </row>
    <row r="1005" spans="1:74" x14ac:dyDescent="0.25">
      <c r="A1005" s="5" t="s">
        <v>207</v>
      </c>
      <c r="B1005" s="5" t="s">
        <v>627</v>
      </c>
      <c r="C1005" s="5" t="s">
        <v>207</v>
      </c>
      <c r="D1005" s="1" t="s">
        <v>111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750</v>
      </c>
      <c r="K1005">
        <v>342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28</v>
      </c>
      <c r="R1005">
        <v>0</v>
      </c>
      <c r="S1005" s="18" t="e">
        <f t="shared" si="156"/>
        <v>#DIV/0!</v>
      </c>
      <c r="T1005" s="17" t="e">
        <f t="shared" si="157"/>
        <v>#DIV/0!</v>
      </c>
      <c r="U1005" s="17" t="e">
        <f t="shared" si="158"/>
        <v>#DIV/0!</v>
      </c>
      <c r="V1005" s="17" t="e">
        <f t="shared" si="159"/>
        <v>#DIV/0!</v>
      </c>
      <c r="W1005" s="17" t="e">
        <f t="shared" si="160"/>
        <v>#DIV/0!</v>
      </c>
      <c r="X1005" s="17" t="e">
        <f t="shared" si="161"/>
        <v>#DIV/0!</v>
      </c>
      <c r="Y1005" s="19" t="e">
        <f t="shared" si="162"/>
        <v>#DIV/0!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750</v>
      </c>
      <c r="AL1005">
        <v>750</v>
      </c>
      <c r="AM1005">
        <v>150</v>
      </c>
      <c r="AN1005">
        <v>0</v>
      </c>
      <c r="AO1005">
        <v>192</v>
      </c>
      <c r="AP1005">
        <v>192</v>
      </c>
      <c r="AQ1005">
        <v>342</v>
      </c>
      <c r="AR1005">
        <v>150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f t="shared" si="163"/>
        <v>2526</v>
      </c>
      <c r="BF1005">
        <v>1092</v>
      </c>
      <c r="BG1005">
        <v>1092</v>
      </c>
      <c r="BH1005" t="s">
        <v>190</v>
      </c>
      <c r="BI1005" t="s">
        <v>681</v>
      </c>
      <c r="BJ1005">
        <v>0</v>
      </c>
      <c r="BK1005">
        <v>1092</v>
      </c>
      <c r="BL1005">
        <v>1092</v>
      </c>
      <c r="BM1005">
        <v>150</v>
      </c>
      <c r="BN1005">
        <v>0</v>
      </c>
      <c r="BO1005">
        <v>0</v>
      </c>
      <c r="BP1005">
        <v>942</v>
      </c>
      <c r="BQ1005">
        <v>1092</v>
      </c>
      <c r="BR1005">
        <f t="shared" si="164"/>
        <v>-28</v>
      </c>
      <c r="BS1005">
        <f t="shared" si="165"/>
        <v>28</v>
      </c>
    </row>
    <row r="1006" spans="1:74" x14ac:dyDescent="0.25">
      <c r="A1006" s="5" t="s">
        <v>1135</v>
      </c>
      <c r="B1006" s="5" t="s">
        <v>207</v>
      </c>
      <c r="C1006" s="5" t="s">
        <v>61</v>
      </c>
      <c r="D1006" s="1" t="s">
        <v>171</v>
      </c>
      <c r="E1006">
        <v>30</v>
      </c>
      <c r="F1006">
        <v>105</v>
      </c>
      <c r="G1006">
        <v>0</v>
      </c>
      <c r="H1006">
        <v>0</v>
      </c>
      <c r="I1006">
        <v>20</v>
      </c>
      <c r="J1006">
        <v>1300</v>
      </c>
      <c r="K1006">
        <v>40</v>
      </c>
      <c r="L1006">
        <v>170</v>
      </c>
      <c r="M1006">
        <v>0</v>
      </c>
      <c r="N1006">
        <v>0</v>
      </c>
      <c r="O1006">
        <v>0</v>
      </c>
      <c r="P1006">
        <v>216</v>
      </c>
      <c r="Q1006">
        <v>52</v>
      </c>
      <c r="R1006">
        <v>24</v>
      </c>
      <c r="S1006" s="18">
        <f t="shared" si="156"/>
        <v>9</v>
      </c>
      <c r="T1006" s="17">
        <f t="shared" si="157"/>
        <v>0</v>
      </c>
      <c r="U1006" s="17">
        <f t="shared" si="158"/>
        <v>0</v>
      </c>
      <c r="V1006" s="17">
        <f t="shared" si="159"/>
        <v>0</v>
      </c>
      <c r="W1006" s="17">
        <f t="shared" si="160"/>
        <v>24</v>
      </c>
      <c r="X1006" s="17">
        <f t="shared" si="161"/>
        <v>28</v>
      </c>
      <c r="Y1006" s="19">
        <f t="shared" si="162"/>
        <v>0</v>
      </c>
      <c r="Z1006">
        <v>105</v>
      </c>
      <c r="AA1006">
        <v>0</v>
      </c>
      <c r="AB1006">
        <v>0</v>
      </c>
      <c r="AC1006">
        <v>200</v>
      </c>
      <c r="AD1006">
        <v>0</v>
      </c>
      <c r="AE1006">
        <v>0</v>
      </c>
      <c r="AF1006">
        <v>0</v>
      </c>
      <c r="AG1006">
        <v>20</v>
      </c>
      <c r="AH1006">
        <v>20</v>
      </c>
      <c r="AI1006">
        <v>0</v>
      </c>
      <c r="AJ1006">
        <v>0</v>
      </c>
      <c r="AK1006">
        <v>1300</v>
      </c>
      <c r="AL1006">
        <v>1300</v>
      </c>
      <c r="AM1006">
        <v>0</v>
      </c>
      <c r="AN1006">
        <v>0</v>
      </c>
      <c r="AO1006">
        <v>40</v>
      </c>
      <c r="AP1006">
        <v>15</v>
      </c>
      <c r="AQ1006">
        <v>40</v>
      </c>
      <c r="AR1006">
        <v>25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170</v>
      </c>
      <c r="BA1006">
        <v>170</v>
      </c>
      <c r="BB1006">
        <v>0</v>
      </c>
      <c r="BC1006">
        <v>0</v>
      </c>
      <c r="BD1006">
        <v>0</v>
      </c>
      <c r="BE1006">
        <f t="shared" si="163"/>
        <v>3300</v>
      </c>
      <c r="BF1006">
        <v>1865</v>
      </c>
      <c r="BG1006">
        <v>1865</v>
      </c>
      <c r="BH1006" t="s">
        <v>190</v>
      </c>
      <c r="BI1006" t="s">
        <v>1248</v>
      </c>
      <c r="BJ1006">
        <v>230</v>
      </c>
      <c r="BK1006">
        <v>1530</v>
      </c>
      <c r="BL1006">
        <v>1865</v>
      </c>
      <c r="BM1006">
        <v>0</v>
      </c>
      <c r="BN1006">
        <v>0</v>
      </c>
      <c r="BO1006">
        <v>0</v>
      </c>
      <c r="BP1006">
        <v>1746</v>
      </c>
      <c r="BQ1006">
        <v>1746</v>
      </c>
      <c r="BR1006">
        <f t="shared" si="164"/>
        <v>-28</v>
      </c>
      <c r="BS1006">
        <f t="shared" si="165"/>
        <v>76</v>
      </c>
    </row>
    <row r="1007" spans="1:74" x14ac:dyDescent="0.25">
      <c r="A1007" s="5" t="s">
        <v>1337</v>
      </c>
      <c r="B1007" s="5" t="s">
        <v>61</v>
      </c>
      <c r="C1007" s="5" t="s">
        <v>61</v>
      </c>
      <c r="D1007" s="1" t="s">
        <v>135</v>
      </c>
      <c r="E1007">
        <v>120</v>
      </c>
      <c r="F1007">
        <v>219</v>
      </c>
      <c r="G1007">
        <v>0</v>
      </c>
      <c r="H1007">
        <v>0</v>
      </c>
      <c r="I1007">
        <v>23</v>
      </c>
      <c r="J1007">
        <v>170</v>
      </c>
      <c r="K1007">
        <v>351</v>
      </c>
      <c r="L1007">
        <v>48</v>
      </c>
      <c r="M1007">
        <v>0</v>
      </c>
      <c r="N1007">
        <v>0</v>
      </c>
      <c r="O1007">
        <v>0</v>
      </c>
      <c r="P1007">
        <v>657</v>
      </c>
      <c r="Q1007">
        <v>101</v>
      </c>
      <c r="R1007">
        <v>73</v>
      </c>
      <c r="S1007" s="18">
        <f t="shared" si="156"/>
        <v>9</v>
      </c>
      <c r="T1007" s="17">
        <f t="shared" si="157"/>
        <v>0</v>
      </c>
      <c r="U1007" s="17">
        <f t="shared" si="158"/>
        <v>0</v>
      </c>
      <c r="V1007" s="17">
        <f t="shared" si="159"/>
        <v>0</v>
      </c>
      <c r="W1007" s="17">
        <f t="shared" si="160"/>
        <v>73</v>
      </c>
      <c r="X1007" s="17">
        <f t="shared" si="161"/>
        <v>28</v>
      </c>
      <c r="Y1007" s="19">
        <f t="shared" si="162"/>
        <v>0</v>
      </c>
      <c r="Z1007">
        <v>219</v>
      </c>
      <c r="AA1007">
        <v>4</v>
      </c>
      <c r="AB1007">
        <v>0</v>
      </c>
      <c r="AC1007">
        <v>2267</v>
      </c>
      <c r="AD1007">
        <v>0</v>
      </c>
      <c r="AE1007">
        <v>0</v>
      </c>
      <c r="AF1007">
        <v>0</v>
      </c>
      <c r="AG1007">
        <v>23</v>
      </c>
      <c r="AH1007">
        <v>23</v>
      </c>
      <c r="AI1007">
        <v>0</v>
      </c>
      <c r="AJ1007">
        <v>0</v>
      </c>
      <c r="AK1007">
        <v>170</v>
      </c>
      <c r="AL1007">
        <v>170</v>
      </c>
      <c r="AM1007">
        <v>0</v>
      </c>
      <c r="AN1007">
        <v>0</v>
      </c>
      <c r="AO1007">
        <v>351</v>
      </c>
      <c r="AP1007">
        <v>91</v>
      </c>
      <c r="AQ1007">
        <v>351</v>
      </c>
      <c r="AR1007">
        <v>260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48</v>
      </c>
      <c r="BA1007">
        <v>48</v>
      </c>
      <c r="BB1007">
        <v>0</v>
      </c>
      <c r="BC1007">
        <v>0</v>
      </c>
      <c r="BD1007">
        <v>0</v>
      </c>
      <c r="BE1007">
        <f t="shared" si="163"/>
        <v>3802</v>
      </c>
      <c r="BF1007">
        <v>3202</v>
      </c>
      <c r="BG1007">
        <v>3202</v>
      </c>
      <c r="BH1007" t="s">
        <v>82</v>
      </c>
      <c r="BI1007" t="s">
        <v>1369</v>
      </c>
      <c r="BJ1007">
        <v>2391</v>
      </c>
      <c r="BK1007">
        <v>592</v>
      </c>
      <c r="BL1007">
        <v>3202</v>
      </c>
      <c r="BM1007">
        <v>0</v>
      </c>
      <c r="BN1007">
        <v>0</v>
      </c>
      <c r="BO1007">
        <v>0</v>
      </c>
      <c r="BP1007">
        <v>1249</v>
      </c>
      <c r="BQ1007">
        <v>1249</v>
      </c>
      <c r="BR1007">
        <f t="shared" si="164"/>
        <v>-28</v>
      </c>
      <c r="BS1007">
        <f t="shared" si="165"/>
        <v>174</v>
      </c>
    </row>
    <row r="1008" spans="1:74" x14ac:dyDescent="0.25">
      <c r="A1008" s="5" t="s">
        <v>1661</v>
      </c>
      <c r="B1008" s="5" t="s">
        <v>207</v>
      </c>
      <c r="C1008" s="5" t="s">
        <v>207</v>
      </c>
      <c r="D1008" s="1" t="s">
        <v>192</v>
      </c>
      <c r="E1008">
        <v>0</v>
      </c>
      <c r="F1008">
        <v>166</v>
      </c>
      <c r="G1008">
        <v>0</v>
      </c>
      <c r="H1008">
        <v>0</v>
      </c>
      <c r="I1008">
        <v>73</v>
      </c>
      <c r="J1008">
        <v>405</v>
      </c>
      <c r="K1008">
        <v>37</v>
      </c>
      <c r="L1008">
        <v>36</v>
      </c>
      <c r="M1008">
        <v>0</v>
      </c>
      <c r="N1008">
        <v>0</v>
      </c>
      <c r="O1008">
        <v>0</v>
      </c>
      <c r="P1008">
        <v>720</v>
      </c>
      <c r="Q1008">
        <v>108</v>
      </c>
      <c r="R1008">
        <v>80</v>
      </c>
      <c r="S1008" s="18">
        <f t="shared" si="156"/>
        <v>9</v>
      </c>
      <c r="T1008" s="17">
        <f t="shared" si="157"/>
        <v>0</v>
      </c>
      <c r="U1008" s="17">
        <f t="shared" si="158"/>
        <v>0</v>
      </c>
      <c r="V1008" s="17">
        <f t="shared" si="159"/>
        <v>0</v>
      </c>
      <c r="W1008" s="17">
        <f t="shared" si="160"/>
        <v>80</v>
      </c>
      <c r="X1008" s="17">
        <f t="shared" si="161"/>
        <v>28</v>
      </c>
      <c r="Y1008" s="19">
        <f t="shared" si="162"/>
        <v>0</v>
      </c>
      <c r="Z1008">
        <v>166</v>
      </c>
      <c r="AA1008">
        <v>0</v>
      </c>
      <c r="AB1008">
        <v>0</v>
      </c>
      <c r="AC1008">
        <v>2020</v>
      </c>
      <c r="AD1008">
        <v>0</v>
      </c>
      <c r="AE1008">
        <v>0</v>
      </c>
      <c r="AF1008">
        <v>0</v>
      </c>
      <c r="AG1008">
        <v>73</v>
      </c>
      <c r="AH1008">
        <v>73</v>
      </c>
      <c r="AI1008">
        <v>0</v>
      </c>
      <c r="AJ1008">
        <v>0</v>
      </c>
      <c r="AK1008">
        <v>405</v>
      </c>
      <c r="AL1008">
        <v>405</v>
      </c>
      <c r="AM1008">
        <v>0</v>
      </c>
      <c r="AN1008">
        <v>0</v>
      </c>
      <c r="AO1008">
        <v>37</v>
      </c>
      <c r="AP1008">
        <v>0</v>
      </c>
      <c r="AQ1008">
        <v>37</v>
      </c>
      <c r="AR1008">
        <v>37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36</v>
      </c>
      <c r="BA1008">
        <v>36</v>
      </c>
      <c r="BB1008">
        <v>0</v>
      </c>
      <c r="BC1008">
        <v>0</v>
      </c>
      <c r="BD1008">
        <v>0</v>
      </c>
      <c r="BE1008">
        <f t="shared" si="163"/>
        <v>3159</v>
      </c>
      <c r="BF1008">
        <v>2737</v>
      </c>
      <c r="BG1008">
        <v>2737</v>
      </c>
      <c r="BH1008" t="s">
        <v>82</v>
      </c>
      <c r="BI1008" t="s">
        <v>1851</v>
      </c>
      <c r="BJ1008">
        <v>2020</v>
      </c>
      <c r="BK1008">
        <v>551</v>
      </c>
      <c r="BL1008">
        <v>2737</v>
      </c>
      <c r="BM1008">
        <v>0</v>
      </c>
      <c r="BN1008">
        <v>0</v>
      </c>
      <c r="BO1008">
        <v>0</v>
      </c>
      <c r="BP1008">
        <v>1271</v>
      </c>
      <c r="BQ1008">
        <v>1271</v>
      </c>
      <c r="BR1008">
        <f t="shared" si="164"/>
        <v>-28</v>
      </c>
      <c r="BS1008">
        <f t="shared" si="165"/>
        <v>188</v>
      </c>
    </row>
    <row r="1009" spans="1:74" x14ac:dyDescent="0.25">
      <c r="A1009" s="6" t="s">
        <v>1946</v>
      </c>
      <c r="B1009" s="6" t="s">
        <v>61</v>
      </c>
      <c r="C1009" s="6" t="s">
        <v>61</v>
      </c>
      <c r="D1009" s="1" t="s">
        <v>179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1350</v>
      </c>
      <c r="K1009">
        <v>250</v>
      </c>
      <c r="L1009">
        <v>80</v>
      </c>
      <c r="M1009">
        <v>0</v>
      </c>
      <c r="N1009">
        <v>0</v>
      </c>
      <c r="O1009">
        <v>0</v>
      </c>
      <c r="P1009">
        <v>0</v>
      </c>
      <c r="Q1009">
        <v>28</v>
      </c>
      <c r="R1009">
        <v>0</v>
      </c>
      <c r="S1009" s="18" t="e">
        <f t="shared" si="156"/>
        <v>#DIV/0!</v>
      </c>
      <c r="T1009" s="17" t="e">
        <f t="shared" si="157"/>
        <v>#DIV/0!</v>
      </c>
      <c r="U1009" s="17" t="e">
        <f t="shared" si="158"/>
        <v>#DIV/0!</v>
      </c>
      <c r="V1009" s="17" t="e">
        <f t="shared" si="159"/>
        <v>#DIV/0!</v>
      </c>
      <c r="W1009" s="17" t="e">
        <f t="shared" si="160"/>
        <v>#DIV/0!</v>
      </c>
      <c r="X1009" s="17" t="e">
        <f t="shared" si="161"/>
        <v>#DIV/0!</v>
      </c>
      <c r="Y1009" s="19" t="e">
        <f t="shared" si="162"/>
        <v>#DIV/0!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1350</v>
      </c>
      <c r="AL1009">
        <v>1350</v>
      </c>
      <c r="AM1009">
        <v>0</v>
      </c>
      <c r="AN1009">
        <v>0</v>
      </c>
      <c r="AO1009">
        <v>250</v>
      </c>
      <c r="AP1009">
        <v>0</v>
      </c>
      <c r="AQ1009">
        <v>250</v>
      </c>
      <c r="AR1009">
        <v>250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80</v>
      </c>
      <c r="BA1009">
        <v>80</v>
      </c>
      <c r="BB1009">
        <v>0</v>
      </c>
      <c r="BC1009">
        <v>0</v>
      </c>
      <c r="BD1009">
        <v>0</v>
      </c>
      <c r="BE1009">
        <f t="shared" si="163"/>
        <v>3610</v>
      </c>
      <c r="BF1009">
        <v>1680</v>
      </c>
      <c r="BG1009">
        <v>1680</v>
      </c>
      <c r="BH1009" t="s">
        <v>199</v>
      </c>
      <c r="BI1009" t="s">
        <v>2001</v>
      </c>
      <c r="BJ1009">
        <v>0</v>
      </c>
      <c r="BK1009">
        <v>1680</v>
      </c>
      <c r="BL1009">
        <v>1680</v>
      </c>
      <c r="BM1009">
        <v>0</v>
      </c>
      <c r="BN1009">
        <v>0</v>
      </c>
      <c r="BO1009">
        <v>0</v>
      </c>
      <c r="BP1009">
        <v>1680</v>
      </c>
      <c r="BQ1009">
        <v>1680</v>
      </c>
      <c r="BR1009">
        <f t="shared" si="164"/>
        <v>-28</v>
      </c>
      <c r="BS1009">
        <f t="shared" si="165"/>
        <v>28</v>
      </c>
    </row>
    <row r="1010" spans="1:74" x14ac:dyDescent="0.25">
      <c r="A1010" s="7" t="s">
        <v>1946</v>
      </c>
      <c r="B1010" s="7" t="s">
        <v>207</v>
      </c>
      <c r="C1010" s="7" t="s">
        <v>207</v>
      </c>
      <c r="D1010" s="1" t="s">
        <v>147</v>
      </c>
      <c r="E1010">
        <v>36</v>
      </c>
      <c r="F1010">
        <v>0</v>
      </c>
      <c r="G1010">
        <v>0</v>
      </c>
      <c r="H1010">
        <v>0</v>
      </c>
      <c r="I1010">
        <v>507</v>
      </c>
      <c r="J1010">
        <v>310</v>
      </c>
      <c r="K1010">
        <v>120</v>
      </c>
      <c r="L1010">
        <v>65</v>
      </c>
      <c r="M1010">
        <v>0</v>
      </c>
      <c r="N1010">
        <v>0</v>
      </c>
      <c r="O1010">
        <v>0</v>
      </c>
      <c r="P1010">
        <v>0</v>
      </c>
      <c r="Q1010">
        <v>28</v>
      </c>
      <c r="R1010">
        <v>0</v>
      </c>
      <c r="S1010" s="18" t="e">
        <f t="shared" si="156"/>
        <v>#DIV/0!</v>
      </c>
      <c r="T1010" s="17" t="e">
        <f t="shared" si="157"/>
        <v>#DIV/0!</v>
      </c>
      <c r="U1010" s="17" t="e">
        <f t="shared" si="158"/>
        <v>#DIV/0!</v>
      </c>
      <c r="V1010" s="17" t="e">
        <f t="shared" si="159"/>
        <v>#DIV/0!</v>
      </c>
      <c r="W1010" s="17" t="e">
        <f t="shared" si="160"/>
        <v>#DIV/0!</v>
      </c>
      <c r="X1010" s="17" t="e">
        <f t="shared" si="161"/>
        <v>#DIV/0!</v>
      </c>
      <c r="Y1010" s="19" t="e">
        <f t="shared" si="162"/>
        <v>#DIV/0!</v>
      </c>
      <c r="Z1010">
        <v>0</v>
      </c>
      <c r="AA1010">
        <v>0</v>
      </c>
      <c r="AB1010">
        <v>0</v>
      </c>
      <c r="AC1010">
        <v>175</v>
      </c>
      <c r="AD1010">
        <v>0</v>
      </c>
      <c r="AE1010">
        <v>0</v>
      </c>
      <c r="AF1010">
        <v>0</v>
      </c>
      <c r="AG1010">
        <v>507</v>
      </c>
      <c r="AH1010">
        <v>507</v>
      </c>
      <c r="AI1010">
        <v>0</v>
      </c>
      <c r="AJ1010">
        <v>0</v>
      </c>
      <c r="AK1010">
        <v>310</v>
      </c>
      <c r="AL1010">
        <v>310</v>
      </c>
      <c r="AM1010">
        <v>0</v>
      </c>
      <c r="AN1010">
        <v>0</v>
      </c>
      <c r="AO1010">
        <v>120</v>
      </c>
      <c r="AP1010">
        <v>90</v>
      </c>
      <c r="AQ1010">
        <v>120</v>
      </c>
      <c r="AR1010">
        <v>30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65</v>
      </c>
      <c r="BA1010">
        <v>65</v>
      </c>
      <c r="BB1010">
        <v>0</v>
      </c>
      <c r="BC1010">
        <v>0</v>
      </c>
      <c r="BD1010">
        <v>0</v>
      </c>
      <c r="BE1010">
        <f t="shared" si="163"/>
        <v>2299</v>
      </c>
      <c r="BF1010">
        <v>1213</v>
      </c>
      <c r="BG1010">
        <v>1213</v>
      </c>
      <c r="BH1010" t="s">
        <v>190</v>
      </c>
      <c r="BI1010" t="s">
        <v>2077</v>
      </c>
      <c r="BJ1010">
        <v>211</v>
      </c>
      <c r="BK1010">
        <v>1002</v>
      </c>
      <c r="BL1010">
        <v>1213</v>
      </c>
      <c r="BM1010">
        <v>0</v>
      </c>
      <c r="BN1010">
        <v>0</v>
      </c>
      <c r="BO1010">
        <v>0</v>
      </c>
      <c r="BP1010">
        <v>1002</v>
      </c>
      <c r="BQ1010">
        <v>1002</v>
      </c>
      <c r="BR1010">
        <f t="shared" si="164"/>
        <v>-28</v>
      </c>
      <c r="BS1010">
        <f t="shared" si="165"/>
        <v>28</v>
      </c>
    </row>
    <row r="1011" spans="1:74" x14ac:dyDescent="0.25">
      <c r="A1011" s="5" t="s">
        <v>61</v>
      </c>
      <c r="B1011" s="5" t="s">
        <v>359</v>
      </c>
      <c r="C1011" s="5" t="s">
        <v>61</v>
      </c>
      <c r="D1011" s="1" t="s">
        <v>163</v>
      </c>
      <c r="E1011">
        <v>0</v>
      </c>
      <c r="F1011">
        <v>4</v>
      </c>
      <c r="G1011">
        <v>0</v>
      </c>
      <c r="H1011">
        <v>0</v>
      </c>
      <c r="I1011">
        <v>50</v>
      </c>
      <c r="J1011">
        <v>1100</v>
      </c>
      <c r="K1011">
        <v>65</v>
      </c>
      <c r="L1011">
        <v>175</v>
      </c>
      <c r="M1011">
        <v>0</v>
      </c>
      <c r="N1011">
        <v>0</v>
      </c>
      <c r="O1011">
        <v>0</v>
      </c>
      <c r="P1011">
        <v>36</v>
      </c>
      <c r="Q1011">
        <v>33</v>
      </c>
      <c r="R1011">
        <v>4</v>
      </c>
      <c r="S1011" s="18">
        <f t="shared" si="156"/>
        <v>9</v>
      </c>
      <c r="T1011" s="17">
        <f t="shared" si="157"/>
        <v>0</v>
      </c>
      <c r="U1011" s="17">
        <f t="shared" si="158"/>
        <v>0</v>
      </c>
      <c r="V1011" s="17">
        <f t="shared" si="159"/>
        <v>0</v>
      </c>
      <c r="W1011" s="17">
        <f t="shared" si="160"/>
        <v>4</v>
      </c>
      <c r="X1011" s="17">
        <f t="shared" si="161"/>
        <v>29</v>
      </c>
      <c r="Y1011" s="19">
        <f t="shared" si="162"/>
        <v>0</v>
      </c>
      <c r="Z1011">
        <v>4</v>
      </c>
      <c r="AA1011">
        <v>0</v>
      </c>
      <c r="AB1011">
        <v>0</v>
      </c>
      <c r="AC1011">
        <v>175</v>
      </c>
      <c r="AD1011">
        <v>0</v>
      </c>
      <c r="AE1011">
        <v>0</v>
      </c>
      <c r="AF1011">
        <v>0</v>
      </c>
      <c r="AG1011">
        <v>50</v>
      </c>
      <c r="AH1011">
        <v>50</v>
      </c>
      <c r="AI1011">
        <v>0</v>
      </c>
      <c r="AJ1011">
        <v>0</v>
      </c>
      <c r="AK1011">
        <v>1100</v>
      </c>
      <c r="AL1011">
        <v>1100</v>
      </c>
      <c r="AM1011">
        <v>0</v>
      </c>
      <c r="AN1011">
        <v>0</v>
      </c>
      <c r="AO1011">
        <v>65</v>
      </c>
      <c r="AP1011">
        <v>15</v>
      </c>
      <c r="AQ1011">
        <v>65</v>
      </c>
      <c r="AR1011">
        <v>50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175</v>
      </c>
      <c r="BA1011">
        <v>175</v>
      </c>
      <c r="BB1011">
        <v>0</v>
      </c>
      <c r="BC1011">
        <v>0</v>
      </c>
      <c r="BD1011">
        <v>0</v>
      </c>
      <c r="BE1011">
        <f t="shared" si="163"/>
        <v>3020</v>
      </c>
      <c r="BF1011">
        <v>1569</v>
      </c>
      <c r="BG1011">
        <v>1569</v>
      </c>
      <c r="BH1011" t="s">
        <v>190</v>
      </c>
      <c r="BI1011" t="s">
        <v>409</v>
      </c>
      <c r="BJ1011">
        <v>175</v>
      </c>
      <c r="BK1011">
        <v>1390</v>
      </c>
      <c r="BL1011">
        <v>1569</v>
      </c>
      <c r="BM1011">
        <v>0</v>
      </c>
      <c r="BN1011">
        <v>0</v>
      </c>
      <c r="BO1011">
        <v>0</v>
      </c>
      <c r="BP1011">
        <v>1426</v>
      </c>
      <c r="BQ1011">
        <v>1426</v>
      </c>
      <c r="BR1011">
        <f t="shared" si="164"/>
        <v>-29</v>
      </c>
      <c r="BS1011">
        <f t="shared" si="165"/>
        <v>37</v>
      </c>
    </row>
    <row r="1012" spans="1:74" x14ac:dyDescent="0.25">
      <c r="A1012" s="5" t="s">
        <v>1451</v>
      </c>
      <c r="B1012" s="5" t="s">
        <v>61</v>
      </c>
      <c r="C1012" s="5" t="s">
        <v>627</v>
      </c>
      <c r="D1012" s="1" t="s">
        <v>102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700</v>
      </c>
      <c r="K1012">
        <v>200</v>
      </c>
      <c r="L1012">
        <v>32</v>
      </c>
      <c r="M1012">
        <v>0</v>
      </c>
      <c r="N1012">
        <v>0</v>
      </c>
      <c r="O1012">
        <v>0</v>
      </c>
      <c r="P1012">
        <v>0</v>
      </c>
      <c r="Q1012">
        <v>29</v>
      </c>
      <c r="R1012">
        <v>0</v>
      </c>
      <c r="S1012" s="18" t="e">
        <f t="shared" si="156"/>
        <v>#DIV/0!</v>
      </c>
      <c r="T1012" s="17" t="e">
        <f t="shared" si="157"/>
        <v>#DIV/0!</v>
      </c>
      <c r="U1012" s="17" t="e">
        <f t="shared" si="158"/>
        <v>#DIV/0!</v>
      </c>
      <c r="V1012" s="17" t="e">
        <f t="shared" si="159"/>
        <v>#DIV/0!</v>
      </c>
      <c r="W1012" s="17" t="e">
        <f t="shared" si="160"/>
        <v>#DIV/0!</v>
      </c>
      <c r="X1012" s="17" t="e">
        <f t="shared" si="161"/>
        <v>#DIV/0!</v>
      </c>
      <c r="Y1012" s="19" t="e">
        <f t="shared" si="162"/>
        <v>#DIV/0!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700</v>
      </c>
      <c r="AL1012">
        <v>700</v>
      </c>
      <c r="AM1012">
        <v>0</v>
      </c>
      <c r="AN1012">
        <v>0</v>
      </c>
      <c r="AO1012">
        <v>200</v>
      </c>
      <c r="AP1012">
        <v>200</v>
      </c>
      <c r="AQ1012">
        <v>200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32</v>
      </c>
      <c r="BA1012">
        <v>32</v>
      </c>
      <c r="BB1012">
        <v>0</v>
      </c>
      <c r="BC1012">
        <v>0</v>
      </c>
      <c r="BD1012">
        <v>0</v>
      </c>
      <c r="BE1012">
        <f t="shared" si="163"/>
        <v>2064</v>
      </c>
      <c r="BF1012">
        <v>932</v>
      </c>
      <c r="BG1012">
        <v>932</v>
      </c>
      <c r="BH1012" t="s">
        <v>199</v>
      </c>
      <c r="BI1012" t="s">
        <v>1527</v>
      </c>
      <c r="BJ1012">
        <v>0</v>
      </c>
      <c r="BK1012">
        <v>932</v>
      </c>
      <c r="BL1012">
        <v>932</v>
      </c>
      <c r="BM1012">
        <v>0</v>
      </c>
      <c r="BN1012">
        <v>0</v>
      </c>
      <c r="BO1012">
        <v>0</v>
      </c>
      <c r="BP1012">
        <v>932</v>
      </c>
      <c r="BQ1012">
        <v>932</v>
      </c>
      <c r="BR1012">
        <f t="shared" si="164"/>
        <v>-29</v>
      </c>
      <c r="BS1012">
        <f t="shared" si="165"/>
        <v>29</v>
      </c>
    </row>
    <row r="1013" spans="1:74" x14ac:dyDescent="0.25">
      <c r="A1013" s="5" t="s">
        <v>1661</v>
      </c>
      <c r="B1013" s="5" t="s">
        <v>207</v>
      </c>
      <c r="C1013" s="5" t="s">
        <v>207</v>
      </c>
      <c r="D1013" s="1" t="s">
        <v>167</v>
      </c>
      <c r="E1013">
        <v>0</v>
      </c>
      <c r="F1013">
        <v>0</v>
      </c>
      <c r="G1013">
        <v>0</v>
      </c>
      <c r="H1013">
        <v>0</v>
      </c>
      <c r="I1013">
        <v>20</v>
      </c>
      <c r="J1013">
        <v>1240</v>
      </c>
      <c r="K1013">
        <v>145</v>
      </c>
      <c r="L1013">
        <v>320</v>
      </c>
      <c r="M1013">
        <v>0</v>
      </c>
      <c r="N1013">
        <v>0</v>
      </c>
      <c r="O1013">
        <v>0</v>
      </c>
      <c r="P1013">
        <v>0</v>
      </c>
      <c r="Q1013">
        <v>29</v>
      </c>
      <c r="R1013">
        <v>0</v>
      </c>
      <c r="S1013" s="18" t="e">
        <f t="shared" si="156"/>
        <v>#DIV/0!</v>
      </c>
      <c r="T1013" s="17" t="e">
        <f t="shared" si="157"/>
        <v>#DIV/0!</v>
      </c>
      <c r="U1013" s="17" t="e">
        <f t="shared" si="158"/>
        <v>#DIV/0!</v>
      </c>
      <c r="V1013" s="17" t="e">
        <f t="shared" si="159"/>
        <v>#DIV/0!</v>
      </c>
      <c r="W1013" s="17" t="e">
        <f t="shared" si="160"/>
        <v>#DIV/0!</v>
      </c>
      <c r="X1013" s="17" t="e">
        <f t="shared" si="161"/>
        <v>#DIV/0!</v>
      </c>
      <c r="Y1013" s="19" t="e">
        <f t="shared" si="162"/>
        <v>#DIV/0!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</v>
      </c>
      <c r="AH1013">
        <v>20</v>
      </c>
      <c r="AI1013">
        <v>0</v>
      </c>
      <c r="AJ1013">
        <v>0</v>
      </c>
      <c r="AK1013">
        <v>1240</v>
      </c>
      <c r="AL1013">
        <v>1240</v>
      </c>
      <c r="AM1013">
        <v>0</v>
      </c>
      <c r="AN1013">
        <v>0</v>
      </c>
      <c r="AO1013">
        <v>145</v>
      </c>
      <c r="AP1013">
        <v>55</v>
      </c>
      <c r="AQ1013">
        <v>145</v>
      </c>
      <c r="AR1013">
        <v>90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320</v>
      </c>
      <c r="BA1013">
        <v>320</v>
      </c>
      <c r="BB1013">
        <v>0</v>
      </c>
      <c r="BC1013">
        <v>0</v>
      </c>
      <c r="BD1013">
        <v>0</v>
      </c>
      <c r="BE1013">
        <f t="shared" si="163"/>
        <v>3595</v>
      </c>
      <c r="BF1013">
        <v>1725</v>
      </c>
      <c r="BG1013">
        <v>1725</v>
      </c>
      <c r="BH1013" t="s">
        <v>199</v>
      </c>
      <c r="BI1013" t="s">
        <v>1841</v>
      </c>
      <c r="BJ1013">
        <v>0</v>
      </c>
      <c r="BK1013">
        <v>1725</v>
      </c>
      <c r="BL1013">
        <v>1725</v>
      </c>
      <c r="BM1013">
        <v>0</v>
      </c>
      <c r="BN1013">
        <v>0</v>
      </c>
      <c r="BO1013">
        <v>0</v>
      </c>
      <c r="BP1013">
        <v>1725</v>
      </c>
      <c r="BQ1013">
        <v>1725</v>
      </c>
      <c r="BR1013">
        <f t="shared" si="164"/>
        <v>-29</v>
      </c>
      <c r="BS1013">
        <f t="shared" si="165"/>
        <v>29</v>
      </c>
    </row>
    <row r="1014" spans="1:74" x14ac:dyDescent="0.25">
      <c r="A1014" s="5" t="s">
        <v>207</v>
      </c>
      <c r="B1014" s="5" t="s">
        <v>61</v>
      </c>
      <c r="C1014" s="5" t="s">
        <v>207</v>
      </c>
      <c r="D1014" s="1" t="s">
        <v>113</v>
      </c>
      <c r="E1014">
        <v>0</v>
      </c>
      <c r="F1014">
        <v>200</v>
      </c>
      <c r="G1014">
        <v>0</v>
      </c>
      <c r="H1014">
        <v>0</v>
      </c>
      <c r="I1014">
        <v>0</v>
      </c>
      <c r="J1014">
        <v>294</v>
      </c>
      <c r="K1014">
        <v>117</v>
      </c>
      <c r="L1014">
        <v>120</v>
      </c>
      <c r="M1014">
        <v>0</v>
      </c>
      <c r="N1014">
        <v>0</v>
      </c>
      <c r="O1014">
        <v>0</v>
      </c>
      <c r="P1014">
        <v>405</v>
      </c>
      <c r="Q1014">
        <v>75</v>
      </c>
      <c r="R1014">
        <v>45</v>
      </c>
      <c r="S1014" s="18">
        <f t="shared" si="156"/>
        <v>9</v>
      </c>
      <c r="T1014" s="17">
        <f t="shared" si="157"/>
        <v>0</v>
      </c>
      <c r="U1014" s="17">
        <f t="shared" si="158"/>
        <v>0</v>
      </c>
      <c r="V1014" s="17">
        <f t="shared" si="159"/>
        <v>0</v>
      </c>
      <c r="W1014" s="17">
        <f t="shared" si="160"/>
        <v>45</v>
      </c>
      <c r="X1014" s="17">
        <f t="shared" si="161"/>
        <v>30</v>
      </c>
      <c r="Y1014" s="19">
        <f t="shared" si="162"/>
        <v>0</v>
      </c>
      <c r="Z1014">
        <v>200</v>
      </c>
      <c r="AA1014">
        <v>0</v>
      </c>
      <c r="AB1014">
        <v>0</v>
      </c>
      <c r="AC1014">
        <v>169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294</v>
      </c>
      <c r="AL1014">
        <v>294</v>
      </c>
      <c r="AM1014">
        <v>0</v>
      </c>
      <c r="AN1014">
        <v>0</v>
      </c>
      <c r="AO1014">
        <v>117</v>
      </c>
      <c r="AP1014">
        <v>11</v>
      </c>
      <c r="AQ1014">
        <v>117</v>
      </c>
      <c r="AR1014">
        <v>106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120</v>
      </c>
      <c r="AY1014">
        <v>0</v>
      </c>
      <c r="AZ1014">
        <v>0</v>
      </c>
      <c r="BA1014">
        <v>120</v>
      </c>
      <c r="BB1014">
        <v>0</v>
      </c>
      <c r="BC1014">
        <v>0</v>
      </c>
      <c r="BD1014">
        <v>0</v>
      </c>
      <c r="BE1014">
        <f t="shared" si="163"/>
        <v>1348</v>
      </c>
      <c r="BF1014">
        <v>900</v>
      </c>
      <c r="BG1014">
        <v>900</v>
      </c>
      <c r="BH1014" t="s">
        <v>190</v>
      </c>
      <c r="BI1014" t="s">
        <v>486</v>
      </c>
      <c r="BJ1014">
        <v>169</v>
      </c>
      <c r="BK1014">
        <v>531</v>
      </c>
      <c r="BL1014">
        <v>900</v>
      </c>
      <c r="BM1014">
        <v>120</v>
      </c>
      <c r="BN1014">
        <v>0</v>
      </c>
      <c r="BO1014">
        <v>0</v>
      </c>
      <c r="BP1014">
        <v>816</v>
      </c>
      <c r="BQ1014">
        <v>936</v>
      </c>
      <c r="BR1014">
        <f t="shared" si="164"/>
        <v>-30</v>
      </c>
      <c r="BS1014">
        <f t="shared" si="165"/>
        <v>120</v>
      </c>
    </row>
    <row r="1015" spans="1:74" x14ac:dyDescent="0.25">
      <c r="A1015" s="5" t="s">
        <v>1135</v>
      </c>
      <c r="B1015" s="5" t="s">
        <v>207</v>
      </c>
      <c r="C1015" s="5" t="s">
        <v>61</v>
      </c>
      <c r="D1015" s="1" t="s">
        <v>65</v>
      </c>
      <c r="E1015">
        <v>0</v>
      </c>
      <c r="F1015">
        <v>1350</v>
      </c>
      <c r="G1015">
        <v>0</v>
      </c>
      <c r="H1015">
        <v>0</v>
      </c>
      <c r="I1015">
        <v>350</v>
      </c>
      <c r="J1015">
        <v>0</v>
      </c>
      <c r="K1015">
        <v>130</v>
      </c>
      <c r="L1015">
        <v>0</v>
      </c>
      <c r="M1015">
        <v>855</v>
      </c>
      <c r="N1015">
        <v>0</v>
      </c>
      <c r="O1015">
        <v>0</v>
      </c>
      <c r="P1015">
        <v>0</v>
      </c>
      <c r="Q1015">
        <v>95</v>
      </c>
      <c r="R1015">
        <v>95</v>
      </c>
      <c r="S1015" s="18">
        <f t="shared" si="156"/>
        <v>9</v>
      </c>
      <c r="T1015" s="17">
        <f t="shared" si="157"/>
        <v>95</v>
      </c>
      <c r="U1015" s="17">
        <f t="shared" si="158"/>
        <v>0</v>
      </c>
      <c r="V1015" s="17">
        <f t="shared" si="159"/>
        <v>0</v>
      </c>
      <c r="W1015" s="17">
        <f t="shared" si="160"/>
        <v>0</v>
      </c>
      <c r="X1015" s="17">
        <f t="shared" si="161"/>
        <v>0</v>
      </c>
      <c r="Y1015" s="19" t="e">
        <f t="shared" si="162"/>
        <v>#DIV/0!</v>
      </c>
      <c r="Z1015">
        <v>1350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350</v>
      </c>
      <c r="AH1015">
        <v>350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130</v>
      </c>
      <c r="AP1015">
        <v>70</v>
      </c>
      <c r="AQ1015">
        <v>130</v>
      </c>
      <c r="AR1015">
        <v>60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f t="shared" si="163"/>
        <v>1090</v>
      </c>
      <c r="BF1015">
        <v>1830</v>
      </c>
      <c r="BG1015">
        <v>1830</v>
      </c>
      <c r="BH1015" t="s">
        <v>63</v>
      </c>
      <c r="BI1015" t="s">
        <v>1198</v>
      </c>
      <c r="BJ1015">
        <v>0</v>
      </c>
      <c r="BK1015">
        <v>480</v>
      </c>
      <c r="BL1015">
        <v>1830</v>
      </c>
      <c r="BM1015">
        <v>855</v>
      </c>
      <c r="BN1015">
        <v>0</v>
      </c>
      <c r="BO1015">
        <v>0</v>
      </c>
      <c r="BP1015">
        <v>480</v>
      </c>
      <c r="BQ1015">
        <v>1335</v>
      </c>
      <c r="BR1015">
        <f t="shared" si="164"/>
        <v>0</v>
      </c>
      <c r="BS1015">
        <f t="shared" si="165"/>
        <v>190</v>
      </c>
      <c r="BU1015">
        <f>R1015*9</f>
        <v>855</v>
      </c>
      <c r="BV1015">
        <f>IF(BU1015&gt;BG1015, 1, 0)</f>
        <v>0</v>
      </c>
    </row>
    <row r="1016" spans="1:74" x14ac:dyDescent="0.25">
      <c r="A1016" s="5" t="s">
        <v>875</v>
      </c>
      <c r="B1016" s="5" t="s">
        <v>207</v>
      </c>
      <c r="C1016" s="5" t="s">
        <v>61</v>
      </c>
      <c r="D1016" s="1" t="s">
        <v>108</v>
      </c>
      <c r="E1016">
        <v>173</v>
      </c>
      <c r="F1016">
        <v>5</v>
      </c>
      <c r="G1016">
        <v>0</v>
      </c>
      <c r="H1016">
        <v>0</v>
      </c>
      <c r="I1016">
        <v>0</v>
      </c>
      <c r="J1016">
        <v>290</v>
      </c>
      <c r="K1016">
        <v>27</v>
      </c>
      <c r="L1016">
        <v>127</v>
      </c>
      <c r="M1016">
        <v>0</v>
      </c>
      <c r="N1016">
        <v>0</v>
      </c>
      <c r="O1016">
        <v>0</v>
      </c>
      <c r="P1016">
        <v>45</v>
      </c>
      <c r="Q1016">
        <v>35</v>
      </c>
      <c r="R1016">
        <v>5</v>
      </c>
      <c r="S1016" s="18">
        <f t="shared" si="156"/>
        <v>9</v>
      </c>
      <c r="T1016" s="17">
        <f t="shared" si="157"/>
        <v>0</v>
      </c>
      <c r="U1016" s="17">
        <f t="shared" si="158"/>
        <v>0</v>
      </c>
      <c r="V1016" s="17">
        <f t="shared" si="159"/>
        <v>0</v>
      </c>
      <c r="W1016" s="17">
        <f t="shared" si="160"/>
        <v>5</v>
      </c>
      <c r="X1016" s="17">
        <f t="shared" si="161"/>
        <v>30</v>
      </c>
      <c r="Y1016" s="19">
        <f t="shared" si="162"/>
        <v>0</v>
      </c>
      <c r="Z1016">
        <v>5</v>
      </c>
      <c r="AA1016">
        <v>0</v>
      </c>
      <c r="AB1016">
        <v>0</v>
      </c>
      <c r="AC1016">
        <v>915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290</v>
      </c>
      <c r="AL1016">
        <v>290</v>
      </c>
      <c r="AM1016">
        <v>0</v>
      </c>
      <c r="AN1016">
        <v>0</v>
      </c>
      <c r="AO1016">
        <v>27</v>
      </c>
      <c r="AP1016">
        <v>8</v>
      </c>
      <c r="AQ1016">
        <v>27</v>
      </c>
      <c r="AR1016">
        <v>19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127</v>
      </c>
      <c r="BA1016">
        <v>127</v>
      </c>
      <c r="BB1016">
        <v>0</v>
      </c>
      <c r="BC1016">
        <v>0</v>
      </c>
      <c r="BD1016">
        <v>0</v>
      </c>
      <c r="BE1016">
        <f t="shared" si="163"/>
        <v>1830</v>
      </c>
      <c r="BF1016">
        <v>1537</v>
      </c>
      <c r="BG1016">
        <v>1537</v>
      </c>
      <c r="BH1016" t="s">
        <v>190</v>
      </c>
      <c r="BI1016" t="s">
        <v>987</v>
      </c>
      <c r="BJ1016">
        <v>1088</v>
      </c>
      <c r="BK1016">
        <v>444</v>
      </c>
      <c r="BL1016">
        <v>1537</v>
      </c>
      <c r="BM1016">
        <v>0</v>
      </c>
      <c r="BN1016">
        <v>0</v>
      </c>
      <c r="BO1016">
        <v>0</v>
      </c>
      <c r="BP1016">
        <v>489</v>
      </c>
      <c r="BQ1016">
        <v>489</v>
      </c>
      <c r="BR1016">
        <f t="shared" si="164"/>
        <v>-30</v>
      </c>
      <c r="BS1016">
        <f t="shared" si="165"/>
        <v>40</v>
      </c>
    </row>
    <row r="1017" spans="1:74" x14ac:dyDescent="0.25">
      <c r="A1017" s="5" t="s">
        <v>1337</v>
      </c>
      <c r="B1017" s="5" t="s">
        <v>207</v>
      </c>
      <c r="C1017" s="5" t="s">
        <v>61</v>
      </c>
      <c r="D1017" s="1" t="s">
        <v>106</v>
      </c>
      <c r="E1017">
        <v>0</v>
      </c>
      <c r="F1017">
        <v>5938</v>
      </c>
      <c r="G1017">
        <v>0</v>
      </c>
      <c r="H1017">
        <v>0</v>
      </c>
      <c r="I1017">
        <v>100</v>
      </c>
      <c r="J1017">
        <v>0</v>
      </c>
      <c r="K1017">
        <v>0</v>
      </c>
      <c r="L1017">
        <v>0</v>
      </c>
      <c r="M1017">
        <v>2142</v>
      </c>
      <c r="N1017">
        <v>0</v>
      </c>
      <c r="O1017">
        <v>0</v>
      </c>
      <c r="P1017">
        <v>0</v>
      </c>
      <c r="Q1017">
        <v>268</v>
      </c>
      <c r="R1017">
        <v>238</v>
      </c>
      <c r="S1017" s="18">
        <f t="shared" si="156"/>
        <v>9</v>
      </c>
      <c r="T1017" s="17">
        <f t="shared" si="157"/>
        <v>238</v>
      </c>
      <c r="U1017" s="17">
        <f t="shared" si="158"/>
        <v>0</v>
      </c>
      <c r="V1017" s="17">
        <f t="shared" si="159"/>
        <v>0</v>
      </c>
      <c r="W1017" s="17">
        <f t="shared" si="160"/>
        <v>0</v>
      </c>
      <c r="X1017" s="17">
        <f t="shared" si="161"/>
        <v>30</v>
      </c>
      <c r="Y1017" s="19">
        <f t="shared" si="162"/>
        <v>0</v>
      </c>
      <c r="Z1017">
        <v>5938</v>
      </c>
      <c r="AA1017">
        <v>0</v>
      </c>
      <c r="AB1017">
        <v>0</v>
      </c>
      <c r="AC1017">
        <v>0</v>
      </c>
      <c r="AD1017">
        <v>0</v>
      </c>
      <c r="AE1017">
        <v>100</v>
      </c>
      <c r="AF1017">
        <v>0</v>
      </c>
      <c r="AG1017">
        <v>0</v>
      </c>
      <c r="AH1017">
        <v>100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f t="shared" si="163"/>
        <v>200</v>
      </c>
      <c r="BF1017">
        <v>6038</v>
      </c>
      <c r="BG1017">
        <v>6038</v>
      </c>
      <c r="BH1017" t="s">
        <v>109</v>
      </c>
      <c r="BI1017" t="s">
        <v>1391</v>
      </c>
      <c r="BJ1017">
        <v>0</v>
      </c>
      <c r="BK1017">
        <v>100</v>
      </c>
      <c r="BL1017">
        <v>6038</v>
      </c>
      <c r="BM1017">
        <v>2142</v>
      </c>
      <c r="BN1017">
        <v>100</v>
      </c>
      <c r="BO1017">
        <v>0</v>
      </c>
      <c r="BP1017">
        <v>0</v>
      </c>
      <c r="BQ1017">
        <v>2242</v>
      </c>
      <c r="BR1017">
        <f t="shared" si="164"/>
        <v>-30</v>
      </c>
      <c r="BS1017">
        <f t="shared" si="165"/>
        <v>506</v>
      </c>
    </row>
    <row r="1018" spans="1:74" x14ac:dyDescent="0.25">
      <c r="A1018" s="5" t="s">
        <v>207</v>
      </c>
      <c r="B1018" s="5" t="s">
        <v>627</v>
      </c>
      <c r="C1018" s="5" t="s">
        <v>61</v>
      </c>
      <c r="D1018" s="1" t="s">
        <v>71</v>
      </c>
      <c r="E1018">
        <v>0</v>
      </c>
      <c r="F1018">
        <v>400</v>
      </c>
      <c r="G1018">
        <v>0</v>
      </c>
      <c r="H1018">
        <v>0</v>
      </c>
      <c r="I1018">
        <v>240</v>
      </c>
      <c r="J1018">
        <v>795</v>
      </c>
      <c r="K1018">
        <v>147</v>
      </c>
      <c r="L1018">
        <v>0</v>
      </c>
      <c r="M1018">
        <v>0</v>
      </c>
      <c r="N1018">
        <v>0</v>
      </c>
      <c r="O1018">
        <v>0</v>
      </c>
      <c r="P1018">
        <v>774</v>
      </c>
      <c r="Q1018">
        <v>85</v>
      </c>
      <c r="R1018">
        <v>86</v>
      </c>
      <c r="S1018" s="18">
        <f t="shared" si="156"/>
        <v>9</v>
      </c>
      <c r="T1018" s="17">
        <f t="shared" si="157"/>
        <v>0</v>
      </c>
      <c r="U1018" s="17">
        <f t="shared" si="158"/>
        <v>0</v>
      </c>
      <c r="V1018" s="17">
        <f t="shared" si="159"/>
        <v>0</v>
      </c>
      <c r="W1018" s="17">
        <f t="shared" si="160"/>
        <v>86</v>
      </c>
      <c r="X1018" s="17">
        <f t="shared" si="161"/>
        <v>-1</v>
      </c>
      <c r="Y1018" s="19">
        <f t="shared" si="162"/>
        <v>0</v>
      </c>
      <c r="Z1018">
        <v>400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240</v>
      </c>
      <c r="AH1018">
        <v>240</v>
      </c>
      <c r="AI1018">
        <v>0</v>
      </c>
      <c r="AJ1018">
        <v>0</v>
      </c>
      <c r="AK1018">
        <v>795</v>
      </c>
      <c r="AL1018">
        <v>795</v>
      </c>
      <c r="AM1018">
        <v>0</v>
      </c>
      <c r="AN1018">
        <v>0</v>
      </c>
      <c r="AO1018">
        <v>147</v>
      </c>
      <c r="AP1018">
        <v>0</v>
      </c>
      <c r="AQ1018">
        <v>147</v>
      </c>
      <c r="AR1018">
        <v>147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f t="shared" si="163"/>
        <v>2511</v>
      </c>
      <c r="BF1018">
        <v>1582</v>
      </c>
      <c r="BG1018">
        <v>1582</v>
      </c>
      <c r="BH1018" t="s">
        <v>63</v>
      </c>
      <c r="BI1018" t="s">
        <v>631</v>
      </c>
      <c r="BJ1018">
        <v>0</v>
      </c>
      <c r="BK1018">
        <v>1182</v>
      </c>
      <c r="BL1018">
        <v>1582</v>
      </c>
      <c r="BM1018">
        <v>0</v>
      </c>
      <c r="BN1018">
        <v>0</v>
      </c>
      <c r="BO1018">
        <v>0</v>
      </c>
      <c r="BP1018">
        <v>1956</v>
      </c>
      <c r="BQ1018">
        <v>1956</v>
      </c>
      <c r="BR1018">
        <f t="shared" si="164"/>
        <v>1</v>
      </c>
      <c r="BS1018">
        <f t="shared" si="165"/>
        <v>171</v>
      </c>
      <c r="BU1018">
        <f>R1018*9</f>
        <v>774</v>
      </c>
      <c r="BV1018">
        <f>IF(BU1018&gt;BG1018, 1, 0)</f>
        <v>0</v>
      </c>
    </row>
    <row r="1019" spans="1:74" x14ac:dyDescent="0.25">
      <c r="A1019" s="5" t="s">
        <v>1451</v>
      </c>
      <c r="B1019" s="5" t="s">
        <v>359</v>
      </c>
      <c r="C1019" s="5" t="s">
        <v>61</v>
      </c>
      <c r="D1019" s="1" t="s">
        <v>163</v>
      </c>
      <c r="E1019">
        <v>143</v>
      </c>
      <c r="F1019">
        <v>0</v>
      </c>
      <c r="G1019">
        <v>0</v>
      </c>
      <c r="H1019">
        <v>0</v>
      </c>
      <c r="I1019">
        <v>20</v>
      </c>
      <c r="J1019">
        <v>1850</v>
      </c>
      <c r="K1019">
        <v>260</v>
      </c>
      <c r="L1019">
        <v>140</v>
      </c>
      <c r="M1019">
        <v>0</v>
      </c>
      <c r="N1019">
        <v>0</v>
      </c>
      <c r="O1019">
        <v>0</v>
      </c>
      <c r="P1019">
        <v>0</v>
      </c>
      <c r="Q1019">
        <v>30</v>
      </c>
      <c r="R1019">
        <v>0</v>
      </c>
      <c r="S1019" s="18" t="e">
        <f t="shared" si="156"/>
        <v>#DIV/0!</v>
      </c>
      <c r="T1019" s="17" t="e">
        <f t="shared" si="157"/>
        <v>#DIV/0!</v>
      </c>
      <c r="U1019" s="17" t="e">
        <f t="shared" si="158"/>
        <v>#DIV/0!</v>
      </c>
      <c r="V1019" s="17" t="e">
        <f t="shared" si="159"/>
        <v>#DIV/0!</v>
      </c>
      <c r="W1019" s="17" t="e">
        <f t="shared" si="160"/>
        <v>#DIV/0!</v>
      </c>
      <c r="X1019" s="17" t="e">
        <f t="shared" si="161"/>
        <v>#DIV/0!</v>
      </c>
      <c r="Y1019" s="19" t="e">
        <f t="shared" si="162"/>
        <v>#DIV/0!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</v>
      </c>
      <c r="AH1019">
        <v>20</v>
      </c>
      <c r="AI1019">
        <v>0</v>
      </c>
      <c r="AJ1019">
        <v>0</v>
      </c>
      <c r="AK1019">
        <v>1850</v>
      </c>
      <c r="AL1019">
        <v>1850</v>
      </c>
      <c r="AM1019">
        <v>0</v>
      </c>
      <c r="AN1019">
        <v>0</v>
      </c>
      <c r="AO1019">
        <v>260</v>
      </c>
      <c r="AP1019">
        <v>0</v>
      </c>
      <c r="AQ1019">
        <v>260</v>
      </c>
      <c r="AR1019">
        <v>260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140</v>
      </c>
      <c r="BA1019">
        <v>140</v>
      </c>
      <c r="BB1019">
        <v>0</v>
      </c>
      <c r="BC1019">
        <v>0</v>
      </c>
      <c r="BD1019">
        <v>0</v>
      </c>
      <c r="BE1019">
        <f t="shared" si="163"/>
        <v>4800</v>
      </c>
      <c r="BF1019">
        <v>2413</v>
      </c>
      <c r="BG1019">
        <v>2413</v>
      </c>
      <c r="BH1019" t="s">
        <v>199</v>
      </c>
      <c r="BI1019" t="s">
        <v>1643</v>
      </c>
      <c r="BJ1019">
        <v>143</v>
      </c>
      <c r="BK1019">
        <v>2270</v>
      </c>
      <c r="BL1019">
        <v>2413</v>
      </c>
      <c r="BM1019">
        <v>0</v>
      </c>
      <c r="BN1019">
        <v>0</v>
      </c>
      <c r="BO1019">
        <v>0</v>
      </c>
      <c r="BP1019">
        <v>2270</v>
      </c>
      <c r="BQ1019">
        <v>2270</v>
      </c>
      <c r="BR1019">
        <f t="shared" si="164"/>
        <v>-30</v>
      </c>
      <c r="BS1019">
        <f t="shared" si="165"/>
        <v>30</v>
      </c>
    </row>
    <row r="1020" spans="1:74" x14ac:dyDescent="0.25">
      <c r="A1020" s="5" t="s">
        <v>1661</v>
      </c>
      <c r="B1020" s="5" t="s">
        <v>207</v>
      </c>
      <c r="C1020" s="5" t="s">
        <v>61</v>
      </c>
      <c r="D1020" s="1" t="s">
        <v>119</v>
      </c>
      <c r="E1020">
        <v>0</v>
      </c>
      <c r="F1020">
        <v>0</v>
      </c>
      <c r="G1020">
        <v>0</v>
      </c>
      <c r="H1020">
        <v>0</v>
      </c>
      <c r="I1020">
        <v>275</v>
      </c>
      <c r="J1020">
        <v>380</v>
      </c>
      <c r="K1020">
        <v>92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30</v>
      </c>
      <c r="R1020">
        <v>0</v>
      </c>
      <c r="S1020" s="18" t="e">
        <f t="shared" si="156"/>
        <v>#DIV/0!</v>
      </c>
      <c r="T1020" s="17" t="e">
        <f t="shared" si="157"/>
        <v>#DIV/0!</v>
      </c>
      <c r="U1020" s="17" t="e">
        <f t="shared" si="158"/>
        <v>#DIV/0!</v>
      </c>
      <c r="V1020" s="17" t="e">
        <f t="shared" si="159"/>
        <v>#DIV/0!</v>
      </c>
      <c r="W1020" s="17" t="e">
        <f t="shared" si="160"/>
        <v>#DIV/0!</v>
      </c>
      <c r="X1020" s="17" t="e">
        <f t="shared" si="161"/>
        <v>#DIV/0!</v>
      </c>
      <c r="Y1020" s="19" t="e">
        <f t="shared" si="162"/>
        <v>#DIV/0!</v>
      </c>
      <c r="Z1020">
        <v>0</v>
      </c>
      <c r="AA1020">
        <v>0</v>
      </c>
      <c r="AB1020">
        <v>0</v>
      </c>
      <c r="AC1020">
        <v>183</v>
      </c>
      <c r="AD1020">
        <v>0</v>
      </c>
      <c r="AE1020">
        <v>0</v>
      </c>
      <c r="AF1020">
        <v>0</v>
      </c>
      <c r="AG1020">
        <v>275</v>
      </c>
      <c r="AH1020">
        <v>275</v>
      </c>
      <c r="AI1020">
        <v>0</v>
      </c>
      <c r="AJ1020">
        <v>0</v>
      </c>
      <c r="AK1020">
        <v>380</v>
      </c>
      <c r="AL1020">
        <v>380</v>
      </c>
      <c r="AM1020">
        <v>0</v>
      </c>
      <c r="AN1020">
        <v>0</v>
      </c>
      <c r="AO1020">
        <v>92</v>
      </c>
      <c r="AP1020">
        <v>0</v>
      </c>
      <c r="AQ1020">
        <v>92</v>
      </c>
      <c r="AR1020">
        <v>92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f t="shared" si="163"/>
        <v>1769</v>
      </c>
      <c r="BF1020">
        <v>930</v>
      </c>
      <c r="BG1020">
        <v>930</v>
      </c>
      <c r="BH1020" t="s">
        <v>199</v>
      </c>
      <c r="BI1020" t="s">
        <v>1783</v>
      </c>
      <c r="BJ1020">
        <v>183</v>
      </c>
      <c r="BK1020">
        <v>747</v>
      </c>
      <c r="BL1020">
        <v>930</v>
      </c>
      <c r="BM1020">
        <v>0</v>
      </c>
      <c r="BN1020">
        <v>0</v>
      </c>
      <c r="BO1020">
        <v>0</v>
      </c>
      <c r="BP1020">
        <v>747</v>
      </c>
      <c r="BQ1020">
        <v>747</v>
      </c>
      <c r="BR1020">
        <f t="shared" si="164"/>
        <v>-30</v>
      </c>
      <c r="BS1020">
        <f t="shared" si="165"/>
        <v>30</v>
      </c>
    </row>
    <row r="1021" spans="1:74" x14ac:dyDescent="0.25">
      <c r="A1021" s="5" t="s">
        <v>1946</v>
      </c>
      <c r="B1021" s="5" t="s">
        <v>207</v>
      </c>
      <c r="C1021" s="5" t="s">
        <v>207</v>
      </c>
      <c r="D1021" s="1" t="s">
        <v>165</v>
      </c>
      <c r="E1021">
        <v>0</v>
      </c>
      <c r="F1021">
        <v>4</v>
      </c>
      <c r="G1021">
        <v>0</v>
      </c>
      <c r="H1021">
        <v>0</v>
      </c>
      <c r="I1021">
        <v>0</v>
      </c>
      <c r="J1021">
        <v>424</v>
      </c>
      <c r="K1021">
        <v>130</v>
      </c>
      <c r="L1021">
        <v>325</v>
      </c>
      <c r="M1021">
        <v>0</v>
      </c>
      <c r="N1021">
        <v>0</v>
      </c>
      <c r="O1021">
        <v>0</v>
      </c>
      <c r="P1021">
        <v>9</v>
      </c>
      <c r="Q1021">
        <v>31</v>
      </c>
      <c r="R1021">
        <v>1</v>
      </c>
      <c r="S1021" s="18">
        <f t="shared" si="156"/>
        <v>9</v>
      </c>
      <c r="T1021" s="17">
        <f t="shared" si="157"/>
        <v>0</v>
      </c>
      <c r="U1021" s="17">
        <f t="shared" si="158"/>
        <v>0</v>
      </c>
      <c r="V1021" s="17">
        <f t="shared" si="159"/>
        <v>0</v>
      </c>
      <c r="W1021" s="17">
        <f t="shared" si="160"/>
        <v>1</v>
      </c>
      <c r="X1021" s="17">
        <f t="shared" si="161"/>
        <v>30</v>
      </c>
      <c r="Y1021" s="19">
        <f t="shared" si="162"/>
        <v>0</v>
      </c>
      <c r="Z1021">
        <v>4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424</v>
      </c>
      <c r="AL1021">
        <v>424</v>
      </c>
      <c r="AM1021">
        <v>0</v>
      </c>
      <c r="AN1021">
        <v>0</v>
      </c>
      <c r="AO1021">
        <v>130</v>
      </c>
      <c r="AP1021">
        <v>25</v>
      </c>
      <c r="AQ1021">
        <v>130</v>
      </c>
      <c r="AR1021">
        <v>105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325</v>
      </c>
      <c r="BA1021">
        <v>325</v>
      </c>
      <c r="BB1021">
        <v>0</v>
      </c>
      <c r="BC1021">
        <v>0</v>
      </c>
      <c r="BD1021">
        <v>0</v>
      </c>
      <c r="BE1021">
        <f t="shared" si="163"/>
        <v>1888</v>
      </c>
      <c r="BF1021">
        <v>883</v>
      </c>
      <c r="BG1021">
        <v>883</v>
      </c>
      <c r="BH1021" t="s">
        <v>199</v>
      </c>
      <c r="BI1021" t="s">
        <v>2086</v>
      </c>
      <c r="BJ1021">
        <v>0</v>
      </c>
      <c r="BK1021">
        <v>879</v>
      </c>
      <c r="BL1021">
        <v>883</v>
      </c>
      <c r="BM1021">
        <v>0</v>
      </c>
      <c r="BN1021">
        <v>0</v>
      </c>
      <c r="BO1021">
        <v>0</v>
      </c>
      <c r="BP1021">
        <v>888</v>
      </c>
      <c r="BQ1021">
        <v>888</v>
      </c>
      <c r="BR1021">
        <f t="shared" si="164"/>
        <v>-30</v>
      </c>
      <c r="BS1021">
        <f t="shared" si="165"/>
        <v>32</v>
      </c>
    </row>
    <row r="1022" spans="1:74" x14ac:dyDescent="0.25">
      <c r="A1022" s="5" t="s">
        <v>1946</v>
      </c>
      <c r="B1022" s="5" t="s">
        <v>207</v>
      </c>
      <c r="C1022" s="5" t="s">
        <v>207</v>
      </c>
      <c r="D1022" s="1" t="s">
        <v>169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400</v>
      </c>
      <c r="K1022">
        <v>30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30</v>
      </c>
      <c r="R1022">
        <v>0</v>
      </c>
      <c r="S1022" s="18" t="e">
        <f t="shared" si="156"/>
        <v>#DIV/0!</v>
      </c>
      <c r="T1022" s="17" t="e">
        <f t="shared" si="157"/>
        <v>#DIV/0!</v>
      </c>
      <c r="U1022" s="17" t="e">
        <f t="shared" si="158"/>
        <v>#DIV/0!</v>
      </c>
      <c r="V1022" s="17" t="e">
        <f t="shared" si="159"/>
        <v>#DIV/0!</v>
      </c>
      <c r="W1022" s="17" t="e">
        <f t="shared" si="160"/>
        <v>#DIV/0!</v>
      </c>
      <c r="X1022" s="17" t="e">
        <f t="shared" si="161"/>
        <v>#DIV/0!</v>
      </c>
      <c r="Y1022" s="19" t="e">
        <f t="shared" si="162"/>
        <v>#DIV/0!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400</v>
      </c>
      <c r="AL1022">
        <v>400</v>
      </c>
      <c r="AM1022">
        <v>0</v>
      </c>
      <c r="AN1022">
        <v>0</v>
      </c>
      <c r="AO1022">
        <v>30</v>
      </c>
      <c r="AP1022">
        <v>0</v>
      </c>
      <c r="AQ1022">
        <v>30</v>
      </c>
      <c r="AR1022">
        <v>30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f t="shared" si="163"/>
        <v>890</v>
      </c>
      <c r="BF1022">
        <v>430</v>
      </c>
      <c r="BG1022">
        <v>430</v>
      </c>
      <c r="BH1022" t="s">
        <v>199</v>
      </c>
      <c r="BI1022" t="s">
        <v>2088</v>
      </c>
      <c r="BJ1022">
        <v>0</v>
      </c>
      <c r="BK1022">
        <v>430</v>
      </c>
      <c r="BL1022">
        <v>430</v>
      </c>
      <c r="BM1022">
        <v>0</v>
      </c>
      <c r="BN1022">
        <v>0</v>
      </c>
      <c r="BO1022">
        <v>0</v>
      </c>
      <c r="BP1022">
        <v>430</v>
      </c>
      <c r="BQ1022">
        <v>430</v>
      </c>
      <c r="BR1022">
        <f t="shared" si="164"/>
        <v>-30</v>
      </c>
      <c r="BS1022">
        <f t="shared" si="165"/>
        <v>30</v>
      </c>
    </row>
    <row r="1023" spans="1:74" x14ac:dyDescent="0.25">
      <c r="A1023" s="5" t="s">
        <v>2294</v>
      </c>
      <c r="B1023" s="5" t="s">
        <v>207</v>
      </c>
      <c r="C1023" s="5" t="s">
        <v>61</v>
      </c>
      <c r="D1023" s="1" t="s">
        <v>129</v>
      </c>
      <c r="E1023">
        <v>193</v>
      </c>
      <c r="F1023">
        <v>0</v>
      </c>
      <c r="G1023">
        <v>0</v>
      </c>
      <c r="H1023">
        <v>0</v>
      </c>
      <c r="I1023">
        <v>265</v>
      </c>
      <c r="J1023">
        <v>837</v>
      </c>
      <c r="K1023">
        <v>0</v>
      </c>
      <c r="L1023">
        <v>35</v>
      </c>
      <c r="M1023">
        <v>0</v>
      </c>
      <c r="N1023">
        <v>0</v>
      </c>
      <c r="O1023">
        <v>0</v>
      </c>
      <c r="P1023">
        <v>0</v>
      </c>
      <c r="Q1023">
        <v>30</v>
      </c>
      <c r="R1023">
        <v>0</v>
      </c>
      <c r="S1023" s="18" t="e">
        <f t="shared" si="156"/>
        <v>#DIV/0!</v>
      </c>
      <c r="T1023" s="17" t="e">
        <f t="shared" si="157"/>
        <v>#DIV/0!</v>
      </c>
      <c r="U1023" s="17" t="e">
        <f t="shared" si="158"/>
        <v>#DIV/0!</v>
      </c>
      <c r="V1023" s="17" t="e">
        <f t="shared" si="159"/>
        <v>#DIV/0!</v>
      </c>
      <c r="W1023" s="17" t="e">
        <f t="shared" si="160"/>
        <v>#DIV/0!</v>
      </c>
      <c r="X1023" s="17" t="e">
        <f t="shared" si="161"/>
        <v>#DIV/0!</v>
      </c>
      <c r="Y1023" s="19" t="e">
        <f t="shared" si="162"/>
        <v>#DIV/0!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265</v>
      </c>
      <c r="AH1023">
        <v>265</v>
      </c>
      <c r="AI1023">
        <v>0</v>
      </c>
      <c r="AJ1023">
        <v>0</v>
      </c>
      <c r="AK1023">
        <v>837</v>
      </c>
      <c r="AL1023">
        <v>837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50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35</v>
      </c>
      <c r="BA1023">
        <v>35</v>
      </c>
      <c r="BB1023">
        <v>0</v>
      </c>
      <c r="BC1023">
        <v>0</v>
      </c>
      <c r="BD1023">
        <v>0</v>
      </c>
      <c r="BE1023">
        <f t="shared" si="163"/>
        <v>2324</v>
      </c>
      <c r="BF1023">
        <v>2111</v>
      </c>
      <c r="BG1023">
        <v>2111</v>
      </c>
      <c r="BH1023" t="s">
        <v>199</v>
      </c>
      <c r="BI1023" t="s">
        <v>2353</v>
      </c>
      <c r="BJ1023">
        <v>193</v>
      </c>
      <c r="BK1023">
        <v>1137</v>
      </c>
      <c r="BL1023">
        <v>1330</v>
      </c>
      <c r="BM1023">
        <v>0</v>
      </c>
      <c r="BN1023">
        <v>0</v>
      </c>
      <c r="BO1023">
        <v>0</v>
      </c>
      <c r="BP1023">
        <v>1137</v>
      </c>
      <c r="BQ1023">
        <v>1137</v>
      </c>
      <c r="BR1023">
        <f t="shared" si="164"/>
        <v>-30</v>
      </c>
      <c r="BS1023">
        <f t="shared" si="165"/>
        <v>30</v>
      </c>
    </row>
    <row r="1024" spans="1:74" x14ac:dyDescent="0.25">
      <c r="A1024" s="5" t="s">
        <v>61</v>
      </c>
      <c r="B1024" s="5" t="s">
        <v>359</v>
      </c>
      <c r="C1024" s="5" t="s">
        <v>61</v>
      </c>
      <c r="D1024" s="1" t="s">
        <v>181</v>
      </c>
      <c r="E1024">
        <v>0</v>
      </c>
      <c r="F1024">
        <v>8</v>
      </c>
      <c r="G1024">
        <v>0</v>
      </c>
      <c r="H1024">
        <v>0</v>
      </c>
      <c r="I1024">
        <v>80</v>
      </c>
      <c r="J1024">
        <v>270</v>
      </c>
      <c r="K1024">
        <v>62</v>
      </c>
      <c r="L1024">
        <v>35</v>
      </c>
      <c r="M1024">
        <v>0</v>
      </c>
      <c r="N1024">
        <v>0</v>
      </c>
      <c r="O1024">
        <v>0</v>
      </c>
      <c r="P1024">
        <v>72</v>
      </c>
      <c r="Q1024">
        <v>39</v>
      </c>
      <c r="R1024">
        <v>8</v>
      </c>
      <c r="S1024" s="18">
        <f t="shared" si="156"/>
        <v>9</v>
      </c>
      <c r="T1024" s="17">
        <f t="shared" si="157"/>
        <v>0</v>
      </c>
      <c r="U1024" s="17">
        <f t="shared" si="158"/>
        <v>0</v>
      </c>
      <c r="V1024" s="17">
        <f t="shared" si="159"/>
        <v>0</v>
      </c>
      <c r="W1024" s="17">
        <f t="shared" si="160"/>
        <v>8</v>
      </c>
      <c r="X1024" s="17">
        <f t="shared" si="161"/>
        <v>31</v>
      </c>
      <c r="Y1024" s="19">
        <f t="shared" si="162"/>
        <v>0</v>
      </c>
      <c r="Z1024">
        <v>8</v>
      </c>
      <c r="AA1024">
        <v>0</v>
      </c>
      <c r="AB1024">
        <v>0</v>
      </c>
      <c r="AC1024">
        <v>50</v>
      </c>
      <c r="AD1024">
        <v>0</v>
      </c>
      <c r="AE1024">
        <v>0</v>
      </c>
      <c r="AF1024">
        <v>0</v>
      </c>
      <c r="AG1024">
        <v>80</v>
      </c>
      <c r="AH1024">
        <v>80</v>
      </c>
      <c r="AI1024">
        <v>0</v>
      </c>
      <c r="AJ1024">
        <v>0</v>
      </c>
      <c r="AK1024">
        <v>270</v>
      </c>
      <c r="AL1024">
        <v>270</v>
      </c>
      <c r="AM1024">
        <v>0</v>
      </c>
      <c r="AN1024">
        <v>0</v>
      </c>
      <c r="AO1024">
        <v>62</v>
      </c>
      <c r="AP1024">
        <v>50</v>
      </c>
      <c r="AQ1024">
        <v>62</v>
      </c>
      <c r="AR1024">
        <v>12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35</v>
      </c>
      <c r="BA1024">
        <v>35</v>
      </c>
      <c r="BB1024">
        <v>0</v>
      </c>
      <c r="BC1024">
        <v>0</v>
      </c>
      <c r="BD1024">
        <v>0</v>
      </c>
      <c r="BE1024">
        <f t="shared" si="163"/>
        <v>1006</v>
      </c>
      <c r="BF1024">
        <v>505</v>
      </c>
      <c r="BG1024">
        <v>505</v>
      </c>
      <c r="BH1024" t="s">
        <v>190</v>
      </c>
      <c r="BI1024" t="s">
        <v>418</v>
      </c>
      <c r="BJ1024">
        <v>50</v>
      </c>
      <c r="BK1024">
        <v>447</v>
      </c>
      <c r="BL1024">
        <v>505</v>
      </c>
      <c r="BM1024">
        <v>0</v>
      </c>
      <c r="BN1024">
        <v>0</v>
      </c>
      <c r="BO1024">
        <v>0</v>
      </c>
      <c r="BP1024">
        <v>519</v>
      </c>
      <c r="BQ1024">
        <v>519</v>
      </c>
      <c r="BR1024">
        <f t="shared" si="164"/>
        <v>-31</v>
      </c>
      <c r="BS1024">
        <f t="shared" si="165"/>
        <v>47</v>
      </c>
    </row>
    <row r="1025" spans="1:71" x14ac:dyDescent="0.25">
      <c r="A1025" s="5" t="s">
        <v>207</v>
      </c>
      <c r="B1025" s="5" t="s">
        <v>207</v>
      </c>
      <c r="C1025" s="5" t="s">
        <v>61</v>
      </c>
      <c r="D1025" s="1" t="s">
        <v>123</v>
      </c>
      <c r="E1025">
        <v>0</v>
      </c>
      <c r="F1025">
        <v>40</v>
      </c>
      <c r="G1025">
        <v>0</v>
      </c>
      <c r="H1025">
        <v>0</v>
      </c>
      <c r="I1025">
        <v>8</v>
      </c>
      <c r="J1025">
        <v>1250</v>
      </c>
      <c r="K1025">
        <v>47</v>
      </c>
      <c r="L1025">
        <v>42</v>
      </c>
      <c r="M1025">
        <v>270</v>
      </c>
      <c r="N1025">
        <v>0</v>
      </c>
      <c r="O1025">
        <v>0</v>
      </c>
      <c r="P1025">
        <v>0</v>
      </c>
      <c r="Q1025">
        <v>61</v>
      </c>
      <c r="R1025">
        <v>30</v>
      </c>
      <c r="S1025" s="18">
        <f t="shared" si="156"/>
        <v>9</v>
      </c>
      <c r="T1025" s="17">
        <f t="shared" si="157"/>
        <v>30</v>
      </c>
      <c r="U1025" s="17">
        <f t="shared" si="158"/>
        <v>0</v>
      </c>
      <c r="V1025" s="17">
        <f t="shared" si="159"/>
        <v>0</v>
      </c>
      <c r="W1025" s="17">
        <f t="shared" si="160"/>
        <v>0</v>
      </c>
      <c r="X1025" s="17">
        <f t="shared" si="161"/>
        <v>31</v>
      </c>
      <c r="Y1025" s="19">
        <f t="shared" si="162"/>
        <v>0</v>
      </c>
      <c r="Z1025">
        <v>40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8</v>
      </c>
      <c r="AH1025">
        <v>8</v>
      </c>
      <c r="AI1025">
        <v>0</v>
      </c>
      <c r="AJ1025">
        <v>0</v>
      </c>
      <c r="AK1025">
        <v>1250</v>
      </c>
      <c r="AL1025">
        <v>1250</v>
      </c>
      <c r="AM1025">
        <v>0</v>
      </c>
      <c r="AN1025">
        <v>0</v>
      </c>
      <c r="AO1025">
        <v>47</v>
      </c>
      <c r="AP1025">
        <v>0</v>
      </c>
      <c r="AQ1025">
        <v>47</v>
      </c>
      <c r="AR1025">
        <v>47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42</v>
      </c>
      <c r="BA1025">
        <v>42</v>
      </c>
      <c r="BB1025">
        <v>0</v>
      </c>
      <c r="BC1025">
        <v>0</v>
      </c>
      <c r="BD1025">
        <v>0</v>
      </c>
      <c r="BE1025">
        <f t="shared" si="163"/>
        <v>2741</v>
      </c>
      <c r="BF1025">
        <v>1387</v>
      </c>
      <c r="BG1025">
        <v>1387</v>
      </c>
      <c r="BH1025" t="s">
        <v>190</v>
      </c>
      <c r="BI1025" t="s">
        <v>571</v>
      </c>
      <c r="BJ1025">
        <v>0</v>
      </c>
      <c r="BK1025">
        <v>1347</v>
      </c>
      <c r="BL1025">
        <v>1387</v>
      </c>
      <c r="BM1025">
        <v>270</v>
      </c>
      <c r="BN1025">
        <v>0</v>
      </c>
      <c r="BO1025">
        <v>0</v>
      </c>
      <c r="BP1025">
        <v>1347</v>
      </c>
      <c r="BQ1025">
        <v>1617</v>
      </c>
      <c r="BR1025">
        <f t="shared" si="164"/>
        <v>-31</v>
      </c>
      <c r="BS1025">
        <f t="shared" si="165"/>
        <v>91</v>
      </c>
    </row>
    <row r="1026" spans="1:71" x14ac:dyDescent="0.25">
      <c r="A1026" s="5" t="s">
        <v>1337</v>
      </c>
      <c r="B1026" s="5" t="s">
        <v>61</v>
      </c>
      <c r="C1026" s="5" t="s">
        <v>61</v>
      </c>
      <c r="D1026" s="1" t="s">
        <v>131</v>
      </c>
      <c r="E1026">
        <v>23</v>
      </c>
      <c r="F1026">
        <v>13</v>
      </c>
      <c r="G1026">
        <v>0</v>
      </c>
      <c r="H1026">
        <v>0</v>
      </c>
      <c r="I1026">
        <v>10</v>
      </c>
      <c r="J1026">
        <v>430</v>
      </c>
      <c r="K1026">
        <v>68</v>
      </c>
      <c r="L1026">
        <v>40</v>
      </c>
      <c r="M1026">
        <v>0</v>
      </c>
      <c r="N1026">
        <v>0</v>
      </c>
      <c r="O1026">
        <v>0</v>
      </c>
      <c r="P1026">
        <v>117</v>
      </c>
      <c r="Q1026">
        <v>44</v>
      </c>
      <c r="R1026">
        <v>13</v>
      </c>
      <c r="S1026" s="18">
        <f t="shared" ref="S1026:S1089" si="166">(M1026+N1026+O1026+P1026)/R1026</f>
        <v>9</v>
      </c>
      <c r="T1026" s="17">
        <f t="shared" ref="T1026:T1089" si="167">M1026/$S1026</f>
        <v>0</v>
      </c>
      <c r="U1026" s="17">
        <f t="shared" ref="U1026:U1089" si="168">N1026/$S1026</f>
        <v>0</v>
      </c>
      <c r="V1026" s="17">
        <f t="shared" ref="V1026:V1089" si="169">O1026/$S1026</f>
        <v>0</v>
      </c>
      <c r="W1026" s="17">
        <f t="shared" ref="W1026:W1089" si="170">P1026/$S1026</f>
        <v>13</v>
      </c>
      <c r="X1026" s="17">
        <f t="shared" ref="X1026:X1089" si="171">Q1026-T1026-U1026-W1026</f>
        <v>31</v>
      </c>
      <c r="Y1026" s="19">
        <f t="shared" ref="Y1026:Y1089" si="172">V1026/X1026</f>
        <v>0</v>
      </c>
      <c r="Z1026">
        <v>13</v>
      </c>
      <c r="AA1026">
        <v>0</v>
      </c>
      <c r="AB1026">
        <v>0</v>
      </c>
      <c r="AC1026">
        <v>620</v>
      </c>
      <c r="AD1026">
        <v>0</v>
      </c>
      <c r="AE1026">
        <v>0</v>
      </c>
      <c r="AF1026">
        <v>0</v>
      </c>
      <c r="AG1026">
        <v>10</v>
      </c>
      <c r="AH1026">
        <v>10</v>
      </c>
      <c r="AI1026">
        <v>0</v>
      </c>
      <c r="AJ1026">
        <v>0</v>
      </c>
      <c r="AK1026">
        <v>430</v>
      </c>
      <c r="AL1026">
        <v>430</v>
      </c>
      <c r="AM1026">
        <v>0</v>
      </c>
      <c r="AN1026">
        <v>0</v>
      </c>
      <c r="AO1026">
        <v>68</v>
      </c>
      <c r="AP1026">
        <v>55</v>
      </c>
      <c r="AQ1026">
        <v>68</v>
      </c>
      <c r="AR1026">
        <v>13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40</v>
      </c>
      <c r="BA1026">
        <v>40</v>
      </c>
      <c r="BB1026">
        <v>0</v>
      </c>
      <c r="BC1026">
        <v>0</v>
      </c>
      <c r="BD1026">
        <v>0</v>
      </c>
      <c r="BE1026">
        <f t="shared" ref="BE1026:BE1089" si="173">SUM(AC1026:BD1026)</f>
        <v>1784</v>
      </c>
      <c r="BF1026">
        <v>1204</v>
      </c>
      <c r="BG1026">
        <v>1204</v>
      </c>
      <c r="BH1026" t="s">
        <v>82</v>
      </c>
      <c r="BI1026" t="s">
        <v>1008</v>
      </c>
      <c r="BJ1026">
        <v>643</v>
      </c>
      <c r="BK1026">
        <v>548</v>
      </c>
      <c r="BL1026">
        <v>1204</v>
      </c>
      <c r="BM1026">
        <v>0</v>
      </c>
      <c r="BN1026">
        <v>0</v>
      </c>
      <c r="BO1026">
        <v>0</v>
      </c>
      <c r="BP1026">
        <v>665</v>
      </c>
      <c r="BQ1026">
        <v>665</v>
      </c>
      <c r="BR1026">
        <f t="shared" ref="BR1026:BR1089" si="174">R1026-Q1026</f>
        <v>-31</v>
      </c>
      <c r="BS1026">
        <f t="shared" ref="BS1026:BS1089" si="175">R1026+Q1026</f>
        <v>57</v>
      </c>
    </row>
    <row r="1027" spans="1:71" x14ac:dyDescent="0.25">
      <c r="A1027" s="5" t="s">
        <v>1946</v>
      </c>
      <c r="B1027" s="5" t="s">
        <v>207</v>
      </c>
      <c r="C1027" s="5" t="s">
        <v>61</v>
      </c>
      <c r="D1027" s="1" t="s">
        <v>104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1450</v>
      </c>
      <c r="K1027">
        <v>200</v>
      </c>
      <c r="L1027">
        <v>40</v>
      </c>
      <c r="M1027">
        <v>0</v>
      </c>
      <c r="N1027">
        <v>0</v>
      </c>
      <c r="O1027">
        <v>0</v>
      </c>
      <c r="P1027">
        <v>0</v>
      </c>
      <c r="Q1027">
        <v>31</v>
      </c>
      <c r="R1027">
        <v>0</v>
      </c>
      <c r="S1027" s="18" t="e">
        <f t="shared" si="166"/>
        <v>#DIV/0!</v>
      </c>
      <c r="T1027" s="17" t="e">
        <f t="shared" si="167"/>
        <v>#DIV/0!</v>
      </c>
      <c r="U1027" s="17" t="e">
        <f t="shared" si="168"/>
        <v>#DIV/0!</v>
      </c>
      <c r="V1027" s="17" t="e">
        <f t="shared" si="169"/>
        <v>#DIV/0!</v>
      </c>
      <c r="W1027" s="17" t="e">
        <f t="shared" si="170"/>
        <v>#DIV/0!</v>
      </c>
      <c r="X1027" s="17" t="e">
        <f t="shared" si="171"/>
        <v>#DIV/0!</v>
      </c>
      <c r="Y1027" s="19" t="e">
        <f t="shared" si="172"/>
        <v>#DIV/0!</v>
      </c>
      <c r="Z1027">
        <v>0</v>
      </c>
      <c r="AA1027">
        <v>0</v>
      </c>
      <c r="AB1027">
        <v>0</v>
      </c>
      <c r="AC1027">
        <v>1750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1450</v>
      </c>
      <c r="AL1027">
        <v>1450</v>
      </c>
      <c r="AM1027">
        <v>0</v>
      </c>
      <c r="AN1027">
        <v>0</v>
      </c>
      <c r="AO1027">
        <v>200</v>
      </c>
      <c r="AP1027">
        <v>200</v>
      </c>
      <c r="AQ1027">
        <v>200</v>
      </c>
      <c r="AR1027">
        <v>35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40</v>
      </c>
      <c r="BA1027">
        <v>40</v>
      </c>
      <c r="BB1027">
        <v>0</v>
      </c>
      <c r="BC1027">
        <v>0</v>
      </c>
      <c r="BD1027">
        <v>0</v>
      </c>
      <c r="BE1027">
        <f t="shared" si="173"/>
        <v>5365</v>
      </c>
      <c r="BF1027">
        <v>3440</v>
      </c>
      <c r="BG1027">
        <v>3440</v>
      </c>
      <c r="BH1027" t="s">
        <v>190</v>
      </c>
      <c r="BI1027" t="s">
        <v>2028</v>
      </c>
      <c r="BJ1027">
        <v>1750</v>
      </c>
      <c r="BK1027">
        <v>1690</v>
      </c>
      <c r="BL1027">
        <v>3440</v>
      </c>
      <c r="BM1027">
        <v>0</v>
      </c>
      <c r="BN1027">
        <v>0</v>
      </c>
      <c r="BO1027">
        <v>0</v>
      </c>
      <c r="BP1027">
        <v>1690</v>
      </c>
      <c r="BQ1027">
        <v>1690</v>
      </c>
      <c r="BR1027">
        <f t="shared" si="174"/>
        <v>-31</v>
      </c>
      <c r="BS1027">
        <f t="shared" si="175"/>
        <v>31</v>
      </c>
    </row>
    <row r="1028" spans="1:71" x14ac:dyDescent="0.25">
      <c r="A1028" s="5" t="s">
        <v>2090</v>
      </c>
      <c r="B1028" s="5" t="s">
        <v>207</v>
      </c>
      <c r="C1028" s="5" t="s">
        <v>61</v>
      </c>
      <c r="D1028" s="1" t="s">
        <v>187</v>
      </c>
      <c r="E1028">
        <v>60</v>
      </c>
      <c r="F1028">
        <v>0</v>
      </c>
      <c r="G1028">
        <v>0</v>
      </c>
      <c r="H1028">
        <v>0</v>
      </c>
      <c r="I1028">
        <v>44</v>
      </c>
      <c r="J1028">
        <v>407</v>
      </c>
      <c r="K1028">
        <v>97</v>
      </c>
      <c r="L1028">
        <v>12</v>
      </c>
      <c r="M1028">
        <v>0</v>
      </c>
      <c r="N1028">
        <v>0</v>
      </c>
      <c r="O1028">
        <v>0</v>
      </c>
      <c r="P1028">
        <v>0</v>
      </c>
      <c r="Q1028">
        <v>31</v>
      </c>
      <c r="R1028">
        <v>0</v>
      </c>
      <c r="S1028" s="18" t="e">
        <f t="shared" si="166"/>
        <v>#DIV/0!</v>
      </c>
      <c r="T1028" s="17" t="e">
        <f t="shared" si="167"/>
        <v>#DIV/0!</v>
      </c>
      <c r="U1028" s="17" t="e">
        <f t="shared" si="168"/>
        <v>#DIV/0!</v>
      </c>
      <c r="V1028" s="17" t="e">
        <f t="shared" si="169"/>
        <v>#DIV/0!</v>
      </c>
      <c r="W1028" s="17" t="e">
        <f t="shared" si="170"/>
        <v>#DIV/0!</v>
      </c>
      <c r="X1028" s="17" t="e">
        <f t="shared" si="171"/>
        <v>#DIV/0!</v>
      </c>
      <c r="Y1028" s="19" t="e">
        <f t="shared" si="172"/>
        <v>#DIV/0!</v>
      </c>
      <c r="Z1028">
        <v>0</v>
      </c>
      <c r="AA1028">
        <v>0</v>
      </c>
      <c r="AB1028">
        <v>0</v>
      </c>
      <c r="AC1028">
        <v>114</v>
      </c>
      <c r="AD1028">
        <v>0</v>
      </c>
      <c r="AE1028">
        <v>0</v>
      </c>
      <c r="AF1028">
        <v>0</v>
      </c>
      <c r="AG1028">
        <v>44</v>
      </c>
      <c r="AH1028">
        <v>44</v>
      </c>
      <c r="AI1028">
        <v>0</v>
      </c>
      <c r="AJ1028">
        <v>0</v>
      </c>
      <c r="AK1028">
        <v>407</v>
      </c>
      <c r="AL1028">
        <v>407</v>
      </c>
      <c r="AM1028">
        <v>0</v>
      </c>
      <c r="AN1028">
        <v>0</v>
      </c>
      <c r="AO1028">
        <v>97</v>
      </c>
      <c r="AP1028">
        <v>19</v>
      </c>
      <c r="AQ1028">
        <v>97</v>
      </c>
      <c r="AR1028">
        <v>78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12</v>
      </c>
      <c r="BA1028">
        <v>12</v>
      </c>
      <c r="BB1028">
        <v>0</v>
      </c>
      <c r="BC1028">
        <v>0</v>
      </c>
      <c r="BD1028">
        <v>0</v>
      </c>
      <c r="BE1028">
        <f t="shared" si="173"/>
        <v>1331</v>
      </c>
      <c r="BF1028">
        <v>734</v>
      </c>
      <c r="BG1028">
        <v>734</v>
      </c>
      <c r="BH1028" t="s">
        <v>199</v>
      </c>
      <c r="BI1028" t="s">
        <v>2271</v>
      </c>
      <c r="BJ1028">
        <v>174</v>
      </c>
      <c r="BK1028">
        <v>560</v>
      </c>
      <c r="BL1028">
        <v>734</v>
      </c>
      <c r="BM1028">
        <v>0</v>
      </c>
      <c r="BN1028">
        <v>0</v>
      </c>
      <c r="BO1028">
        <v>0</v>
      </c>
      <c r="BP1028">
        <v>560</v>
      </c>
      <c r="BQ1028">
        <v>560</v>
      </c>
      <c r="BR1028">
        <f t="shared" si="174"/>
        <v>-31</v>
      </c>
      <c r="BS1028">
        <f t="shared" si="175"/>
        <v>31</v>
      </c>
    </row>
    <row r="1029" spans="1:71" x14ac:dyDescent="0.25">
      <c r="A1029" s="5" t="s">
        <v>1135</v>
      </c>
      <c r="B1029" s="5" t="s">
        <v>61</v>
      </c>
      <c r="C1029" s="5" t="s">
        <v>61</v>
      </c>
      <c r="D1029" s="1" t="s">
        <v>143</v>
      </c>
      <c r="E1029">
        <v>0</v>
      </c>
      <c r="F1029">
        <v>3780</v>
      </c>
      <c r="G1029">
        <v>0</v>
      </c>
      <c r="H1029">
        <v>0</v>
      </c>
      <c r="I1029">
        <v>225</v>
      </c>
      <c r="J1029">
        <v>0</v>
      </c>
      <c r="K1029">
        <v>120</v>
      </c>
      <c r="L1029">
        <v>0</v>
      </c>
      <c r="M1029">
        <v>0</v>
      </c>
      <c r="N1029">
        <v>7803</v>
      </c>
      <c r="O1029">
        <v>0</v>
      </c>
      <c r="P1029">
        <v>0</v>
      </c>
      <c r="Q1029">
        <v>899</v>
      </c>
      <c r="R1029">
        <v>867</v>
      </c>
      <c r="S1029" s="18">
        <f t="shared" si="166"/>
        <v>9</v>
      </c>
      <c r="T1029" s="17">
        <f t="shared" si="167"/>
        <v>0</v>
      </c>
      <c r="U1029" s="17">
        <f t="shared" si="168"/>
        <v>867</v>
      </c>
      <c r="V1029" s="17">
        <f t="shared" si="169"/>
        <v>0</v>
      </c>
      <c r="W1029" s="17">
        <f t="shared" si="170"/>
        <v>0</v>
      </c>
      <c r="X1029" s="17">
        <f t="shared" si="171"/>
        <v>32</v>
      </c>
      <c r="Y1029" s="19">
        <f t="shared" si="172"/>
        <v>0</v>
      </c>
      <c r="Z1029">
        <v>3780</v>
      </c>
      <c r="AA1029">
        <v>0</v>
      </c>
      <c r="AB1029">
        <v>0</v>
      </c>
      <c r="AC1029">
        <v>0</v>
      </c>
      <c r="AD1029">
        <v>85</v>
      </c>
      <c r="AE1029">
        <v>0</v>
      </c>
      <c r="AF1029">
        <v>0</v>
      </c>
      <c r="AG1029">
        <v>140</v>
      </c>
      <c r="AH1029">
        <v>225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120</v>
      </c>
      <c r="AP1029">
        <v>120</v>
      </c>
      <c r="AQ1029">
        <v>120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f t="shared" si="173"/>
        <v>810</v>
      </c>
      <c r="BF1029">
        <v>4125</v>
      </c>
      <c r="BG1029">
        <v>4125</v>
      </c>
      <c r="BH1029" t="s">
        <v>109</v>
      </c>
      <c r="BI1029" t="s">
        <v>1170</v>
      </c>
      <c r="BJ1029">
        <v>0</v>
      </c>
      <c r="BK1029">
        <v>345</v>
      </c>
      <c r="BL1029">
        <v>4125</v>
      </c>
      <c r="BM1029">
        <v>85</v>
      </c>
      <c r="BN1029">
        <v>7803</v>
      </c>
      <c r="BO1029">
        <v>0</v>
      </c>
      <c r="BP1029">
        <v>260</v>
      </c>
      <c r="BQ1029">
        <v>8148</v>
      </c>
      <c r="BR1029">
        <f t="shared" si="174"/>
        <v>-32</v>
      </c>
      <c r="BS1029">
        <f t="shared" si="175"/>
        <v>1766</v>
      </c>
    </row>
    <row r="1030" spans="1:71" x14ac:dyDescent="0.25">
      <c r="A1030" s="5" t="s">
        <v>1946</v>
      </c>
      <c r="B1030" s="5" t="s">
        <v>207</v>
      </c>
      <c r="C1030" s="5" t="s">
        <v>207</v>
      </c>
      <c r="D1030" s="1" t="s">
        <v>167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620</v>
      </c>
      <c r="K1030">
        <v>115</v>
      </c>
      <c r="L1030">
        <v>10</v>
      </c>
      <c r="M1030">
        <v>0</v>
      </c>
      <c r="N1030">
        <v>0</v>
      </c>
      <c r="O1030">
        <v>0</v>
      </c>
      <c r="P1030">
        <v>0</v>
      </c>
      <c r="Q1030">
        <v>32</v>
      </c>
      <c r="R1030">
        <v>0</v>
      </c>
      <c r="S1030" s="18" t="e">
        <f t="shared" si="166"/>
        <v>#DIV/0!</v>
      </c>
      <c r="T1030" s="17" t="e">
        <f t="shared" si="167"/>
        <v>#DIV/0!</v>
      </c>
      <c r="U1030" s="17" t="e">
        <f t="shared" si="168"/>
        <v>#DIV/0!</v>
      </c>
      <c r="V1030" s="17" t="e">
        <f t="shared" si="169"/>
        <v>#DIV/0!</v>
      </c>
      <c r="W1030" s="17" t="e">
        <f t="shared" si="170"/>
        <v>#DIV/0!</v>
      </c>
      <c r="X1030" s="17" t="e">
        <f t="shared" si="171"/>
        <v>#DIV/0!</v>
      </c>
      <c r="Y1030" s="19" t="e">
        <f t="shared" si="172"/>
        <v>#DIV/0!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620</v>
      </c>
      <c r="AL1030">
        <v>620</v>
      </c>
      <c r="AM1030">
        <v>0</v>
      </c>
      <c r="AN1030">
        <v>0</v>
      </c>
      <c r="AO1030">
        <v>115</v>
      </c>
      <c r="AP1030">
        <v>55</v>
      </c>
      <c r="AQ1030">
        <v>115</v>
      </c>
      <c r="AR1030">
        <v>60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10</v>
      </c>
      <c r="BA1030">
        <v>10</v>
      </c>
      <c r="BB1030">
        <v>0</v>
      </c>
      <c r="BC1030">
        <v>0</v>
      </c>
      <c r="BD1030">
        <v>0</v>
      </c>
      <c r="BE1030">
        <f t="shared" si="173"/>
        <v>1605</v>
      </c>
      <c r="BF1030">
        <v>745</v>
      </c>
      <c r="BG1030">
        <v>745</v>
      </c>
      <c r="BH1030" t="s">
        <v>199</v>
      </c>
      <c r="BI1030" t="s">
        <v>2087</v>
      </c>
      <c r="BJ1030">
        <v>0</v>
      </c>
      <c r="BK1030">
        <v>745</v>
      </c>
      <c r="BL1030">
        <v>745</v>
      </c>
      <c r="BM1030">
        <v>0</v>
      </c>
      <c r="BN1030">
        <v>0</v>
      </c>
      <c r="BO1030">
        <v>0</v>
      </c>
      <c r="BP1030">
        <v>745</v>
      </c>
      <c r="BQ1030">
        <v>745</v>
      </c>
      <c r="BR1030">
        <f t="shared" si="174"/>
        <v>-32</v>
      </c>
      <c r="BS1030">
        <f t="shared" si="175"/>
        <v>32</v>
      </c>
    </row>
    <row r="1031" spans="1:71" x14ac:dyDescent="0.25">
      <c r="A1031" s="5" t="s">
        <v>61</v>
      </c>
      <c r="B1031" s="5" t="s">
        <v>207</v>
      </c>
      <c r="C1031" s="5" t="s">
        <v>61</v>
      </c>
      <c r="D1031" s="1" t="s">
        <v>96</v>
      </c>
      <c r="E1031">
        <v>0</v>
      </c>
      <c r="F1031">
        <v>25</v>
      </c>
      <c r="G1031">
        <v>0</v>
      </c>
      <c r="H1031">
        <v>0</v>
      </c>
      <c r="I1031">
        <v>44</v>
      </c>
      <c r="J1031">
        <v>285</v>
      </c>
      <c r="K1031">
        <v>35</v>
      </c>
      <c r="L1031">
        <v>0</v>
      </c>
      <c r="M1031">
        <v>0</v>
      </c>
      <c r="N1031">
        <v>0</v>
      </c>
      <c r="O1031">
        <v>0</v>
      </c>
      <c r="P1031">
        <v>225</v>
      </c>
      <c r="Q1031">
        <v>58</v>
      </c>
      <c r="R1031">
        <v>25</v>
      </c>
      <c r="S1031" s="18">
        <f t="shared" si="166"/>
        <v>9</v>
      </c>
      <c r="T1031" s="17">
        <f t="shared" si="167"/>
        <v>0</v>
      </c>
      <c r="U1031" s="17">
        <f t="shared" si="168"/>
        <v>0</v>
      </c>
      <c r="V1031" s="17">
        <f t="shared" si="169"/>
        <v>0</v>
      </c>
      <c r="W1031" s="17">
        <f t="shared" si="170"/>
        <v>25</v>
      </c>
      <c r="X1031" s="17">
        <f t="shared" si="171"/>
        <v>33</v>
      </c>
      <c r="Y1031" s="19">
        <f t="shared" si="172"/>
        <v>0</v>
      </c>
      <c r="Z1031">
        <v>25</v>
      </c>
      <c r="AA1031">
        <v>4</v>
      </c>
      <c r="AB1031">
        <v>0</v>
      </c>
      <c r="AC1031">
        <v>470</v>
      </c>
      <c r="AD1031">
        <v>0</v>
      </c>
      <c r="AE1031">
        <v>0</v>
      </c>
      <c r="AF1031">
        <v>0</v>
      </c>
      <c r="AG1031">
        <v>44</v>
      </c>
      <c r="AH1031">
        <v>44</v>
      </c>
      <c r="AI1031">
        <v>0</v>
      </c>
      <c r="AJ1031">
        <v>0</v>
      </c>
      <c r="AK1031">
        <v>285</v>
      </c>
      <c r="AL1031">
        <v>285</v>
      </c>
      <c r="AM1031">
        <v>0</v>
      </c>
      <c r="AN1031">
        <v>0</v>
      </c>
      <c r="AO1031">
        <v>35</v>
      </c>
      <c r="AP1031">
        <v>4</v>
      </c>
      <c r="AQ1031">
        <v>35</v>
      </c>
      <c r="AR1031">
        <v>31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f t="shared" si="173"/>
        <v>1233</v>
      </c>
      <c r="BF1031">
        <v>863</v>
      </c>
      <c r="BG1031">
        <v>863</v>
      </c>
      <c r="BH1031" t="s">
        <v>82</v>
      </c>
      <c r="BI1031" t="s">
        <v>224</v>
      </c>
      <c r="BJ1031">
        <v>474</v>
      </c>
      <c r="BK1031">
        <v>364</v>
      </c>
      <c r="BL1031">
        <v>863</v>
      </c>
      <c r="BM1031">
        <v>0</v>
      </c>
      <c r="BN1031">
        <v>0</v>
      </c>
      <c r="BO1031">
        <v>0</v>
      </c>
      <c r="BP1031">
        <v>589</v>
      </c>
      <c r="BQ1031">
        <v>589</v>
      </c>
      <c r="BR1031">
        <f t="shared" si="174"/>
        <v>-33</v>
      </c>
      <c r="BS1031">
        <f t="shared" si="175"/>
        <v>83</v>
      </c>
    </row>
    <row r="1032" spans="1:71" x14ac:dyDescent="0.25">
      <c r="A1032" s="5" t="s">
        <v>207</v>
      </c>
      <c r="B1032" s="5" t="s">
        <v>61</v>
      </c>
      <c r="C1032" s="5" t="s">
        <v>359</v>
      </c>
      <c r="D1032" s="1" t="s">
        <v>123</v>
      </c>
      <c r="E1032">
        <v>0</v>
      </c>
      <c r="F1032">
        <v>0</v>
      </c>
      <c r="G1032">
        <v>0</v>
      </c>
      <c r="H1032">
        <v>0</v>
      </c>
      <c r="I1032">
        <v>30</v>
      </c>
      <c r="J1032">
        <v>930</v>
      </c>
      <c r="K1032">
        <v>50</v>
      </c>
      <c r="L1032">
        <v>139</v>
      </c>
      <c r="M1032">
        <v>0</v>
      </c>
      <c r="N1032">
        <v>0</v>
      </c>
      <c r="O1032">
        <v>0</v>
      </c>
      <c r="P1032">
        <v>0</v>
      </c>
      <c r="Q1032">
        <v>33</v>
      </c>
      <c r="R1032">
        <v>0</v>
      </c>
      <c r="S1032" s="18" t="e">
        <f t="shared" si="166"/>
        <v>#DIV/0!</v>
      </c>
      <c r="T1032" s="17" t="e">
        <f t="shared" si="167"/>
        <v>#DIV/0!</v>
      </c>
      <c r="U1032" s="17" t="e">
        <f t="shared" si="168"/>
        <v>#DIV/0!</v>
      </c>
      <c r="V1032" s="17" t="e">
        <f t="shared" si="169"/>
        <v>#DIV/0!</v>
      </c>
      <c r="W1032" s="17" t="e">
        <f t="shared" si="170"/>
        <v>#DIV/0!</v>
      </c>
      <c r="X1032" s="17" t="e">
        <f t="shared" si="171"/>
        <v>#DIV/0!</v>
      </c>
      <c r="Y1032" s="19" t="e">
        <f t="shared" si="172"/>
        <v>#DIV/0!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</v>
      </c>
      <c r="AH1032">
        <v>30</v>
      </c>
      <c r="AI1032">
        <v>0</v>
      </c>
      <c r="AJ1032">
        <v>0</v>
      </c>
      <c r="AK1032">
        <v>930</v>
      </c>
      <c r="AL1032">
        <v>930</v>
      </c>
      <c r="AM1032">
        <v>0</v>
      </c>
      <c r="AN1032">
        <v>0</v>
      </c>
      <c r="AO1032">
        <v>50</v>
      </c>
      <c r="AP1032">
        <v>20</v>
      </c>
      <c r="AQ1032">
        <v>50</v>
      </c>
      <c r="AR1032">
        <v>30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139</v>
      </c>
      <c r="BA1032">
        <v>139</v>
      </c>
      <c r="BB1032">
        <v>0</v>
      </c>
      <c r="BC1032">
        <v>0</v>
      </c>
      <c r="BD1032">
        <v>0</v>
      </c>
      <c r="BE1032">
        <f t="shared" si="173"/>
        <v>2348</v>
      </c>
      <c r="BF1032">
        <v>1149</v>
      </c>
      <c r="BG1032">
        <v>1149</v>
      </c>
      <c r="BH1032" t="s">
        <v>190</v>
      </c>
      <c r="BI1032" t="s">
        <v>527</v>
      </c>
      <c r="BJ1032">
        <v>0</v>
      </c>
      <c r="BK1032">
        <v>1149</v>
      </c>
      <c r="BL1032">
        <v>1149</v>
      </c>
      <c r="BM1032">
        <v>0</v>
      </c>
      <c r="BN1032">
        <v>0</v>
      </c>
      <c r="BO1032">
        <v>0</v>
      </c>
      <c r="BP1032">
        <v>1149</v>
      </c>
      <c r="BQ1032">
        <v>1149</v>
      </c>
      <c r="BR1032">
        <f t="shared" si="174"/>
        <v>-33</v>
      </c>
      <c r="BS1032">
        <f t="shared" si="175"/>
        <v>33</v>
      </c>
    </row>
    <row r="1033" spans="1:71" x14ac:dyDescent="0.25">
      <c r="A1033" s="5" t="s">
        <v>627</v>
      </c>
      <c r="B1033" s="5" t="s">
        <v>207</v>
      </c>
      <c r="C1033" s="5" t="s">
        <v>61</v>
      </c>
      <c r="D1033" s="1" t="s">
        <v>73</v>
      </c>
      <c r="E1033">
        <v>0</v>
      </c>
      <c r="F1033">
        <v>210</v>
      </c>
      <c r="G1033">
        <v>0</v>
      </c>
      <c r="H1033">
        <v>0</v>
      </c>
      <c r="I1033">
        <v>180</v>
      </c>
      <c r="J1033">
        <v>0</v>
      </c>
      <c r="K1033">
        <v>57</v>
      </c>
      <c r="L1033">
        <v>0</v>
      </c>
      <c r="M1033">
        <v>1116</v>
      </c>
      <c r="N1033">
        <v>0</v>
      </c>
      <c r="O1033">
        <v>0</v>
      </c>
      <c r="P1033">
        <v>0</v>
      </c>
      <c r="Q1033">
        <v>157</v>
      </c>
      <c r="R1033">
        <v>124</v>
      </c>
      <c r="S1033" s="18">
        <f t="shared" si="166"/>
        <v>9</v>
      </c>
      <c r="T1033" s="17">
        <f t="shared" si="167"/>
        <v>124</v>
      </c>
      <c r="U1033" s="17">
        <f t="shared" si="168"/>
        <v>0</v>
      </c>
      <c r="V1033" s="17">
        <f t="shared" si="169"/>
        <v>0</v>
      </c>
      <c r="W1033" s="17">
        <f t="shared" si="170"/>
        <v>0</v>
      </c>
      <c r="X1033" s="17">
        <f t="shared" si="171"/>
        <v>33</v>
      </c>
      <c r="Y1033" s="19">
        <f t="shared" si="172"/>
        <v>0</v>
      </c>
      <c r="Z1033">
        <v>210</v>
      </c>
      <c r="AA1033">
        <v>0</v>
      </c>
      <c r="AB1033">
        <v>0</v>
      </c>
      <c r="AC1033">
        <v>0</v>
      </c>
      <c r="AD1033">
        <v>180</v>
      </c>
      <c r="AE1033">
        <v>0</v>
      </c>
      <c r="AF1033">
        <v>0</v>
      </c>
      <c r="AG1033">
        <v>0</v>
      </c>
      <c r="AH1033">
        <v>180</v>
      </c>
      <c r="AI1033">
        <v>0</v>
      </c>
      <c r="AJ1033">
        <v>0</v>
      </c>
      <c r="AK1033">
        <v>0</v>
      </c>
      <c r="AL1033">
        <v>0</v>
      </c>
      <c r="AM1033">
        <v>57</v>
      </c>
      <c r="AN1033">
        <v>0</v>
      </c>
      <c r="AO1033">
        <v>0</v>
      </c>
      <c r="AP1033">
        <v>57</v>
      </c>
      <c r="AQ1033">
        <v>57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f t="shared" si="173"/>
        <v>531</v>
      </c>
      <c r="BF1033">
        <v>447</v>
      </c>
      <c r="BG1033">
        <v>447</v>
      </c>
      <c r="BH1033" t="s">
        <v>109</v>
      </c>
      <c r="BI1033" t="s">
        <v>837</v>
      </c>
      <c r="BJ1033">
        <v>0</v>
      </c>
      <c r="BK1033">
        <v>237</v>
      </c>
      <c r="BL1033">
        <v>447</v>
      </c>
      <c r="BM1033">
        <v>1353</v>
      </c>
      <c r="BN1033">
        <v>0</v>
      </c>
      <c r="BO1033">
        <v>0</v>
      </c>
      <c r="BP1033">
        <v>0</v>
      </c>
      <c r="BQ1033">
        <v>1353</v>
      </c>
      <c r="BR1033">
        <f t="shared" si="174"/>
        <v>-33</v>
      </c>
      <c r="BS1033">
        <f t="shared" si="175"/>
        <v>281</v>
      </c>
    </row>
    <row r="1034" spans="1:71" x14ac:dyDescent="0.25">
      <c r="A1034" s="5" t="s">
        <v>1451</v>
      </c>
      <c r="B1034" s="5" t="s">
        <v>207</v>
      </c>
      <c r="C1034" s="5" t="s">
        <v>207</v>
      </c>
      <c r="D1034" s="1" t="s">
        <v>115</v>
      </c>
      <c r="E1034">
        <v>0</v>
      </c>
      <c r="F1034">
        <v>0</v>
      </c>
      <c r="G1034">
        <v>0</v>
      </c>
      <c r="H1034">
        <v>0</v>
      </c>
      <c r="I1034">
        <v>44</v>
      </c>
      <c r="J1034">
        <v>642</v>
      </c>
      <c r="K1034">
        <v>30</v>
      </c>
      <c r="L1034">
        <v>22</v>
      </c>
      <c r="M1034">
        <v>0</v>
      </c>
      <c r="N1034">
        <v>0</v>
      </c>
      <c r="O1034">
        <v>0</v>
      </c>
      <c r="P1034">
        <v>0</v>
      </c>
      <c r="Q1034">
        <v>33</v>
      </c>
      <c r="R1034">
        <v>0</v>
      </c>
      <c r="S1034" s="18" t="e">
        <f t="shared" si="166"/>
        <v>#DIV/0!</v>
      </c>
      <c r="T1034" s="17" t="e">
        <f t="shared" si="167"/>
        <v>#DIV/0!</v>
      </c>
      <c r="U1034" s="17" t="e">
        <f t="shared" si="168"/>
        <v>#DIV/0!</v>
      </c>
      <c r="V1034" s="17" t="e">
        <f t="shared" si="169"/>
        <v>#DIV/0!</v>
      </c>
      <c r="W1034" s="17" t="e">
        <f t="shared" si="170"/>
        <v>#DIV/0!</v>
      </c>
      <c r="X1034" s="17" t="e">
        <f t="shared" si="171"/>
        <v>#DIV/0!</v>
      </c>
      <c r="Y1034" s="19" t="e">
        <f t="shared" si="172"/>
        <v>#DIV/0!</v>
      </c>
      <c r="Z1034">
        <v>0</v>
      </c>
      <c r="AA1034">
        <v>0</v>
      </c>
      <c r="AB1034">
        <v>0</v>
      </c>
      <c r="AC1034">
        <v>65</v>
      </c>
      <c r="AD1034">
        <v>0</v>
      </c>
      <c r="AE1034">
        <v>0</v>
      </c>
      <c r="AF1034">
        <v>0</v>
      </c>
      <c r="AG1034">
        <v>44</v>
      </c>
      <c r="AH1034">
        <v>44</v>
      </c>
      <c r="AI1034">
        <v>0</v>
      </c>
      <c r="AJ1034">
        <v>0</v>
      </c>
      <c r="AK1034">
        <v>642</v>
      </c>
      <c r="AL1034">
        <v>642</v>
      </c>
      <c r="AM1034">
        <v>0</v>
      </c>
      <c r="AN1034">
        <v>0</v>
      </c>
      <c r="AO1034">
        <v>30</v>
      </c>
      <c r="AP1034">
        <v>0</v>
      </c>
      <c r="AQ1034">
        <v>30</v>
      </c>
      <c r="AR1034">
        <v>30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22</v>
      </c>
      <c r="BA1034">
        <v>22</v>
      </c>
      <c r="BB1034">
        <v>0</v>
      </c>
      <c r="BC1034">
        <v>0</v>
      </c>
      <c r="BD1034">
        <v>0</v>
      </c>
      <c r="BE1034">
        <f t="shared" si="173"/>
        <v>1571</v>
      </c>
      <c r="BF1034">
        <v>803</v>
      </c>
      <c r="BG1034">
        <v>803</v>
      </c>
      <c r="BH1034" t="s">
        <v>82</v>
      </c>
      <c r="BI1034" t="s">
        <v>1578</v>
      </c>
      <c r="BJ1034">
        <v>65</v>
      </c>
      <c r="BK1034">
        <v>738</v>
      </c>
      <c r="BL1034">
        <v>803</v>
      </c>
      <c r="BM1034">
        <v>0</v>
      </c>
      <c r="BN1034">
        <v>0</v>
      </c>
      <c r="BO1034">
        <v>0</v>
      </c>
      <c r="BP1034">
        <v>738</v>
      </c>
      <c r="BQ1034">
        <v>738</v>
      </c>
      <c r="BR1034">
        <f t="shared" si="174"/>
        <v>-33</v>
      </c>
      <c r="BS1034">
        <f t="shared" si="175"/>
        <v>33</v>
      </c>
    </row>
    <row r="1035" spans="1:71" x14ac:dyDescent="0.25">
      <c r="A1035" s="5" t="s">
        <v>1946</v>
      </c>
      <c r="B1035" s="5" t="s">
        <v>207</v>
      </c>
      <c r="C1035" s="5" t="s">
        <v>61</v>
      </c>
      <c r="D1035" s="1" t="s">
        <v>115</v>
      </c>
      <c r="E1035">
        <v>0</v>
      </c>
      <c r="F1035">
        <v>0</v>
      </c>
      <c r="G1035">
        <v>0</v>
      </c>
      <c r="H1035">
        <v>0</v>
      </c>
      <c r="I1035">
        <v>75</v>
      </c>
      <c r="J1035">
        <v>650</v>
      </c>
      <c r="K1035">
        <v>30</v>
      </c>
      <c r="L1035">
        <v>60</v>
      </c>
      <c r="M1035">
        <v>0</v>
      </c>
      <c r="N1035">
        <v>0</v>
      </c>
      <c r="O1035">
        <v>0</v>
      </c>
      <c r="P1035">
        <v>0</v>
      </c>
      <c r="Q1035">
        <v>33</v>
      </c>
      <c r="R1035">
        <v>0</v>
      </c>
      <c r="S1035" s="18" t="e">
        <f t="shared" si="166"/>
        <v>#DIV/0!</v>
      </c>
      <c r="T1035" s="17" t="e">
        <f t="shared" si="167"/>
        <v>#DIV/0!</v>
      </c>
      <c r="U1035" s="17" t="e">
        <f t="shared" si="168"/>
        <v>#DIV/0!</v>
      </c>
      <c r="V1035" s="17" t="e">
        <f t="shared" si="169"/>
        <v>#DIV/0!</v>
      </c>
      <c r="W1035" s="17" t="e">
        <f t="shared" si="170"/>
        <v>#DIV/0!</v>
      </c>
      <c r="X1035" s="17" t="e">
        <f t="shared" si="171"/>
        <v>#DIV/0!</v>
      </c>
      <c r="Y1035" s="19" t="e">
        <f t="shared" si="172"/>
        <v>#DIV/0!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75</v>
      </c>
      <c r="AH1035">
        <v>75</v>
      </c>
      <c r="AI1035">
        <v>0</v>
      </c>
      <c r="AJ1035">
        <v>0</v>
      </c>
      <c r="AK1035">
        <v>650</v>
      </c>
      <c r="AL1035">
        <v>650</v>
      </c>
      <c r="AM1035">
        <v>0</v>
      </c>
      <c r="AN1035">
        <v>0</v>
      </c>
      <c r="AO1035">
        <v>30</v>
      </c>
      <c r="AP1035">
        <v>0</v>
      </c>
      <c r="AQ1035">
        <v>30</v>
      </c>
      <c r="AR1035">
        <v>30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60</v>
      </c>
      <c r="BA1035">
        <v>60</v>
      </c>
      <c r="BB1035">
        <v>0</v>
      </c>
      <c r="BC1035">
        <v>0</v>
      </c>
      <c r="BD1035">
        <v>0</v>
      </c>
      <c r="BE1035">
        <f t="shared" si="173"/>
        <v>1660</v>
      </c>
      <c r="BF1035">
        <v>815</v>
      </c>
      <c r="BG1035">
        <v>815</v>
      </c>
      <c r="BH1035" t="s">
        <v>190</v>
      </c>
      <c r="BI1035" t="s">
        <v>2033</v>
      </c>
      <c r="BJ1035">
        <v>0</v>
      </c>
      <c r="BK1035">
        <v>815</v>
      </c>
      <c r="BL1035">
        <v>815</v>
      </c>
      <c r="BM1035">
        <v>0</v>
      </c>
      <c r="BN1035">
        <v>0</v>
      </c>
      <c r="BO1035">
        <v>0</v>
      </c>
      <c r="BP1035">
        <v>815</v>
      </c>
      <c r="BQ1035">
        <v>815</v>
      </c>
      <c r="BR1035">
        <f t="shared" si="174"/>
        <v>-33</v>
      </c>
      <c r="BS1035">
        <f t="shared" si="175"/>
        <v>33</v>
      </c>
    </row>
    <row r="1036" spans="1:71" x14ac:dyDescent="0.25">
      <c r="A1036" s="5" t="s">
        <v>2090</v>
      </c>
      <c r="B1036" s="5" t="s">
        <v>61</v>
      </c>
      <c r="C1036" s="5" t="s">
        <v>61</v>
      </c>
      <c r="D1036" s="1" t="s">
        <v>949</v>
      </c>
      <c r="E1036">
        <v>0</v>
      </c>
      <c r="F1036">
        <v>0</v>
      </c>
      <c r="G1036">
        <v>0</v>
      </c>
      <c r="H1036">
        <v>0</v>
      </c>
      <c r="I1036">
        <v>50</v>
      </c>
      <c r="J1036">
        <v>260</v>
      </c>
      <c r="K1036">
        <v>45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33</v>
      </c>
      <c r="R1036">
        <v>0</v>
      </c>
      <c r="S1036" s="18" t="e">
        <f t="shared" si="166"/>
        <v>#DIV/0!</v>
      </c>
      <c r="T1036" s="17" t="e">
        <f t="shared" si="167"/>
        <v>#DIV/0!</v>
      </c>
      <c r="U1036" s="17" t="e">
        <f t="shared" si="168"/>
        <v>#DIV/0!</v>
      </c>
      <c r="V1036" s="17" t="e">
        <f t="shared" si="169"/>
        <v>#DIV/0!</v>
      </c>
      <c r="W1036" s="17" t="e">
        <f t="shared" si="170"/>
        <v>#DIV/0!</v>
      </c>
      <c r="X1036" s="17" t="e">
        <f t="shared" si="171"/>
        <v>#DIV/0!</v>
      </c>
      <c r="Y1036" s="19" t="e">
        <f t="shared" si="172"/>
        <v>#DIV/0!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50</v>
      </c>
      <c r="AH1036">
        <v>50</v>
      </c>
      <c r="AI1036">
        <v>0</v>
      </c>
      <c r="AJ1036">
        <v>0</v>
      </c>
      <c r="AK1036">
        <v>260</v>
      </c>
      <c r="AL1036">
        <v>260</v>
      </c>
      <c r="AM1036">
        <v>0</v>
      </c>
      <c r="AN1036">
        <v>0</v>
      </c>
      <c r="AO1036">
        <v>45</v>
      </c>
      <c r="AP1036">
        <v>25</v>
      </c>
      <c r="AQ1036">
        <v>45</v>
      </c>
      <c r="AR1036">
        <v>20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f t="shared" si="173"/>
        <v>755</v>
      </c>
      <c r="BF1036">
        <v>355</v>
      </c>
      <c r="BG1036">
        <v>355</v>
      </c>
      <c r="BH1036" t="s">
        <v>190</v>
      </c>
      <c r="BI1036" t="s">
        <v>2164</v>
      </c>
      <c r="BJ1036">
        <v>0</v>
      </c>
      <c r="BK1036">
        <v>355</v>
      </c>
      <c r="BL1036">
        <v>355</v>
      </c>
      <c r="BM1036">
        <v>0</v>
      </c>
      <c r="BN1036">
        <v>0</v>
      </c>
      <c r="BO1036">
        <v>0</v>
      </c>
      <c r="BP1036">
        <v>355</v>
      </c>
      <c r="BQ1036">
        <v>355</v>
      </c>
      <c r="BR1036">
        <f t="shared" si="174"/>
        <v>-33</v>
      </c>
      <c r="BS1036">
        <f t="shared" si="175"/>
        <v>33</v>
      </c>
    </row>
    <row r="1037" spans="1:71" x14ac:dyDescent="0.25">
      <c r="A1037" s="5" t="s">
        <v>61</v>
      </c>
      <c r="B1037" s="5" t="s">
        <v>207</v>
      </c>
      <c r="C1037" s="5" t="s">
        <v>61</v>
      </c>
      <c r="D1037" s="1" t="s">
        <v>113</v>
      </c>
      <c r="E1037">
        <v>0</v>
      </c>
      <c r="F1037">
        <v>1</v>
      </c>
      <c r="G1037">
        <v>0</v>
      </c>
      <c r="H1037">
        <v>0</v>
      </c>
      <c r="I1037">
        <v>116</v>
      </c>
      <c r="J1037">
        <v>0</v>
      </c>
      <c r="K1037">
        <v>0</v>
      </c>
      <c r="L1037">
        <v>0</v>
      </c>
      <c r="M1037">
        <v>9</v>
      </c>
      <c r="N1037">
        <v>0</v>
      </c>
      <c r="O1037">
        <v>0</v>
      </c>
      <c r="P1037">
        <v>0</v>
      </c>
      <c r="Q1037">
        <v>35</v>
      </c>
      <c r="R1037">
        <v>1</v>
      </c>
      <c r="S1037" s="18">
        <f t="shared" si="166"/>
        <v>9</v>
      </c>
      <c r="T1037" s="17">
        <f t="shared" si="167"/>
        <v>1</v>
      </c>
      <c r="U1037" s="17">
        <f t="shared" si="168"/>
        <v>0</v>
      </c>
      <c r="V1037" s="17">
        <f t="shared" si="169"/>
        <v>0</v>
      </c>
      <c r="W1037" s="17">
        <f t="shared" si="170"/>
        <v>0</v>
      </c>
      <c r="X1037" s="17">
        <f t="shared" si="171"/>
        <v>34</v>
      </c>
      <c r="Y1037" s="19">
        <f t="shared" si="172"/>
        <v>0</v>
      </c>
      <c r="Z1037">
        <v>1</v>
      </c>
      <c r="AA1037">
        <v>0</v>
      </c>
      <c r="AB1037">
        <v>0</v>
      </c>
      <c r="AC1037">
        <v>0</v>
      </c>
      <c r="AD1037">
        <v>116</v>
      </c>
      <c r="AE1037">
        <v>0</v>
      </c>
      <c r="AF1037">
        <v>0</v>
      </c>
      <c r="AG1037">
        <v>0</v>
      </c>
      <c r="AH1037">
        <v>116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f t="shared" si="173"/>
        <v>232</v>
      </c>
      <c r="BF1037">
        <v>117</v>
      </c>
      <c r="BG1037">
        <v>117</v>
      </c>
      <c r="BH1037" t="s">
        <v>109</v>
      </c>
      <c r="BI1037" t="s">
        <v>233</v>
      </c>
      <c r="BJ1037">
        <v>0</v>
      </c>
      <c r="BK1037">
        <v>116</v>
      </c>
      <c r="BL1037">
        <v>117</v>
      </c>
      <c r="BM1037">
        <v>125</v>
      </c>
      <c r="BN1037">
        <v>0</v>
      </c>
      <c r="BO1037">
        <v>0</v>
      </c>
      <c r="BP1037">
        <v>0</v>
      </c>
      <c r="BQ1037">
        <v>125</v>
      </c>
      <c r="BR1037">
        <f t="shared" si="174"/>
        <v>-34</v>
      </c>
      <c r="BS1037">
        <f t="shared" si="175"/>
        <v>36</v>
      </c>
    </row>
    <row r="1038" spans="1:71" x14ac:dyDescent="0.25">
      <c r="A1038" s="5" t="s">
        <v>61</v>
      </c>
      <c r="B1038" s="5" t="s">
        <v>207</v>
      </c>
      <c r="C1038" s="5" t="s">
        <v>61</v>
      </c>
      <c r="D1038" s="1" t="s">
        <v>177</v>
      </c>
      <c r="E1038">
        <v>0</v>
      </c>
      <c r="F1038">
        <v>144</v>
      </c>
      <c r="G1038">
        <v>0</v>
      </c>
      <c r="H1038">
        <v>0</v>
      </c>
      <c r="I1038">
        <v>75</v>
      </c>
      <c r="J1038">
        <v>0</v>
      </c>
      <c r="K1038">
        <v>0</v>
      </c>
      <c r="L1038">
        <v>0</v>
      </c>
      <c r="M1038">
        <v>1296</v>
      </c>
      <c r="N1038">
        <v>0</v>
      </c>
      <c r="O1038">
        <v>0</v>
      </c>
      <c r="P1038">
        <v>0</v>
      </c>
      <c r="Q1038">
        <v>178</v>
      </c>
      <c r="R1038">
        <v>144</v>
      </c>
      <c r="S1038" s="18">
        <f t="shared" si="166"/>
        <v>9</v>
      </c>
      <c r="T1038" s="17">
        <f t="shared" si="167"/>
        <v>144</v>
      </c>
      <c r="U1038" s="17">
        <f t="shared" si="168"/>
        <v>0</v>
      </c>
      <c r="V1038" s="17">
        <f t="shared" si="169"/>
        <v>0</v>
      </c>
      <c r="W1038" s="17">
        <f t="shared" si="170"/>
        <v>0</v>
      </c>
      <c r="X1038" s="17">
        <f t="shared" si="171"/>
        <v>34</v>
      </c>
      <c r="Y1038" s="19">
        <f t="shared" si="172"/>
        <v>0</v>
      </c>
      <c r="Z1038">
        <v>144</v>
      </c>
      <c r="AA1038">
        <v>0</v>
      </c>
      <c r="AB1038">
        <v>0</v>
      </c>
      <c r="AC1038">
        <v>0</v>
      </c>
      <c r="AD1038">
        <v>75</v>
      </c>
      <c r="AE1038">
        <v>0</v>
      </c>
      <c r="AF1038">
        <v>0</v>
      </c>
      <c r="AG1038">
        <v>0</v>
      </c>
      <c r="AH1038">
        <v>75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f t="shared" si="173"/>
        <v>150</v>
      </c>
      <c r="BF1038">
        <v>219</v>
      </c>
      <c r="BG1038">
        <v>219</v>
      </c>
      <c r="BH1038" t="s">
        <v>109</v>
      </c>
      <c r="BI1038" t="s">
        <v>265</v>
      </c>
      <c r="BJ1038">
        <v>0</v>
      </c>
      <c r="BK1038">
        <v>75</v>
      </c>
      <c r="BL1038">
        <v>219</v>
      </c>
      <c r="BM1038">
        <v>1371</v>
      </c>
      <c r="BN1038">
        <v>0</v>
      </c>
      <c r="BO1038">
        <v>0</v>
      </c>
      <c r="BP1038">
        <v>0</v>
      </c>
      <c r="BQ1038">
        <v>1371</v>
      </c>
      <c r="BR1038">
        <f t="shared" si="174"/>
        <v>-34</v>
      </c>
      <c r="BS1038">
        <f t="shared" si="175"/>
        <v>322</v>
      </c>
    </row>
    <row r="1039" spans="1:71" x14ac:dyDescent="0.25">
      <c r="A1039" s="5" t="s">
        <v>61</v>
      </c>
      <c r="B1039" s="5" t="s">
        <v>207</v>
      </c>
      <c r="C1039" s="5" t="s">
        <v>207</v>
      </c>
      <c r="D1039" s="1" t="s">
        <v>137</v>
      </c>
      <c r="E1039">
        <v>0</v>
      </c>
      <c r="F1039">
        <v>0</v>
      </c>
      <c r="G1039">
        <v>0</v>
      </c>
      <c r="H1039">
        <v>0</v>
      </c>
      <c r="I1039">
        <v>300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34</v>
      </c>
      <c r="R1039">
        <v>0</v>
      </c>
      <c r="S1039" s="18" t="e">
        <f t="shared" si="166"/>
        <v>#DIV/0!</v>
      </c>
      <c r="T1039" s="17" t="e">
        <f t="shared" si="167"/>
        <v>#DIV/0!</v>
      </c>
      <c r="U1039" s="17" t="e">
        <f t="shared" si="168"/>
        <v>#DIV/0!</v>
      </c>
      <c r="V1039" s="17" t="e">
        <f t="shared" si="169"/>
        <v>#DIV/0!</v>
      </c>
      <c r="W1039" s="17" t="e">
        <f t="shared" si="170"/>
        <v>#DIV/0!</v>
      </c>
      <c r="X1039" s="17" t="e">
        <f t="shared" si="171"/>
        <v>#DIV/0!</v>
      </c>
      <c r="Y1039" s="19" t="e">
        <f t="shared" si="172"/>
        <v>#DIV/0!</v>
      </c>
      <c r="Z1039">
        <v>0</v>
      </c>
      <c r="AA1039">
        <v>0</v>
      </c>
      <c r="AB1039">
        <v>0</v>
      </c>
      <c r="AC1039">
        <v>0</v>
      </c>
      <c r="AD1039">
        <v>300</v>
      </c>
      <c r="AE1039">
        <v>0</v>
      </c>
      <c r="AF1039">
        <v>0</v>
      </c>
      <c r="AG1039">
        <v>0</v>
      </c>
      <c r="AH1039">
        <v>300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f t="shared" si="173"/>
        <v>600</v>
      </c>
      <c r="BF1039">
        <v>300</v>
      </c>
      <c r="BG1039">
        <v>300</v>
      </c>
      <c r="BH1039" t="s">
        <v>109</v>
      </c>
      <c r="BI1039" t="s">
        <v>315</v>
      </c>
      <c r="BJ1039">
        <v>0</v>
      </c>
      <c r="BK1039">
        <v>300</v>
      </c>
      <c r="BL1039">
        <v>300</v>
      </c>
      <c r="BM1039">
        <v>300</v>
      </c>
      <c r="BN1039">
        <v>0</v>
      </c>
      <c r="BO1039">
        <v>0</v>
      </c>
      <c r="BP1039">
        <v>0</v>
      </c>
      <c r="BQ1039">
        <v>300</v>
      </c>
      <c r="BR1039">
        <f t="shared" si="174"/>
        <v>-34</v>
      </c>
      <c r="BS1039">
        <f t="shared" si="175"/>
        <v>34</v>
      </c>
    </row>
    <row r="1040" spans="1:71" x14ac:dyDescent="0.25">
      <c r="A1040" s="5" t="s">
        <v>61</v>
      </c>
      <c r="B1040" s="5" t="s">
        <v>359</v>
      </c>
      <c r="C1040" s="5" t="s">
        <v>61</v>
      </c>
      <c r="D1040" s="1" t="s">
        <v>161</v>
      </c>
      <c r="E1040">
        <v>0</v>
      </c>
      <c r="F1040">
        <v>112</v>
      </c>
      <c r="G1040">
        <v>0</v>
      </c>
      <c r="H1040">
        <v>0</v>
      </c>
      <c r="I1040">
        <v>40</v>
      </c>
      <c r="J1040">
        <v>440</v>
      </c>
      <c r="K1040">
        <v>200</v>
      </c>
      <c r="L1040">
        <v>50</v>
      </c>
      <c r="M1040">
        <v>0</v>
      </c>
      <c r="N1040">
        <v>0</v>
      </c>
      <c r="O1040">
        <v>0</v>
      </c>
      <c r="P1040">
        <v>216</v>
      </c>
      <c r="Q1040">
        <v>58</v>
      </c>
      <c r="R1040">
        <v>24</v>
      </c>
      <c r="S1040" s="18">
        <f t="shared" si="166"/>
        <v>9</v>
      </c>
      <c r="T1040" s="17">
        <f t="shared" si="167"/>
        <v>0</v>
      </c>
      <c r="U1040" s="17">
        <f t="shared" si="168"/>
        <v>0</v>
      </c>
      <c r="V1040" s="17">
        <f t="shared" si="169"/>
        <v>0</v>
      </c>
      <c r="W1040" s="17">
        <f t="shared" si="170"/>
        <v>24</v>
      </c>
      <c r="X1040" s="17">
        <f t="shared" si="171"/>
        <v>34</v>
      </c>
      <c r="Y1040" s="19">
        <f t="shared" si="172"/>
        <v>0</v>
      </c>
      <c r="Z1040">
        <v>112</v>
      </c>
      <c r="AA1040">
        <v>0</v>
      </c>
      <c r="AB1040">
        <v>0</v>
      </c>
      <c r="AC1040">
        <v>35</v>
      </c>
      <c r="AD1040">
        <v>0</v>
      </c>
      <c r="AE1040">
        <v>0</v>
      </c>
      <c r="AF1040">
        <v>0</v>
      </c>
      <c r="AG1040">
        <v>40</v>
      </c>
      <c r="AH1040">
        <v>40</v>
      </c>
      <c r="AI1040">
        <v>0</v>
      </c>
      <c r="AJ1040">
        <v>0</v>
      </c>
      <c r="AK1040">
        <v>440</v>
      </c>
      <c r="AL1040">
        <v>440</v>
      </c>
      <c r="AM1040">
        <v>0</v>
      </c>
      <c r="AN1040">
        <v>0</v>
      </c>
      <c r="AO1040">
        <v>200</v>
      </c>
      <c r="AP1040">
        <v>200</v>
      </c>
      <c r="AQ1040">
        <v>200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50</v>
      </c>
      <c r="BA1040">
        <v>50</v>
      </c>
      <c r="BB1040">
        <v>0</v>
      </c>
      <c r="BC1040">
        <v>0</v>
      </c>
      <c r="BD1040">
        <v>0</v>
      </c>
      <c r="BE1040">
        <f t="shared" si="173"/>
        <v>1695</v>
      </c>
      <c r="BF1040">
        <v>877</v>
      </c>
      <c r="BG1040">
        <v>877</v>
      </c>
      <c r="BH1040" t="s">
        <v>190</v>
      </c>
      <c r="BI1040" t="s">
        <v>408</v>
      </c>
      <c r="BJ1040">
        <v>35</v>
      </c>
      <c r="BK1040">
        <v>730</v>
      </c>
      <c r="BL1040">
        <v>877</v>
      </c>
      <c r="BM1040">
        <v>0</v>
      </c>
      <c r="BN1040">
        <v>0</v>
      </c>
      <c r="BO1040">
        <v>0</v>
      </c>
      <c r="BP1040">
        <v>946</v>
      </c>
      <c r="BQ1040">
        <v>946</v>
      </c>
      <c r="BR1040">
        <f t="shared" si="174"/>
        <v>-34</v>
      </c>
      <c r="BS1040">
        <f t="shared" si="175"/>
        <v>82</v>
      </c>
    </row>
    <row r="1041" spans="1:74" x14ac:dyDescent="0.25">
      <c r="A1041" s="5" t="s">
        <v>359</v>
      </c>
      <c r="B1041" s="5" t="s">
        <v>627</v>
      </c>
      <c r="C1041" s="5" t="s">
        <v>61</v>
      </c>
      <c r="D1041" s="1" t="s">
        <v>96</v>
      </c>
      <c r="E1041">
        <v>0</v>
      </c>
      <c r="F1041">
        <v>340</v>
      </c>
      <c r="G1041">
        <v>0</v>
      </c>
      <c r="H1041">
        <v>0</v>
      </c>
      <c r="I1041">
        <v>256</v>
      </c>
      <c r="J1041">
        <v>980</v>
      </c>
      <c r="K1041">
        <v>150</v>
      </c>
      <c r="L1041">
        <v>15</v>
      </c>
      <c r="M1041">
        <v>0</v>
      </c>
      <c r="N1041">
        <v>0</v>
      </c>
      <c r="O1041">
        <v>0</v>
      </c>
      <c r="P1041">
        <v>603</v>
      </c>
      <c r="Q1041">
        <v>101</v>
      </c>
      <c r="R1041">
        <v>67</v>
      </c>
      <c r="S1041" s="18">
        <f t="shared" si="166"/>
        <v>9</v>
      </c>
      <c r="T1041" s="17">
        <f t="shared" si="167"/>
        <v>0</v>
      </c>
      <c r="U1041" s="17">
        <f t="shared" si="168"/>
        <v>0</v>
      </c>
      <c r="V1041" s="17">
        <f t="shared" si="169"/>
        <v>0</v>
      </c>
      <c r="W1041" s="17">
        <f t="shared" si="170"/>
        <v>67</v>
      </c>
      <c r="X1041" s="17">
        <f t="shared" si="171"/>
        <v>34</v>
      </c>
      <c r="Y1041" s="19">
        <f t="shared" si="172"/>
        <v>0</v>
      </c>
      <c r="Z1041">
        <v>340</v>
      </c>
      <c r="AA1041">
        <v>0</v>
      </c>
      <c r="AB1041">
        <v>0</v>
      </c>
      <c r="AC1041">
        <v>800</v>
      </c>
      <c r="AD1041">
        <v>0</v>
      </c>
      <c r="AE1041">
        <v>0</v>
      </c>
      <c r="AF1041">
        <v>0</v>
      </c>
      <c r="AG1041">
        <v>256</v>
      </c>
      <c r="AH1041">
        <v>256</v>
      </c>
      <c r="AI1041">
        <v>0</v>
      </c>
      <c r="AJ1041">
        <v>0</v>
      </c>
      <c r="AK1041">
        <v>980</v>
      </c>
      <c r="AL1041">
        <v>980</v>
      </c>
      <c r="AM1041">
        <v>0</v>
      </c>
      <c r="AN1041">
        <v>0</v>
      </c>
      <c r="AO1041">
        <v>150</v>
      </c>
      <c r="AP1041">
        <v>120</v>
      </c>
      <c r="AQ1041">
        <v>150</v>
      </c>
      <c r="AR1041">
        <v>30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15</v>
      </c>
      <c r="BA1041">
        <v>15</v>
      </c>
      <c r="BB1041">
        <v>0</v>
      </c>
      <c r="BC1041">
        <v>0</v>
      </c>
      <c r="BD1041">
        <v>0</v>
      </c>
      <c r="BE1041">
        <f t="shared" si="173"/>
        <v>3752</v>
      </c>
      <c r="BF1041">
        <v>2541</v>
      </c>
      <c r="BG1041">
        <v>2541</v>
      </c>
      <c r="BH1041" t="s">
        <v>82</v>
      </c>
      <c r="BI1041" t="s">
        <v>807</v>
      </c>
      <c r="BJ1041">
        <v>800</v>
      </c>
      <c r="BK1041">
        <v>1401</v>
      </c>
      <c r="BL1041">
        <v>2541</v>
      </c>
      <c r="BM1041">
        <v>0</v>
      </c>
      <c r="BN1041">
        <v>0</v>
      </c>
      <c r="BO1041">
        <v>0</v>
      </c>
      <c r="BP1041">
        <v>2004</v>
      </c>
      <c r="BQ1041">
        <v>2004</v>
      </c>
      <c r="BR1041">
        <f t="shared" si="174"/>
        <v>-34</v>
      </c>
      <c r="BS1041">
        <f t="shared" si="175"/>
        <v>168</v>
      </c>
    </row>
    <row r="1042" spans="1:74" x14ac:dyDescent="0.25">
      <c r="A1042" s="5" t="s">
        <v>1017</v>
      </c>
      <c r="B1042" s="5" t="s">
        <v>61</v>
      </c>
      <c r="C1042" s="5" t="s">
        <v>61</v>
      </c>
      <c r="D1042" s="1" t="s">
        <v>104</v>
      </c>
      <c r="E1042">
        <v>0</v>
      </c>
      <c r="F1042">
        <v>0</v>
      </c>
      <c r="G1042">
        <v>0</v>
      </c>
      <c r="H1042">
        <v>0</v>
      </c>
      <c r="I1042">
        <v>360</v>
      </c>
      <c r="J1042">
        <v>153</v>
      </c>
      <c r="K1042">
        <v>0</v>
      </c>
      <c r="L1042">
        <v>40</v>
      </c>
      <c r="M1042">
        <v>0</v>
      </c>
      <c r="N1042">
        <v>0</v>
      </c>
      <c r="O1042">
        <v>0</v>
      </c>
      <c r="P1042">
        <v>0</v>
      </c>
      <c r="Q1042">
        <v>34</v>
      </c>
      <c r="R1042">
        <v>0</v>
      </c>
      <c r="S1042" s="18" t="e">
        <f t="shared" si="166"/>
        <v>#DIV/0!</v>
      </c>
      <c r="T1042" s="17" t="e">
        <f t="shared" si="167"/>
        <v>#DIV/0!</v>
      </c>
      <c r="U1042" s="17" t="e">
        <f t="shared" si="168"/>
        <v>#DIV/0!</v>
      </c>
      <c r="V1042" s="17" t="e">
        <f t="shared" si="169"/>
        <v>#DIV/0!</v>
      </c>
      <c r="W1042" s="17" t="e">
        <f t="shared" si="170"/>
        <v>#DIV/0!</v>
      </c>
      <c r="X1042" s="17" t="e">
        <f t="shared" si="171"/>
        <v>#DIV/0!</v>
      </c>
      <c r="Y1042" s="19" t="e">
        <f t="shared" si="172"/>
        <v>#DIV/0!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360</v>
      </c>
      <c r="AH1042">
        <v>360</v>
      </c>
      <c r="AI1042">
        <v>0</v>
      </c>
      <c r="AJ1042">
        <v>0</v>
      </c>
      <c r="AK1042">
        <v>153</v>
      </c>
      <c r="AL1042">
        <v>153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40</v>
      </c>
      <c r="BA1042">
        <v>40</v>
      </c>
      <c r="BB1042">
        <v>0</v>
      </c>
      <c r="BC1042">
        <v>0</v>
      </c>
      <c r="BD1042">
        <v>0</v>
      </c>
      <c r="BE1042">
        <f t="shared" si="173"/>
        <v>1106</v>
      </c>
      <c r="BF1042">
        <v>553</v>
      </c>
      <c r="BG1042">
        <v>553</v>
      </c>
      <c r="BH1042" t="s">
        <v>199</v>
      </c>
      <c r="BI1042" t="s">
        <v>1037</v>
      </c>
      <c r="BJ1042">
        <v>0</v>
      </c>
      <c r="BK1042">
        <v>553</v>
      </c>
      <c r="BL1042">
        <v>553</v>
      </c>
      <c r="BM1042">
        <v>0</v>
      </c>
      <c r="BN1042">
        <v>0</v>
      </c>
      <c r="BO1042">
        <v>0</v>
      </c>
      <c r="BP1042">
        <v>553</v>
      </c>
      <c r="BQ1042">
        <v>553</v>
      </c>
      <c r="BR1042">
        <f t="shared" si="174"/>
        <v>-34</v>
      </c>
      <c r="BS1042">
        <f t="shared" si="175"/>
        <v>34</v>
      </c>
    </row>
    <row r="1043" spans="1:74" x14ac:dyDescent="0.25">
      <c r="A1043" s="5" t="s">
        <v>1451</v>
      </c>
      <c r="B1043" s="5" t="s">
        <v>359</v>
      </c>
      <c r="C1043" s="5" t="s">
        <v>61</v>
      </c>
      <c r="D1043" s="1" t="s">
        <v>62</v>
      </c>
      <c r="E1043">
        <v>0</v>
      </c>
      <c r="F1043">
        <v>115</v>
      </c>
      <c r="G1043">
        <v>0</v>
      </c>
      <c r="H1043">
        <v>0</v>
      </c>
      <c r="I1043">
        <v>0</v>
      </c>
      <c r="J1043">
        <v>2532</v>
      </c>
      <c r="K1043">
        <v>660</v>
      </c>
      <c r="L1043">
        <v>157</v>
      </c>
      <c r="M1043">
        <v>0</v>
      </c>
      <c r="N1043">
        <v>0</v>
      </c>
      <c r="O1043">
        <v>0</v>
      </c>
      <c r="P1043">
        <v>774</v>
      </c>
      <c r="Q1043">
        <v>101</v>
      </c>
      <c r="R1043">
        <v>86</v>
      </c>
      <c r="S1043" s="18">
        <f t="shared" si="166"/>
        <v>9</v>
      </c>
      <c r="T1043" s="17">
        <f t="shared" si="167"/>
        <v>0</v>
      </c>
      <c r="U1043" s="17">
        <f t="shared" si="168"/>
        <v>0</v>
      </c>
      <c r="V1043" s="17">
        <f t="shared" si="169"/>
        <v>0</v>
      </c>
      <c r="W1043" s="17">
        <f t="shared" si="170"/>
        <v>86</v>
      </c>
      <c r="X1043" s="17">
        <f t="shared" si="171"/>
        <v>15</v>
      </c>
      <c r="Y1043" s="19">
        <f t="shared" si="172"/>
        <v>0</v>
      </c>
      <c r="Z1043">
        <v>115</v>
      </c>
      <c r="AA1043">
        <v>0</v>
      </c>
      <c r="AB1043">
        <v>0</v>
      </c>
      <c r="AC1043">
        <v>160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1100</v>
      </c>
      <c r="AJ1043">
        <v>0</v>
      </c>
      <c r="AK1043">
        <v>1432</v>
      </c>
      <c r="AL1043">
        <v>2532</v>
      </c>
      <c r="AM1043">
        <v>0</v>
      </c>
      <c r="AN1043">
        <v>0</v>
      </c>
      <c r="AO1043">
        <v>660</v>
      </c>
      <c r="AP1043">
        <v>30</v>
      </c>
      <c r="AQ1043">
        <v>660</v>
      </c>
      <c r="AR1043">
        <v>630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157</v>
      </c>
      <c r="BA1043">
        <v>157</v>
      </c>
      <c r="BB1043">
        <v>0</v>
      </c>
      <c r="BC1043">
        <v>0</v>
      </c>
      <c r="BD1043">
        <v>0</v>
      </c>
      <c r="BE1043">
        <f t="shared" si="173"/>
        <v>7518</v>
      </c>
      <c r="BF1043">
        <v>3624</v>
      </c>
      <c r="BG1043">
        <v>3624</v>
      </c>
      <c r="BH1043" t="s">
        <v>63</v>
      </c>
      <c r="BI1043" t="s">
        <v>1603</v>
      </c>
      <c r="BJ1043">
        <v>160</v>
      </c>
      <c r="BK1043">
        <v>3349</v>
      </c>
      <c r="BL1043">
        <v>3624</v>
      </c>
      <c r="BM1043">
        <v>1100</v>
      </c>
      <c r="BN1043">
        <v>0</v>
      </c>
      <c r="BO1043">
        <v>0</v>
      </c>
      <c r="BP1043">
        <v>3023</v>
      </c>
      <c r="BQ1043">
        <v>4123</v>
      </c>
      <c r="BR1043">
        <f t="shared" si="174"/>
        <v>-15</v>
      </c>
      <c r="BS1043">
        <f t="shared" si="175"/>
        <v>187</v>
      </c>
      <c r="BU1043">
        <f>R1043*9</f>
        <v>774</v>
      </c>
      <c r="BV1043">
        <f>IF(BU1043&gt;BG1043, 1, 0)</f>
        <v>0</v>
      </c>
    </row>
    <row r="1044" spans="1:74" x14ac:dyDescent="0.25">
      <c r="A1044" s="5" t="s">
        <v>2294</v>
      </c>
      <c r="B1044" s="5" t="s">
        <v>207</v>
      </c>
      <c r="C1044" s="5" t="s">
        <v>61</v>
      </c>
      <c r="D1044" s="1" t="s">
        <v>121</v>
      </c>
      <c r="E1044">
        <v>0</v>
      </c>
      <c r="F1044">
        <v>0</v>
      </c>
      <c r="G1044">
        <v>0</v>
      </c>
      <c r="H1044">
        <v>0</v>
      </c>
      <c r="I1044">
        <v>57</v>
      </c>
      <c r="J1044">
        <v>80</v>
      </c>
      <c r="K1044">
        <v>204</v>
      </c>
      <c r="L1044">
        <v>10</v>
      </c>
      <c r="M1044">
        <v>0</v>
      </c>
      <c r="N1044">
        <v>0</v>
      </c>
      <c r="O1044">
        <v>0</v>
      </c>
      <c r="P1044">
        <v>0</v>
      </c>
      <c r="Q1044">
        <v>34</v>
      </c>
      <c r="R1044">
        <v>0</v>
      </c>
      <c r="S1044" s="18" t="e">
        <f t="shared" si="166"/>
        <v>#DIV/0!</v>
      </c>
      <c r="T1044" s="17" t="e">
        <f t="shared" si="167"/>
        <v>#DIV/0!</v>
      </c>
      <c r="U1044" s="17" t="e">
        <f t="shared" si="168"/>
        <v>#DIV/0!</v>
      </c>
      <c r="V1044" s="17" t="e">
        <f t="shared" si="169"/>
        <v>#DIV/0!</v>
      </c>
      <c r="W1044" s="17" t="e">
        <f t="shared" si="170"/>
        <v>#DIV/0!</v>
      </c>
      <c r="X1044" s="17" t="e">
        <f t="shared" si="171"/>
        <v>#DIV/0!</v>
      </c>
      <c r="Y1044" s="19" t="e">
        <f t="shared" si="172"/>
        <v>#DIV/0!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57</v>
      </c>
      <c r="AH1044">
        <v>57</v>
      </c>
      <c r="AI1044">
        <v>0</v>
      </c>
      <c r="AJ1044">
        <v>0</v>
      </c>
      <c r="AK1044">
        <v>80</v>
      </c>
      <c r="AL1044">
        <v>80</v>
      </c>
      <c r="AM1044">
        <v>0</v>
      </c>
      <c r="AN1044">
        <v>0</v>
      </c>
      <c r="AO1044">
        <v>204</v>
      </c>
      <c r="AP1044">
        <v>112</v>
      </c>
      <c r="AQ1044">
        <v>204</v>
      </c>
      <c r="AR1044">
        <v>92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10</v>
      </c>
      <c r="BA1044">
        <v>10</v>
      </c>
      <c r="BB1044">
        <v>0</v>
      </c>
      <c r="BC1044">
        <v>0</v>
      </c>
      <c r="BD1044">
        <v>0</v>
      </c>
      <c r="BE1044">
        <f t="shared" si="173"/>
        <v>906</v>
      </c>
      <c r="BF1044">
        <v>351</v>
      </c>
      <c r="BG1044">
        <v>351</v>
      </c>
      <c r="BH1044" t="s">
        <v>190</v>
      </c>
      <c r="BI1044" t="s">
        <v>719</v>
      </c>
      <c r="BJ1044">
        <v>0</v>
      </c>
      <c r="BK1044">
        <v>351</v>
      </c>
      <c r="BL1044">
        <v>351</v>
      </c>
      <c r="BM1044">
        <v>0</v>
      </c>
      <c r="BN1044">
        <v>0</v>
      </c>
      <c r="BO1044">
        <v>0</v>
      </c>
      <c r="BP1044">
        <v>351</v>
      </c>
      <c r="BQ1044">
        <v>351</v>
      </c>
      <c r="BR1044">
        <f t="shared" si="174"/>
        <v>-34</v>
      </c>
      <c r="BS1044">
        <f t="shared" si="175"/>
        <v>34</v>
      </c>
    </row>
    <row r="1045" spans="1:74" x14ac:dyDescent="0.25">
      <c r="A1045" s="5" t="s">
        <v>1451</v>
      </c>
      <c r="B1045" s="5" t="s">
        <v>359</v>
      </c>
      <c r="C1045" s="5" t="s">
        <v>61</v>
      </c>
      <c r="D1045" s="1" t="s">
        <v>75</v>
      </c>
      <c r="E1045">
        <v>0</v>
      </c>
      <c r="F1045">
        <v>490</v>
      </c>
      <c r="G1045">
        <v>0</v>
      </c>
      <c r="H1045">
        <v>0</v>
      </c>
      <c r="I1045">
        <v>1020</v>
      </c>
      <c r="J1045">
        <v>690</v>
      </c>
      <c r="K1045">
        <v>1113</v>
      </c>
      <c r="L1045">
        <v>130</v>
      </c>
      <c r="M1045">
        <v>0</v>
      </c>
      <c r="N1045">
        <v>0</v>
      </c>
      <c r="O1045">
        <v>0</v>
      </c>
      <c r="P1045">
        <v>756</v>
      </c>
      <c r="Q1045">
        <v>103</v>
      </c>
      <c r="R1045">
        <v>84</v>
      </c>
      <c r="S1045" s="18">
        <f t="shared" si="166"/>
        <v>9</v>
      </c>
      <c r="T1045" s="17">
        <f t="shared" si="167"/>
        <v>0</v>
      </c>
      <c r="U1045" s="17">
        <f t="shared" si="168"/>
        <v>0</v>
      </c>
      <c r="V1045" s="17">
        <f t="shared" si="169"/>
        <v>0</v>
      </c>
      <c r="W1045" s="17">
        <f t="shared" si="170"/>
        <v>84</v>
      </c>
      <c r="X1045" s="17">
        <f t="shared" si="171"/>
        <v>19</v>
      </c>
      <c r="Y1045" s="19">
        <f t="shared" si="172"/>
        <v>0</v>
      </c>
      <c r="Z1045">
        <v>490</v>
      </c>
      <c r="AA1045">
        <v>0</v>
      </c>
      <c r="AB1045">
        <v>0</v>
      </c>
      <c r="AC1045">
        <v>150</v>
      </c>
      <c r="AD1045">
        <v>0</v>
      </c>
      <c r="AE1045">
        <v>0</v>
      </c>
      <c r="AF1045">
        <v>0</v>
      </c>
      <c r="AG1045">
        <v>1020</v>
      </c>
      <c r="AH1045">
        <v>1020</v>
      </c>
      <c r="AI1045">
        <v>0</v>
      </c>
      <c r="AJ1045">
        <v>0</v>
      </c>
      <c r="AK1045">
        <v>690</v>
      </c>
      <c r="AL1045">
        <v>690</v>
      </c>
      <c r="AM1045">
        <v>385</v>
      </c>
      <c r="AN1045">
        <v>0</v>
      </c>
      <c r="AO1045">
        <v>728</v>
      </c>
      <c r="AP1045">
        <v>1113</v>
      </c>
      <c r="AQ1045">
        <v>1113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130</v>
      </c>
      <c r="BA1045">
        <v>130</v>
      </c>
      <c r="BB1045">
        <v>0</v>
      </c>
      <c r="BC1045">
        <v>0</v>
      </c>
      <c r="BD1045">
        <v>0</v>
      </c>
      <c r="BE1045">
        <f t="shared" si="173"/>
        <v>7169</v>
      </c>
      <c r="BF1045">
        <v>3593</v>
      </c>
      <c r="BG1045">
        <v>3593</v>
      </c>
      <c r="BH1045" t="s">
        <v>63</v>
      </c>
      <c r="BI1045" t="s">
        <v>1608</v>
      </c>
      <c r="BJ1045">
        <v>150</v>
      </c>
      <c r="BK1045">
        <v>2953</v>
      </c>
      <c r="BL1045">
        <v>3593</v>
      </c>
      <c r="BM1045">
        <v>385</v>
      </c>
      <c r="BN1045">
        <v>0</v>
      </c>
      <c r="BO1045">
        <v>0</v>
      </c>
      <c r="BP1045">
        <v>3324</v>
      </c>
      <c r="BQ1045">
        <v>3709</v>
      </c>
      <c r="BR1045">
        <f t="shared" si="174"/>
        <v>-19</v>
      </c>
      <c r="BS1045">
        <f t="shared" si="175"/>
        <v>187</v>
      </c>
      <c r="BU1045">
        <f>R1045*9</f>
        <v>756</v>
      </c>
      <c r="BV1045">
        <f>IF(BU1045&gt;BG1045, 1, 0)</f>
        <v>0</v>
      </c>
    </row>
    <row r="1046" spans="1:74" x14ac:dyDescent="0.25">
      <c r="A1046" s="5" t="s">
        <v>61</v>
      </c>
      <c r="B1046" s="5" t="s">
        <v>359</v>
      </c>
      <c r="C1046" s="5" t="s">
        <v>61</v>
      </c>
      <c r="D1046" s="1" t="s">
        <v>185</v>
      </c>
      <c r="E1046">
        <v>0</v>
      </c>
      <c r="F1046">
        <v>3</v>
      </c>
      <c r="G1046">
        <v>0</v>
      </c>
      <c r="H1046">
        <v>0</v>
      </c>
      <c r="I1046">
        <v>105</v>
      </c>
      <c r="J1046">
        <v>225</v>
      </c>
      <c r="K1046">
        <v>120</v>
      </c>
      <c r="L1046">
        <v>0</v>
      </c>
      <c r="M1046">
        <v>0</v>
      </c>
      <c r="N1046">
        <v>0</v>
      </c>
      <c r="O1046">
        <v>0</v>
      </c>
      <c r="P1046">
        <v>27</v>
      </c>
      <c r="Q1046">
        <v>38</v>
      </c>
      <c r="R1046">
        <v>3</v>
      </c>
      <c r="S1046" s="18">
        <f t="shared" si="166"/>
        <v>9</v>
      </c>
      <c r="T1046" s="17">
        <f t="shared" si="167"/>
        <v>0</v>
      </c>
      <c r="U1046" s="17">
        <f t="shared" si="168"/>
        <v>0</v>
      </c>
      <c r="V1046" s="17">
        <f t="shared" si="169"/>
        <v>0</v>
      </c>
      <c r="W1046" s="17">
        <f t="shared" si="170"/>
        <v>3</v>
      </c>
      <c r="X1046" s="17">
        <f t="shared" si="171"/>
        <v>35</v>
      </c>
      <c r="Y1046" s="19">
        <f t="shared" si="172"/>
        <v>0</v>
      </c>
      <c r="Z1046">
        <v>3</v>
      </c>
      <c r="AA1046">
        <v>20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105</v>
      </c>
      <c r="AH1046">
        <v>105</v>
      </c>
      <c r="AI1046">
        <v>0</v>
      </c>
      <c r="AJ1046">
        <v>0</v>
      </c>
      <c r="AK1046">
        <v>225</v>
      </c>
      <c r="AL1046">
        <v>225</v>
      </c>
      <c r="AM1046">
        <v>0</v>
      </c>
      <c r="AN1046">
        <v>0</v>
      </c>
      <c r="AO1046">
        <v>120</v>
      </c>
      <c r="AP1046">
        <v>70</v>
      </c>
      <c r="AQ1046">
        <v>120</v>
      </c>
      <c r="AR1046">
        <v>50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f t="shared" si="173"/>
        <v>1020</v>
      </c>
      <c r="BF1046">
        <v>473</v>
      </c>
      <c r="BG1046">
        <v>473</v>
      </c>
      <c r="BH1046" t="s">
        <v>199</v>
      </c>
      <c r="BI1046" t="s">
        <v>420</v>
      </c>
      <c r="BJ1046">
        <v>20</v>
      </c>
      <c r="BK1046">
        <v>450</v>
      </c>
      <c r="BL1046">
        <v>473</v>
      </c>
      <c r="BM1046">
        <v>0</v>
      </c>
      <c r="BN1046">
        <v>0</v>
      </c>
      <c r="BO1046">
        <v>0</v>
      </c>
      <c r="BP1046">
        <v>477</v>
      </c>
      <c r="BQ1046">
        <v>477</v>
      </c>
      <c r="BR1046">
        <f t="shared" si="174"/>
        <v>-35</v>
      </c>
      <c r="BS1046">
        <f t="shared" si="175"/>
        <v>41</v>
      </c>
    </row>
    <row r="1047" spans="1:74" x14ac:dyDescent="0.25">
      <c r="A1047" s="5" t="s">
        <v>207</v>
      </c>
      <c r="B1047" s="5" t="s">
        <v>627</v>
      </c>
      <c r="C1047" s="5" t="s">
        <v>207</v>
      </c>
      <c r="D1047" s="1" t="s">
        <v>119</v>
      </c>
      <c r="E1047">
        <v>0</v>
      </c>
      <c r="F1047">
        <v>500</v>
      </c>
      <c r="G1047">
        <v>0</v>
      </c>
      <c r="H1047">
        <v>0</v>
      </c>
      <c r="I1047">
        <v>73</v>
      </c>
      <c r="J1047">
        <v>0</v>
      </c>
      <c r="K1047">
        <v>20</v>
      </c>
      <c r="L1047">
        <v>0</v>
      </c>
      <c r="M1047">
        <v>900</v>
      </c>
      <c r="N1047">
        <v>0</v>
      </c>
      <c r="O1047">
        <v>0</v>
      </c>
      <c r="P1047">
        <v>0</v>
      </c>
      <c r="Q1047">
        <v>135</v>
      </c>
      <c r="R1047">
        <v>100</v>
      </c>
      <c r="S1047" s="18">
        <f t="shared" si="166"/>
        <v>9</v>
      </c>
      <c r="T1047" s="17">
        <f t="shared" si="167"/>
        <v>100</v>
      </c>
      <c r="U1047" s="17">
        <f t="shared" si="168"/>
        <v>0</v>
      </c>
      <c r="V1047" s="17">
        <f t="shared" si="169"/>
        <v>0</v>
      </c>
      <c r="W1047" s="17">
        <f t="shared" si="170"/>
        <v>0</v>
      </c>
      <c r="X1047" s="17">
        <f t="shared" si="171"/>
        <v>35</v>
      </c>
      <c r="Y1047" s="19">
        <f t="shared" si="172"/>
        <v>0</v>
      </c>
      <c r="Z1047">
        <v>500</v>
      </c>
      <c r="AA1047">
        <v>0</v>
      </c>
      <c r="AB1047">
        <v>0</v>
      </c>
      <c r="AC1047">
        <v>140</v>
      </c>
      <c r="AD1047">
        <v>73</v>
      </c>
      <c r="AE1047">
        <v>0</v>
      </c>
      <c r="AF1047">
        <v>0</v>
      </c>
      <c r="AG1047">
        <v>0</v>
      </c>
      <c r="AH1047">
        <v>73</v>
      </c>
      <c r="AI1047">
        <v>0</v>
      </c>
      <c r="AJ1047">
        <v>0</v>
      </c>
      <c r="AK1047">
        <v>0</v>
      </c>
      <c r="AL1047">
        <v>0</v>
      </c>
      <c r="AM1047">
        <v>20</v>
      </c>
      <c r="AN1047">
        <v>0</v>
      </c>
      <c r="AO1047">
        <v>0</v>
      </c>
      <c r="AP1047">
        <v>20</v>
      </c>
      <c r="AQ1047">
        <v>20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f t="shared" si="173"/>
        <v>346</v>
      </c>
      <c r="BF1047">
        <v>733</v>
      </c>
      <c r="BG1047">
        <v>733</v>
      </c>
      <c r="BH1047" t="s">
        <v>190</v>
      </c>
      <c r="BI1047" t="s">
        <v>685</v>
      </c>
      <c r="BJ1047">
        <v>140</v>
      </c>
      <c r="BK1047">
        <v>93</v>
      </c>
      <c r="BL1047">
        <v>733</v>
      </c>
      <c r="BM1047">
        <v>993</v>
      </c>
      <c r="BN1047">
        <v>0</v>
      </c>
      <c r="BO1047">
        <v>0</v>
      </c>
      <c r="BP1047">
        <v>0</v>
      </c>
      <c r="BQ1047">
        <v>993</v>
      </c>
      <c r="BR1047">
        <f t="shared" si="174"/>
        <v>-35</v>
      </c>
      <c r="BS1047">
        <f t="shared" si="175"/>
        <v>235</v>
      </c>
    </row>
    <row r="1048" spans="1:74" x14ac:dyDescent="0.25">
      <c r="A1048" s="5" t="s">
        <v>1337</v>
      </c>
      <c r="B1048" s="5" t="s">
        <v>359</v>
      </c>
      <c r="C1048" s="5" t="s">
        <v>61</v>
      </c>
      <c r="D1048" s="1" t="s">
        <v>71</v>
      </c>
      <c r="E1048">
        <v>0</v>
      </c>
      <c r="F1048">
        <v>663</v>
      </c>
      <c r="G1048">
        <v>0</v>
      </c>
      <c r="H1048">
        <v>0</v>
      </c>
      <c r="I1048">
        <v>200</v>
      </c>
      <c r="J1048">
        <v>0</v>
      </c>
      <c r="K1048">
        <v>15</v>
      </c>
      <c r="L1048">
        <v>0</v>
      </c>
      <c r="M1048">
        <v>747</v>
      </c>
      <c r="N1048">
        <v>0</v>
      </c>
      <c r="O1048">
        <v>0</v>
      </c>
      <c r="P1048">
        <v>0</v>
      </c>
      <c r="Q1048">
        <v>83</v>
      </c>
      <c r="R1048">
        <v>83</v>
      </c>
      <c r="S1048" s="18">
        <f t="shared" si="166"/>
        <v>9</v>
      </c>
      <c r="T1048" s="17">
        <f t="shared" si="167"/>
        <v>83</v>
      </c>
      <c r="U1048" s="17">
        <f t="shared" si="168"/>
        <v>0</v>
      </c>
      <c r="V1048" s="17">
        <f t="shared" si="169"/>
        <v>0</v>
      </c>
      <c r="W1048" s="17">
        <f t="shared" si="170"/>
        <v>0</v>
      </c>
      <c r="X1048" s="17">
        <f t="shared" si="171"/>
        <v>0</v>
      </c>
      <c r="Y1048" s="19" t="e">
        <f t="shared" si="172"/>
        <v>#DIV/0!</v>
      </c>
      <c r="Z1048">
        <v>663</v>
      </c>
      <c r="AA1048">
        <v>0</v>
      </c>
      <c r="AB1048">
        <v>0</v>
      </c>
      <c r="AC1048">
        <v>0</v>
      </c>
      <c r="AD1048">
        <v>200</v>
      </c>
      <c r="AE1048">
        <v>0</v>
      </c>
      <c r="AF1048">
        <v>0</v>
      </c>
      <c r="AG1048">
        <v>0</v>
      </c>
      <c r="AH1048">
        <v>200</v>
      </c>
      <c r="AI1048">
        <v>0</v>
      </c>
      <c r="AJ1048">
        <v>0</v>
      </c>
      <c r="AK1048">
        <v>0</v>
      </c>
      <c r="AL1048">
        <v>0</v>
      </c>
      <c r="AM1048">
        <v>15</v>
      </c>
      <c r="AN1048">
        <v>0</v>
      </c>
      <c r="AO1048">
        <v>0</v>
      </c>
      <c r="AP1048">
        <v>0</v>
      </c>
      <c r="AQ1048">
        <v>15</v>
      </c>
      <c r="AR1048">
        <v>15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f t="shared" si="173"/>
        <v>445</v>
      </c>
      <c r="BF1048">
        <v>878</v>
      </c>
      <c r="BG1048">
        <v>878</v>
      </c>
      <c r="BH1048" t="s">
        <v>63</v>
      </c>
      <c r="BI1048" t="s">
        <v>1417</v>
      </c>
      <c r="BJ1048">
        <v>0</v>
      </c>
      <c r="BK1048">
        <v>215</v>
      </c>
      <c r="BL1048">
        <v>878</v>
      </c>
      <c r="BM1048">
        <v>962</v>
      </c>
      <c r="BN1048">
        <v>0</v>
      </c>
      <c r="BO1048">
        <v>0</v>
      </c>
      <c r="BP1048">
        <v>0</v>
      </c>
      <c r="BQ1048">
        <v>962</v>
      </c>
      <c r="BR1048">
        <f t="shared" si="174"/>
        <v>0</v>
      </c>
      <c r="BS1048">
        <f t="shared" si="175"/>
        <v>166</v>
      </c>
      <c r="BU1048">
        <f>R1048*9</f>
        <v>747</v>
      </c>
      <c r="BV1048">
        <f>IF(BU1048&gt;BG1048, 1, 0)</f>
        <v>0</v>
      </c>
    </row>
    <row r="1049" spans="1:74" x14ac:dyDescent="0.25">
      <c r="A1049" s="5" t="s">
        <v>1135</v>
      </c>
      <c r="B1049" s="5" t="s">
        <v>207</v>
      </c>
      <c r="C1049" s="5" t="s">
        <v>359</v>
      </c>
      <c r="D1049" s="1" t="s">
        <v>94</v>
      </c>
      <c r="E1049">
        <v>0</v>
      </c>
      <c r="F1049">
        <v>1512</v>
      </c>
      <c r="G1049">
        <v>0</v>
      </c>
      <c r="H1049">
        <v>0</v>
      </c>
      <c r="I1049">
        <v>1550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1701</v>
      </c>
      <c r="Q1049">
        <v>224</v>
      </c>
      <c r="R1049">
        <v>189</v>
      </c>
      <c r="S1049" s="18">
        <f t="shared" si="166"/>
        <v>9</v>
      </c>
      <c r="T1049" s="17">
        <f t="shared" si="167"/>
        <v>0</v>
      </c>
      <c r="U1049" s="17">
        <f t="shared" si="168"/>
        <v>0</v>
      </c>
      <c r="V1049" s="17">
        <f t="shared" si="169"/>
        <v>0</v>
      </c>
      <c r="W1049" s="17">
        <f t="shared" si="170"/>
        <v>189</v>
      </c>
      <c r="X1049" s="17">
        <f t="shared" si="171"/>
        <v>35</v>
      </c>
      <c r="Y1049" s="19">
        <f t="shared" si="172"/>
        <v>0</v>
      </c>
      <c r="Z1049">
        <v>1512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1550</v>
      </c>
      <c r="AH1049">
        <v>1550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f t="shared" si="173"/>
        <v>3100</v>
      </c>
      <c r="BF1049">
        <v>3062</v>
      </c>
      <c r="BG1049">
        <v>3062</v>
      </c>
      <c r="BH1049" t="s">
        <v>109</v>
      </c>
      <c r="BI1049" t="s">
        <v>1298</v>
      </c>
      <c r="BJ1049">
        <v>0</v>
      </c>
      <c r="BK1049">
        <v>1550</v>
      </c>
      <c r="BL1049">
        <v>3062</v>
      </c>
      <c r="BM1049">
        <v>0</v>
      </c>
      <c r="BN1049">
        <v>0</v>
      </c>
      <c r="BO1049">
        <v>0</v>
      </c>
      <c r="BP1049">
        <v>3251</v>
      </c>
      <c r="BQ1049">
        <v>3251</v>
      </c>
      <c r="BR1049">
        <f t="shared" si="174"/>
        <v>-35</v>
      </c>
      <c r="BS1049">
        <f t="shared" si="175"/>
        <v>413</v>
      </c>
    </row>
    <row r="1050" spans="1:74" x14ac:dyDescent="0.25">
      <c r="A1050" s="5" t="s">
        <v>1451</v>
      </c>
      <c r="B1050" s="5" t="s">
        <v>359</v>
      </c>
      <c r="C1050" s="5" t="s">
        <v>61</v>
      </c>
      <c r="D1050" s="1" t="s">
        <v>92</v>
      </c>
      <c r="E1050">
        <v>0</v>
      </c>
      <c r="F1050">
        <v>2331</v>
      </c>
      <c r="G1050">
        <v>0</v>
      </c>
      <c r="H1050">
        <v>0</v>
      </c>
      <c r="I1050">
        <v>69</v>
      </c>
      <c r="J1050">
        <v>210</v>
      </c>
      <c r="K1050">
        <v>97</v>
      </c>
      <c r="L1050">
        <v>0</v>
      </c>
      <c r="M1050">
        <v>6993</v>
      </c>
      <c r="N1050">
        <v>0</v>
      </c>
      <c r="O1050">
        <v>0</v>
      </c>
      <c r="P1050">
        <v>0</v>
      </c>
      <c r="Q1050">
        <v>812</v>
      </c>
      <c r="R1050">
        <v>777</v>
      </c>
      <c r="S1050" s="18">
        <f t="shared" si="166"/>
        <v>9</v>
      </c>
      <c r="T1050" s="17">
        <f t="shared" si="167"/>
        <v>777</v>
      </c>
      <c r="U1050" s="17">
        <f t="shared" si="168"/>
        <v>0</v>
      </c>
      <c r="V1050" s="17">
        <f t="shared" si="169"/>
        <v>0</v>
      </c>
      <c r="W1050" s="17">
        <f t="shared" si="170"/>
        <v>0</v>
      </c>
      <c r="X1050" s="17">
        <f t="shared" si="171"/>
        <v>35</v>
      </c>
      <c r="Y1050" s="19">
        <f t="shared" si="172"/>
        <v>0</v>
      </c>
      <c r="Z1050">
        <v>2331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69</v>
      </c>
      <c r="AH1050">
        <v>69</v>
      </c>
      <c r="AI1050">
        <v>0</v>
      </c>
      <c r="AJ1050">
        <v>0</v>
      </c>
      <c r="AK1050">
        <v>210</v>
      </c>
      <c r="AL1050">
        <v>210</v>
      </c>
      <c r="AM1050">
        <v>0</v>
      </c>
      <c r="AN1050">
        <v>0</v>
      </c>
      <c r="AO1050">
        <v>97</v>
      </c>
      <c r="AP1050">
        <v>58</v>
      </c>
      <c r="AQ1050">
        <v>97</v>
      </c>
      <c r="AR1050">
        <v>39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f t="shared" si="173"/>
        <v>849</v>
      </c>
      <c r="BF1050">
        <v>2707</v>
      </c>
      <c r="BG1050">
        <v>2707</v>
      </c>
      <c r="BH1050" t="s">
        <v>109</v>
      </c>
      <c r="BI1050" t="s">
        <v>1614</v>
      </c>
      <c r="BJ1050">
        <v>0</v>
      </c>
      <c r="BK1050">
        <v>376</v>
      </c>
      <c r="BL1050">
        <v>2707</v>
      </c>
      <c r="BM1050">
        <v>6993</v>
      </c>
      <c r="BN1050">
        <v>0</v>
      </c>
      <c r="BO1050">
        <v>0</v>
      </c>
      <c r="BP1050">
        <v>376</v>
      </c>
      <c r="BQ1050">
        <v>7369</v>
      </c>
      <c r="BR1050">
        <f t="shared" si="174"/>
        <v>-35</v>
      </c>
      <c r="BS1050">
        <f t="shared" si="175"/>
        <v>1589</v>
      </c>
    </row>
    <row r="1051" spans="1:74" x14ac:dyDescent="0.25">
      <c r="A1051" s="5" t="s">
        <v>2294</v>
      </c>
      <c r="B1051" s="5" t="s">
        <v>207</v>
      </c>
      <c r="C1051" s="5" t="s">
        <v>61</v>
      </c>
      <c r="D1051" s="1" t="s">
        <v>123</v>
      </c>
      <c r="E1051">
        <v>0</v>
      </c>
      <c r="F1051">
        <v>0</v>
      </c>
      <c r="G1051">
        <v>0</v>
      </c>
      <c r="H1051">
        <v>0</v>
      </c>
      <c r="I1051">
        <v>195</v>
      </c>
      <c r="J1051">
        <v>0</v>
      </c>
      <c r="K1051">
        <v>117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35</v>
      </c>
      <c r="R1051">
        <v>0</v>
      </c>
      <c r="S1051" s="18" t="e">
        <f t="shared" si="166"/>
        <v>#DIV/0!</v>
      </c>
      <c r="T1051" s="17" t="e">
        <f t="shared" si="167"/>
        <v>#DIV/0!</v>
      </c>
      <c r="U1051" s="17" t="e">
        <f t="shared" si="168"/>
        <v>#DIV/0!</v>
      </c>
      <c r="V1051" s="17" t="e">
        <f t="shared" si="169"/>
        <v>#DIV/0!</v>
      </c>
      <c r="W1051" s="17" t="e">
        <f t="shared" si="170"/>
        <v>#DIV/0!</v>
      </c>
      <c r="X1051" s="17" t="e">
        <f t="shared" si="171"/>
        <v>#DIV/0!</v>
      </c>
      <c r="Y1051" s="19" t="e">
        <f t="shared" si="172"/>
        <v>#DIV/0!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195</v>
      </c>
      <c r="AH1051">
        <v>195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117</v>
      </c>
      <c r="AP1051">
        <v>97</v>
      </c>
      <c r="AQ1051">
        <v>117</v>
      </c>
      <c r="AR1051">
        <v>20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f t="shared" si="173"/>
        <v>741</v>
      </c>
      <c r="BF1051">
        <v>312</v>
      </c>
      <c r="BG1051">
        <v>312</v>
      </c>
      <c r="BH1051" t="s">
        <v>190</v>
      </c>
      <c r="BI1051" t="s">
        <v>2350</v>
      </c>
      <c r="BJ1051">
        <v>0</v>
      </c>
      <c r="BK1051">
        <v>312</v>
      </c>
      <c r="BL1051">
        <v>312</v>
      </c>
      <c r="BM1051">
        <v>0</v>
      </c>
      <c r="BN1051">
        <v>0</v>
      </c>
      <c r="BO1051">
        <v>0</v>
      </c>
      <c r="BP1051">
        <v>312</v>
      </c>
      <c r="BQ1051">
        <v>312</v>
      </c>
      <c r="BR1051">
        <f t="shared" si="174"/>
        <v>-35</v>
      </c>
      <c r="BS1051">
        <f t="shared" si="175"/>
        <v>35</v>
      </c>
    </row>
    <row r="1052" spans="1:74" x14ac:dyDescent="0.25">
      <c r="A1052" s="5" t="s">
        <v>61</v>
      </c>
      <c r="B1052" s="5" t="s">
        <v>207</v>
      </c>
      <c r="C1052" s="5" t="s">
        <v>61</v>
      </c>
      <c r="D1052" s="1" t="s">
        <v>147</v>
      </c>
      <c r="E1052">
        <v>0</v>
      </c>
      <c r="F1052">
        <v>132</v>
      </c>
      <c r="G1052">
        <v>0</v>
      </c>
      <c r="H1052">
        <v>0</v>
      </c>
      <c r="I1052">
        <v>83</v>
      </c>
      <c r="J1052">
        <v>0</v>
      </c>
      <c r="K1052">
        <v>0</v>
      </c>
      <c r="L1052">
        <v>0</v>
      </c>
      <c r="M1052">
        <v>981</v>
      </c>
      <c r="N1052">
        <v>0</v>
      </c>
      <c r="O1052">
        <v>0</v>
      </c>
      <c r="P1052">
        <v>0</v>
      </c>
      <c r="Q1052">
        <v>145</v>
      </c>
      <c r="R1052">
        <v>109</v>
      </c>
      <c r="S1052" s="18">
        <f t="shared" si="166"/>
        <v>9</v>
      </c>
      <c r="T1052" s="17">
        <f t="shared" si="167"/>
        <v>109</v>
      </c>
      <c r="U1052" s="17">
        <f t="shared" si="168"/>
        <v>0</v>
      </c>
      <c r="V1052" s="17">
        <f t="shared" si="169"/>
        <v>0</v>
      </c>
      <c r="W1052" s="17">
        <f t="shared" si="170"/>
        <v>0</v>
      </c>
      <c r="X1052" s="17">
        <f t="shared" si="171"/>
        <v>36</v>
      </c>
      <c r="Y1052" s="19">
        <f t="shared" si="172"/>
        <v>0</v>
      </c>
      <c r="Z1052">
        <v>132</v>
      </c>
      <c r="AA1052">
        <v>0</v>
      </c>
      <c r="AB1052">
        <v>0</v>
      </c>
      <c r="AC1052">
        <v>0</v>
      </c>
      <c r="AD1052">
        <v>83</v>
      </c>
      <c r="AE1052">
        <v>0</v>
      </c>
      <c r="AF1052">
        <v>0</v>
      </c>
      <c r="AG1052">
        <v>0</v>
      </c>
      <c r="AH1052">
        <v>83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f t="shared" si="173"/>
        <v>166</v>
      </c>
      <c r="BF1052">
        <v>215</v>
      </c>
      <c r="BG1052">
        <v>215</v>
      </c>
      <c r="BH1052" t="s">
        <v>109</v>
      </c>
      <c r="BI1052" t="s">
        <v>250</v>
      </c>
      <c r="BJ1052">
        <v>0</v>
      </c>
      <c r="BK1052">
        <v>83</v>
      </c>
      <c r="BL1052">
        <v>215</v>
      </c>
      <c r="BM1052">
        <v>1064</v>
      </c>
      <c r="BN1052">
        <v>0</v>
      </c>
      <c r="BO1052">
        <v>0</v>
      </c>
      <c r="BP1052">
        <v>0</v>
      </c>
      <c r="BQ1052">
        <v>1064</v>
      </c>
      <c r="BR1052">
        <f t="shared" si="174"/>
        <v>-36</v>
      </c>
      <c r="BS1052">
        <f t="shared" si="175"/>
        <v>254</v>
      </c>
    </row>
    <row r="1053" spans="1:74" x14ac:dyDescent="0.25">
      <c r="A1053" s="5" t="s">
        <v>61</v>
      </c>
      <c r="B1053" s="5" t="s">
        <v>359</v>
      </c>
      <c r="C1053" s="5" t="s">
        <v>61</v>
      </c>
      <c r="D1053" s="1" t="s">
        <v>84</v>
      </c>
      <c r="E1053">
        <v>0</v>
      </c>
      <c r="F1053">
        <v>3</v>
      </c>
      <c r="G1053">
        <v>0</v>
      </c>
      <c r="H1053">
        <v>0</v>
      </c>
      <c r="I1053">
        <v>20</v>
      </c>
      <c r="J1053">
        <v>572</v>
      </c>
      <c r="K1053">
        <v>39</v>
      </c>
      <c r="L1053">
        <v>35</v>
      </c>
      <c r="M1053">
        <v>0</v>
      </c>
      <c r="N1053">
        <v>0</v>
      </c>
      <c r="O1053">
        <v>0</v>
      </c>
      <c r="P1053">
        <v>27</v>
      </c>
      <c r="Q1053">
        <v>39</v>
      </c>
      <c r="R1053">
        <v>3</v>
      </c>
      <c r="S1053" s="18">
        <f t="shared" si="166"/>
        <v>9</v>
      </c>
      <c r="T1053" s="17">
        <f t="shared" si="167"/>
        <v>0</v>
      </c>
      <c r="U1053" s="17">
        <f t="shared" si="168"/>
        <v>0</v>
      </c>
      <c r="V1053" s="17">
        <f t="shared" si="169"/>
        <v>0</v>
      </c>
      <c r="W1053" s="17">
        <f t="shared" si="170"/>
        <v>3</v>
      </c>
      <c r="X1053" s="17">
        <f t="shared" si="171"/>
        <v>36</v>
      </c>
      <c r="Y1053" s="19">
        <f t="shared" si="172"/>
        <v>0</v>
      </c>
      <c r="Z1053">
        <v>3</v>
      </c>
      <c r="AA1053">
        <v>0</v>
      </c>
      <c r="AB1053">
        <v>0</v>
      </c>
      <c r="AC1053">
        <v>660</v>
      </c>
      <c r="AD1053">
        <v>0</v>
      </c>
      <c r="AE1053">
        <v>0</v>
      </c>
      <c r="AF1053">
        <v>0</v>
      </c>
      <c r="AG1053">
        <v>20</v>
      </c>
      <c r="AH1053">
        <v>20</v>
      </c>
      <c r="AI1053">
        <v>0</v>
      </c>
      <c r="AJ1053">
        <v>0</v>
      </c>
      <c r="AK1053">
        <v>572</v>
      </c>
      <c r="AL1053">
        <v>572</v>
      </c>
      <c r="AM1053">
        <v>0</v>
      </c>
      <c r="AN1053">
        <v>0</v>
      </c>
      <c r="AO1053">
        <v>39</v>
      </c>
      <c r="AP1053">
        <v>10</v>
      </c>
      <c r="AQ1053">
        <v>39</v>
      </c>
      <c r="AR1053">
        <v>29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35</v>
      </c>
      <c r="BA1053">
        <v>35</v>
      </c>
      <c r="BB1053">
        <v>0</v>
      </c>
      <c r="BC1053">
        <v>0</v>
      </c>
      <c r="BD1053">
        <v>0</v>
      </c>
      <c r="BE1053">
        <f t="shared" si="173"/>
        <v>2031</v>
      </c>
      <c r="BF1053">
        <v>1329</v>
      </c>
      <c r="BG1053">
        <v>1329</v>
      </c>
      <c r="BH1053" t="s">
        <v>82</v>
      </c>
      <c r="BI1053" t="s">
        <v>370</v>
      </c>
      <c r="BJ1053">
        <v>660</v>
      </c>
      <c r="BK1053">
        <v>666</v>
      </c>
      <c r="BL1053">
        <v>1329</v>
      </c>
      <c r="BM1053">
        <v>0</v>
      </c>
      <c r="BN1053">
        <v>0</v>
      </c>
      <c r="BO1053">
        <v>0</v>
      </c>
      <c r="BP1053">
        <v>693</v>
      </c>
      <c r="BQ1053">
        <v>693</v>
      </c>
      <c r="BR1053">
        <f t="shared" si="174"/>
        <v>-36</v>
      </c>
      <c r="BS1053">
        <f t="shared" si="175"/>
        <v>42</v>
      </c>
    </row>
    <row r="1054" spans="1:74" x14ac:dyDescent="0.25">
      <c r="A1054" s="5" t="s">
        <v>61</v>
      </c>
      <c r="B1054" s="5" t="s">
        <v>359</v>
      </c>
      <c r="C1054" s="5" t="s">
        <v>61</v>
      </c>
      <c r="D1054" s="1" t="s">
        <v>175</v>
      </c>
      <c r="E1054">
        <v>0</v>
      </c>
      <c r="F1054">
        <v>20</v>
      </c>
      <c r="G1054">
        <v>0</v>
      </c>
      <c r="H1054">
        <v>0</v>
      </c>
      <c r="I1054">
        <v>10</v>
      </c>
      <c r="J1054">
        <v>185</v>
      </c>
      <c r="K1054">
        <v>480</v>
      </c>
      <c r="L1054">
        <v>60</v>
      </c>
      <c r="M1054">
        <v>0</v>
      </c>
      <c r="N1054">
        <v>0</v>
      </c>
      <c r="O1054">
        <v>0</v>
      </c>
      <c r="P1054">
        <v>180</v>
      </c>
      <c r="Q1054">
        <v>56</v>
      </c>
      <c r="R1054">
        <v>20</v>
      </c>
      <c r="S1054" s="18">
        <f t="shared" si="166"/>
        <v>9</v>
      </c>
      <c r="T1054" s="17">
        <f t="shared" si="167"/>
        <v>0</v>
      </c>
      <c r="U1054" s="17">
        <f t="shared" si="168"/>
        <v>0</v>
      </c>
      <c r="V1054" s="17">
        <f t="shared" si="169"/>
        <v>0</v>
      </c>
      <c r="W1054" s="17">
        <f t="shared" si="170"/>
        <v>20</v>
      </c>
      <c r="X1054" s="17">
        <f t="shared" si="171"/>
        <v>36</v>
      </c>
      <c r="Y1054" s="19">
        <f t="shared" si="172"/>
        <v>0</v>
      </c>
      <c r="Z1054">
        <v>20</v>
      </c>
      <c r="AA1054">
        <v>0</v>
      </c>
      <c r="AB1054">
        <v>0</v>
      </c>
      <c r="AC1054">
        <v>180</v>
      </c>
      <c r="AD1054">
        <v>0</v>
      </c>
      <c r="AE1054">
        <v>0</v>
      </c>
      <c r="AF1054">
        <v>0</v>
      </c>
      <c r="AG1054">
        <v>10</v>
      </c>
      <c r="AH1054">
        <v>10</v>
      </c>
      <c r="AI1054">
        <v>0</v>
      </c>
      <c r="AJ1054">
        <v>0</v>
      </c>
      <c r="AK1054">
        <v>185</v>
      </c>
      <c r="AL1054">
        <v>185</v>
      </c>
      <c r="AM1054">
        <v>0</v>
      </c>
      <c r="AN1054">
        <v>0</v>
      </c>
      <c r="AO1054">
        <v>480</v>
      </c>
      <c r="AP1054">
        <v>180</v>
      </c>
      <c r="AQ1054">
        <v>480</v>
      </c>
      <c r="AR1054">
        <v>320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60</v>
      </c>
      <c r="BA1054">
        <v>60</v>
      </c>
      <c r="BB1054">
        <v>0</v>
      </c>
      <c r="BC1054">
        <v>0</v>
      </c>
      <c r="BD1054">
        <v>0</v>
      </c>
      <c r="BE1054">
        <f t="shared" si="173"/>
        <v>2150</v>
      </c>
      <c r="BF1054">
        <v>935</v>
      </c>
      <c r="BG1054">
        <v>935</v>
      </c>
      <c r="BH1054" t="s">
        <v>190</v>
      </c>
      <c r="BI1054" t="s">
        <v>415</v>
      </c>
      <c r="BJ1054">
        <v>180</v>
      </c>
      <c r="BK1054">
        <v>735</v>
      </c>
      <c r="BL1054">
        <v>935</v>
      </c>
      <c r="BM1054">
        <v>0</v>
      </c>
      <c r="BN1054">
        <v>0</v>
      </c>
      <c r="BO1054">
        <v>0</v>
      </c>
      <c r="BP1054">
        <v>915</v>
      </c>
      <c r="BQ1054">
        <v>915</v>
      </c>
      <c r="BR1054">
        <f t="shared" si="174"/>
        <v>-36</v>
      </c>
      <c r="BS1054">
        <f t="shared" si="175"/>
        <v>76</v>
      </c>
    </row>
    <row r="1055" spans="1:74" x14ac:dyDescent="0.25">
      <c r="A1055" s="5" t="s">
        <v>207</v>
      </c>
      <c r="B1055" s="5" t="s">
        <v>61</v>
      </c>
      <c r="C1055" s="5" t="s">
        <v>359</v>
      </c>
      <c r="D1055" s="1" t="s">
        <v>96</v>
      </c>
      <c r="E1055">
        <v>0</v>
      </c>
      <c r="F1055">
        <v>1776</v>
      </c>
      <c r="G1055">
        <v>0</v>
      </c>
      <c r="H1055">
        <v>0</v>
      </c>
      <c r="I1055">
        <v>1934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8073</v>
      </c>
      <c r="Q1055">
        <v>933</v>
      </c>
      <c r="R1055">
        <v>897</v>
      </c>
      <c r="S1055" s="18">
        <f t="shared" si="166"/>
        <v>9</v>
      </c>
      <c r="T1055" s="17">
        <f t="shared" si="167"/>
        <v>0</v>
      </c>
      <c r="U1055" s="17">
        <f t="shared" si="168"/>
        <v>0</v>
      </c>
      <c r="V1055" s="17">
        <f t="shared" si="169"/>
        <v>0</v>
      </c>
      <c r="W1055" s="17">
        <f t="shared" si="170"/>
        <v>897</v>
      </c>
      <c r="X1055" s="17">
        <f t="shared" si="171"/>
        <v>36</v>
      </c>
      <c r="Y1055" s="19">
        <f t="shared" si="172"/>
        <v>0</v>
      </c>
      <c r="Z1055">
        <v>1776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1934</v>
      </c>
      <c r="AH1055">
        <v>1934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f t="shared" si="173"/>
        <v>3868</v>
      </c>
      <c r="BF1055">
        <v>3710</v>
      </c>
      <c r="BG1055">
        <v>3710</v>
      </c>
      <c r="BH1055" t="s">
        <v>109</v>
      </c>
      <c r="BI1055" t="s">
        <v>514</v>
      </c>
      <c r="BJ1055">
        <v>0</v>
      </c>
      <c r="BK1055">
        <v>1934</v>
      </c>
      <c r="BL1055">
        <v>3710</v>
      </c>
      <c r="BM1055">
        <v>0</v>
      </c>
      <c r="BN1055">
        <v>0</v>
      </c>
      <c r="BO1055">
        <v>0</v>
      </c>
      <c r="BP1055">
        <v>10007</v>
      </c>
      <c r="BQ1055">
        <v>10007</v>
      </c>
      <c r="BR1055">
        <f t="shared" si="174"/>
        <v>-36</v>
      </c>
      <c r="BS1055">
        <f t="shared" si="175"/>
        <v>1830</v>
      </c>
    </row>
    <row r="1056" spans="1:74" x14ac:dyDescent="0.25">
      <c r="A1056" s="5" t="s">
        <v>359</v>
      </c>
      <c r="B1056" s="5" t="s">
        <v>359</v>
      </c>
      <c r="C1056" s="5" t="s">
        <v>61</v>
      </c>
      <c r="D1056" s="1" t="s">
        <v>65</v>
      </c>
      <c r="E1056">
        <v>0</v>
      </c>
      <c r="F1056">
        <v>1460</v>
      </c>
      <c r="G1056">
        <v>0</v>
      </c>
      <c r="H1056">
        <v>0</v>
      </c>
      <c r="I1056">
        <v>714</v>
      </c>
      <c r="J1056">
        <v>4918</v>
      </c>
      <c r="K1056">
        <v>584</v>
      </c>
      <c r="L1056">
        <v>330</v>
      </c>
      <c r="M1056">
        <v>0</v>
      </c>
      <c r="N1056">
        <v>0</v>
      </c>
      <c r="O1056">
        <v>0</v>
      </c>
      <c r="P1056">
        <v>747</v>
      </c>
      <c r="Q1056">
        <v>603</v>
      </c>
      <c r="R1056">
        <v>83</v>
      </c>
      <c r="S1056" s="18">
        <f t="shared" si="166"/>
        <v>9</v>
      </c>
      <c r="T1056" s="17">
        <f t="shared" si="167"/>
        <v>0</v>
      </c>
      <c r="U1056" s="17">
        <f t="shared" si="168"/>
        <v>0</v>
      </c>
      <c r="V1056" s="17">
        <f t="shared" si="169"/>
        <v>0</v>
      </c>
      <c r="W1056" s="17">
        <f t="shared" si="170"/>
        <v>83</v>
      </c>
      <c r="X1056" s="17">
        <f t="shared" si="171"/>
        <v>520</v>
      </c>
      <c r="Y1056" s="19">
        <f t="shared" si="172"/>
        <v>0</v>
      </c>
      <c r="Z1056">
        <v>1460</v>
      </c>
      <c r="AA1056">
        <v>0</v>
      </c>
      <c r="AB1056">
        <v>0</v>
      </c>
      <c r="AC1056">
        <v>1177</v>
      </c>
      <c r="AD1056">
        <v>0</v>
      </c>
      <c r="AE1056">
        <v>0</v>
      </c>
      <c r="AF1056">
        <v>0</v>
      </c>
      <c r="AG1056">
        <v>714</v>
      </c>
      <c r="AH1056">
        <v>714</v>
      </c>
      <c r="AI1056">
        <v>0</v>
      </c>
      <c r="AJ1056">
        <v>0</v>
      </c>
      <c r="AK1056">
        <v>4918</v>
      </c>
      <c r="AL1056">
        <v>4918</v>
      </c>
      <c r="AM1056">
        <v>0</v>
      </c>
      <c r="AN1056">
        <v>0</v>
      </c>
      <c r="AO1056">
        <v>584</v>
      </c>
      <c r="AP1056">
        <v>584</v>
      </c>
      <c r="AQ1056">
        <v>584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330</v>
      </c>
      <c r="BA1056">
        <v>330</v>
      </c>
      <c r="BB1056">
        <v>0</v>
      </c>
      <c r="BC1056">
        <v>0</v>
      </c>
      <c r="BD1056">
        <v>0</v>
      </c>
      <c r="BE1056">
        <f t="shared" si="173"/>
        <v>14853</v>
      </c>
      <c r="BF1056">
        <v>9183</v>
      </c>
      <c r="BG1056">
        <v>9183</v>
      </c>
      <c r="BH1056" t="s">
        <v>63</v>
      </c>
      <c r="BI1056" t="s">
        <v>757</v>
      </c>
      <c r="BJ1056">
        <v>1177</v>
      </c>
      <c r="BK1056">
        <v>6546</v>
      </c>
      <c r="BL1056">
        <v>9183</v>
      </c>
      <c r="BM1056">
        <v>0</v>
      </c>
      <c r="BN1056">
        <v>0</v>
      </c>
      <c r="BO1056">
        <v>0</v>
      </c>
      <c r="BP1056">
        <v>7293</v>
      </c>
      <c r="BQ1056">
        <v>7293</v>
      </c>
      <c r="BR1056">
        <f t="shared" si="174"/>
        <v>-520</v>
      </c>
      <c r="BS1056">
        <f t="shared" si="175"/>
        <v>686</v>
      </c>
      <c r="BU1056">
        <f>R1056*9</f>
        <v>747</v>
      </c>
      <c r="BV1056">
        <f>IF(BU1056&gt;BG1056, 1, 0)</f>
        <v>0</v>
      </c>
    </row>
    <row r="1057" spans="1:74" x14ac:dyDescent="0.25">
      <c r="A1057" s="5" t="s">
        <v>1661</v>
      </c>
      <c r="B1057" s="5" t="s">
        <v>61</v>
      </c>
      <c r="C1057" s="5" t="s">
        <v>207</v>
      </c>
      <c r="D1057" s="1" t="s">
        <v>88</v>
      </c>
      <c r="E1057">
        <v>0</v>
      </c>
      <c r="F1057">
        <v>4083</v>
      </c>
      <c r="G1057">
        <v>0</v>
      </c>
      <c r="H1057">
        <v>0</v>
      </c>
      <c r="I1057">
        <v>136</v>
      </c>
      <c r="J1057">
        <v>14569</v>
      </c>
      <c r="K1057">
        <v>0</v>
      </c>
      <c r="L1057">
        <v>748</v>
      </c>
      <c r="M1057">
        <v>0</v>
      </c>
      <c r="N1057">
        <v>0</v>
      </c>
      <c r="O1057">
        <v>0</v>
      </c>
      <c r="P1057">
        <v>17550</v>
      </c>
      <c r="Q1057">
        <v>1986</v>
      </c>
      <c r="R1057">
        <v>1950</v>
      </c>
      <c r="S1057" s="18">
        <f t="shared" si="166"/>
        <v>9</v>
      </c>
      <c r="T1057" s="17">
        <f t="shared" si="167"/>
        <v>0</v>
      </c>
      <c r="U1057" s="17">
        <f t="shared" si="168"/>
        <v>0</v>
      </c>
      <c r="V1057" s="17">
        <f t="shared" si="169"/>
        <v>0</v>
      </c>
      <c r="W1057" s="17">
        <f t="shared" si="170"/>
        <v>1950</v>
      </c>
      <c r="X1057" s="17">
        <f t="shared" si="171"/>
        <v>36</v>
      </c>
      <c r="Y1057" s="19">
        <f t="shared" si="172"/>
        <v>0</v>
      </c>
      <c r="Z1057">
        <v>4083</v>
      </c>
      <c r="AA1057">
        <v>0</v>
      </c>
      <c r="AB1057">
        <v>0</v>
      </c>
      <c r="AC1057">
        <v>0</v>
      </c>
      <c r="AD1057">
        <v>0</v>
      </c>
      <c r="AE1057">
        <v>136</v>
      </c>
      <c r="AF1057">
        <v>0</v>
      </c>
      <c r="AG1057">
        <v>0</v>
      </c>
      <c r="AH1057">
        <v>136</v>
      </c>
      <c r="AI1057">
        <v>0</v>
      </c>
      <c r="AJ1057">
        <v>14569</v>
      </c>
      <c r="AK1057">
        <v>0</v>
      </c>
      <c r="AL1057">
        <v>14569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748</v>
      </c>
      <c r="AZ1057">
        <v>0</v>
      </c>
      <c r="BA1057">
        <v>748</v>
      </c>
      <c r="BB1057">
        <v>0</v>
      </c>
      <c r="BC1057">
        <v>0</v>
      </c>
      <c r="BD1057">
        <v>0</v>
      </c>
      <c r="BE1057">
        <f t="shared" si="173"/>
        <v>30906</v>
      </c>
      <c r="BF1057">
        <v>19536</v>
      </c>
      <c r="BG1057">
        <v>19536</v>
      </c>
      <c r="BH1057" t="s">
        <v>199</v>
      </c>
      <c r="BI1057" t="s">
        <v>1710</v>
      </c>
      <c r="BJ1057">
        <v>0</v>
      </c>
      <c r="BK1057">
        <v>15453</v>
      </c>
      <c r="BL1057">
        <v>19536</v>
      </c>
      <c r="BM1057">
        <v>0</v>
      </c>
      <c r="BN1057">
        <v>15453</v>
      </c>
      <c r="BO1057">
        <v>0</v>
      </c>
      <c r="BP1057">
        <v>17550</v>
      </c>
      <c r="BQ1057">
        <v>33003</v>
      </c>
      <c r="BR1057">
        <f t="shared" si="174"/>
        <v>-36</v>
      </c>
      <c r="BS1057">
        <f t="shared" si="175"/>
        <v>3936</v>
      </c>
    </row>
    <row r="1058" spans="1:74" x14ac:dyDescent="0.25">
      <c r="A1058" s="5" t="s">
        <v>2090</v>
      </c>
      <c r="B1058" s="5" t="s">
        <v>61</v>
      </c>
      <c r="C1058" s="5" t="s">
        <v>61</v>
      </c>
      <c r="D1058" s="1" t="s">
        <v>961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1016</v>
      </c>
      <c r="K1058">
        <v>0</v>
      </c>
      <c r="L1058">
        <v>216</v>
      </c>
      <c r="M1058">
        <v>0</v>
      </c>
      <c r="N1058">
        <v>0</v>
      </c>
      <c r="O1058">
        <v>0</v>
      </c>
      <c r="P1058">
        <v>0</v>
      </c>
      <c r="Q1058">
        <v>36</v>
      </c>
      <c r="R1058">
        <v>0</v>
      </c>
      <c r="S1058" s="18" t="e">
        <f t="shared" si="166"/>
        <v>#DIV/0!</v>
      </c>
      <c r="T1058" s="17" t="e">
        <f t="shared" si="167"/>
        <v>#DIV/0!</v>
      </c>
      <c r="U1058" s="17" t="e">
        <f t="shared" si="168"/>
        <v>#DIV/0!</v>
      </c>
      <c r="V1058" s="17" t="e">
        <f t="shared" si="169"/>
        <v>#DIV/0!</v>
      </c>
      <c r="W1058" s="17" t="e">
        <f t="shared" si="170"/>
        <v>#DIV/0!</v>
      </c>
      <c r="X1058" s="17" t="e">
        <f t="shared" si="171"/>
        <v>#DIV/0!</v>
      </c>
      <c r="Y1058" s="19" t="e">
        <f t="shared" si="172"/>
        <v>#DIV/0!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1016</v>
      </c>
      <c r="AL1058">
        <v>1016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216</v>
      </c>
      <c r="BA1058">
        <v>216</v>
      </c>
      <c r="BB1058">
        <v>0</v>
      </c>
      <c r="BC1058">
        <v>0</v>
      </c>
      <c r="BD1058">
        <v>0</v>
      </c>
      <c r="BE1058">
        <f t="shared" si="173"/>
        <v>2464</v>
      </c>
      <c r="BF1058">
        <v>1232</v>
      </c>
      <c r="BG1058">
        <v>1232</v>
      </c>
      <c r="BH1058" t="s">
        <v>199</v>
      </c>
      <c r="BI1058" t="s">
        <v>2170</v>
      </c>
      <c r="BJ1058">
        <v>0</v>
      </c>
      <c r="BK1058">
        <v>1232</v>
      </c>
      <c r="BL1058">
        <v>1232</v>
      </c>
      <c r="BM1058">
        <v>0</v>
      </c>
      <c r="BN1058">
        <v>0</v>
      </c>
      <c r="BO1058">
        <v>0</v>
      </c>
      <c r="BP1058">
        <v>1232</v>
      </c>
      <c r="BQ1058">
        <v>1232</v>
      </c>
      <c r="BR1058">
        <f t="shared" si="174"/>
        <v>-36</v>
      </c>
      <c r="BS1058">
        <f t="shared" si="175"/>
        <v>36</v>
      </c>
    </row>
    <row r="1059" spans="1:74" x14ac:dyDescent="0.25">
      <c r="A1059" s="5" t="s">
        <v>61</v>
      </c>
      <c r="B1059" s="5" t="s">
        <v>61</v>
      </c>
      <c r="C1059" s="5" t="s">
        <v>61</v>
      </c>
      <c r="D1059" s="1" t="s">
        <v>147</v>
      </c>
      <c r="E1059">
        <v>0</v>
      </c>
      <c r="F1059">
        <v>150</v>
      </c>
      <c r="G1059">
        <v>0</v>
      </c>
      <c r="H1059">
        <v>0</v>
      </c>
      <c r="I1059">
        <v>117</v>
      </c>
      <c r="J1059">
        <v>0</v>
      </c>
      <c r="K1059">
        <v>0</v>
      </c>
      <c r="L1059">
        <v>0</v>
      </c>
      <c r="M1059">
        <v>801</v>
      </c>
      <c r="N1059">
        <v>0</v>
      </c>
      <c r="O1059">
        <v>0</v>
      </c>
      <c r="P1059">
        <v>0</v>
      </c>
      <c r="Q1059">
        <v>126</v>
      </c>
      <c r="R1059">
        <v>89</v>
      </c>
      <c r="S1059" s="18">
        <f t="shared" si="166"/>
        <v>9</v>
      </c>
      <c r="T1059" s="17">
        <f t="shared" si="167"/>
        <v>89</v>
      </c>
      <c r="U1059" s="17">
        <f t="shared" si="168"/>
        <v>0</v>
      </c>
      <c r="V1059" s="17">
        <f t="shared" si="169"/>
        <v>0</v>
      </c>
      <c r="W1059" s="17">
        <f t="shared" si="170"/>
        <v>0</v>
      </c>
      <c r="X1059" s="17">
        <f t="shared" si="171"/>
        <v>37</v>
      </c>
      <c r="Y1059" s="19">
        <f t="shared" si="172"/>
        <v>0</v>
      </c>
      <c r="Z1059">
        <v>150</v>
      </c>
      <c r="AA1059">
        <v>0</v>
      </c>
      <c r="AB1059">
        <v>0</v>
      </c>
      <c r="AC1059">
        <v>0</v>
      </c>
      <c r="AD1059">
        <v>117</v>
      </c>
      <c r="AE1059">
        <v>0</v>
      </c>
      <c r="AF1059">
        <v>0</v>
      </c>
      <c r="AG1059">
        <v>0</v>
      </c>
      <c r="AH1059">
        <v>117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f t="shared" si="173"/>
        <v>234</v>
      </c>
      <c r="BF1059">
        <v>267</v>
      </c>
      <c r="BG1059">
        <v>267</v>
      </c>
      <c r="BH1059" t="s">
        <v>109</v>
      </c>
      <c r="BI1059" t="s">
        <v>148</v>
      </c>
      <c r="BJ1059">
        <v>0</v>
      </c>
      <c r="BK1059">
        <v>117</v>
      </c>
      <c r="BL1059">
        <v>267</v>
      </c>
      <c r="BM1059">
        <v>918</v>
      </c>
      <c r="BN1059">
        <v>0</v>
      </c>
      <c r="BO1059">
        <v>0</v>
      </c>
      <c r="BP1059">
        <v>0</v>
      </c>
      <c r="BQ1059">
        <v>918</v>
      </c>
      <c r="BR1059">
        <f t="shared" si="174"/>
        <v>-37</v>
      </c>
      <c r="BS1059">
        <f t="shared" si="175"/>
        <v>215</v>
      </c>
    </row>
    <row r="1060" spans="1:74" x14ac:dyDescent="0.25">
      <c r="A1060" s="5" t="s">
        <v>61</v>
      </c>
      <c r="B1060" s="5" t="s">
        <v>207</v>
      </c>
      <c r="C1060" s="5" t="s">
        <v>61</v>
      </c>
      <c r="D1060" s="1" t="s">
        <v>129</v>
      </c>
      <c r="E1060">
        <v>0</v>
      </c>
      <c r="F1060">
        <v>128</v>
      </c>
      <c r="G1060">
        <v>0</v>
      </c>
      <c r="H1060">
        <v>0</v>
      </c>
      <c r="I1060">
        <v>129</v>
      </c>
      <c r="J1060">
        <v>0</v>
      </c>
      <c r="K1060">
        <v>0</v>
      </c>
      <c r="L1060">
        <v>0</v>
      </c>
      <c r="M1060">
        <v>1152</v>
      </c>
      <c r="N1060">
        <v>0</v>
      </c>
      <c r="O1060">
        <v>0</v>
      </c>
      <c r="P1060">
        <v>0</v>
      </c>
      <c r="Q1060">
        <v>165</v>
      </c>
      <c r="R1060">
        <v>128</v>
      </c>
      <c r="S1060" s="18">
        <f t="shared" si="166"/>
        <v>9</v>
      </c>
      <c r="T1060" s="17">
        <f t="shared" si="167"/>
        <v>128</v>
      </c>
      <c r="U1060" s="17">
        <f t="shared" si="168"/>
        <v>0</v>
      </c>
      <c r="V1060" s="17">
        <f t="shared" si="169"/>
        <v>0</v>
      </c>
      <c r="W1060" s="17">
        <f t="shared" si="170"/>
        <v>0</v>
      </c>
      <c r="X1060" s="17">
        <f t="shared" si="171"/>
        <v>37</v>
      </c>
      <c r="Y1060" s="19">
        <f t="shared" si="172"/>
        <v>0</v>
      </c>
      <c r="Z1060">
        <v>128</v>
      </c>
      <c r="AA1060">
        <v>0</v>
      </c>
      <c r="AB1060">
        <v>0</v>
      </c>
      <c r="AC1060">
        <v>0</v>
      </c>
      <c r="AD1060">
        <v>129</v>
      </c>
      <c r="AE1060">
        <v>0</v>
      </c>
      <c r="AF1060">
        <v>0</v>
      </c>
      <c r="AG1060">
        <v>0</v>
      </c>
      <c r="AH1060">
        <v>129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f t="shared" si="173"/>
        <v>258</v>
      </c>
      <c r="BF1060">
        <v>257</v>
      </c>
      <c r="BG1060">
        <v>257</v>
      </c>
      <c r="BH1060" t="s">
        <v>109</v>
      </c>
      <c r="BI1060" t="s">
        <v>241</v>
      </c>
      <c r="BJ1060">
        <v>0</v>
      </c>
      <c r="BK1060">
        <v>129</v>
      </c>
      <c r="BL1060">
        <v>257</v>
      </c>
      <c r="BM1060">
        <v>1281</v>
      </c>
      <c r="BN1060">
        <v>0</v>
      </c>
      <c r="BO1060">
        <v>0</v>
      </c>
      <c r="BP1060">
        <v>0</v>
      </c>
      <c r="BQ1060">
        <v>1281</v>
      </c>
      <c r="BR1060">
        <f t="shared" si="174"/>
        <v>-37</v>
      </c>
      <c r="BS1060">
        <f t="shared" si="175"/>
        <v>293</v>
      </c>
    </row>
    <row r="1061" spans="1:74" x14ac:dyDescent="0.25">
      <c r="A1061" s="5" t="s">
        <v>207</v>
      </c>
      <c r="B1061" s="5" t="s">
        <v>627</v>
      </c>
      <c r="C1061" s="5" t="s">
        <v>61</v>
      </c>
      <c r="D1061" s="1" t="s">
        <v>88</v>
      </c>
      <c r="E1061">
        <v>0</v>
      </c>
      <c r="F1061">
        <v>41</v>
      </c>
      <c r="G1061">
        <v>0</v>
      </c>
      <c r="H1061">
        <v>0</v>
      </c>
      <c r="I1061">
        <v>20</v>
      </c>
      <c r="J1061">
        <v>596</v>
      </c>
      <c r="K1061">
        <v>50</v>
      </c>
      <c r="L1061">
        <v>35</v>
      </c>
      <c r="M1061">
        <v>0</v>
      </c>
      <c r="N1061">
        <v>0</v>
      </c>
      <c r="O1061">
        <v>0</v>
      </c>
      <c r="P1061">
        <v>72</v>
      </c>
      <c r="Q1061">
        <v>45</v>
      </c>
      <c r="R1061">
        <v>8</v>
      </c>
      <c r="S1061" s="18">
        <f t="shared" si="166"/>
        <v>9</v>
      </c>
      <c r="T1061" s="17">
        <f t="shared" si="167"/>
        <v>0</v>
      </c>
      <c r="U1061" s="17">
        <f t="shared" si="168"/>
        <v>0</v>
      </c>
      <c r="V1061" s="17">
        <f t="shared" si="169"/>
        <v>0</v>
      </c>
      <c r="W1061" s="17">
        <f t="shared" si="170"/>
        <v>8</v>
      </c>
      <c r="X1061" s="17">
        <f t="shared" si="171"/>
        <v>37</v>
      </c>
      <c r="Y1061" s="19">
        <f t="shared" si="172"/>
        <v>0</v>
      </c>
      <c r="Z1061">
        <v>41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</v>
      </c>
      <c r="AH1061">
        <v>20</v>
      </c>
      <c r="AI1061">
        <v>0</v>
      </c>
      <c r="AJ1061">
        <v>0</v>
      </c>
      <c r="AK1061">
        <v>596</v>
      </c>
      <c r="AL1061">
        <v>596</v>
      </c>
      <c r="AM1061">
        <v>0</v>
      </c>
      <c r="AN1061">
        <v>0</v>
      </c>
      <c r="AO1061">
        <v>50</v>
      </c>
      <c r="AP1061">
        <v>0</v>
      </c>
      <c r="AQ1061">
        <v>50</v>
      </c>
      <c r="AR1061">
        <v>50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35</v>
      </c>
      <c r="BA1061">
        <v>35</v>
      </c>
      <c r="BB1061">
        <v>0</v>
      </c>
      <c r="BC1061">
        <v>0</v>
      </c>
      <c r="BD1061">
        <v>0</v>
      </c>
      <c r="BE1061">
        <f t="shared" si="173"/>
        <v>1452</v>
      </c>
      <c r="BF1061">
        <v>742</v>
      </c>
      <c r="BG1061">
        <v>742</v>
      </c>
      <c r="BH1061" t="s">
        <v>82</v>
      </c>
      <c r="BI1061" t="s">
        <v>638</v>
      </c>
      <c r="BJ1061">
        <v>0</v>
      </c>
      <c r="BK1061">
        <v>701</v>
      </c>
      <c r="BL1061">
        <v>742</v>
      </c>
      <c r="BM1061">
        <v>0</v>
      </c>
      <c r="BN1061">
        <v>0</v>
      </c>
      <c r="BO1061">
        <v>0</v>
      </c>
      <c r="BP1061">
        <v>773</v>
      </c>
      <c r="BQ1061">
        <v>773</v>
      </c>
      <c r="BR1061">
        <f t="shared" si="174"/>
        <v>-37</v>
      </c>
      <c r="BS1061">
        <f t="shared" si="175"/>
        <v>53</v>
      </c>
    </row>
    <row r="1062" spans="1:74" x14ac:dyDescent="0.25">
      <c r="A1062" s="5" t="s">
        <v>1451</v>
      </c>
      <c r="B1062" s="5" t="s">
        <v>207</v>
      </c>
      <c r="C1062" s="5" t="s">
        <v>61</v>
      </c>
      <c r="D1062" s="1" t="s">
        <v>123</v>
      </c>
      <c r="E1062">
        <v>0</v>
      </c>
      <c r="F1062">
        <v>3128</v>
      </c>
      <c r="G1062">
        <v>0</v>
      </c>
      <c r="H1062">
        <v>0</v>
      </c>
      <c r="I1062">
        <v>265</v>
      </c>
      <c r="J1062">
        <v>0</v>
      </c>
      <c r="K1062">
        <v>200</v>
      </c>
      <c r="L1062">
        <v>0</v>
      </c>
      <c r="M1062">
        <v>3690</v>
      </c>
      <c r="N1062">
        <v>0</v>
      </c>
      <c r="O1062">
        <v>0</v>
      </c>
      <c r="P1062">
        <v>0</v>
      </c>
      <c r="Q1062">
        <v>447</v>
      </c>
      <c r="R1062">
        <v>410</v>
      </c>
      <c r="S1062" s="18">
        <f t="shared" si="166"/>
        <v>9</v>
      </c>
      <c r="T1062" s="17">
        <f t="shared" si="167"/>
        <v>410</v>
      </c>
      <c r="U1062" s="17">
        <f t="shared" si="168"/>
        <v>0</v>
      </c>
      <c r="V1062" s="17">
        <f t="shared" si="169"/>
        <v>0</v>
      </c>
      <c r="W1062" s="17">
        <f t="shared" si="170"/>
        <v>0</v>
      </c>
      <c r="X1062" s="17">
        <f t="shared" si="171"/>
        <v>37</v>
      </c>
      <c r="Y1062" s="19">
        <f t="shared" si="172"/>
        <v>0</v>
      </c>
      <c r="Z1062">
        <v>3128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265</v>
      </c>
      <c r="AH1062">
        <v>265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200</v>
      </c>
      <c r="AP1062">
        <v>0</v>
      </c>
      <c r="AQ1062">
        <v>200</v>
      </c>
      <c r="AR1062">
        <v>200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f t="shared" si="173"/>
        <v>1130</v>
      </c>
      <c r="BF1062">
        <v>3593</v>
      </c>
      <c r="BG1062">
        <v>3593</v>
      </c>
      <c r="BH1062" t="s">
        <v>109</v>
      </c>
      <c r="BI1062" t="s">
        <v>1556</v>
      </c>
      <c r="BJ1062">
        <v>0</v>
      </c>
      <c r="BK1062">
        <v>465</v>
      </c>
      <c r="BL1062">
        <v>3593</v>
      </c>
      <c r="BM1062">
        <v>3690</v>
      </c>
      <c r="BN1062">
        <v>0</v>
      </c>
      <c r="BO1062">
        <v>0</v>
      </c>
      <c r="BP1062">
        <v>465</v>
      </c>
      <c r="BQ1062">
        <v>4155</v>
      </c>
      <c r="BR1062">
        <f t="shared" si="174"/>
        <v>-37</v>
      </c>
      <c r="BS1062">
        <f t="shared" si="175"/>
        <v>857</v>
      </c>
    </row>
    <row r="1063" spans="1:74" x14ac:dyDescent="0.25">
      <c r="A1063" s="5" t="s">
        <v>627</v>
      </c>
      <c r="B1063" s="5" t="s">
        <v>207</v>
      </c>
      <c r="C1063" s="5" t="s">
        <v>61</v>
      </c>
      <c r="D1063" s="1" t="s">
        <v>65</v>
      </c>
      <c r="E1063">
        <v>0</v>
      </c>
      <c r="F1063">
        <v>250</v>
      </c>
      <c r="G1063">
        <v>0</v>
      </c>
      <c r="H1063">
        <v>0</v>
      </c>
      <c r="I1063">
        <v>595</v>
      </c>
      <c r="J1063">
        <v>0</v>
      </c>
      <c r="K1063">
        <v>0</v>
      </c>
      <c r="L1063">
        <v>0</v>
      </c>
      <c r="M1063">
        <v>657</v>
      </c>
      <c r="N1063">
        <v>0</v>
      </c>
      <c r="O1063">
        <v>0</v>
      </c>
      <c r="P1063">
        <v>0</v>
      </c>
      <c r="Q1063">
        <v>72</v>
      </c>
      <c r="R1063">
        <v>73</v>
      </c>
      <c r="S1063" s="18">
        <f t="shared" si="166"/>
        <v>9</v>
      </c>
      <c r="T1063" s="17">
        <f t="shared" si="167"/>
        <v>73</v>
      </c>
      <c r="U1063" s="17">
        <f t="shared" si="168"/>
        <v>0</v>
      </c>
      <c r="V1063" s="17">
        <f t="shared" si="169"/>
        <v>0</v>
      </c>
      <c r="W1063" s="17">
        <f t="shared" si="170"/>
        <v>0</v>
      </c>
      <c r="X1063" s="17">
        <f t="shared" si="171"/>
        <v>-1</v>
      </c>
      <c r="Y1063" s="19">
        <f t="shared" si="172"/>
        <v>0</v>
      </c>
      <c r="Z1063">
        <v>250</v>
      </c>
      <c r="AA1063">
        <v>0</v>
      </c>
      <c r="AB1063">
        <v>0</v>
      </c>
      <c r="AC1063">
        <v>3878</v>
      </c>
      <c r="AD1063">
        <v>595</v>
      </c>
      <c r="AE1063">
        <v>0</v>
      </c>
      <c r="AF1063">
        <v>0</v>
      </c>
      <c r="AG1063">
        <v>0</v>
      </c>
      <c r="AH1063">
        <v>595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f t="shared" si="173"/>
        <v>5068</v>
      </c>
      <c r="BF1063">
        <v>4723</v>
      </c>
      <c r="BG1063">
        <v>4723</v>
      </c>
      <c r="BH1063" t="s">
        <v>63</v>
      </c>
      <c r="BI1063" t="s">
        <v>833</v>
      </c>
      <c r="BJ1063">
        <v>3878</v>
      </c>
      <c r="BK1063">
        <v>595</v>
      </c>
      <c r="BL1063">
        <v>4723</v>
      </c>
      <c r="BM1063">
        <v>1252</v>
      </c>
      <c r="BN1063">
        <v>0</v>
      </c>
      <c r="BO1063">
        <v>0</v>
      </c>
      <c r="BP1063">
        <v>0</v>
      </c>
      <c r="BQ1063">
        <v>1252</v>
      </c>
      <c r="BR1063">
        <f t="shared" si="174"/>
        <v>1</v>
      </c>
      <c r="BS1063">
        <f t="shared" si="175"/>
        <v>145</v>
      </c>
      <c r="BU1063">
        <f>R1063*9</f>
        <v>657</v>
      </c>
      <c r="BV1063">
        <f>IF(BU1063&gt;BG1063, 1, 0)</f>
        <v>0</v>
      </c>
    </row>
    <row r="1064" spans="1:74" x14ac:dyDescent="0.25">
      <c r="A1064" s="5" t="s">
        <v>1135</v>
      </c>
      <c r="B1064" s="5" t="s">
        <v>207</v>
      </c>
      <c r="C1064" s="5" t="s">
        <v>359</v>
      </c>
      <c r="D1064" s="1" t="s">
        <v>73</v>
      </c>
      <c r="E1064">
        <v>0</v>
      </c>
      <c r="F1064">
        <v>355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657</v>
      </c>
      <c r="N1064">
        <v>0</v>
      </c>
      <c r="O1064">
        <v>0</v>
      </c>
      <c r="P1064">
        <v>0</v>
      </c>
      <c r="Q1064">
        <v>73</v>
      </c>
      <c r="R1064">
        <v>73</v>
      </c>
      <c r="S1064" s="18">
        <f t="shared" si="166"/>
        <v>9</v>
      </c>
      <c r="T1064" s="17">
        <f t="shared" si="167"/>
        <v>73</v>
      </c>
      <c r="U1064" s="17">
        <f t="shared" si="168"/>
        <v>0</v>
      </c>
      <c r="V1064" s="17">
        <f t="shared" si="169"/>
        <v>0</v>
      </c>
      <c r="W1064" s="17">
        <f t="shared" si="170"/>
        <v>0</v>
      </c>
      <c r="X1064" s="17">
        <f t="shared" si="171"/>
        <v>0</v>
      </c>
      <c r="Y1064" s="19" t="e">
        <f t="shared" si="172"/>
        <v>#DIV/0!</v>
      </c>
      <c r="Z1064">
        <v>355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f t="shared" si="173"/>
        <v>0</v>
      </c>
      <c r="BF1064">
        <v>355</v>
      </c>
      <c r="BG1064">
        <v>355</v>
      </c>
      <c r="BH1064" t="s">
        <v>63</v>
      </c>
      <c r="BI1064" t="s">
        <v>1288</v>
      </c>
      <c r="BJ1064">
        <v>0</v>
      </c>
      <c r="BK1064">
        <v>0</v>
      </c>
      <c r="BL1064">
        <v>355</v>
      </c>
      <c r="BM1064">
        <v>657</v>
      </c>
      <c r="BN1064">
        <v>0</v>
      </c>
      <c r="BO1064">
        <v>0</v>
      </c>
      <c r="BP1064">
        <v>0</v>
      </c>
      <c r="BQ1064">
        <v>657</v>
      </c>
      <c r="BR1064">
        <f t="shared" si="174"/>
        <v>0</v>
      </c>
      <c r="BS1064">
        <f t="shared" si="175"/>
        <v>146</v>
      </c>
      <c r="BU1064">
        <f>R1064*9</f>
        <v>657</v>
      </c>
      <c r="BV1064">
        <f>IF(BU1064&gt;BG1064, 1, 0)</f>
        <v>1</v>
      </c>
    </row>
    <row r="1065" spans="1:74" x14ac:dyDescent="0.25">
      <c r="A1065" s="5" t="s">
        <v>1946</v>
      </c>
      <c r="B1065" s="5" t="s">
        <v>61</v>
      </c>
      <c r="C1065" s="5" t="s">
        <v>61</v>
      </c>
      <c r="D1065" s="1" t="s">
        <v>157</v>
      </c>
      <c r="E1065">
        <v>0</v>
      </c>
      <c r="F1065">
        <v>0</v>
      </c>
      <c r="G1065">
        <v>0</v>
      </c>
      <c r="H1065">
        <v>0</v>
      </c>
      <c r="I1065">
        <v>300</v>
      </c>
      <c r="J1065">
        <v>900</v>
      </c>
      <c r="K1065">
        <v>310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38</v>
      </c>
      <c r="R1065">
        <v>0</v>
      </c>
      <c r="S1065" s="18" t="e">
        <f t="shared" si="166"/>
        <v>#DIV/0!</v>
      </c>
      <c r="T1065" s="17" t="e">
        <f t="shared" si="167"/>
        <v>#DIV/0!</v>
      </c>
      <c r="U1065" s="17" t="e">
        <f t="shared" si="168"/>
        <v>#DIV/0!</v>
      </c>
      <c r="V1065" s="17" t="e">
        <f t="shared" si="169"/>
        <v>#DIV/0!</v>
      </c>
      <c r="W1065" s="17" t="e">
        <f t="shared" si="170"/>
        <v>#DIV/0!</v>
      </c>
      <c r="X1065" s="17" t="e">
        <f t="shared" si="171"/>
        <v>#DIV/0!</v>
      </c>
      <c r="Y1065" s="19" t="e">
        <f t="shared" si="172"/>
        <v>#DIV/0!</v>
      </c>
      <c r="Z1065">
        <v>0</v>
      </c>
      <c r="AA1065">
        <v>0</v>
      </c>
      <c r="AB1065">
        <v>0</v>
      </c>
      <c r="AC1065">
        <v>120</v>
      </c>
      <c r="AD1065">
        <v>0</v>
      </c>
      <c r="AE1065">
        <v>0</v>
      </c>
      <c r="AF1065">
        <v>0</v>
      </c>
      <c r="AG1065">
        <v>300</v>
      </c>
      <c r="AH1065">
        <v>300</v>
      </c>
      <c r="AI1065">
        <v>0</v>
      </c>
      <c r="AJ1065">
        <v>0</v>
      </c>
      <c r="AK1065">
        <v>900</v>
      </c>
      <c r="AL1065">
        <v>900</v>
      </c>
      <c r="AM1065">
        <v>0</v>
      </c>
      <c r="AN1065">
        <v>0</v>
      </c>
      <c r="AO1065">
        <v>310</v>
      </c>
      <c r="AP1065">
        <v>0</v>
      </c>
      <c r="AQ1065">
        <v>310</v>
      </c>
      <c r="AR1065">
        <v>310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f t="shared" si="173"/>
        <v>3450</v>
      </c>
      <c r="BF1065">
        <v>1630</v>
      </c>
      <c r="BG1065">
        <v>1630</v>
      </c>
      <c r="BH1065" t="s">
        <v>190</v>
      </c>
      <c r="BI1065" t="s">
        <v>1990</v>
      </c>
      <c r="BJ1065">
        <v>120</v>
      </c>
      <c r="BK1065">
        <v>1510</v>
      </c>
      <c r="BL1065">
        <v>1630</v>
      </c>
      <c r="BM1065">
        <v>0</v>
      </c>
      <c r="BN1065">
        <v>0</v>
      </c>
      <c r="BO1065">
        <v>0</v>
      </c>
      <c r="BP1065">
        <v>1510</v>
      </c>
      <c r="BQ1065">
        <v>1510</v>
      </c>
      <c r="BR1065">
        <f t="shared" si="174"/>
        <v>-38</v>
      </c>
      <c r="BS1065">
        <f t="shared" si="175"/>
        <v>38</v>
      </c>
    </row>
    <row r="1066" spans="1:74" x14ac:dyDescent="0.25">
      <c r="A1066" s="5" t="s">
        <v>2294</v>
      </c>
      <c r="B1066" s="5" t="s">
        <v>207</v>
      </c>
      <c r="C1066" s="5" t="s">
        <v>61</v>
      </c>
      <c r="D1066" s="1" t="s">
        <v>125</v>
      </c>
      <c r="E1066">
        <v>0</v>
      </c>
      <c r="F1066">
        <v>0</v>
      </c>
      <c r="G1066">
        <v>0</v>
      </c>
      <c r="H1066">
        <v>0</v>
      </c>
      <c r="I1066">
        <v>14</v>
      </c>
      <c r="J1066">
        <v>370</v>
      </c>
      <c r="K1066">
        <v>51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38</v>
      </c>
      <c r="R1066">
        <v>0</v>
      </c>
      <c r="S1066" s="18" t="e">
        <f t="shared" si="166"/>
        <v>#DIV/0!</v>
      </c>
      <c r="T1066" s="17" t="e">
        <f t="shared" si="167"/>
        <v>#DIV/0!</v>
      </c>
      <c r="U1066" s="17" t="e">
        <f t="shared" si="168"/>
        <v>#DIV/0!</v>
      </c>
      <c r="V1066" s="17" t="e">
        <f t="shared" si="169"/>
        <v>#DIV/0!</v>
      </c>
      <c r="W1066" s="17" t="e">
        <f t="shared" si="170"/>
        <v>#DIV/0!</v>
      </c>
      <c r="X1066" s="17" t="e">
        <f t="shared" si="171"/>
        <v>#DIV/0!</v>
      </c>
      <c r="Y1066" s="19" t="e">
        <f t="shared" si="172"/>
        <v>#DIV/0!</v>
      </c>
      <c r="Z1066">
        <v>0</v>
      </c>
      <c r="AA1066">
        <v>0</v>
      </c>
      <c r="AB1066">
        <v>0</v>
      </c>
      <c r="AC1066">
        <v>120</v>
      </c>
      <c r="AD1066">
        <v>0</v>
      </c>
      <c r="AE1066">
        <v>0</v>
      </c>
      <c r="AF1066">
        <v>0</v>
      </c>
      <c r="AG1066">
        <v>14</v>
      </c>
      <c r="AH1066">
        <v>14</v>
      </c>
      <c r="AI1066">
        <v>0</v>
      </c>
      <c r="AJ1066">
        <v>0</v>
      </c>
      <c r="AK1066">
        <v>370</v>
      </c>
      <c r="AL1066">
        <v>370</v>
      </c>
      <c r="AM1066">
        <v>0</v>
      </c>
      <c r="AN1066">
        <v>0</v>
      </c>
      <c r="AO1066">
        <v>51</v>
      </c>
      <c r="AP1066">
        <v>0</v>
      </c>
      <c r="AQ1066">
        <v>51</v>
      </c>
      <c r="AR1066">
        <v>51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f t="shared" si="173"/>
        <v>1041</v>
      </c>
      <c r="BF1066">
        <v>555</v>
      </c>
      <c r="BG1066">
        <v>555</v>
      </c>
      <c r="BH1066" t="s">
        <v>82</v>
      </c>
      <c r="BI1066" t="s">
        <v>2351</v>
      </c>
      <c r="BJ1066">
        <v>120</v>
      </c>
      <c r="BK1066">
        <v>435</v>
      </c>
      <c r="BL1066">
        <v>555</v>
      </c>
      <c r="BM1066">
        <v>0</v>
      </c>
      <c r="BN1066">
        <v>0</v>
      </c>
      <c r="BO1066">
        <v>0</v>
      </c>
      <c r="BP1066">
        <v>435</v>
      </c>
      <c r="BQ1066">
        <v>435</v>
      </c>
      <c r="BR1066">
        <f t="shared" si="174"/>
        <v>-38</v>
      </c>
      <c r="BS1066">
        <f t="shared" si="175"/>
        <v>38</v>
      </c>
    </row>
    <row r="1067" spans="1:74" x14ac:dyDescent="0.25">
      <c r="A1067" s="5" t="s">
        <v>627</v>
      </c>
      <c r="B1067" s="5" t="s">
        <v>359</v>
      </c>
      <c r="C1067" s="5" t="s">
        <v>61</v>
      </c>
      <c r="D1067" s="1" t="s">
        <v>84</v>
      </c>
      <c r="E1067">
        <v>0</v>
      </c>
      <c r="F1067">
        <v>389</v>
      </c>
      <c r="G1067">
        <v>0</v>
      </c>
      <c r="H1067">
        <v>0</v>
      </c>
      <c r="I1067">
        <v>880</v>
      </c>
      <c r="J1067">
        <v>4156</v>
      </c>
      <c r="K1067">
        <v>155</v>
      </c>
      <c r="L1067">
        <v>97</v>
      </c>
      <c r="M1067">
        <v>0</v>
      </c>
      <c r="N1067">
        <v>1638</v>
      </c>
      <c r="O1067">
        <v>0</v>
      </c>
      <c r="P1067">
        <v>531</v>
      </c>
      <c r="Q1067">
        <v>280</v>
      </c>
      <c r="R1067">
        <v>241</v>
      </c>
      <c r="S1067" s="18">
        <f t="shared" si="166"/>
        <v>9</v>
      </c>
      <c r="T1067" s="17">
        <f t="shared" si="167"/>
        <v>0</v>
      </c>
      <c r="U1067" s="17">
        <f t="shared" si="168"/>
        <v>182</v>
      </c>
      <c r="V1067" s="17">
        <f t="shared" si="169"/>
        <v>0</v>
      </c>
      <c r="W1067" s="17">
        <f t="shared" si="170"/>
        <v>59</v>
      </c>
      <c r="X1067" s="17">
        <f t="shared" si="171"/>
        <v>39</v>
      </c>
      <c r="Y1067" s="19">
        <f t="shared" si="172"/>
        <v>0</v>
      </c>
      <c r="Z1067">
        <v>389</v>
      </c>
      <c r="AA1067">
        <v>36</v>
      </c>
      <c r="AB1067">
        <v>690</v>
      </c>
      <c r="AC1067">
        <v>2640</v>
      </c>
      <c r="AD1067">
        <v>0</v>
      </c>
      <c r="AE1067">
        <v>880</v>
      </c>
      <c r="AF1067">
        <v>0</v>
      </c>
      <c r="AG1067">
        <v>0</v>
      </c>
      <c r="AH1067">
        <v>880</v>
      </c>
      <c r="AI1067">
        <v>0</v>
      </c>
      <c r="AJ1067">
        <v>3413</v>
      </c>
      <c r="AK1067">
        <v>743</v>
      </c>
      <c r="AL1067">
        <v>4156</v>
      </c>
      <c r="AM1067">
        <v>0</v>
      </c>
      <c r="AN1067">
        <v>155</v>
      </c>
      <c r="AO1067">
        <v>0</v>
      </c>
      <c r="AP1067">
        <v>109</v>
      </c>
      <c r="AQ1067">
        <v>155</v>
      </c>
      <c r="AR1067">
        <v>46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97</v>
      </c>
      <c r="AZ1067">
        <v>0</v>
      </c>
      <c r="BA1067">
        <v>97</v>
      </c>
      <c r="BB1067">
        <v>0</v>
      </c>
      <c r="BC1067">
        <v>0</v>
      </c>
      <c r="BD1067">
        <v>0</v>
      </c>
      <c r="BE1067">
        <f t="shared" si="173"/>
        <v>13371</v>
      </c>
      <c r="BF1067">
        <v>9043</v>
      </c>
      <c r="BG1067">
        <v>9043</v>
      </c>
      <c r="BH1067" t="s">
        <v>82</v>
      </c>
      <c r="BI1067" t="s">
        <v>856</v>
      </c>
      <c r="BJ1067">
        <v>3366</v>
      </c>
      <c r="BK1067">
        <v>5288</v>
      </c>
      <c r="BL1067">
        <v>9043</v>
      </c>
      <c r="BM1067">
        <v>0</v>
      </c>
      <c r="BN1067">
        <v>6183</v>
      </c>
      <c r="BO1067">
        <v>0</v>
      </c>
      <c r="BP1067">
        <v>1274</v>
      </c>
      <c r="BQ1067">
        <v>7457</v>
      </c>
      <c r="BR1067">
        <f t="shared" si="174"/>
        <v>-39</v>
      </c>
      <c r="BS1067">
        <f t="shared" si="175"/>
        <v>521</v>
      </c>
    </row>
    <row r="1068" spans="1:74" x14ac:dyDescent="0.25">
      <c r="A1068" s="5" t="s">
        <v>875</v>
      </c>
      <c r="B1068" s="5" t="s">
        <v>207</v>
      </c>
      <c r="C1068" s="5" t="s">
        <v>61</v>
      </c>
      <c r="D1068" s="1" t="s">
        <v>157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343</v>
      </c>
      <c r="K1068">
        <v>156</v>
      </c>
      <c r="L1068">
        <v>37</v>
      </c>
      <c r="M1068">
        <v>0</v>
      </c>
      <c r="N1068">
        <v>0</v>
      </c>
      <c r="O1068">
        <v>0</v>
      </c>
      <c r="P1068">
        <v>0</v>
      </c>
      <c r="Q1068">
        <v>39</v>
      </c>
      <c r="R1068">
        <v>0</v>
      </c>
      <c r="S1068" s="18" t="e">
        <f t="shared" si="166"/>
        <v>#DIV/0!</v>
      </c>
      <c r="T1068" s="17" t="e">
        <f t="shared" si="167"/>
        <v>#DIV/0!</v>
      </c>
      <c r="U1068" s="17" t="e">
        <f t="shared" si="168"/>
        <v>#DIV/0!</v>
      </c>
      <c r="V1068" s="17" t="e">
        <f t="shared" si="169"/>
        <v>#DIV/0!</v>
      </c>
      <c r="W1068" s="17" t="e">
        <f t="shared" si="170"/>
        <v>#DIV/0!</v>
      </c>
      <c r="X1068" s="17" t="e">
        <f t="shared" si="171"/>
        <v>#DIV/0!</v>
      </c>
      <c r="Y1068" s="19" t="e">
        <f t="shared" si="172"/>
        <v>#DIV/0!</v>
      </c>
      <c r="Z1068">
        <v>0</v>
      </c>
      <c r="AA1068">
        <v>0</v>
      </c>
      <c r="AB1068">
        <v>0</v>
      </c>
      <c r="AC1068">
        <v>659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343</v>
      </c>
      <c r="AL1068">
        <v>343</v>
      </c>
      <c r="AM1068">
        <v>0</v>
      </c>
      <c r="AN1068">
        <v>0</v>
      </c>
      <c r="AO1068">
        <v>156</v>
      </c>
      <c r="AP1068">
        <v>90</v>
      </c>
      <c r="AQ1068">
        <v>156</v>
      </c>
      <c r="AR1068">
        <v>66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37</v>
      </c>
      <c r="BA1068">
        <v>37</v>
      </c>
      <c r="BB1068">
        <v>0</v>
      </c>
      <c r="BC1068">
        <v>0</v>
      </c>
      <c r="BD1068">
        <v>0</v>
      </c>
      <c r="BE1068">
        <f t="shared" si="173"/>
        <v>1887</v>
      </c>
      <c r="BF1068">
        <v>1195</v>
      </c>
      <c r="BG1068">
        <v>1195</v>
      </c>
      <c r="BH1068" t="s">
        <v>82</v>
      </c>
      <c r="BI1068" t="s">
        <v>1011</v>
      </c>
      <c r="BJ1068">
        <v>659</v>
      </c>
      <c r="BK1068">
        <v>536</v>
      </c>
      <c r="BL1068">
        <v>1195</v>
      </c>
      <c r="BM1068">
        <v>0</v>
      </c>
      <c r="BN1068">
        <v>0</v>
      </c>
      <c r="BO1068">
        <v>0</v>
      </c>
      <c r="BP1068">
        <v>536</v>
      </c>
      <c r="BQ1068">
        <v>536</v>
      </c>
      <c r="BR1068">
        <f t="shared" si="174"/>
        <v>-39</v>
      </c>
      <c r="BS1068">
        <f t="shared" si="175"/>
        <v>39</v>
      </c>
    </row>
    <row r="1069" spans="1:74" x14ac:dyDescent="0.25">
      <c r="A1069" s="5" t="s">
        <v>1135</v>
      </c>
      <c r="B1069" s="5" t="s">
        <v>207</v>
      </c>
      <c r="C1069" s="5" t="s">
        <v>61</v>
      </c>
      <c r="D1069" s="1" t="s">
        <v>183</v>
      </c>
      <c r="E1069">
        <v>0</v>
      </c>
      <c r="F1069">
        <v>350</v>
      </c>
      <c r="G1069">
        <v>0</v>
      </c>
      <c r="H1069">
        <v>0</v>
      </c>
      <c r="I1069">
        <v>90</v>
      </c>
      <c r="J1069">
        <v>1350</v>
      </c>
      <c r="K1069">
        <v>145</v>
      </c>
      <c r="L1069">
        <v>90</v>
      </c>
      <c r="M1069">
        <v>0</v>
      </c>
      <c r="N1069">
        <v>0</v>
      </c>
      <c r="O1069">
        <v>0</v>
      </c>
      <c r="P1069">
        <v>594</v>
      </c>
      <c r="Q1069">
        <v>105</v>
      </c>
      <c r="R1069">
        <v>66</v>
      </c>
      <c r="S1069" s="18">
        <f t="shared" si="166"/>
        <v>9</v>
      </c>
      <c r="T1069" s="17">
        <f t="shared" si="167"/>
        <v>0</v>
      </c>
      <c r="U1069" s="17">
        <f t="shared" si="168"/>
        <v>0</v>
      </c>
      <c r="V1069" s="17">
        <f t="shared" si="169"/>
        <v>0</v>
      </c>
      <c r="W1069" s="17">
        <f t="shared" si="170"/>
        <v>66</v>
      </c>
      <c r="X1069" s="17">
        <f t="shared" si="171"/>
        <v>39</v>
      </c>
      <c r="Y1069" s="19">
        <f t="shared" si="172"/>
        <v>0</v>
      </c>
      <c r="Z1069">
        <v>350</v>
      </c>
      <c r="AA1069">
        <v>0</v>
      </c>
      <c r="AB1069">
        <v>0</v>
      </c>
      <c r="AC1069">
        <v>1000</v>
      </c>
      <c r="AD1069">
        <v>0</v>
      </c>
      <c r="AE1069">
        <v>0</v>
      </c>
      <c r="AF1069">
        <v>0</v>
      </c>
      <c r="AG1069">
        <v>90</v>
      </c>
      <c r="AH1069">
        <v>90</v>
      </c>
      <c r="AI1069">
        <v>0</v>
      </c>
      <c r="AJ1069">
        <v>0</v>
      </c>
      <c r="AK1069">
        <v>1350</v>
      </c>
      <c r="AL1069">
        <v>1350</v>
      </c>
      <c r="AM1069">
        <v>0</v>
      </c>
      <c r="AN1069">
        <v>0</v>
      </c>
      <c r="AO1069">
        <v>145</v>
      </c>
      <c r="AP1069">
        <v>15</v>
      </c>
      <c r="AQ1069">
        <v>145</v>
      </c>
      <c r="AR1069">
        <v>130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90</v>
      </c>
      <c r="BA1069">
        <v>90</v>
      </c>
      <c r="BB1069">
        <v>0</v>
      </c>
      <c r="BC1069">
        <v>0</v>
      </c>
      <c r="BD1069">
        <v>0</v>
      </c>
      <c r="BE1069">
        <f t="shared" si="173"/>
        <v>4495</v>
      </c>
      <c r="BF1069">
        <v>3025</v>
      </c>
      <c r="BG1069">
        <v>3025</v>
      </c>
      <c r="BH1069" t="s">
        <v>82</v>
      </c>
      <c r="BI1069" t="s">
        <v>1254</v>
      </c>
      <c r="BJ1069">
        <v>1000</v>
      </c>
      <c r="BK1069">
        <v>1675</v>
      </c>
      <c r="BL1069">
        <v>3025</v>
      </c>
      <c r="BM1069">
        <v>0</v>
      </c>
      <c r="BN1069">
        <v>0</v>
      </c>
      <c r="BO1069">
        <v>0</v>
      </c>
      <c r="BP1069">
        <v>2269</v>
      </c>
      <c r="BQ1069">
        <v>2269</v>
      </c>
      <c r="BR1069">
        <f t="shared" si="174"/>
        <v>-39</v>
      </c>
      <c r="BS1069">
        <f t="shared" si="175"/>
        <v>171</v>
      </c>
    </row>
    <row r="1070" spans="1:74" x14ac:dyDescent="0.25">
      <c r="A1070" s="5" t="s">
        <v>1451</v>
      </c>
      <c r="B1070" s="5" t="s">
        <v>207</v>
      </c>
      <c r="C1070" s="5" t="s">
        <v>207</v>
      </c>
      <c r="D1070" s="1" t="s">
        <v>141</v>
      </c>
      <c r="E1070">
        <v>0</v>
      </c>
      <c r="F1070">
        <v>323</v>
      </c>
      <c r="G1070">
        <v>0</v>
      </c>
      <c r="H1070">
        <v>0</v>
      </c>
      <c r="I1070">
        <v>74</v>
      </c>
      <c r="J1070">
        <v>0</v>
      </c>
      <c r="K1070">
        <v>26</v>
      </c>
      <c r="L1070">
        <v>0</v>
      </c>
      <c r="M1070">
        <v>1665</v>
      </c>
      <c r="N1070">
        <v>0</v>
      </c>
      <c r="O1070">
        <v>0</v>
      </c>
      <c r="P1070">
        <v>0</v>
      </c>
      <c r="Q1070">
        <v>224</v>
      </c>
      <c r="R1070">
        <v>185</v>
      </c>
      <c r="S1070" s="18">
        <f t="shared" si="166"/>
        <v>9</v>
      </c>
      <c r="T1070" s="17">
        <f t="shared" si="167"/>
        <v>185</v>
      </c>
      <c r="U1070" s="17">
        <f t="shared" si="168"/>
        <v>0</v>
      </c>
      <c r="V1070" s="17">
        <f t="shared" si="169"/>
        <v>0</v>
      </c>
      <c r="W1070" s="17">
        <f t="shared" si="170"/>
        <v>0</v>
      </c>
      <c r="X1070" s="17">
        <f t="shared" si="171"/>
        <v>39</v>
      </c>
      <c r="Y1070" s="19">
        <f t="shared" si="172"/>
        <v>0</v>
      </c>
      <c r="Z1070">
        <v>323</v>
      </c>
      <c r="AA1070">
        <v>0</v>
      </c>
      <c r="AB1070">
        <v>0</v>
      </c>
      <c r="AC1070">
        <v>0</v>
      </c>
      <c r="AD1070">
        <v>74</v>
      </c>
      <c r="AE1070">
        <v>0</v>
      </c>
      <c r="AF1070">
        <v>0</v>
      </c>
      <c r="AG1070">
        <v>0</v>
      </c>
      <c r="AH1070">
        <v>74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26</v>
      </c>
      <c r="AP1070">
        <v>26</v>
      </c>
      <c r="AQ1070">
        <v>26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f t="shared" si="173"/>
        <v>226</v>
      </c>
      <c r="BF1070">
        <v>423</v>
      </c>
      <c r="BG1070">
        <v>423</v>
      </c>
      <c r="BH1070" t="s">
        <v>109</v>
      </c>
      <c r="BI1070" t="s">
        <v>1589</v>
      </c>
      <c r="BJ1070">
        <v>0</v>
      </c>
      <c r="BK1070">
        <v>100</v>
      </c>
      <c r="BL1070">
        <v>423</v>
      </c>
      <c r="BM1070">
        <v>1739</v>
      </c>
      <c r="BN1070">
        <v>0</v>
      </c>
      <c r="BO1070">
        <v>0</v>
      </c>
      <c r="BP1070">
        <v>26</v>
      </c>
      <c r="BQ1070">
        <v>1765</v>
      </c>
      <c r="BR1070">
        <f t="shared" si="174"/>
        <v>-39</v>
      </c>
      <c r="BS1070">
        <f t="shared" si="175"/>
        <v>409</v>
      </c>
    </row>
    <row r="1071" spans="1:74" x14ac:dyDescent="0.25">
      <c r="A1071" s="5" t="s">
        <v>1661</v>
      </c>
      <c r="B1071" s="5" t="s">
        <v>61</v>
      </c>
      <c r="C1071" s="5" t="s">
        <v>207</v>
      </c>
      <c r="D1071" s="1" t="s">
        <v>84</v>
      </c>
      <c r="E1071">
        <v>0</v>
      </c>
      <c r="F1071">
        <v>3134</v>
      </c>
      <c r="G1071">
        <v>0</v>
      </c>
      <c r="H1071">
        <v>0</v>
      </c>
      <c r="I1071">
        <v>126</v>
      </c>
      <c r="J1071">
        <v>10871</v>
      </c>
      <c r="K1071">
        <v>12</v>
      </c>
      <c r="L1071">
        <v>834</v>
      </c>
      <c r="M1071">
        <v>0</v>
      </c>
      <c r="N1071">
        <v>0</v>
      </c>
      <c r="O1071">
        <v>0</v>
      </c>
      <c r="P1071">
        <v>10854</v>
      </c>
      <c r="Q1071">
        <v>1245</v>
      </c>
      <c r="R1071">
        <v>1206</v>
      </c>
      <c r="S1071" s="18">
        <f t="shared" si="166"/>
        <v>9</v>
      </c>
      <c r="T1071" s="17">
        <f t="shared" si="167"/>
        <v>0</v>
      </c>
      <c r="U1071" s="17">
        <f t="shared" si="168"/>
        <v>0</v>
      </c>
      <c r="V1071" s="17">
        <f t="shared" si="169"/>
        <v>0</v>
      </c>
      <c r="W1071" s="17">
        <f t="shared" si="170"/>
        <v>1206</v>
      </c>
      <c r="X1071" s="17">
        <f t="shared" si="171"/>
        <v>39</v>
      </c>
      <c r="Y1071" s="19">
        <f t="shared" si="172"/>
        <v>0</v>
      </c>
      <c r="Z1071">
        <v>3134</v>
      </c>
      <c r="AA1071">
        <v>0</v>
      </c>
      <c r="AB1071">
        <v>0</v>
      </c>
      <c r="AC1071">
        <v>0</v>
      </c>
      <c r="AD1071">
        <v>0</v>
      </c>
      <c r="AE1071">
        <v>126</v>
      </c>
      <c r="AF1071">
        <v>0</v>
      </c>
      <c r="AG1071">
        <v>0</v>
      </c>
      <c r="AH1071">
        <v>126</v>
      </c>
      <c r="AI1071">
        <v>0</v>
      </c>
      <c r="AJ1071">
        <v>10871</v>
      </c>
      <c r="AK1071">
        <v>0</v>
      </c>
      <c r="AL1071">
        <v>10871</v>
      </c>
      <c r="AM1071">
        <v>0</v>
      </c>
      <c r="AN1071">
        <v>12</v>
      </c>
      <c r="AO1071">
        <v>0</v>
      </c>
      <c r="AP1071">
        <v>12</v>
      </c>
      <c r="AQ1071">
        <v>12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834</v>
      </c>
      <c r="AZ1071">
        <v>0</v>
      </c>
      <c r="BA1071">
        <v>834</v>
      </c>
      <c r="BB1071">
        <v>0</v>
      </c>
      <c r="BC1071">
        <v>0</v>
      </c>
      <c r="BD1071">
        <v>0</v>
      </c>
      <c r="BE1071">
        <f t="shared" si="173"/>
        <v>23698</v>
      </c>
      <c r="BF1071">
        <v>14977</v>
      </c>
      <c r="BG1071">
        <v>14977</v>
      </c>
      <c r="BH1071" t="s">
        <v>199</v>
      </c>
      <c r="BI1071" t="s">
        <v>1708</v>
      </c>
      <c r="BJ1071">
        <v>0</v>
      </c>
      <c r="BK1071">
        <v>11843</v>
      </c>
      <c r="BL1071">
        <v>14977</v>
      </c>
      <c r="BM1071">
        <v>0</v>
      </c>
      <c r="BN1071">
        <v>11843</v>
      </c>
      <c r="BO1071">
        <v>0</v>
      </c>
      <c r="BP1071">
        <v>10854</v>
      </c>
      <c r="BQ1071">
        <v>22697</v>
      </c>
      <c r="BR1071">
        <f t="shared" si="174"/>
        <v>-39</v>
      </c>
      <c r="BS1071">
        <f t="shared" si="175"/>
        <v>2451</v>
      </c>
    </row>
    <row r="1072" spans="1:74" x14ac:dyDescent="0.25">
      <c r="A1072" s="5" t="s">
        <v>1946</v>
      </c>
      <c r="B1072" s="5" t="s">
        <v>207</v>
      </c>
      <c r="C1072" s="5" t="s">
        <v>207</v>
      </c>
      <c r="D1072" s="1" t="s">
        <v>121</v>
      </c>
      <c r="E1072">
        <v>0</v>
      </c>
      <c r="F1072">
        <v>696</v>
      </c>
      <c r="G1072">
        <v>0</v>
      </c>
      <c r="H1072">
        <v>0</v>
      </c>
      <c r="I1072">
        <v>135</v>
      </c>
      <c r="J1072">
        <v>0</v>
      </c>
      <c r="K1072">
        <v>0</v>
      </c>
      <c r="L1072">
        <v>0</v>
      </c>
      <c r="M1072">
        <v>1566</v>
      </c>
      <c r="N1072">
        <v>0</v>
      </c>
      <c r="O1072">
        <v>0</v>
      </c>
      <c r="P1072">
        <v>0</v>
      </c>
      <c r="Q1072">
        <v>213</v>
      </c>
      <c r="R1072">
        <v>174</v>
      </c>
      <c r="S1072" s="18">
        <f t="shared" si="166"/>
        <v>9</v>
      </c>
      <c r="T1072" s="17">
        <f t="shared" si="167"/>
        <v>174</v>
      </c>
      <c r="U1072" s="17">
        <f t="shared" si="168"/>
        <v>0</v>
      </c>
      <c r="V1072" s="17">
        <f t="shared" si="169"/>
        <v>0</v>
      </c>
      <c r="W1072" s="17">
        <f t="shared" si="170"/>
        <v>0</v>
      </c>
      <c r="X1072" s="17">
        <f t="shared" si="171"/>
        <v>39</v>
      </c>
      <c r="Y1072" s="19">
        <f t="shared" si="172"/>
        <v>0</v>
      </c>
      <c r="Z1072">
        <v>696</v>
      </c>
      <c r="AA1072">
        <v>0</v>
      </c>
      <c r="AB1072">
        <v>0</v>
      </c>
      <c r="AC1072">
        <v>0</v>
      </c>
      <c r="AD1072">
        <v>135</v>
      </c>
      <c r="AE1072">
        <v>0</v>
      </c>
      <c r="AF1072">
        <v>0</v>
      </c>
      <c r="AG1072">
        <v>0</v>
      </c>
      <c r="AH1072">
        <v>135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f t="shared" si="173"/>
        <v>270</v>
      </c>
      <c r="BF1072">
        <v>831</v>
      </c>
      <c r="BG1072">
        <v>831</v>
      </c>
      <c r="BH1072" t="s">
        <v>109</v>
      </c>
      <c r="BI1072" t="s">
        <v>2065</v>
      </c>
      <c r="BJ1072">
        <v>0</v>
      </c>
      <c r="BK1072">
        <v>135</v>
      </c>
      <c r="BL1072">
        <v>831</v>
      </c>
      <c r="BM1072">
        <v>1701</v>
      </c>
      <c r="BN1072">
        <v>0</v>
      </c>
      <c r="BO1072">
        <v>0</v>
      </c>
      <c r="BP1072">
        <v>0</v>
      </c>
      <c r="BQ1072">
        <v>1701</v>
      </c>
      <c r="BR1072">
        <f t="shared" si="174"/>
        <v>-39</v>
      </c>
      <c r="BS1072">
        <f t="shared" si="175"/>
        <v>387</v>
      </c>
    </row>
    <row r="1073" spans="1:74" x14ac:dyDescent="0.25">
      <c r="A1073" s="5" t="s">
        <v>2294</v>
      </c>
      <c r="B1073" s="5" t="s">
        <v>61</v>
      </c>
      <c r="C1073" s="5" t="s">
        <v>61</v>
      </c>
      <c r="D1073" s="1" t="s">
        <v>108</v>
      </c>
      <c r="E1073">
        <v>0</v>
      </c>
      <c r="F1073">
        <v>2</v>
      </c>
      <c r="G1073">
        <v>0</v>
      </c>
      <c r="H1073">
        <v>0</v>
      </c>
      <c r="I1073">
        <v>124</v>
      </c>
      <c r="J1073">
        <v>415</v>
      </c>
      <c r="K1073">
        <v>216</v>
      </c>
      <c r="L1073">
        <v>0</v>
      </c>
      <c r="M1073">
        <v>0</v>
      </c>
      <c r="N1073">
        <v>0</v>
      </c>
      <c r="O1073">
        <v>0</v>
      </c>
      <c r="P1073">
        <v>18</v>
      </c>
      <c r="Q1073">
        <v>41</v>
      </c>
      <c r="R1073">
        <v>2</v>
      </c>
      <c r="S1073" s="18">
        <f t="shared" si="166"/>
        <v>9</v>
      </c>
      <c r="T1073" s="17">
        <f t="shared" si="167"/>
        <v>0</v>
      </c>
      <c r="U1073" s="17">
        <f t="shared" si="168"/>
        <v>0</v>
      </c>
      <c r="V1073" s="17">
        <f t="shared" si="169"/>
        <v>0</v>
      </c>
      <c r="W1073" s="17">
        <f t="shared" si="170"/>
        <v>2</v>
      </c>
      <c r="X1073" s="17">
        <f t="shared" si="171"/>
        <v>39</v>
      </c>
      <c r="Y1073" s="19">
        <f t="shared" si="172"/>
        <v>0</v>
      </c>
      <c r="Z1073">
        <v>2</v>
      </c>
      <c r="AA1073">
        <v>0</v>
      </c>
      <c r="AB1073">
        <v>0</v>
      </c>
      <c r="AC1073">
        <v>313</v>
      </c>
      <c r="AD1073">
        <v>0</v>
      </c>
      <c r="AE1073">
        <v>0</v>
      </c>
      <c r="AF1073">
        <v>0</v>
      </c>
      <c r="AG1073">
        <v>124</v>
      </c>
      <c r="AH1073">
        <v>124</v>
      </c>
      <c r="AI1073">
        <v>0</v>
      </c>
      <c r="AJ1073">
        <v>0</v>
      </c>
      <c r="AK1073">
        <v>415</v>
      </c>
      <c r="AL1073">
        <v>415</v>
      </c>
      <c r="AM1073">
        <v>0</v>
      </c>
      <c r="AN1073">
        <v>0</v>
      </c>
      <c r="AO1073">
        <v>216</v>
      </c>
      <c r="AP1073">
        <v>176</v>
      </c>
      <c r="AQ1073">
        <v>216</v>
      </c>
      <c r="AR1073">
        <v>40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f t="shared" si="173"/>
        <v>2039</v>
      </c>
      <c r="BF1073">
        <v>1070</v>
      </c>
      <c r="BG1073">
        <v>1070</v>
      </c>
      <c r="BH1073" t="s">
        <v>82</v>
      </c>
      <c r="BI1073" t="s">
        <v>2315</v>
      </c>
      <c r="BJ1073">
        <v>313</v>
      </c>
      <c r="BK1073">
        <v>755</v>
      </c>
      <c r="BL1073">
        <v>1070</v>
      </c>
      <c r="BM1073">
        <v>0</v>
      </c>
      <c r="BN1073">
        <v>0</v>
      </c>
      <c r="BO1073">
        <v>0</v>
      </c>
      <c r="BP1073">
        <v>773</v>
      </c>
      <c r="BQ1073">
        <v>773</v>
      </c>
      <c r="BR1073">
        <f t="shared" si="174"/>
        <v>-39</v>
      </c>
      <c r="BS1073">
        <f t="shared" si="175"/>
        <v>43</v>
      </c>
    </row>
    <row r="1074" spans="1:74" x14ac:dyDescent="0.25">
      <c r="A1074" s="5" t="s">
        <v>61</v>
      </c>
      <c r="B1074" s="5" t="s">
        <v>359</v>
      </c>
      <c r="C1074" s="5" t="s">
        <v>61</v>
      </c>
      <c r="D1074" s="1" t="s">
        <v>145</v>
      </c>
      <c r="E1074">
        <v>0</v>
      </c>
      <c r="F1074">
        <v>860</v>
      </c>
      <c r="G1074">
        <v>0</v>
      </c>
      <c r="H1074">
        <v>0</v>
      </c>
      <c r="I1074">
        <v>120</v>
      </c>
      <c r="J1074">
        <v>0</v>
      </c>
      <c r="K1074">
        <v>0</v>
      </c>
      <c r="L1074">
        <v>0</v>
      </c>
      <c r="M1074">
        <v>3168</v>
      </c>
      <c r="N1074">
        <v>0</v>
      </c>
      <c r="O1074">
        <v>0</v>
      </c>
      <c r="P1074">
        <v>0</v>
      </c>
      <c r="Q1074">
        <v>392</v>
      </c>
      <c r="R1074">
        <v>352</v>
      </c>
      <c r="S1074" s="18">
        <f t="shared" si="166"/>
        <v>9</v>
      </c>
      <c r="T1074" s="17">
        <f t="shared" si="167"/>
        <v>352</v>
      </c>
      <c r="U1074" s="17">
        <f t="shared" si="168"/>
        <v>0</v>
      </c>
      <c r="V1074" s="17">
        <f t="shared" si="169"/>
        <v>0</v>
      </c>
      <c r="W1074" s="17">
        <f t="shared" si="170"/>
        <v>0</v>
      </c>
      <c r="X1074" s="17">
        <f t="shared" si="171"/>
        <v>40</v>
      </c>
      <c r="Y1074" s="19">
        <f t="shared" si="172"/>
        <v>0</v>
      </c>
      <c r="Z1074">
        <v>860</v>
      </c>
      <c r="AA1074">
        <v>0</v>
      </c>
      <c r="AB1074">
        <v>0</v>
      </c>
      <c r="AC1074">
        <v>0</v>
      </c>
      <c r="AD1074">
        <v>120</v>
      </c>
      <c r="AE1074">
        <v>0</v>
      </c>
      <c r="AF1074">
        <v>0</v>
      </c>
      <c r="AG1074">
        <v>0</v>
      </c>
      <c r="AH1074">
        <v>120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f t="shared" si="173"/>
        <v>240</v>
      </c>
      <c r="BF1074">
        <v>980</v>
      </c>
      <c r="BG1074">
        <v>980</v>
      </c>
      <c r="BH1074" t="s">
        <v>109</v>
      </c>
      <c r="BI1074" t="s">
        <v>400</v>
      </c>
      <c r="BJ1074">
        <v>0</v>
      </c>
      <c r="BK1074">
        <v>120</v>
      </c>
      <c r="BL1074">
        <v>980</v>
      </c>
      <c r="BM1074">
        <v>3288</v>
      </c>
      <c r="BN1074">
        <v>0</v>
      </c>
      <c r="BO1074">
        <v>0</v>
      </c>
      <c r="BP1074">
        <v>0</v>
      </c>
      <c r="BQ1074">
        <v>3288</v>
      </c>
      <c r="BR1074">
        <f t="shared" si="174"/>
        <v>-40</v>
      </c>
      <c r="BS1074">
        <f t="shared" si="175"/>
        <v>744</v>
      </c>
    </row>
    <row r="1075" spans="1:74" x14ac:dyDescent="0.25">
      <c r="A1075" s="5" t="s">
        <v>61</v>
      </c>
      <c r="B1075" s="6" t="s">
        <v>359</v>
      </c>
      <c r="C1075" s="6" t="s">
        <v>61</v>
      </c>
      <c r="D1075" s="1" t="s">
        <v>67</v>
      </c>
      <c r="E1075">
        <v>0</v>
      </c>
      <c r="F1075">
        <v>100</v>
      </c>
      <c r="G1075">
        <v>0</v>
      </c>
      <c r="H1075">
        <v>0</v>
      </c>
      <c r="I1075">
        <v>700</v>
      </c>
      <c r="J1075">
        <v>434</v>
      </c>
      <c r="K1075">
        <v>149</v>
      </c>
      <c r="L1075">
        <v>25</v>
      </c>
      <c r="M1075">
        <v>0</v>
      </c>
      <c r="N1075">
        <v>0</v>
      </c>
      <c r="O1075">
        <v>0</v>
      </c>
      <c r="P1075">
        <v>630</v>
      </c>
      <c r="Q1075">
        <v>312</v>
      </c>
      <c r="R1075">
        <v>70</v>
      </c>
      <c r="S1075" s="18">
        <f t="shared" si="166"/>
        <v>9</v>
      </c>
      <c r="T1075" s="17">
        <f t="shared" si="167"/>
        <v>0</v>
      </c>
      <c r="U1075" s="17">
        <f t="shared" si="168"/>
        <v>0</v>
      </c>
      <c r="V1075" s="17">
        <f t="shared" si="169"/>
        <v>0</v>
      </c>
      <c r="W1075" s="17">
        <f t="shared" si="170"/>
        <v>70</v>
      </c>
      <c r="X1075" s="17">
        <f t="shared" si="171"/>
        <v>242</v>
      </c>
      <c r="Y1075" s="19">
        <f t="shared" si="172"/>
        <v>0</v>
      </c>
      <c r="Z1075">
        <v>100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700</v>
      </c>
      <c r="AH1075">
        <v>700</v>
      </c>
      <c r="AI1075">
        <v>0</v>
      </c>
      <c r="AJ1075">
        <v>0</v>
      </c>
      <c r="AK1075">
        <v>434</v>
      </c>
      <c r="AL1075">
        <v>434</v>
      </c>
      <c r="AM1075">
        <v>0</v>
      </c>
      <c r="AN1075">
        <v>0</v>
      </c>
      <c r="AO1075">
        <v>149</v>
      </c>
      <c r="AP1075">
        <v>10</v>
      </c>
      <c r="AQ1075">
        <v>149</v>
      </c>
      <c r="AR1075">
        <v>139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25</v>
      </c>
      <c r="BA1075">
        <v>25</v>
      </c>
      <c r="BB1075">
        <v>0</v>
      </c>
      <c r="BC1075">
        <v>0</v>
      </c>
      <c r="BD1075">
        <v>0</v>
      </c>
      <c r="BE1075">
        <f t="shared" si="173"/>
        <v>2765</v>
      </c>
      <c r="BF1075">
        <v>1408</v>
      </c>
      <c r="BG1075">
        <v>1408</v>
      </c>
      <c r="BH1075" t="s">
        <v>63</v>
      </c>
      <c r="BI1075" t="s">
        <v>362</v>
      </c>
      <c r="BJ1075">
        <v>0</v>
      </c>
      <c r="BK1075">
        <v>1308</v>
      </c>
      <c r="BL1075">
        <v>1408</v>
      </c>
      <c r="BM1075">
        <v>0</v>
      </c>
      <c r="BN1075">
        <v>0</v>
      </c>
      <c r="BO1075">
        <v>0</v>
      </c>
      <c r="BP1075">
        <v>1938</v>
      </c>
      <c r="BQ1075">
        <v>1938</v>
      </c>
      <c r="BR1075">
        <f t="shared" si="174"/>
        <v>-242</v>
      </c>
      <c r="BS1075">
        <f t="shared" si="175"/>
        <v>382</v>
      </c>
      <c r="BU1075">
        <f>R1075*9</f>
        <v>630</v>
      </c>
      <c r="BV1075">
        <f>IF(BU1075&gt;BG1075, 1, 0)</f>
        <v>0</v>
      </c>
    </row>
    <row r="1076" spans="1:74" x14ac:dyDescent="0.25">
      <c r="A1076" s="5" t="s">
        <v>627</v>
      </c>
      <c r="B1076" s="7" t="s">
        <v>359</v>
      </c>
      <c r="C1076" s="7" t="s">
        <v>61</v>
      </c>
      <c r="D1076" s="1" t="s">
        <v>113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670</v>
      </c>
      <c r="K1076">
        <v>190</v>
      </c>
      <c r="L1076">
        <v>40</v>
      </c>
      <c r="M1076">
        <v>0</v>
      </c>
      <c r="N1076">
        <v>0</v>
      </c>
      <c r="O1076">
        <v>0</v>
      </c>
      <c r="P1076">
        <v>0</v>
      </c>
      <c r="Q1076">
        <v>40</v>
      </c>
      <c r="R1076">
        <v>0</v>
      </c>
      <c r="S1076" s="18" t="e">
        <f t="shared" si="166"/>
        <v>#DIV/0!</v>
      </c>
      <c r="T1076" s="17" t="e">
        <f t="shared" si="167"/>
        <v>#DIV/0!</v>
      </c>
      <c r="U1076" s="17" t="e">
        <f t="shared" si="168"/>
        <v>#DIV/0!</v>
      </c>
      <c r="V1076" s="17" t="e">
        <f t="shared" si="169"/>
        <v>#DIV/0!</v>
      </c>
      <c r="W1076" s="17" t="e">
        <f t="shared" si="170"/>
        <v>#DIV/0!</v>
      </c>
      <c r="X1076" s="17" t="e">
        <f t="shared" si="171"/>
        <v>#DIV/0!</v>
      </c>
      <c r="Y1076" s="19" t="e">
        <f t="shared" si="172"/>
        <v>#DIV/0!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670</v>
      </c>
      <c r="AL1076">
        <v>670</v>
      </c>
      <c r="AM1076">
        <v>0</v>
      </c>
      <c r="AN1076">
        <v>0</v>
      </c>
      <c r="AO1076">
        <v>190</v>
      </c>
      <c r="AP1076">
        <v>0</v>
      </c>
      <c r="AQ1076">
        <v>190</v>
      </c>
      <c r="AR1076">
        <v>190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40</v>
      </c>
      <c r="BA1076">
        <v>40</v>
      </c>
      <c r="BB1076">
        <v>0</v>
      </c>
      <c r="BC1076">
        <v>0</v>
      </c>
      <c r="BD1076">
        <v>0</v>
      </c>
      <c r="BE1076">
        <f t="shared" si="173"/>
        <v>1990</v>
      </c>
      <c r="BF1076">
        <v>900</v>
      </c>
      <c r="BG1076">
        <v>900</v>
      </c>
      <c r="BH1076" t="s">
        <v>109</v>
      </c>
      <c r="BI1076" t="s">
        <v>869</v>
      </c>
      <c r="BJ1076">
        <v>0</v>
      </c>
      <c r="BK1076">
        <v>900</v>
      </c>
      <c r="BL1076">
        <v>900</v>
      </c>
      <c r="BM1076">
        <v>0</v>
      </c>
      <c r="BN1076">
        <v>0</v>
      </c>
      <c r="BO1076">
        <v>0</v>
      </c>
      <c r="BP1076">
        <v>900</v>
      </c>
      <c r="BQ1076">
        <v>900</v>
      </c>
      <c r="BR1076">
        <f t="shared" si="174"/>
        <v>-40</v>
      </c>
      <c r="BS1076">
        <f t="shared" si="175"/>
        <v>40</v>
      </c>
    </row>
    <row r="1077" spans="1:74" x14ac:dyDescent="0.25">
      <c r="A1077" s="5" t="s">
        <v>1661</v>
      </c>
      <c r="B1077" s="5" t="s">
        <v>359</v>
      </c>
      <c r="C1077" s="5" t="s">
        <v>207</v>
      </c>
      <c r="D1077" s="1" t="s">
        <v>67</v>
      </c>
      <c r="E1077">
        <v>0</v>
      </c>
      <c r="F1077">
        <v>308</v>
      </c>
      <c r="G1077">
        <v>0</v>
      </c>
      <c r="H1077">
        <v>0</v>
      </c>
      <c r="I1077">
        <v>980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612</v>
      </c>
      <c r="Q1077">
        <v>68</v>
      </c>
      <c r="R1077">
        <v>68</v>
      </c>
      <c r="S1077" s="18">
        <f t="shared" si="166"/>
        <v>9</v>
      </c>
      <c r="T1077" s="17">
        <f t="shared" si="167"/>
        <v>0</v>
      </c>
      <c r="U1077" s="17">
        <f t="shared" si="168"/>
        <v>0</v>
      </c>
      <c r="V1077" s="17">
        <f t="shared" si="169"/>
        <v>0</v>
      </c>
      <c r="W1077" s="17">
        <f t="shared" si="170"/>
        <v>68</v>
      </c>
      <c r="X1077" s="17">
        <f t="shared" si="171"/>
        <v>0</v>
      </c>
      <c r="Y1077" s="19" t="e">
        <f t="shared" si="172"/>
        <v>#DIV/0!</v>
      </c>
      <c r="Z1077">
        <v>308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980</v>
      </c>
      <c r="AH1077">
        <v>980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f t="shared" si="173"/>
        <v>1960</v>
      </c>
      <c r="BF1077">
        <v>1288</v>
      </c>
      <c r="BG1077">
        <v>1288</v>
      </c>
      <c r="BH1077" t="s">
        <v>63</v>
      </c>
      <c r="BI1077" t="s">
        <v>1884</v>
      </c>
      <c r="BJ1077">
        <v>0</v>
      </c>
      <c r="BK1077">
        <v>980</v>
      </c>
      <c r="BL1077">
        <v>1288</v>
      </c>
      <c r="BM1077">
        <v>0</v>
      </c>
      <c r="BN1077">
        <v>0</v>
      </c>
      <c r="BO1077">
        <v>0</v>
      </c>
      <c r="BP1077">
        <v>1592</v>
      </c>
      <c r="BQ1077">
        <v>1592</v>
      </c>
      <c r="BR1077">
        <f t="shared" si="174"/>
        <v>0</v>
      </c>
      <c r="BS1077">
        <f t="shared" si="175"/>
        <v>136</v>
      </c>
      <c r="BU1077">
        <f>R1077*9</f>
        <v>612</v>
      </c>
      <c r="BV1077">
        <f>IF(BU1077&gt;BG1077, 1, 0)</f>
        <v>0</v>
      </c>
    </row>
    <row r="1078" spans="1:74" x14ac:dyDescent="0.25">
      <c r="A1078" s="5" t="s">
        <v>1135</v>
      </c>
      <c r="B1078" s="5" t="s">
        <v>207</v>
      </c>
      <c r="C1078" s="5" t="s">
        <v>61</v>
      </c>
      <c r="D1078" s="1" t="s">
        <v>147</v>
      </c>
      <c r="E1078">
        <v>0</v>
      </c>
      <c r="F1078">
        <v>50</v>
      </c>
      <c r="G1078">
        <v>0</v>
      </c>
      <c r="H1078">
        <v>0</v>
      </c>
      <c r="I1078">
        <v>120</v>
      </c>
      <c r="J1078">
        <v>800</v>
      </c>
      <c r="K1078">
        <v>40</v>
      </c>
      <c r="L1078">
        <v>0</v>
      </c>
      <c r="M1078">
        <v>0</v>
      </c>
      <c r="N1078">
        <v>0</v>
      </c>
      <c r="O1078">
        <v>0</v>
      </c>
      <c r="P1078">
        <v>90</v>
      </c>
      <c r="Q1078">
        <v>50</v>
      </c>
      <c r="R1078">
        <v>10</v>
      </c>
      <c r="S1078" s="18">
        <f t="shared" si="166"/>
        <v>9</v>
      </c>
      <c r="T1078" s="17">
        <f t="shared" si="167"/>
        <v>0</v>
      </c>
      <c r="U1078" s="17">
        <f t="shared" si="168"/>
        <v>0</v>
      </c>
      <c r="V1078" s="17">
        <f t="shared" si="169"/>
        <v>0</v>
      </c>
      <c r="W1078" s="17">
        <f t="shared" si="170"/>
        <v>10</v>
      </c>
      <c r="X1078" s="17">
        <f t="shared" si="171"/>
        <v>40</v>
      </c>
      <c r="Y1078" s="19">
        <f t="shared" si="172"/>
        <v>0</v>
      </c>
      <c r="Z1078">
        <v>50</v>
      </c>
      <c r="AA1078">
        <v>0</v>
      </c>
      <c r="AB1078">
        <v>0</v>
      </c>
      <c r="AC1078">
        <v>220</v>
      </c>
      <c r="AD1078">
        <v>0</v>
      </c>
      <c r="AE1078">
        <v>0</v>
      </c>
      <c r="AF1078">
        <v>0</v>
      </c>
      <c r="AG1078">
        <v>120</v>
      </c>
      <c r="AH1078">
        <v>120</v>
      </c>
      <c r="AI1078">
        <v>0</v>
      </c>
      <c r="AJ1078">
        <v>0</v>
      </c>
      <c r="AK1078">
        <v>800</v>
      </c>
      <c r="AL1078">
        <v>800</v>
      </c>
      <c r="AM1078">
        <v>0</v>
      </c>
      <c r="AN1078">
        <v>0</v>
      </c>
      <c r="AO1078">
        <v>40</v>
      </c>
      <c r="AP1078">
        <v>10</v>
      </c>
      <c r="AQ1078">
        <v>40</v>
      </c>
      <c r="AR1078">
        <v>30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f t="shared" si="173"/>
        <v>2180</v>
      </c>
      <c r="BF1078">
        <v>1230</v>
      </c>
      <c r="BG1078">
        <v>1230</v>
      </c>
      <c r="BH1078" t="s">
        <v>82</v>
      </c>
      <c r="BI1078" t="s">
        <v>1236</v>
      </c>
      <c r="BJ1078">
        <v>220</v>
      </c>
      <c r="BK1078">
        <v>960</v>
      </c>
      <c r="BL1078">
        <v>1230</v>
      </c>
      <c r="BM1078">
        <v>0</v>
      </c>
      <c r="BN1078">
        <v>0</v>
      </c>
      <c r="BO1078">
        <v>0</v>
      </c>
      <c r="BP1078">
        <v>1050</v>
      </c>
      <c r="BQ1078">
        <v>1050</v>
      </c>
      <c r="BR1078">
        <f t="shared" si="174"/>
        <v>-40</v>
      </c>
      <c r="BS1078">
        <f t="shared" si="175"/>
        <v>60</v>
      </c>
    </row>
    <row r="1079" spans="1:74" x14ac:dyDescent="0.25">
      <c r="A1079" s="5" t="s">
        <v>1661</v>
      </c>
      <c r="B1079" s="5" t="s">
        <v>61</v>
      </c>
      <c r="C1079" s="5" t="s">
        <v>61</v>
      </c>
      <c r="D1079" s="1" t="s">
        <v>131</v>
      </c>
      <c r="E1079">
        <v>0</v>
      </c>
      <c r="F1079">
        <v>664</v>
      </c>
      <c r="G1079">
        <v>0</v>
      </c>
      <c r="H1079">
        <v>0</v>
      </c>
      <c r="I1079">
        <v>0</v>
      </c>
      <c r="J1079">
        <v>770</v>
      </c>
      <c r="K1079">
        <v>110</v>
      </c>
      <c r="L1079">
        <v>0</v>
      </c>
      <c r="M1079">
        <v>0</v>
      </c>
      <c r="N1079">
        <v>0</v>
      </c>
      <c r="O1079">
        <v>0</v>
      </c>
      <c r="P1079">
        <v>5976</v>
      </c>
      <c r="Q1079">
        <v>704</v>
      </c>
      <c r="R1079">
        <v>664</v>
      </c>
      <c r="S1079" s="18">
        <f t="shared" si="166"/>
        <v>9</v>
      </c>
      <c r="T1079" s="17">
        <f t="shared" si="167"/>
        <v>0</v>
      </c>
      <c r="U1079" s="17">
        <f t="shared" si="168"/>
        <v>0</v>
      </c>
      <c r="V1079" s="17">
        <f t="shared" si="169"/>
        <v>0</v>
      </c>
      <c r="W1079" s="17">
        <f t="shared" si="170"/>
        <v>664</v>
      </c>
      <c r="X1079" s="17">
        <f t="shared" si="171"/>
        <v>40</v>
      </c>
      <c r="Y1079" s="19">
        <f t="shared" si="172"/>
        <v>0</v>
      </c>
      <c r="Z1079">
        <v>664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770</v>
      </c>
      <c r="AL1079">
        <v>770</v>
      </c>
      <c r="AM1079">
        <v>0</v>
      </c>
      <c r="AN1079">
        <v>0</v>
      </c>
      <c r="AO1079">
        <v>110</v>
      </c>
      <c r="AP1079">
        <v>50</v>
      </c>
      <c r="AQ1079">
        <v>110</v>
      </c>
      <c r="AR1079">
        <v>60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f t="shared" si="173"/>
        <v>1870</v>
      </c>
      <c r="BF1079">
        <v>1544</v>
      </c>
      <c r="BG1079">
        <v>1544</v>
      </c>
      <c r="BH1079" t="s">
        <v>190</v>
      </c>
      <c r="BI1079" t="s">
        <v>1691</v>
      </c>
      <c r="BJ1079">
        <v>0</v>
      </c>
      <c r="BK1079">
        <v>880</v>
      </c>
      <c r="BL1079">
        <v>1544</v>
      </c>
      <c r="BM1079">
        <v>0</v>
      </c>
      <c r="BN1079">
        <v>0</v>
      </c>
      <c r="BO1079">
        <v>0</v>
      </c>
      <c r="BP1079">
        <v>6856</v>
      </c>
      <c r="BQ1079">
        <v>6856</v>
      </c>
      <c r="BR1079">
        <f t="shared" si="174"/>
        <v>-40</v>
      </c>
      <c r="BS1079">
        <f t="shared" si="175"/>
        <v>1368</v>
      </c>
    </row>
    <row r="1080" spans="1:74" x14ac:dyDescent="0.25">
      <c r="A1080" s="5" t="s">
        <v>2294</v>
      </c>
      <c r="B1080" s="5" t="s">
        <v>207</v>
      </c>
      <c r="C1080" s="5" t="s">
        <v>61</v>
      </c>
      <c r="D1080" s="1" t="s">
        <v>79</v>
      </c>
      <c r="E1080">
        <v>0</v>
      </c>
      <c r="F1080">
        <v>1</v>
      </c>
      <c r="G1080">
        <v>0</v>
      </c>
      <c r="H1080">
        <v>0</v>
      </c>
      <c r="I1080">
        <v>177</v>
      </c>
      <c r="J1080">
        <v>0</v>
      </c>
      <c r="K1080">
        <v>46</v>
      </c>
      <c r="L1080">
        <v>0</v>
      </c>
      <c r="M1080">
        <v>0</v>
      </c>
      <c r="N1080">
        <v>0</v>
      </c>
      <c r="O1080">
        <v>0</v>
      </c>
      <c r="P1080">
        <v>9</v>
      </c>
      <c r="Q1080">
        <v>41</v>
      </c>
      <c r="R1080">
        <v>1</v>
      </c>
      <c r="S1080" s="18">
        <f t="shared" si="166"/>
        <v>9</v>
      </c>
      <c r="T1080" s="17">
        <f t="shared" si="167"/>
        <v>0</v>
      </c>
      <c r="U1080" s="17">
        <f t="shared" si="168"/>
        <v>0</v>
      </c>
      <c r="V1080" s="17">
        <f t="shared" si="169"/>
        <v>0</v>
      </c>
      <c r="W1080" s="17">
        <f t="shared" si="170"/>
        <v>1</v>
      </c>
      <c r="X1080" s="17">
        <f t="shared" si="171"/>
        <v>40</v>
      </c>
      <c r="Y1080" s="19">
        <f t="shared" si="172"/>
        <v>0</v>
      </c>
      <c r="Z1080">
        <v>1</v>
      </c>
      <c r="AA1080">
        <v>0</v>
      </c>
      <c r="AB1080">
        <v>0</v>
      </c>
      <c r="AC1080">
        <v>100</v>
      </c>
      <c r="AD1080">
        <v>0</v>
      </c>
      <c r="AE1080">
        <v>0</v>
      </c>
      <c r="AF1080">
        <v>0</v>
      </c>
      <c r="AG1080">
        <v>177</v>
      </c>
      <c r="AH1080">
        <v>177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46</v>
      </c>
      <c r="AP1080">
        <v>18</v>
      </c>
      <c r="AQ1080">
        <v>46</v>
      </c>
      <c r="AR1080">
        <v>28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f t="shared" si="173"/>
        <v>592</v>
      </c>
      <c r="BF1080">
        <v>324</v>
      </c>
      <c r="BG1080">
        <v>324</v>
      </c>
      <c r="BH1080" t="s">
        <v>82</v>
      </c>
      <c r="BI1080" t="s">
        <v>2331</v>
      </c>
      <c r="BJ1080">
        <v>100</v>
      </c>
      <c r="BK1080">
        <v>223</v>
      </c>
      <c r="BL1080">
        <v>324</v>
      </c>
      <c r="BM1080">
        <v>0</v>
      </c>
      <c r="BN1080">
        <v>0</v>
      </c>
      <c r="BO1080">
        <v>0</v>
      </c>
      <c r="BP1080">
        <v>232</v>
      </c>
      <c r="BQ1080">
        <v>232</v>
      </c>
      <c r="BR1080">
        <f t="shared" si="174"/>
        <v>-40</v>
      </c>
      <c r="BS1080">
        <f t="shared" si="175"/>
        <v>42</v>
      </c>
    </row>
    <row r="1081" spans="1:74" x14ac:dyDescent="0.25">
      <c r="A1081" s="5" t="s">
        <v>61</v>
      </c>
      <c r="B1081" s="5" t="s">
        <v>207</v>
      </c>
      <c r="C1081" s="5" t="s">
        <v>207</v>
      </c>
      <c r="D1081" s="1" t="s">
        <v>179</v>
      </c>
      <c r="E1081">
        <v>0</v>
      </c>
      <c r="F1081">
        <v>0</v>
      </c>
      <c r="G1081">
        <v>0</v>
      </c>
      <c r="H1081">
        <v>0</v>
      </c>
      <c r="I1081">
        <v>80</v>
      </c>
      <c r="J1081">
        <v>0</v>
      </c>
      <c r="K1081">
        <v>8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41</v>
      </c>
      <c r="R1081">
        <v>0</v>
      </c>
      <c r="S1081" s="18" t="e">
        <f t="shared" si="166"/>
        <v>#DIV/0!</v>
      </c>
      <c r="T1081" s="17" t="e">
        <f t="shared" si="167"/>
        <v>#DIV/0!</v>
      </c>
      <c r="U1081" s="17" t="e">
        <f t="shared" si="168"/>
        <v>#DIV/0!</v>
      </c>
      <c r="V1081" s="17" t="e">
        <f t="shared" si="169"/>
        <v>#DIV/0!</v>
      </c>
      <c r="W1081" s="17" t="e">
        <f t="shared" si="170"/>
        <v>#DIV/0!</v>
      </c>
      <c r="X1081" s="17" t="e">
        <f t="shared" si="171"/>
        <v>#DIV/0!</v>
      </c>
      <c r="Y1081" s="19" t="e">
        <f t="shared" si="172"/>
        <v>#DIV/0!</v>
      </c>
      <c r="Z1081">
        <v>0</v>
      </c>
      <c r="AA1081">
        <v>0</v>
      </c>
      <c r="AB1081">
        <v>0</v>
      </c>
      <c r="AC1081">
        <v>0</v>
      </c>
      <c r="AD1081">
        <v>80</v>
      </c>
      <c r="AE1081">
        <v>0</v>
      </c>
      <c r="AF1081">
        <v>0</v>
      </c>
      <c r="AG1081">
        <v>0</v>
      </c>
      <c r="AH1081">
        <v>80</v>
      </c>
      <c r="AI1081">
        <v>0</v>
      </c>
      <c r="AJ1081">
        <v>0</v>
      </c>
      <c r="AK1081">
        <v>0</v>
      </c>
      <c r="AL1081">
        <v>0</v>
      </c>
      <c r="AM1081">
        <v>8</v>
      </c>
      <c r="AN1081">
        <v>0</v>
      </c>
      <c r="AO1081">
        <v>0</v>
      </c>
      <c r="AP1081">
        <v>8</v>
      </c>
      <c r="AQ1081">
        <v>8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f t="shared" si="173"/>
        <v>184</v>
      </c>
      <c r="BF1081">
        <v>88</v>
      </c>
      <c r="BG1081">
        <v>88</v>
      </c>
      <c r="BH1081" t="s">
        <v>190</v>
      </c>
      <c r="BI1081" t="s">
        <v>336</v>
      </c>
      <c r="BJ1081">
        <v>0</v>
      </c>
      <c r="BK1081">
        <v>88</v>
      </c>
      <c r="BL1081">
        <v>88</v>
      </c>
      <c r="BM1081">
        <v>88</v>
      </c>
      <c r="BN1081">
        <v>0</v>
      </c>
      <c r="BO1081">
        <v>0</v>
      </c>
      <c r="BP1081">
        <v>0</v>
      </c>
      <c r="BQ1081">
        <v>88</v>
      </c>
      <c r="BR1081">
        <f t="shared" si="174"/>
        <v>-41</v>
      </c>
      <c r="BS1081">
        <f t="shared" si="175"/>
        <v>41</v>
      </c>
    </row>
    <row r="1082" spans="1:74" x14ac:dyDescent="0.25">
      <c r="A1082" s="5" t="s">
        <v>61</v>
      </c>
      <c r="B1082" s="5" t="s">
        <v>207</v>
      </c>
      <c r="C1082" s="5" t="s">
        <v>207</v>
      </c>
      <c r="D1082" s="1" t="s">
        <v>355</v>
      </c>
      <c r="E1082">
        <v>0</v>
      </c>
      <c r="F1082">
        <v>10</v>
      </c>
      <c r="G1082">
        <v>0</v>
      </c>
      <c r="H1082">
        <v>0</v>
      </c>
      <c r="I1082">
        <v>35</v>
      </c>
      <c r="J1082">
        <v>460</v>
      </c>
      <c r="K1082">
        <v>28</v>
      </c>
      <c r="L1082">
        <v>0</v>
      </c>
      <c r="M1082">
        <v>0</v>
      </c>
      <c r="N1082">
        <v>0</v>
      </c>
      <c r="O1082">
        <v>0</v>
      </c>
      <c r="P1082">
        <v>90</v>
      </c>
      <c r="Q1082">
        <v>51</v>
      </c>
      <c r="R1082">
        <v>10</v>
      </c>
      <c r="S1082" s="18">
        <f t="shared" si="166"/>
        <v>9</v>
      </c>
      <c r="T1082" s="17">
        <f t="shared" si="167"/>
        <v>0</v>
      </c>
      <c r="U1082" s="17">
        <f t="shared" si="168"/>
        <v>0</v>
      </c>
      <c r="V1082" s="17">
        <f t="shared" si="169"/>
        <v>0</v>
      </c>
      <c r="W1082" s="17">
        <f t="shared" si="170"/>
        <v>10</v>
      </c>
      <c r="X1082" s="17">
        <f t="shared" si="171"/>
        <v>41</v>
      </c>
      <c r="Y1082" s="19">
        <f t="shared" si="172"/>
        <v>0</v>
      </c>
      <c r="Z1082">
        <v>10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35</v>
      </c>
      <c r="AH1082">
        <v>35</v>
      </c>
      <c r="AI1082">
        <v>0</v>
      </c>
      <c r="AJ1082">
        <v>0</v>
      </c>
      <c r="AK1082">
        <v>460</v>
      </c>
      <c r="AL1082">
        <v>460</v>
      </c>
      <c r="AM1082">
        <v>0</v>
      </c>
      <c r="AN1082">
        <v>0</v>
      </c>
      <c r="AO1082">
        <v>28</v>
      </c>
      <c r="AP1082">
        <v>20</v>
      </c>
      <c r="AQ1082">
        <v>28</v>
      </c>
      <c r="AR1082">
        <v>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f t="shared" si="173"/>
        <v>1074</v>
      </c>
      <c r="BF1082">
        <v>533</v>
      </c>
      <c r="BG1082">
        <v>533</v>
      </c>
      <c r="BH1082" t="s">
        <v>190</v>
      </c>
      <c r="BI1082" t="s">
        <v>356</v>
      </c>
      <c r="BJ1082">
        <v>0</v>
      </c>
      <c r="BK1082">
        <v>523</v>
      </c>
      <c r="BL1082">
        <v>533</v>
      </c>
      <c r="BM1082">
        <v>0</v>
      </c>
      <c r="BN1082">
        <v>0</v>
      </c>
      <c r="BO1082">
        <v>0</v>
      </c>
      <c r="BP1082">
        <v>613</v>
      </c>
      <c r="BQ1082">
        <v>613</v>
      </c>
      <c r="BR1082">
        <f t="shared" si="174"/>
        <v>-41</v>
      </c>
      <c r="BS1082">
        <f t="shared" si="175"/>
        <v>61</v>
      </c>
    </row>
    <row r="1083" spans="1:74" x14ac:dyDescent="0.25">
      <c r="A1083" s="5" t="s">
        <v>207</v>
      </c>
      <c r="B1083" s="5" t="s">
        <v>61</v>
      </c>
      <c r="C1083" s="5" t="s">
        <v>359</v>
      </c>
      <c r="D1083" s="1" t="s">
        <v>98</v>
      </c>
      <c r="E1083">
        <v>0</v>
      </c>
      <c r="F1083">
        <v>0</v>
      </c>
      <c r="G1083">
        <v>0</v>
      </c>
      <c r="H1083">
        <v>0</v>
      </c>
      <c r="I1083">
        <v>47</v>
      </c>
      <c r="J1083">
        <v>400</v>
      </c>
      <c r="K1083">
        <v>50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41</v>
      </c>
      <c r="R1083">
        <v>0</v>
      </c>
      <c r="S1083" s="18" t="e">
        <f t="shared" si="166"/>
        <v>#DIV/0!</v>
      </c>
      <c r="T1083" s="17" t="e">
        <f t="shared" si="167"/>
        <v>#DIV/0!</v>
      </c>
      <c r="U1083" s="17" t="e">
        <f t="shared" si="168"/>
        <v>#DIV/0!</v>
      </c>
      <c r="V1083" s="17" t="e">
        <f t="shared" si="169"/>
        <v>#DIV/0!</v>
      </c>
      <c r="W1083" s="17" t="e">
        <f t="shared" si="170"/>
        <v>#DIV/0!</v>
      </c>
      <c r="X1083" s="17" t="e">
        <f t="shared" si="171"/>
        <v>#DIV/0!</v>
      </c>
      <c r="Y1083" s="19" t="e">
        <f t="shared" si="172"/>
        <v>#DIV/0!</v>
      </c>
      <c r="Z1083">
        <v>0</v>
      </c>
      <c r="AA1083">
        <v>0</v>
      </c>
      <c r="AB1083">
        <v>0</v>
      </c>
      <c r="AC1083">
        <v>300</v>
      </c>
      <c r="AD1083">
        <v>0</v>
      </c>
      <c r="AE1083">
        <v>0</v>
      </c>
      <c r="AF1083">
        <v>0</v>
      </c>
      <c r="AG1083">
        <v>47</v>
      </c>
      <c r="AH1083">
        <v>47</v>
      </c>
      <c r="AI1083">
        <v>0</v>
      </c>
      <c r="AJ1083">
        <v>0</v>
      </c>
      <c r="AK1083">
        <v>400</v>
      </c>
      <c r="AL1083">
        <v>400</v>
      </c>
      <c r="AM1083">
        <v>0</v>
      </c>
      <c r="AN1083">
        <v>0</v>
      </c>
      <c r="AO1083">
        <v>50</v>
      </c>
      <c r="AP1083">
        <v>35</v>
      </c>
      <c r="AQ1083">
        <v>50</v>
      </c>
      <c r="AR1083">
        <v>15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f t="shared" si="173"/>
        <v>1344</v>
      </c>
      <c r="BF1083">
        <v>797</v>
      </c>
      <c r="BG1083">
        <v>797</v>
      </c>
      <c r="BH1083" t="s">
        <v>82</v>
      </c>
      <c r="BI1083" t="s">
        <v>515</v>
      </c>
      <c r="BJ1083">
        <v>300</v>
      </c>
      <c r="BK1083">
        <v>497</v>
      </c>
      <c r="BL1083">
        <v>797</v>
      </c>
      <c r="BM1083">
        <v>0</v>
      </c>
      <c r="BN1083">
        <v>0</v>
      </c>
      <c r="BO1083">
        <v>0</v>
      </c>
      <c r="BP1083">
        <v>497</v>
      </c>
      <c r="BQ1083">
        <v>497</v>
      </c>
      <c r="BR1083">
        <f t="shared" si="174"/>
        <v>-41</v>
      </c>
      <c r="BS1083">
        <f t="shared" si="175"/>
        <v>41</v>
      </c>
    </row>
    <row r="1084" spans="1:74" x14ac:dyDescent="0.25">
      <c r="A1084" s="5" t="s">
        <v>1451</v>
      </c>
      <c r="B1084" s="5" t="s">
        <v>207</v>
      </c>
      <c r="C1084" s="5" t="s">
        <v>61</v>
      </c>
      <c r="D1084" s="1" t="s">
        <v>96</v>
      </c>
      <c r="E1084">
        <v>0</v>
      </c>
      <c r="F1084">
        <v>615</v>
      </c>
      <c r="G1084">
        <v>0</v>
      </c>
      <c r="H1084">
        <v>0</v>
      </c>
      <c r="I1084">
        <v>40</v>
      </c>
      <c r="J1084">
        <v>502</v>
      </c>
      <c r="K1084">
        <v>290</v>
      </c>
      <c r="L1084">
        <v>0</v>
      </c>
      <c r="M1084">
        <v>0</v>
      </c>
      <c r="N1084">
        <v>0</v>
      </c>
      <c r="O1084">
        <v>0</v>
      </c>
      <c r="P1084">
        <v>2034</v>
      </c>
      <c r="Q1084">
        <v>267</v>
      </c>
      <c r="R1084">
        <v>226</v>
      </c>
      <c r="S1084" s="18">
        <f t="shared" si="166"/>
        <v>9</v>
      </c>
      <c r="T1084" s="17">
        <f t="shared" si="167"/>
        <v>0</v>
      </c>
      <c r="U1084" s="17">
        <f t="shared" si="168"/>
        <v>0</v>
      </c>
      <c r="V1084" s="17">
        <f t="shared" si="169"/>
        <v>0</v>
      </c>
      <c r="W1084" s="17">
        <f t="shared" si="170"/>
        <v>226</v>
      </c>
      <c r="X1084" s="17">
        <f t="shared" si="171"/>
        <v>41</v>
      </c>
      <c r="Y1084" s="19">
        <f t="shared" si="172"/>
        <v>0</v>
      </c>
      <c r="Z1084">
        <v>615</v>
      </c>
      <c r="AA1084">
        <v>0</v>
      </c>
      <c r="AB1084">
        <v>0</v>
      </c>
      <c r="AC1084">
        <v>1390</v>
      </c>
      <c r="AD1084">
        <v>0</v>
      </c>
      <c r="AE1084">
        <v>0</v>
      </c>
      <c r="AF1084">
        <v>0</v>
      </c>
      <c r="AG1084">
        <v>40</v>
      </c>
      <c r="AH1084">
        <v>40</v>
      </c>
      <c r="AI1084">
        <v>0</v>
      </c>
      <c r="AJ1084">
        <v>0</v>
      </c>
      <c r="AK1084">
        <v>502</v>
      </c>
      <c r="AL1084">
        <v>502</v>
      </c>
      <c r="AM1084">
        <v>0</v>
      </c>
      <c r="AN1084">
        <v>0</v>
      </c>
      <c r="AO1084">
        <v>290</v>
      </c>
      <c r="AP1084">
        <v>190</v>
      </c>
      <c r="AQ1084">
        <v>290</v>
      </c>
      <c r="AR1084">
        <v>100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f t="shared" si="173"/>
        <v>3344</v>
      </c>
      <c r="BF1084">
        <v>2837</v>
      </c>
      <c r="BG1084">
        <v>2837</v>
      </c>
      <c r="BH1084" t="s">
        <v>82</v>
      </c>
      <c r="BI1084" t="s">
        <v>1546</v>
      </c>
      <c r="BJ1084">
        <v>1390</v>
      </c>
      <c r="BK1084">
        <v>832</v>
      </c>
      <c r="BL1084">
        <v>2837</v>
      </c>
      <c r="BM1084">
        <v>0</v>
      </c>
      <c r="BN1084">
        <v>0</v>
      </c>
      <c r="BO1084">
        <v>0</v>
      </c>
      <c r="BP1084">
        <v>2866</v>
      </c>
      <c r="BQ1084">
        <v>2866</v>
      </c>
      <c r="BR1084">
        <f t="shared" si="174"/>
        <v>-41</v>
      </c>
      <c r="BS1084">
        <f t="shared" si="175"/>
        <v>493</v>
      </c>
    </row>
    <row r="1085" spans="1:74" x14ac:dyDescent="0.25">
      <c r="A1085" s="5" t="s">
        <v>207</v>
      </c>
      <c r="B1085" s="5" t="s">
        <v>61</v>
      </c>
      <c r="C1085" s="5" t="s">
        <v>359</v>
      </c>
      <c r="D1085" s="1" t="s">
        <v>108</v>
      </c>
      <c r="E1085">
        <v>0</v>
      </c>
      <c r="F1085">
        <v>0</v>
      </c>
      <c r="G1085">
        <v>0</v>
      </c>
      <c r="H1085">
        <v>0</v>
      </c>
      <c r="I1085">
        <v>8</v>
      </c>
      <c r="J1085">
        <v>280</v>
      </c>
      <c r="K1085">
        <v>40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42</v>
      </c>
      <c r="R1085">
        <v>0</v>
      </c>
      <c r="S1085" s="18" t="e">
        <f t="shared" si="166"/>
        <v>#DIV/0!</v>
      </c>
      <c r="T1085" s="17" t="e">
        <f t="shared" si="167"/>
        <v>#DIV/0!</v>
      </c>
      <c r="U1085" s="17" t="e">
        <f t="shared" si="168"/>
        <v>#DIV/0!</v>
      </c>
      <c r="V1085" s="17" t="e">
        <f t="shared" si="169"/>
        <v>#DIV/0!</v>
      </c>
      <c r="W1085" s="17" t="e">
        <f t="shared" si="170"/>
        <v>#DIV/0!</v>
      </c>
      <c r="X1085" s="17" t="e">
        <f t="shared" si="171"/>
        <v>#DIV/0!</v>
      </c>
      <c r="Y1085" s="19" t="e">
        <f t="shared" si="172"/>
        <v>#DIV/0!</v>
      </c>
      <c r="Z1085">
        <v>0</v>
      </c>
      <c r="AA1085">
        <v>0</v>
      </c>
      <c r="AB1085">
        <v>94</v>
      </c>
      <c r="AC1085">
        <v>472</v>
      </c>
      <c r="AD1085">
        <v>0</v>
      </c>
      <c r="AE1085">
        <v>0</v>
      </c>
      <c r="AF1085">
        <v>0</v>
      </c>
      <c r="AG1085">
        <v>8</v>
      </c>
      <c r="AH1085">
        <v>8</v>
      </c>
      <c r="AI1085">
        <v>0</v>
      </c>
      <c r="AJ1085">
        <v>0</v>
      </c>
      <c r="AK1085">
        <v>280</v>
      </c>
      <c r="AL1085">
        <v>280</v>
      </c>
      <c r="AM1085">
        <v>0</v>
      </c>
      <c r="AN1085">
        <v>0</v>
      </c>
      <c r="AO1085">
        <v>40</v>
      </c>
      <c r="AP1085">
        <v>2</v>
      </c>
      <c r="AQ1085">
        <v>40</v>
      </c>
      <c r="AR1085">
        <v>38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f t="shared" si="173"/>
        <v>1168</v>
      </c>
      <c r="BF1085">
        <v>894</v>
      </c>
      <c r="BG1085">
        <v>894</v>
      </c>
      <c r="BH1085" t="s">
        <v>82</v>
      </c>
      <c r="BI1085" t="s">
        <v>520</v>
      </c>
      <c r="BJ1085">
        <v>566</v>
      </c>
      <c r="BK1085">
        <v>328</v>
      </c>
      <c r="BL1085">
        <v>894</v>
      </c>
      <c r="BM1085">
        <v>0</v>
      </c>
      <c r="BN1085">
        <v>0</v>
      </c>
      <c r="BO1085">
        <v>0</v>
      </c>
      <c r="BP1085">
        <v>328</v>
      </c>
      <c r="BQ1085">
        <v>328</v>
      </c>
      <c r="BR1085">
        <f t="shared" si="174"/>
        <v>-42</v>
      </c>
      <c r="BS1085">
        <f t="shared" si="175"/>
        <v>42</v>
      </c>
    </row>
    <row r="1086" spans="1:74" x14ac:dyDescent="0.25">
      <c r="A1086" s="5" t="s">
        <v>207</v>
      </c>
      <c r="B1086" s="5" t="s">
        <v>359</v>
      </c>
      <c r="C1086" s="5" t="s">
        <v>61</v>
      </c>
      <c r="D1086" s="1" t="s">
        <v>104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42</v>
      </c>
      <c r="R1086">
        <v>0</v>
      </c>
      <c r="S1086" s="18" t="e">
        <f t="shared" si="166"/>
        <v>#DIV/0!</v>
      </c>
      <c r="T1086" s="17" t="e">
        <f t="shared" si="167"/>
        <v>#DIV/0!</v>
      </c>
      <c r="U1086" s="17" t="e">
        <f t="shared" si="168"/>
        <v>#DIV/0!</v>
      </c>
      <c r="V1086" s="17" t="e">
        <f t="shared" si="169"/>
        <v>#DIV/0!</v>
      </c>
      <c r="W1086" s="17" t="e">
        <f t="shared" si="170"/>
        <v>#DIV/0!</v>
      </c>
      <c r="X1086" s="17" t="e">
        <f t="shared" si="171"/>
        <v>#DIV/0!</v>
      </c>
      <c r="Y1086" s="19" t="e">
        <f t="shared" si="172"/>
        <v>#DIV/0!</v>
      </c>
      <c r="Z1086">
        <v>42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f t="shared" si="173"/>
        <v>0</v>
      </c>
      <c r="BF1086">
        <v>0</v>
      </c>
      <c r="BG1086">
        <v>42</v>
      </c>
      <c r="BH1086" t="s">
        <v>109</v>
      </c>
      <c r="BI1086" t="s">
        <v>564</v>
      </c>
      <c r="BJ1086">
        <v>0</v>
      </c>
      <c r="BK1086">
        <v>0</v>
      </c>
      <c r="BL1086">
        <v>42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f t="shared" si="174"/>
        <v>-42</v>
      </c>
      <c r="BS1086">
        <f t="shared" si="175"/>
        <v>42</v>
      </c>
    </row>
    <row r="1087" spans="1:74" x14ac:dyDescent="0.25">
      <c r="A1087" s="5" t="s">
        <v>207</v>
      </c>
      <c r="B1087" s="5" t="s">
        <v>61</v>
      </c>
      <c r="C1087" s="5" t="s">
        <v>207</v>
      </c>
      <c r="D1087" s="1" t="s">
        <v>108</v>
      </c>
      <c r="E1087">
        <v>0</v>
      </c>
      <c r="F1087">
        <v>42</v>
      </c>
      <c r="G1087">
        <v>0</v>
      </c>
      <c r="H1087">
        <v>0</v>
      </c>
      <c r="I1087">
        <v>58</v>
      </c>
      <c r="J1087">
        <v>996</v>
      </c>
      <c r="K1087">
        <v>329</v>
      </c>
      <c r="L1087">
        <v>50</v>
      </c>
      <c r="M1087">
        <v>396</v>
      </c>
      <c r="N1087">
        <v>0</v>
      </c>
      <c r="O1087">
        <v>0</v>
      </c>
      <c r="P1087">
        <v>0</v>
      </c>
      <c r="Q1087">
        <v>87</v>
      </c>
      <c r="R1087">
        <v>44</v>
      </c>
      <c r="S1087" s="18">
        <f t="shared" si="166"/>
        <v>9</v>
      </c>
      <c r="T1087" s="17">
        <f t="shared" si="167"/>
        <v>44</v>
      </c>
      <c r="U1087" s="17">
        <f t="shared" si="168"/>
        <v>0</v>
      </c>
      <c r="V1087" s="17">
        <f t="shared" si="169"/>
        <v>0</v>
      </c>
      <c r="W1087" s="17">
        <f t="shared" si="170"/>
        <v>0</v>
      </c>
      <c r="X1087" s="17">
        <f t="shared" si="171"/>
        <v>43</v>
      </c>
      <c r="Y1087" s="19">
        <f t="shared" si="172"/>
        <v>0</v>
      </c>
      <c r="Z1087">
        <v>42</v>
      </c>
      <c r="AA1087">
        <v>0</v>
      </c>
      <c r="AB1087">
        <v>0</v>
      </c>
      <c r="AC1087">
        <v>246</v>
      </c>
      <c r="AD1087">
        <v>0</v>
      </c>
      <c r="AE1087">
        <v>0</v>
      </c>
      <c r="AF1087">
        <v>0</v>
      </c>
      <c r="AG1087">
        <v>58</v>
      </c>
      <c r="AH1087">
        <v>58</v>
      </c>
      <c r="AI1087">
        <v>0</v>
      </c>
      <c r="AJ1087">
        <v>0</v>
      </c>
      <c r="AK1087">
        <v>996</v>
      </c>
      <c r="AL1087">
        <v>996</v>
      </c>
      <c r="AM1087">
        <v>0</v>
      </c>
      <c r="AN1087">
        <v>0</v>
      </c>
      <c r="AO1087">
        <v>329</v>
      </c>
      <c r="AP1087">
        <v>236</v>
      </c>
      <c r="AQ1087">
        <v>329</v>
      </c>
      <c r="AR1087">
        <v>93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50</v>
      </c>
      <c r="BA1087">
        <v>50</v>
      </c>
      <c r="BB1087">
        <v>0</v>
      </c>
      <c r="BC1087">
        <v>0</v>
      </c>
      <c r="BD1087">
        <v>0</v>
      </c>
      <c r="BE1087">
        <f t="shared" si="173"/>
        <v>3441</v>
      </c>
      <c r="BF1087">
        <v>1721</v>
      </c>
      <c r="BG1087">
        <v>1721</v>
      </c>
      <c r="BH1087" t="s">
        <v>190</v>
      </c>
      <c r="BI1087" t="s">
        <v>484</v>
      </c>
      <c r="BJ1087">
        <v>246</v>
      </c>
      <c r="BK1087">
        <v>1433</v>
      </c>
      <c r="BL1087">
        <v>1721</v>
      </c>
      <c r="BM1087">
        <v>396</v>
      </c>
      <c r="BN1087">
        <v>0</v>
      </c>
      <c r="BO1087">
        <v>0</v>
      </c>
      <c r="BP1087">
        <v>1433</v>
      </c>
      <c r="BQ1087">
        <v>1829</v>
      </c>
      <c r="BR1087">
        <f t="shared" si="174"/>
        <v>-43</v>
      </c>
      <c r="BS1087">
        <f t="shared" si="175"/>
        <v>131</v>
      </c>
    </row>
    <row r="1088" spans="1:74" x14ac:dyDescent="0.25">
      <c r="A1088" s="5" t="s">
        <v>207</v>
      </c>
      <c r="B1088" s="5" t="s">
        <v>627</v>
      </c>
      <c r="C1088" s="5" t="s">
        <v>61</v>
      </c>
      <c r="D1088" s="1" t="s">
        <v>127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510</v>
      </c>
      <c r="K1088">
        <v>88</v>
      </c>
      <c r="L1088">
        <v>22</v>
      </c>
      <c r="M1088">
        <v>0</v>
      </c>
      <c r="N1088">
        <v>0</v>
      </c>
      <c r="O1088">
        <v>0</v>
      </c>
      <c r="P1088">
        <v>0</v>
      </c>
      <c r="Q1088">
        <v>43</v>
      </c>
      <c r="R1088">
        <v>0</v>
      </c>
      <c r="S1088" s="18" t="e">
        <f t="shared" si="166"/>
        <v>#DIV/0!</v>
      </c>
      <c r="T1088" s="17" t="e">
        <f t="shared" si="167"/>
        <v>#DIV/0!</v>
      </c>
      <c r="U1088" s="17" t="e">
        <f t="shared" si="168"/>
        <v>#DIV/0!</v>
      </c>
      <c r="V1088" s="17" t="e">
        <f t="shared" si="169"/>
        <v>#DIV/0!</v>
      </c>
      <c r="W1088" s="17" t="e">
        <f t="shared" si="170"/>
        <v>#DIV/0!</v>
      </c>
      <c r="X1088" s="17" t="e">
        <f t="shared" si="171"/>
        <v>#DIV/0!</v>
      </c>
      <c r="Y1088" s="19" t="e">
        <f t="shared" si="172"/>
        <v>#DIV/0!</v>
      </c>
      <c r="Z1088">
        <v>0</v>
      </c>
      <c r="AA1088">
        <v>0</v>
      </c>
      <c r="AB1088">
        <v>0</v>
      </c>
      <c r="AC1088">
        <v>765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510</v>
      </c>
      <c r="AL1088">
        <v>510</v>
      </c>
      <c r="AM1088">
        <v>0</v>
      </c>
      <c r="AN1088">
        <v>0</v>
      </c>
      <c r="AO1088">
        <v>88</v>
      </c>
      <c r="AP1088">
        <v>10</v>
      </c>
      <c r="AQ1088">
        <v>88</v>
      </c>
      <c r="AR1088">
        <v>78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22</v>
      </c>
      <c r="BA1088">
        <v>22</v>
      </c>
      <c r="BB1088">
        <v>0</v>
      </c>
      <c r="BC1088">
        <v>0</v>
      </c>
      <c r="BD1088">
        <v>0</v>
      </c>
      <c r="BE1088">
        <f t="shared" si="173"/>
        <v>2093</v>
      </c>
      <c r="BF1088">
        <v>1385</v>
      </c>
      <c r="BG1088">
        <v>1385</v>
      </c>
      <c r="BH1088" t="s">
        <v>82</v>
      </c>
      <c r="BI1088" t="s">
        <v>656</v>
      </c>
      <c r="BJ1088">
        <v>765</v>
      </c>
      <c r="BK1088">
        <v>620</v>
      </c>
      <c r="BL1088">
        <v>1385</v>
      </c>
      <c r="BM1088">
        <v>0</v>
      </c>
      <c r="BN1088">
        <v>0</v>
      </c>
      <c r="BO1088">
        <v>0</v>
      </c>
      <c r="BP1088">
        <v>620</v>
      </c>
      <c r="BQ1088">
        <v>620</v>
      </c>
      <c r="BR1088">
        <f t="shared" si="174"/>
        <v>-43</v>
      </c>
      <c r="BS1088">
        <f t="shared" si="175"/>
        <v>43</v>
      </c>
    </row>
    <row r="1089" spans="1:74" x14ac:dyDescent="0.25">
      <c r="A1089" s="5" t="s">
        <v>1661</v>
      </c>
      <c r="B1089" s="5" t="s">
        <v>61</v>
      </c>
      <c r="C1089" s="5" t="s">
        <v>359</v>
      </c>
      <c r="D1089" s="1" t="s">
        <v>79</v>
      </c>
      <c r="E1089">
        <v>0</v>
      </c>
      <c r="F1089">
        <v>1800</v>
      </c>
      <c r="G1089">
        <v>0</v>
      </c>
      <c r="H1089">
        <v>0</v>
      </c>
      <c r="I1089">
        <v>77</v>
      </c>
      <c r="J1089">
        <v>0</v>
      </c>
      <c r="K1089">
        <v>16</v>
      </c>
      <c r="L1089">
        <v>0</v>
      </c>
      <c r="M1089">
        <v>0</v>
      </c>
      <c r="N1089">
        <v>0</v>
      </c>
      <c r="O1089">
        <v>0</v>
      </c>
      <c r="P1089">
        <v>4815</v>
      </c>
      <c r="Q1089">
        <v>578</v>
      </c>
      <c r="R1089">
        <v>535</v>
      </c>
      <c r="S1089" s="18">
        <f t="shared" si="166"/>
        <v>9</v>
      </c>
      <c r="T1089" s="17">
        <f t="shared" si="167"/>
        <v>0</v>
      </c>
      <c r="U1089" s="17">
        <f t="shared" si="168"/>
        <v>0</v>
      </c>
      <c r="V1089" s="17">
        <f t="shared" si="169"/>
        <v>0</v>
      </c>
      <c r="W1089" s="17">
        <f t="shared" si="170"/>
        <v>535</v>
      </c>
      <c r="X1089" s="17">
        <f t="shared" si="171"/>
        <v>43</v>
      </c>
      <c r="Y1089" s="19">
        <f t="shared" si="172"/>
        <v>0</v>
      </c>
      <c r="Z1089">
        <v>1800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77</v>
      </c>
      <c r="AH1089">
        <v>77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16</v>
      </c>
      <c r="AP1089">
        <v>0</v>
      </c>
      <c r="AQ1089">
        <v>16</v>
      </c>
      <c r="AR1089">
        <v>16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f t="shared" si="173"/>
        <v>202</v>
      </c>
      <c r="BF1089">
        <v>1893</v>
      </c>
      <c r="BG1089">
        <v>1893</v>
      </c>
      <c r="BH1089" t="s">
        <v>109</v>
      </c>
      <c r="BI1089" t="s">
        <v>1720</v>
      </c>
      <c r="BJ1089">
        <v>0</v>
      </c>
      <c r="BK1089">
        <v>93</v>
      </c>
      <c r="BL1089">
        <v>1893</v>
      </c>
      <c r="BM1089">
        <v>0</v>
      </c>
      <c r="BN1089">
        <v>0</v>
      </c>
      <c r="BO1089">
        <v>0</v>
      </c>
      <c r="BP1089">
        <v>4908</v>
      </c>
      <c r="BQ1089">
        <v>4908</v>
      </c>
      <c r="BR1089">
        <f t="shared" si="174"/>
        <v>-43</v>
      </c>
      <c r="BS1089">
        <f t="shared" si="175"/>
        <v>1113</v>
      </c>
    </row>
    <row r="1090" spans="1:74" x14ac:dyDescent="0.25">
      <c r="A1090" s="5" t="s">
        <v>1946</v>
      </c>
      <c r="B1090" s="5" t="s">
        <v>207</v>
      </c>
      <c r="C1090" s="5" t="s">
        <v>61</v>
      </c>
      <c r="D1090" s="1" t="s">
        <v>117</v>
      </c>
      <c r="E1090">
        <v>0</v>
      </c>
      <c r="F1090">
        <v>140</v>
      </c>
      <c r="G1090">
        <v>0</v>
      </c>
      <c r="H1090">
        <v>0</v>
      </c>
      <c r="I1090">
        <v>120</v>
      </c>
      <c r="J1090">
        <v>778</v>
      </c>
      <c r="K1090">
        <v>200</v>
      </c>
      <c r="L1090">
        <v>0</v>
      </c>
      <c r="M1090">
        <v>0</v>
      </c>
      <c r="N1090">
        <v>0</v>
      </c>
      <c r="O1090">
        <v>0</v>
      </c>
      <c r="P1090">
        <v>315</v>
      </c>
      <c r="Q1090">
        <v>78</v>
      </c>
      <c r="R1090">
        <v>35</v>
      </c>
      <c r="S1090" s="18">
        <f t="shared" ref="S1090:S1153" si="176">(M1090+N1090+O1090+P1090)/R1090</f>
        <v>9</v>
      </c>
      <c r="T1090" s="17">
        <f t="shared" ref="T1090:T1153" si="177">M1090/$S1090</f>
        <v>0</v>
      </c>
      <c r="U1090" s="17">
        <f t="shared" ref="U1090:U1153" si="178">N1090/$S1090</f>
        <v>0</v>
      </c>
      <c r="V1090" s="17">
        <f t="shared" ref="V1090:V1153" si="179">O1090/$S1090</f>
        <v>0</v>
      </c>
      <c r="W1090" s="17">
        <f t="shared" ref="W1090:W1153" si="180">P1090/$S1090</f>
        <v>35</v>
      </c>
      <c r="X1090" s="17">
        <f t="shared" ref="X1090:X1153" si="181">Q1090-T1090-U1090-W1090</f>
        <v>43</v>
      </c>
      <c r="Y1090" s="19">
        <f t="shared" ref="Y1090:Y1153" si="182">V1090/X1090</f>
        <v>0</v>
      </c>
      <c r="Z1090">
        <v>140</v>
      </c>
      <c r="AA1090">
        <v>0</v>
      </c>
      <c r="AB1090">
        <v>0</v>
      </c>
      <c r="AC1090">
        <v>150</v>
      </c>
      <c r="AD1090">
        <v>0</v>
      </c>
      <c r="AE1090">
        <v>0</v>
      </c>
      <c r="AF1090">
        <v>0</v>
      </c>
      <c r="AG1090">
        <v>120</v>
      </c>
      <c r="AH1090">
        <v>120</v>
      </c>
      <c r="AI1090">
        <v>0</v>
      </c>
      <c r="AJ1090">
        <v>0</v>
      </c>
      <c r="AK1090">
        <v>778</v>
      </c>
      <c r="AL1090">
        <v>778</v>
      </c>
      <c r="AM1090">
        <v>0</v>
      </c>
      <c r="AN1090">
        <v>0</v>
      </c>
      <c r="AO1090">
        <v>200</v>
      </c>
      <c r="AP1090">
        <v>0</v>
      </c>
      <c r="AQ1090">
        <v>200</v>
      </c>
      <c r="AR1090">
        <v>200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f t="shared" ref="BE1090:BE1153" si="183">SUM(AC1090:BD1090)</f>
        <v>2546</v>
      </c>
      <c r="BF1090">
        <v>1388</v>
      </c>
      <c r="BG1090">
        <v>1388</v>
      </c>
      <c r="BH1090" t="s">
        <v>199</v>
      </c>
      <c r="BI1090" t="s">
        <v>2034</v>
      </c>
      <c r="BJ1090">
        <v>150</v>
      </c>
      <c r="BK1090">
        <v>1098</v>
      </c>
      <c r="BL1090">
        <v>1388</v>
      </c>
      <c r="BM1090">
        <v>0</v>
      </c>
      <c r="BN1090">
        <v>0</v>
      </c>
      <c r="BO1090">
        <v>0</v>
      </c>
      <c r="BP1090">
        <v>1413</v>
      </c>
      <c r="BQ1090">
        <v>1413</v>
      </c>
      <c r="BR1090">
        <f t="shared" ref="BR1090:BR1153" si="184">R1090-Q1090</f>
        <v>-43</v>
      </c>
      <c r="BS1090">
        <f t="shared" ref="BS1090:BS1153" si="185">R1090+Q1090</f>
        <v>113</v>
      </c>
    </row>
    <row r="1091" spans="1:74" x14ac:dyDescent="0.25">
      <c r="A1091" s="5" t="s">
        <v>1946</v>
      </c>
      <c r="B1091" s="5" t="s">
        <v>207</v>
      </c>
      <c r="C1091" s="5" t="s">
        <v>207</v>
      </c>
      <c r="D1091" s="1" t="s">
        <v>139</v>
      </c>
      <c r="E1091">
        <v>0</v>
      </c>
      <c r="F1091">
        <v>388</v>
      </c>
      <c r="G1091">
        <v>0</v>
      </c>
      <c r="H1091">
        <v>0</v>
      </c>
      <c r="I1091">
        <v>75</v>
      </c>
      <c r="J1091">
        <v>0</v>
      </c>
      <c r="K1091">
        <v>0</v>
      </c>
      <c r="L1091">
        <v>0</v>
      </c>
      <c r="M1091">
        <v>873</v>
      </c>
      <c r="N1091">
        <v>0</v>
      </c>
      <c r="O1091">
        <v>0</v>
      </c>
      <c r="P1091">
        <v>0</v>
      </c>
      <c r="Q1091">
        <v>140</v>
      </c>
      <c r="R1091">
        <v>97</v>
      </c>
      <c r="S1091" s="18">
        <f t="shared" si="176"/>
        <v>9</v>
      </c>
      <c r="T1091" s="17">
        <f t="shared" si="177"/>
        <v>97</v>
      </c>
      <c r="U1091" s="17">
        <f t="shared" si="178"/>
        <v>0</v>
      </c>
      <c r="V1091" s="17">
        <f t="shared" si="179"/>
        <v>0</v>
      </c>
      <c r="W1091" s="17">
        <f t="shared" si="180"/>
        <v>0</v>
      </c>
      <c r="X1091" s="17">
        <f t="shared" si="181"/>
        <v>43</v>
      </c>
      <c r="Y1091" s="19">
        <f t="shared" si="182"/>
        <v>0</v>
      </c>
      <c r="Z1091">
        <v>388</v>
      </c>
      <c r="AA1091">
        <v>0</v>
      </c>
      <c r="AB1091">
        <v>0</v>
      </c>
      <c r="AC1091">
        <v>0</v>
      </c>
      <c r="AD1091">
        <v>75</v>
      </c>
      <c r="AE1091">
        <v>0</v>
      </c>
      <c r="AF1091">
        <v>0</v>
      </c>
      <c r="AG1091">
        <v>0</v>
      </c>
      <c r="AH1091">
        <v>75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f t="shared" si="183"/>
        <v>150</v>
      </c>
      <c r="BF1091">
        <v>463</v>
      </c>
      <c r="BG1091">
        <v>463</v>
      </c>
      <c r="BH1091" t="s">
        <v>109</v>
      </c>
      <c r="BI1091" t="s">
        <v>2073</v>
      </c>
      <c r="BJ1091">
        <v>0</v>
      </c>
      <c r="BK1091">
        <v>75</v>
      </c>
      <c r="BL1091">
        <v>463</v>
      </c>
      <c r="BM1091">
        <v>948</v>
      </c>
      <c r="BN1091">
        <v>0</v>
      </c>
      <c r="BO1091">
        <v>0</v>
      </c>
      <c r="BP1091">
        <v>0</v>
      </c>
      <c r="BQ1091">
        <v>948</v>
      </c>
      <c r="BR1091">
        <f t="shared" si="184"/>
        <v>-43</v>
      </c>
      <c r="BS1091">
        <f t="shared" si="185"/>
        <v>237</v>
      </c>
    </row>
    <row r="1092" spans="1:74" x14ac:dyDescent="0.25">
      <c r="A1092" s="5" t="s">
        <v>2090</v>
      </c>
      <c r="B1092" s="5" t="s">
        <v>207</v>
      </c>
      <c r="C1092" s="5" t="s">
        <v>61</v>
      </c>
      <c r="D1092" s="1" t="s">
        <v>157</v>
      </c>
      <c r="E1092">
        <v>0</v>
      </c>
      <c r="F1092">
        <v>0</v>
      </c>
      <c r="G1092">
        <v>0</v>
      </c>
      <c r="H1092">
        <v>0</v>
      </c>
      <c r="I1092">
        <v>149</v>
      </c>
      <c r="J1092">
        <v>215</v>
      </c>
      <c r="K1092">
        <v>52</v>
      </c>
      <c r="L1092">
        <v>21</v>
      </c>
      <c r="M1092">
        <v>0</v>
      </c>
      <c r="N1092">
        <v>0</v>
      </c>
      <c r="O1092">
        <v>0</v>
      </c>
      <c r="P1092">
        <v>0</v>
      </c>
      <c r="Q1092">
        <v>43</v>
      </c>
      <c r="R1092">
        <v>0</v>
      </c>
      <c r="S1092" s="18" t="e">
        <f t="shared" si="176"/>
        <v>#DIV/0!</v>
      </c>
      <c r="T1092" s="17" t="e">
        <f t="shared" si="177"/>
        <v>#DIV/0!</v>
      </c>
      <c r="U1092" s="17" t="e">
        <f t="shared" si="178"/>
        <v>#DIV/0!</v>
      </c>
      <c r="V1092" s="17" t="e">
        <f t="shared" si="179"/>
        <v>#DIV/0!</v>
      </c>
      <c r="W1092" s="17" t="e">
        <f t="shared" si="180"/>
        <v>#DIV/0!</v>
      </c>
      <c r="X1092" s="17" t="e">
        <f t="shared" si="181"/>
        <v>#DIV/0!</v>
      </c>
      <c r="Y1092" s="19" t="e">
        <f t="shared" si="182"/>
        <v>#DIV/0!</v>
      </c>
      <c r="Z1092">
        <v>0</v>
      </c>
      <c r="AA1092">
        <v>0</v>
      </c>
      <c r="AB1092">
        <v>0</v>
      </c>
      <c r="AC1092">
        <v>205</v>
      </c>
      <c r="AD1092">
        <v>0</v>
      </c>
      <c r="AE1092">
        <v>0</v>
      </c>
      <c r="AF1092">
        <v>0</v>
      </c>
      <c r="AG1092">
        <v>149</v>
      </c>
      <c r="AH1092">
        <v>149</v>
      </c>
      <c r="AI1092">
        <v>0</v>
      </c>
      <c r="AJ1092">
        <v>0</v>
      </c>
      <c r="AK1092">
        <v>215</v>
      </c>
      <c r="AL1092">
        <v>215</v>
      </c>
      <c r="AM1092">
        <v>0</v>
      </c>
      <c r="AN1092">
        <v>0</v>
      </c>
      <c r="AO1092">
        <v>52</v>
      </c>
      <c r="AP1092">
        <v>0</v>
      </c>
      <c r="AQ1092">
        <v>52</v>
      </c>
      <c r="AR1092">
        <v>52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21</v>
      </c>
      <c r="BA1092">
        <v>21</v>
      </c>
      <c r="BB1092">
        <v>0</v>
      </c>
      <c r="BC1092">
        <v>0</v>
      </c>
      <c r="BD1092">
        <v>0</v>
      </c>
      <c r="BE1092">
        <f t="shared" si="183"/>
        <v>1131</v>
      </c>
      <c r="BF1092">
        <v>642</v>
      </c>
      <c r="BG1092">
        <v>642</v>
      </c>
      <c r="BH1092" t="s">
        <v>190</v>
      </c>
      <c r="BI1092" t="s">
        <v>2257</v>
      </c>
      <c r="BJ1092">
        <v>205</v>
      </c>
      <c r="BK1092">
        <v>437</v>
      </c>
      <c r="BL1092">
        <v>642</v>
      </c>
      <c r="BM1092">
        <v>0</v>
      </c>
      <c r="BN1092">
        <v>0</v>
      </c>
      <c r="BO1092">
        <v>0</v>
      </c>
      <c r="BP1092">
        <v>437</v>
      </c>
      <c r="BQ1092">
        <v>437</v>
      </c>
      <c r="BR1092">
        <f t="shared" si="184"/>
        <v>-43</v>
      </c>
      <c r="BS1092">
        <f t="shared" si="185"/>
        <v>43</v>
      </c>
    </row>
    <row r="1093" spans="1:74" x14ac:dyDescent="0.25">
      <c r="A1093" s="5" t="s">
        <v>61</v>
      </c>
      <c r="B1093" s="5" t="s">
        <v>207</v>
      </c>
      <c r="C1093" s="5" t="s">
        <v>207</v>
      </c>
      <c r="D1093" s="1" t="s">
        <v>349</v>
      </c>
      <c r="E1093">
        <v>3</v>
      </c>
      <c r="F1093">
        <v>0</v>
      </c>
      <c r="G1093">
        <v>0</v>
      </c>
      <c r="H1093">
        <v>0</v>
      </c>
      <c r="I1093">
        <v>60</v>
      </c>
      <c r="J1093">
        <v>0</v>
      </c>
      <c r="K1093">
        <v>170</v>
      </c>
      <c r="L1093">
        <v>57</v>
      </c>
      <c r="M1093">
        <v>0</v>
      </c>
      <c r="N1093">
        <v>0</v>
      </c>
      <c r="O1093">
        <v>0</v>
      </c>
      <c r="P1093">
        <v>0</v>
      </c>
      <c r="Q1093">
        <v>44</v>
      </c>
      <c r="R1093">
        <v>0</v>
      </c>
      <c r="S1093" s="18" t="e">
        <f t="shared" si="176"/>
        <v>#DIV/0!</v>
      </c>
      <c r="T1093" s="17" t="e">
        <f t="shared" si="177"/>
        <v>#DIV/0!</v>
      </c>
      <c r="U1093" s="17" t="e">
        <f t="shared" si="178"/>
        <v>#DIV/0!</v>
      </c>
      <c r="V1093" s="17" t="e">
        <f t="shared" si="179"/>
        <v>#DIV/0!</v>
      </c>
      <c r="W1093" s="17" t="e">
        <f t="shared" si="180"/>
        <v>#DIV/0!</v>
      </c>
      <c r="X1093" s="17" t="e">
        <f t="shared" si="181"/>
        <v>#DIV/0!</v>
      </c>
      <c r="Y1093" s="19" t="e">
        <f t="shared" si="182"/>
        <v>#DIV/0!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60</v>
      </c>
      <c r="AH1093">
        <v>60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170</v>
      </c>
      <c r="AP1093">
        <v>60</v>
      </c>
      <c r="AQ1093">
        <v>170</v>
      </c>
      <c r="AR1093">
        <v>110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57</v>
      </c>
      <c r="BA1093">
        <v>57</v>
      </c>
      <c r="BB1093">
        <v>0</v>
      </c>
      <c r="BC1093">
        <v>0</v>
      </c>
      <c r="BD1093">
        <v>0</v>
      </c>
      <c r="BE1093">
        <f t="shared" si="183"/>
        <v>744</v>
      </c>
      <c r="BF1093">
        <v>290</v>
      </c>
      <c r="BG1093">
        <v>290</v>
      </c>
      <c r="BH1093" t="s">
        <v>190</v>
      </c>
      <c r="BI1093" t="s">
        <v>350</v>
      </c>
      <c r="BJ1093">
        <v>3</v>
      </c>
      <c r="BK1093">
        <v>287</v>
      </c>
      <c r="BL1093">
        <v>290</v>
      </c>
      <c r="BM1093">
        <v>0</v>
      </c>
      <c r="BN1093">
        <v>0</v>
      </c>
      <c r="BO1093">
        <v>0</v>
      </c>
      <c r="BP1093">
        <v>287</v>
      </c>
      <c r="BQ1093">
        <v>287</v>
      </c>
      <c r="BR1093">
        <f t="shared" si="184"/>
        <v>-44</v>
      </c>
      <c r="BS1093">
        <f t="shared" si="185"/>
        <v>44</v>
      </c>
    </row>
    <row r="1094" spans="1:74" x14ac:dyDescent="0.25">
      <c r="A1094" s="5" t="s">
        <v>359</v>
      </c>
      <c r="B1094" s="5" t="s">
        <v>61</v>
      </c>
      <c r="C1094" s="5" t="s">
        <v>61</v>
      </c>
      <c r="D1094" s="1" t="s">
        <v>73</v>
      </c>
      <c r="E1094">
        <v>0</v>
      </c>
      <c r="F1094">
        <v>118</v>
      </c>
      <c r="G1094">
        <v>0</v>
      </c>
      <c r="H1094">
        <v>0</v>
      </c>
      <c r="I1094">
        <v>784</v>
      </c>
      <c r="J1094">
        <v>50</v>
      </c>
      <c r="K1094">
        <v>700</v>
      </c>
      <c r="L1094">
        <v>12</v>
      </c>
      <c r="M1094">
        <v>0</v>
      </c>
      <c r="N1094">
        <v>0</v>
      </c>
      <c r="O1094">
        <v>0</v>
      </c>
      <c r="P1094">
        <v>585</v>
      </c>
      <c r="Q1094">
        <v>420</v>
      </c>
      <c r="R1094">
        <v>65</v>
      </c>
      <c r="S1094" s="18">
        <f t="shared" si="176"/>
        <v>9</v>
      </c>
      <c r="T1094" s="17">
        <f t="shared" si="177"/>
        <v>0</v>
      </c>
      <c r="U1094" s="17">
        <f t="shared" si="178"/>
        <v>0</v>
      </c>
      <c r="V1094" s="17">
        <f t="shared" si="179"/>
        <v>0</v>
      </c>
      <c r="W1094" s="17">
        <f t="shared" si="180"/>
        <v>65</v>
      </c>
      <c r="X1094" s="17">
        <f t="shared" si="181"/>
        <v>355</v>
      </c>
      <c r="Y1094" s="19">
        <f t="shared" si="182"/>
        <v>0</v>
      </c>
      <c r="Z1094">
        <v>118</v>
      </c>
      <c r="AA1094">
        <v>0</v>
      </c>
      <c r="AB1094">
        <v>0</v>
      </c>
      <c r="AC1094">
        <v>150</v>
      </c>
      <c r="AD1094">
        <v>0</v>
      </c>
      <c r="AE1094">
        <v>0</v>
      </c>
      <c r="AF1094">
        <v>0</v>
      </c>
      <c r="AG1094">
        <v>784</v>
      </c>
      <c r="AH1094">
        <v>784</v>
      </c>
      <c r="AI1094">
        <v>0</v>
      </c>
      <c r="AJ1094">
        <v>0</v>
      </c>
      <c r="AK1094">
        <v>50</v>
      </c>
      <c r="AL1094">
        <v>50</v>
      </c>
      <c r="AM1094">
        <v>355</v>
      </c>
      <c r="AN1094">
        <v>0</v>
      </c>
      <c r="AO1094">
        <v>345</v>
      </c>
      <c r="AP1094">
        <v>150</v>
      </c>
      <c r="AQ1094">
        <v>700</v>
      </c>
      <c r="AR1094">
        <v>550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12</v>
      </c>
      <c r="BA1094">
        <v>12</v>
      </c>
      <c r="BB1094">
        <v>0</v>
      </c>
      <c r="BC1094">
        <v>0</v>
      </c>
      <c r="BD1094">
        <v>0</v>
      </c>
      <c r="BE1094">
        <f t="shared" si="183"/>
        <v>3942</v>
      </c>
      <c r="BF1094">
        <v>1814</v>
      </c>
      <c r="BG1094">
        <v>1814</v>
      </c>
      <c r="BH1094" t="s">
        <v>63</v>
      </c>
      <c r="BI1094" t="s">
        <v>702</v>
      </c>
      <c r="BJ1094">
        <v>150</v>
      </c>
      <c r="BK1094">
        <v>1546</v>
      </c>
      <c r="BL1094">
        <v>1814</v>
      </c>
      <c r="BM1094">
        <v>355</v>
      </c>
      <c r="BN1094">
        <v>0</v>
      </c>
      <c r="BO1094">
        <v>0</v>
      </c>
      <c r="BP1094">
        <v>1776</v>
      </c>
      <c r="BQ1094">
        <v>2131</v>
      </c>
      <c r="BR1094">
        <f t="shared" si="184"/>
        <v>-355</v>
      </c>
      <c r="BS1094">
        <f t="shared" si="185"/>
        <v>485</v>
      </c>
      <c r="BU1094">
        <f>R1094*9</f>
        <v>585</v>
      </c>
      <c r="BV1094">
        <f>IF(BU1094&gt;BG1094, 1, 0)</f>
        <v>0</v>
      </c>
    </row>
    <row r="1095" spans="1:74" x14ac:dyDescent="0.25">
      <c r="A1095" s="5" t="s">
        <v>1017</v>
      </c>
      <c r="B1095" s="5" t="s">
        <v>61</v>
      </c>
      <c r="C1095" s="5" t="s">
        <v>61</v>
      </c>
      <c r="D1095" s="1" t="s">
        <v>115</v>
      </c>
      <c r="E1095">
        <v>0</v>
      </c>
      <c r="F1095">
        <v>0</v>
      </c>
      <c r="G1095">
        <v>0</v>
      </c>
      <c r="H1095">
        <v>0</v>
      </c>
      <c r="I1095">
        <v>105</v>
      </c>
      <c r="J1095">
        <v>750</v>
      </c>
      <c r="K1095">
        <v>12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44</v>
      </c>
      <c r="R1095">
        <v>0</v>
      </c>
      <c r="S1095" s="18" t="e">
        <f t="shared" si="176"/>
        <v>#DIV/0!</v>
      </c>
      <c r="T1095" s="17" t="e">
        <f t="shared" si="177"/>
        <v>#DIV/0!</v>
      </c>
      <c r="U1095" s="17" t="e">
        <f t="shared" si="178"/>
        <v>#DIV/0!</v>
      </c>
      <c r="V1095" s="17" t="e">
        <f t="shared" si="179"/>
        <v>#DIV/0!</v>
      </c>
      <c r="W1095" s="17" t="e">
        <f t="shared" si="180"/>
        <v>#DIV/0!</v>
      </c>
      <c r="X1095" s="17" t="e">
        <f t="shared" si="181"/>
        <v>#DIV/0!</v>
      </c>
      <c r="Y1095" s="19" t="e">
        <f t="shared" si="182"/>
        <v>#DIV/0!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105</v>
      </c>
      <c r="AH1095">
        <v>105</v>
      </c>
      <c r="AI1095">
        <v>0</v>
      </c>
      <c r="AJ1095">
        <v>0</v>
      </c>
      <c r="AK1095">
        <v>750</v>
      </c>
      <c r="AL1095">
        <v>750</v>
      </c>
      <c r="AM1095">
        <v>0</v>
      </c>
      <c r="AN1095">
        <v>0</v>
      </c>
      <c r="AO1095">
        <v>12</v>
      </c>
      <c r="AP1095">
        <v>0</v>
      </c>
      <c r="AQ1095">
        <v>12</v>
      </c>
      <c r="AR1095">
        <v>12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f t="shared" si="183"/>
        <v>1746</v>
      </c>
      <c r="BF1095">
        <v>867</v>
      </c>
      <c r="BG1095">
        <v>867</v>
      </c>
      <c r="BH1095" t="s">
        <v>82</v>
      </c>
      <c r="BI1095" t="s">
        <v>1041</v>
      </c>
      <c r="BJ1095">
        <v>0</v>
      </c>
      <c r="BK1095">
        <v>867</v>
      </c>
      <c r="BL1095">
        <v>867</v>
      </c>
      <c r="BM1095">
        <v>0</v>
      </c>
      <c r="BN1095">
        <v>0</v>
      </c>
      <c r="BO1095">
        <v>0</v>
      </c>
      <c r="BP1095">
        <v>867</v>
      </c>
      <c r="BQ1095">
        <v>867</v>
      </c>
      <c r="BR1095">
        <f t="shared" si="184"/>
        <v>-44</v>
      </c>
      <c r="BS1095">
        <f t="shared" si="185"/>
        <v>44</v>
      </c>
    </row>
    <row r="1096" spans="1:74" x14ac:dyDescent="0.25">
      <c r="A1096" s="5" t="s">
        <v>1337</v>
      </c>
      <c r="B1096" s="5" t="s">
        <v>61</v>
      </c>
      <c r="C1096" s="5" t="s">
        <v>61</v>
      </c>
      <c r="D1096" s="1" t="s">
        <v>127</v>
      </c>
      <c r="E1096">
        <v>55</v>
      </c>
      <c r="F1096">
        <v>3</v>
      </c>
      <c r="G1096">
        <v>0</v>
      </c>
      <c r="H1096">
        <v>0</v>
      </c>
      <c r="I1096">
        <v>2</v>
      </c>
      <c r="J1096">
        <v>373</v>
      </c>
      <c r="K1096">
        <v>129</v>
      </c>
      <c r="L1096">
        <v>0</v>
      </c>
      <c r="M1096">
        <v>0</v>
      </c>
      <c r="N1096">
        <v>0</v>
      </c>
      <c r="O1096">
        <v>0</v>
      </c>
      <c r="P1096">
        <v>18</v>
      </c>
      <c r="Q1096">
        <v>46</v>
      </c>
      <c r="R1096">
        <v>2</v>
      </c>
      <c r="S1096" s="18">
        <f t="shared" si="176"/>
        <v>9</v>
      </c>
      <c r="T1096" s="17">
        <f t="shared" si="177"/>
        <v>0</v>
      </c>
      <c r="U1096" s="17">
        <f t="shared" si="178"/>
        <v>0</v>
      </c>
      <c r="V1096" s="17">
        <f t="shared" si="179"/>
        <v>0</v>
      </c>
      <c r="W1096" s="17">
        <f t="shared" si="180"/>
        <v>2</v>
      </c>
      <c r="X1096" s="17">
        <f t="shared" si="181"/>
        <v>44</v>
      </c>
      <c r="Y1096" s="19">
        <f t="shared" si="182"/>
        <v>0</v>
      </c>
      <c r="Z1096">
        <v>3</v>
      </c>
      <c r="AA1096">
        <v>4</v>
      </c>
      <c r="AB1096">
        <v>0</v>
      </c>
      <c r="AC1096">
        <v>640</v>
      </c>
      <c r="AD1096">
        <v>0</v>
      </c>
      <c r="AE1096">
        <v>0</v>
      </c>
      <c r="AF1096">
        <v>0</v>
      </c>
      <c r="AG1096">
        <v>2</v>
      </c>
      <c r="AH1096">
        <v>2</v>
      </c>
      <c r="AI1096">
        <v>0</v>
      </c>
      <c r="AJ1096">
        <v>0</v>
      </c>
      <c r="AK1096">
        <v>373</v>
      </c>
      <c r="AL1096">
        <v>373</v>
      </c>
      <c r="AM1096">
        <v>0</v>
      </c>
      <c r="AN1096">
        <v>0</v>
      </c>
      <c r="AO1096">
        <v>129</v>
      </c>
      <c r="AP1096">
        <v>124</v>
      </c>
      <c r="AQ1096">
        <v>129</v>
      </c>
      <c r="AR1096">
        <v>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f t="shared" si="183"/>
        <v>1777</v>
      </c>
      <c r="BF1096">
        <v>1206</v>
      </c>
      <c r="BG1096">
        <v>1206</v>
      </c>
      <c r="BH1096" t="s">
        <v>82</v>
      </c>
      <c r="BI1096" t="s">
        <v>1366</v>
      </c>
      <c r="BJ1096">
        <v>699</v>
      </c>
      <c r="BK1096">
        <v>504</v>
      </c>
      <c r="BL1096">
        <v>1206</v>
      </c>
      <c r="BM1096">
        <v>0</v>
      </c>
      <c r="BN1096">
        <v>0</v>
      </c>
      <c r="BO1096">
        <v>0</v>
      </c>
      <c r="BP1096">
        <v>522</v>
      </c>
      <c r="BQ1096">
        <v>522</v>
      </c>
      <c r="BR1096">
        <f t="shared" si="184"/>
        <v>-44</v>
      </c>
      <c r="BS1096">
        <f t="shared" si="185"/>
        <v>48</v>
      </c>
    </row>
    <row r="1097" spans="1:74" x14ac:dyDescent="0.25">
      <c r="A1097" s="5" t="s">
        <v>2294</v>
      </c>
      <c r="B1097" s="5" t="s">
        <v>207</v>
      </c>
      <c r="C1097" s="5" t="s">
        <v>61</v>
      </c>
      <c r="D1097" s="1" t="s">
        <v>67</v>
      </c>
      <c r="E1097">
        <v>0</v>
      </c>
      <c r="F1097">
        <v>3</v>
      </c>
      <c r="G1097">
        <v>0</v>
      </c>
      <c r="H1097">
        <v>0</v>
      </c>
      <c r="I1097">
        <v>3</v>
      </c>
      <c r="J1097">
        <v>0</v>
      </c>
      <c r="K1097">
        <v>292</v>
      </c>
      <c r="L1097">
        <v>51</v>
      </c>
      <c r="M1097">
        <v>0</v>
      </c>
      <c r="N1097">
        <v>0</v>
      </c>
      <c r="O1097">
        <v>0</v>
      </c>
      <c r="P1097">
        <v>27</v>
      </c>
      <c r="Q1097">
        <v>47</v>
      </c>
      <c r="R1097">
        <v>3</v>
      </c>
      <c r="S1097" s="18">
        <f t="shared" si="176"/>
        <v>9</v>
      </c>
      <c r="T1097" s="17">
        <f t="shared" si="177"/>
        <v>0</v>
      </c>
      <c r="U1097" s="17">
        <f t="shared" si="178"/>
        <v>0</v>
      </c>
      <c r="V1097" s="17">
        <f t="shared" si="179"/>
        <v>0</v>
      </c>
      <c r="W1097" s="17">
        <f t="shared" si="180"/>
        <v>3</v>
      </c>
      <c r="X1097" s="17">
        <f t="shared" si="181"/>
        <v>44</v>
      </c>
      <c r="Y1097" s="19">
        <f t="shared" si="182"/>
        <v>0</v>
      </c>
      <c r="Z1097">
        <v>3</v>
      </c>
      <c r="AA1097">
        <v>0</v>
      </c>
      <c r="AB1097">
        <v>0</v>
      </c>
      <c r="AC1097">
        <v>300</v>
      </c>
      <c r="AD1097">
        <v>0</v>
      </c>
      <c r="AE1097">
        <v>0</v>
      </c>
      <c r="AF1097">
        <v>0</v>
      </c>
      <c r="AG1097">
        <v>3</v>
      </c>
      <c r="AH1097">
        <v>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23</v>
      </c>
      <c r="AP1097">
        <v>23</v>
      </c>
      <c r="AQ1097">
        <v>23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51</v>
      </c>
      <c r="BA1097">
        <v>51</v>
      </c>
      <c r="BB1097">
        <v>0</v>
      </c>
      <c r="BC1097">
        <v>0</v>
      </c>
      <c r="BD1097">
        <v>0</v>
      </c>
      <c r="BE1097">
        <f t="shared" si="183"/>
        <v>477</v>
      </c>
      <c r="BF1097">
        <v>380</v>
      </c>
      <c r="BG1097">
        <v>380</v>
      </c>
      <c r="BH1097" t="s">
        <v>82</v>
      </c>
      <c r="BI1097" t="s">
        <v>2325</v>
      </c>
      <c r="BJ1097">
        <v>300</v>
      </c>
      <c r="BK1097">
        <v>77</v>
      </c>
      <c r="BL1097">
        <v>380</v>
      </c>
      <c r="BM1097">
        <v>0</v>
      </c>
      <c r="BN1097">
        <v>0</v>
      </c>
      <c r="BO1097">
        <v>0</v>
      </c>
      <c r="BP1097">
        <v>104</v>
      </c>
      <c r="BQ1097">
        <v>104</v>
      </c>
      <c r="BR1097">
        <f t="shared" si="184"/>
        <v>-44</v>
      </c>
      <c r="BS1097">
        <f t="shared" si="185"/>
        <v>50</v>
      </c>
    </row>
    <row r="1098" spans="1:74" x14ac:dyDescent="0.25">
      <c r="A1098" s="5" t="s">
        <v>61</v>
      </c>
      <c r="B1098" s="5" t="s">
        <v>207</v>
      </c>
      <c r="C1098" s="5" t="s">
        <v>61</v>
      </c>
      <c r="D1098" s="1" t="s">
        <v>106</v>
      </c>
      <c r="E1098">
        <v>0</v>
      </c>
      <c r="F1098">
        <v>2</v>
      </c>
      <c r="G1098">
        <v>0</v>
      </c>
      <c r="H1098">
        <v>0</v>
      </c>
      <c r="I1098">
        <v>35</v>
      </c>
      <c r="J1098">
        <v>350</v>
      </c>
      <c r="K1098">
        <v>93</v>
      </c>
      <c r="L1098">
        <v>0</v>
      </c>
      <c r="M1098">
        <v>0</v>
      </c>
      <c r="N1098">
        <v>0</v>
      </c>
      <c r="O1098">
        <v>0</v>
      </c>
      <c r="P1098">
        <v>18</v>
      </c>
      <c r="Q1098">
        <v>47</v>
      </c>
      <c r="R1098">
        <v>2</v>
      </c>
      <c r="S1098" s="18">
        <f t="shared" si="176"/>
        <v>9</v>
      </c>
      <c r="T1098" s="17">
        <f t="shared" si="177"/>
        <v>0</v>
      </c>
      <c r="U1098" s="17">
        <f t="shared" si="178"/>
        <v>0</v>
      </c>
      <c r="V1098" s="17">
        <f t="shared" si="179"/>
        <v>0</v>
      </c>
      <c r="W1098" s="17">
        <f t="shared" si="180"/>
        <v>2</v>
      </c>
      <c r="X1098" s="17">
        <f t="shared" si="181"/>
        <v>45</v>
      </c>
      <c r="Y1098" s="19">
        <f t="shared" si="182"/>
        <v>0</v>
      </c>
      <c r="Z1098">
        <v>2</v>
      </c>
      <c r="AA1098">
        <v>0</v>
      </c>
      <c r="AB1098">
        <v>0</v>
      </c>
      <c r="AC1098">
        <v>78</v>
      </c>
      <c r="AD1098">
        <v>0</v>
      </c>
      <c r="AE1098">
        <v>0</v>
      </c>
      <c r="AF1098">
        <v>0</v>
      </c>
      <c r="AG1098">
        <v>35</v>
      </c>
      <c r="AH1098">
        <v>35</v>
      </c>
      <c r="AI1098">
        <v>0</v>
      </c>
      <c r="AJ1098">
        <v>0</v>
      </c>
      <c r="AK1098">
        <v>350</v>
      </c>
      <c r="AL1098">
        <v>350</v>
      </c>
      <c r="AM1098">
        <v>0</v>
      </c>
      <c r="AN1098">
        <v>0</v>
      </c>
      <c r="AO1098">
        <v>93</v>
      </c>
      <c r="AP1098">
        <v>55</v>
      </c>
      <c r="AQ1098">
        <v>93</v>
      </c>
      <c r="AR1098">
        <v>38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f t="shared" si="183"/>
        <v>1127</v>
      </c>
      <c r="BF1098">
        <v>558</v>
      </c>
      <c r="BG1098">
        <v>558</v>
      </c>
      <c r="BH1098" t="s">
        <v>82</v>
      </c>
      <c r="BI1098" t="s">
        <v>230</v>
      </c>
      <c r="BJ1098">
        <v>78</v>
      </c>
      <c r="BK1098">
        <v>478</v>
      </c>
      <c r="BL1098">
        <v>558</v>
      </c>
      <c r="BM1098">
        <v>0</v>
      </c>
      <c r="BN1098">
        <v>0</v>
      </c>
      <c r="BO1098">
        <v>0</v>
      </c>
      <c r="BP1098">
        <v>496</v>
      </c>
      <c r="BQ1098">
        <v>496</v>
      </c>
      <c r="BR1098">
        <f t="shared" si="184"/>
        <v>-45</v>
      </c>
      <c r="BS1098">
        <f t="shared" si="185"/>
        <v>49</v>
      </c>
    </row>
    <row r="1099" spans="1:74" x14ac:dyDescent="0.25">
      <c r="A1099" s="5" t="s">
        <v>207</v>
      </c>
      <c r="B1099" s="5" t="s">
        <v>359</v>
      </c>
      <c r="C1099" s="5" t="s">
        <v>61</v>
      </c>
      <c r="D1099" s="1" t="s">
        <v>123</v>
      </c>
      <c r="E1099">
        <v>0</v>
      </c>
      <c r="F1099">
        <v>0</v>
      </c>
      <c r="G1099">
        <v>0</v>
      </c>
      <c r="H1099">
        <v>0</v>
      </c>
      <c r="I1099">
        <v>100</v>
      </c>
      <c r="J1099">
        <v>500</v>
      </c>
      <c r="K1099">
        <v>19</v>
      </c>
      <c r="L1099">
        <v>25</v>
      </c>
      <c r="M1099">
        <v>0</v>
      </c>
      <c r="N1099">
        <v>0</v>
      </c>
      <c r="O1099">
        <v>0</v>
      </c>
      <c r="P1099">
        <v>0</v>
      </c>
      <c r="Q1099">
        <v>45</v>
      </c>
      <c r="R1099">
        <v>0</v>
      </c>
      <c r="S1099" s="18" t="e">
        <f t="shared" si="176"/>
        <v>#DIV/0!</v>
      </c>
      <c r="T1099" s="17" t="e">
        <f t="shared" si="177"/>
        <v>#DIV/0!</v>
      </c>
      <c r="U1099" s="17" t="e">
        <f t="shared" si="178"/>
        <v>#DIV/0!</v>
      </c>
      <c r="V1099" s="17" t="e">
        <f t="shared" si="179"/>
        <v>#DIV/0!</v>
      </c>
      <c r="W1099" s="17" t="e">
        <f t="shared" si="180"/>
        <v>#DIV/0!</v>
      </c>
      <c r="X1099" s="17" t="e">
        <f t="shared" si="181"/>
        <v>#DIV/0!</v>
      </c>
      <c r="Y1099" s="19" t="e">
        <f t="shared" si="182"/>
        <v>#DIV/0!</v>
      </c>
      <c r="Z1099">
        <v>0</v>
      </c>
      <c r="AA1099">
        <v>0</v>
      </c>
      <c r="AB1099">
        <v>0</v>
      </c>
      <c r="AC1099">
        <v>88</v>
      </c>
      <c r="AD1099">
        <v>0</v>
      </c>
      <c r="AE1099">
        <v>0</v>
      </c>
      <c r="AF1099">
        <v>0</v>
      </c>
      <c r="AG1099">
        <v>100</v>
      </c>
      <c r="AH1099">
        <v>100</v>
      </c>
      <c r="AI1099">
        <v>0</v>
      </c>
      <c r="AJ1099">
        <v>0</v>
      </c>
      <c r="AK1099">
        <v>500</v>
      </c>
      <c r="AL1099">
        <v>500</v>
      </c>
      <c r="AM1099">
        <v>0</v>
      </c>
      <c r="AN1099">
        <v>0</v>
      </c>
      <c r="AO1099">
        <v>19</v>
      </c>
      <c r="AP1099">
        <v>5</v>
      </c>
      <c r="AQ1099">
        <v>19</v>
      </c>
      <c r="AR1099">
        <v>14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25</v>
      </c>
      <c r="BA1099">
        <v>25</v>
      </c>
      <c r="BB1099">
        <v>0</v>
      </c>
      <c r="BC1099">
        <v>0</v>
      </c>
      <c r="BD1099">
        <v>0</v>
      </c>
      <c r="BE1099">
        <f t="shared" si="183"/>
        <v>1395</v>
      </c>
      <c r="BF1099">
        <v>732</v>
      </c>
      <c r="BG1099">
        <v>732</v>
      </c>
      <c r="BH1099" t="s">
        <v>190</v>
      </c>
      <c r="BI1099" t="s">
        <v>619</v>
      </c>
      <c r="BJ1099">
        <v>88</v>
      </c>
      <c r="BK1099">
        <v>644</v>
      </c>
      <c r="BL1099">
        <v>732</v>
      </c>
      <c r="BM1099">
        <v>0</v>
      </c>
      <c r="BN1099">
        <v>0</v>
      </c>
      <c r="BO1099">
        <v>0</v>
      </c>
      <c r="BP1099">
        <v>644</v>
      </c>
      <c r="BQ1099">
        <v>644</v>
      </c>
      <c r="BR1099">
        <f t="shared" si="184"/>
        <v>-45</v>
      </c>
      <c r="BS1099">
        <f t="shared" si="185"/>
        <v>45</v>
      </c>
    </row>
    <row r="1100" spans="1:74" x14ac:dyDescent="0.25">
      <c r="A1100" s="5" t="s">
        <v>875</v>
      </c>
      <c r="B1100" s="5" t="s">
        <v>61</v>
      </c>
      <c r="C1100" s="5" t="s">
        <v>207</v>
      </c>
      <c r="D1100" s="1" t="s">
        <v>143</v>
      </c>
      <c r="E1100">
        <v>0</v>
      </c>
      <c r="F1100">
        <v>400</v>
      </c>
      <c r="G1100">
        <v>0</v>
      </c>
      <c r="H1100">
        <v>0</v>
      </c>
      <c r="I1100">
        <v>100</v>
      </c>
      <c r="J1100">
        <v>0</v>
      </c>
      <c r="K1100">
        <v>0</v>
      </c>
      <c r="L1100">
        <v>0</v>
      </c>
      <c r="M1100">
        <v>900</v>
      </c>
      <c r="N1100">
        <v>0</v>
      </c>
      <c r="O1100">
        <v>0</v>
      </c>
      <c r="P1100">
        <v>0</v>
      </c>
      <c r="Q1100">
        <v>145</v>
      </c>
      <c r="R1100">
        <v>100</v>
      </c>
      <c r="S1100" s="18">
        <f t="shared" si="176"/>
        <v>9</v>
      </c>
      <c r="T1100" s="17">
        <f t="shared" si="177"/>
        <v>100</v>
      </c>
      <c r="U1100" s="17">
        <f t="shared" si="178"/>
        <v>0</v>
      </c>
      <c r="V1100" s="17">
        <f t="shared" si="179"/>
        <v>0</v>
      </c>
      <c r="W1100" s="17">
        <f t="shared" si="180"/>
        <v>0</v>
      </c>
      <c r="X1100" s="17">
        <f t="shared" si="181"/>
        <v>45</v>
      </c>
      <c r="Y1100" s="19">
        <f t="shared" si="182"/>
        <v>0</v>
      </c>
      <c r="Z1100">
        <v>400</v>
      </c>
      <c r="AA1100">
        <v>0</v>
      </c>
      <c r="AB1100">
        <v>0</v>
      </c>
      <c r="AC1100">
        <v>0</v>
      </c>
      <c r="AD1100">
        <v>100</v>
      </c>
      <c r="AE1100">
        <v>0</v>
      </c>
      <c r="AF1100">
        <v>0</v>
      </c>
      <c r="AG1100">
        <v>0</v>
      </c>
      <c r="AH1100">
        <v>100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f t="shared" si="183"/>
        <v>200</v>
      </c>
      <c r="BF1100">
        <v>500</v>
      </c>
      <c r="BG1100">
        <v>500</v>
      </c>
      <c r="BH1100" t="s">
        <v>109</v>
      </c>
      <c r="BI1100" t="s">
        <v>911</v>
      </c>
      <c r="BJ1100">
        <v>0</v>
      </c>
      <c r="BK1100">
        <v>100</v>
      </c>
      <c r="BL1100">
        <v>500</v>
      </c>
      <c r="BM1100">
        <v>1000</v>
      </c>
      <c r="BN1100">
        <v>0</v>
      </c>
      <c r="BO1100">
        <v>0</v>
      </c>
      <c r="BP1100">
        <v>0</v>
      </c>
      <c r="BQ1100">
        <v>1000</v>
      </c>
      <c r="BR1100">
        <f t="shared" si="184"/>
        <v>-45</v>
      </c>
      <c r="BS1100">
        <f t="shared" si="185"/>
        <v>245</v>
      </c>
    </row>
    <row r="1101" spans="1:74" x14ac:dyDescent="0.25">
      <c r="A1101" s="5" t="s">
        <v>875</v>
      </c>
      <c r="B1101" s="5" t="s">
        <v>61</v>
      </c>
      <c r="C1101" s="5" t="s">
        <v>207</v>
      </c>
      <c r="D1101" s="1" t="s">
        <v>151</v>
      </c>
      <c r="E1101">
        <v>0</v>
      </c>
      <c r="F1101">
        <v>260</v>
      </c>
      <c r="G1101">
        <v>0</v>
      </c>
      <c r="H1101">
        <v>0</v>
      </c>
      <c r="I1101">
        <v>160</v>
      </c>
      <c r="J1101">
        <v>0</v>
      </c>
      <c r="K1101">
        <v>0</v>
      </c>
      <c r="L1101">
        <v>0</v>
      </c>
      <c r="M1101">
        <v>585</v>
      </c>
      <c r="N1101">
        <v>0</v>
      </c>
      <c r="O1101">
        <v>0</v>
      </c>
      <c r="P1101">
        <v>0</v>
      </c>
      <c r="Q1101">
        <v>110</v>
      </c>
      <c r="R1101">
        <v>65</v>
      </c>
      <c r="S1101" s="18">
        <f t="shared" si="176"/>
        <v>9</v>
      </c>
      <c r="T1101" s="17">
        <f t="shared" si="177"/>
        <v>65</v>
      </c>
      <c r="U1101" s="17">
        <f t="shared" si="178"/>
        <v>0</v>
      </c>
      <c r="V1101" s="17">
        <f t="shared" si="179"/>
        <v>0</v>
      </c>
      <c r="W1101" s="17">
        <f t="shared" si="180"/>
        <v>0</v>
      </c>
      <c r="X1101" s="17">
        <f t="shared" si="181"/>
        <v>45</v>
      </c>
      <c r="Y1101" s="19">
        <f t="shared" si="182"/>
        <v>0</v>
      </c>
      <c r="Z1101">
        <v>260</v>
      </c>
      <c r="AA1101">
        <v>0</v>
      </c>
      <c r="AB1101">
        <v>0</v>
      </c>
      <c r="AC1101">
        <v>0</v>
      </c>
      <c r="AD1101">
        <v>160</v>
      </c>
      <c r="AE1101">
        <v>0</v>
      </c>
      <c r="AF1101">
        <v>0</v>
      </c>
      <c r="AG1101">
        <v>0</v>
      </c>
      <c r="AH1101">
        <v>160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f t="shared" si="183"/>
        <v>320</v>
      </c>
      <c r="BF1101">
        <v>420</v>
      </c>
      <c r="BG1101">
        <v>420</v>
      </c>
      <c r="BH1101" t="s">
        <v>109</v>
      </c>
      <c r="BI1101" t="s">
        <v>915</v>
      </c>
      <c r="BJ1101">
        <v>0</v>
      </c>
      <c r="BK1101">
        <v>160</v>
      </c>
      <c r="BL1101">
        <v>420</v>
      </c>
      <c r="BM1101">
        <v>745</v>
      </c>
      <c r="BN1101">
        <v>0</v>
      </c>
      <c r="BO1101">
        <v>0</v>
      </c>
      <c r="BP1101">
        <v>0</v>
      </c>
      <c r="BQ1101">
        <v>745</v>
      </c>
      <c r="BR1101">
        <f t="shared" si="184"/>
        <v>-45</v>
      </c>
      <c r="BS1101">
        <f t="shared" si="185"/>
        <v>175</v>
      </c>
    </row>
    <row r="1102" spans="1:74" x14ac:dyDescent="0.25">
      <c r="A1102" s="5" t="s">
        <v>1017</v>
      </c>
      <c r="B1102" s="5" t="s">
        <v>61</v>
      </c>
      <c r="C1102" s="5" t="s">
        <v>61</v>
      </c>
      <c r="D1102" s="1" t="s">
        <v>117</v>
      </c>
      <c r="E1102">
        <v>0</v>
      </c>
      <c r="F1102">
        <v>0</v>
      </c>
      <c r="G1102">
        <v>0</v>
      </c>
      <c r="H1102">
        <v>0</v>
      </c>
      <c r="I1102">
        <v>81</v>
      </c>
      <c r="J1102">
        <v>569</v>
      </c>
      <c r="K1102">
        <v>10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45</v>
      </c>
      <c r="R1102">
        <v>0</v>
      </c>
      <c r="S1102" s="18" t="e">
        <f t="shared" si="176"/>
        <v>#DIV/0!</v>
      </c>
      <c r="T1102" s="17" t="e">
        <f t="shared" si="177"/>
        <v>#DIV/0!</v>
      </c>
      <c r="U1102" s="17" t="e">
        <f t="shared" si="178"/>
        <v>#DIV/0!</v>
      </c>
      <c r="V1102" s="17" t="e">
        <f t="shared" si="179"/>
        <v>#DIV/0!</v>
      </c>
      <c r="W1102" s="17" t="e">
        <f t="shared" si="180"/>
        <v>#DIV/0!</v>
      </c>
      <c r="X1102" s="17" t="e">
        <f t="shared" si="181"/>
        <v>#DIV/0!</v>
      </c>
      <c r="Y1102" s="19" t="e">
        <f t="shared" si="182"/>
        <v>#DIV/0!</v>
      </c>
      <c r="Z1102">
        <v>0</v>
      </c>
      <c r="AA1102">
        <v>0</v>
      </c>
      <c r="AB1102">
        <v>80</v>
      </c>
      <c r="AC1102">
        <v>125</v>
      </c>
      <c r="AD1102">
        <v>0</v>
      </c>
      <c r="AE1102">
        <v>0</v>
      </c>
      <c r="AF1102">
        <v>0</v>
      </c>
      <c r="AG1102">
        <v>81</v>
      </c>
      <c r="AH1102">
        <v>81</v>
      </c>
      <c r="AI1102">
        <v>0</v>
      </c>
      <c r="AJ1102">
        <v>0</v>
      </c>
      <c r="AK1102">
        <v>569</v>
      </c>
      <c r="AL1102">
        <v>569</v>
      </c>
      <c r="AM1102">
        <v>0</v>
      </c>
      <c r="AN1102">
        <v>0</v>
      </c>
      <c r="AO1102">
        <v>10</v>
      </c>
      <c r="AP1102">
        <v>0</v>
      </c>
      <c r="AQ1102">
        <v>10</v>
      </c>
      <c r="AR1102">
        <v>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f t="shared" si="183"/>
        <v>1455</v>
      </c>
      <c r="BF1102">
        <v>865</v>
      </c>
      <c r="BG1102">
        <v>865</v>
      </c>
      <c r="BH1102" t="s">
        <v>82</v>
      </c>
      <c r="BI1102" t="s">
        <v>1042</v>
      </c>
      <c r="BJ1102">
        <v>205</v>
      </c>
      <c r="BK1102">
        <v>660</v>
      </c>
      <c r="BL1102">
        <v>865</v>
      </c>
      <c r="BM1102">
        <v>0</v>
      </c>
      <c r="BN1102">
        <v>0</v>
      </c>
      <c r="BO1102">
        <v>0</v>
      </c>
      <c r="BP1102">
        <v>660</v>
      </c>
      <c r="BQ1102">
        <v>660</v>
      </c>
      <c r="BR1102">
        <f t="shared" si="184"/>
        <v>-45</v>
      </c>
      <c r="BS1102">
        <f t="shared" si="185"/>
        <v>45</v>
      </c>
    </row>
    <row r="1103" spans="1:74" x14ac:dyDescent="0.25">
      <c r="A1103" s="5" t="s">
        <v>2090</v>
      </c>
      <c r="B1103" s="5" t="s">
        <v>61</v>
      </c>
      <c r="C1103" s="5" t="s">
        <v>61</v>
      </c>
      <c r="D1103" s="1" t="s">
        <v>79</v>
      </c>
      <c r="E1103">
        <v>0</v>
      </c>
      <c r="F1103">
        <v>100</v>
      </c>
      <c r="G1103">
        <v>0</v>
      </c>
      <c r="H1103">
        <v>0</v>
      </c>
      <c r="I1103">
        <v>0</v>
      </c>
      <c r="J1103">
        <v>0</v>
      </c>
      <c r="K1103">
        <v>500</v>
      </c>
      <c r="L1103">
        <v>0</v>
      </c>
      <c r="M1103">
        <v>0</v>
      </c>
      <c r="N1103">
        <v>0</v>
      </c>
      <c r="O1103">
        <v>0</v>
      </c>
      <c r="P1103">
        <v>567</v>
      </c>
      <c r="Q1103">
        <v>63</v>
      </c>
      <c r="R1103">
        <v>63</v>
      </c>
      <c r="S1103" s="18">
        <f t="shared" si="176"/>
        <v>9</v>
      </c>
      <c r="T1103" s="17">
        <f t="shared" si="177"/>
        <v>0</v>
      </c>
      <c r="U1103" s="17">
        <f t="shared" si="178"/>
        <v>0</v>
      </c>
      <c r="V1103" s="17">
        <f t="shared" si="179"/>
        <v>0</v>
      </c>
      <c r="W1103" s="17">
        <f t="shared" si="180"/>
        <v>63</v>
      </c>
      <c r="X1103" s="17">
        <f t="shared" si="181"/>
        <v>0</v>
      </c>
      <c r="Y1103" s="19" t="e">
        <f t="shared" si="182"/>
        <v>#DIV/0!</v>
      </c>
      <c r="Z1103">
        <v>100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500</v>
      </c>
      <c r="AP1103">
        <v>0</v>
      </c>
      <c r="AQ1103">
        <v>500</v>
      </c>
      <c r="AR1103">
        <v>500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f t="shared" si="183"/>
        <v>1500</v>
      </c>
      <c r="BF1103">
        <v>600</v>
      </c>
      <c r="BG1103">
        <v>600</v>
      </c>
      <c r="BH1103" t="s">
        <v>63</v>
      </c>
      <c r="BI1103" t="s">
        <v>2099</v>
      </c>
      <c r="BJ1103">
        <v>0</v>
      </c>
      <c r="BK1103">
        <v>500</v>
      </c>
      <c r="BL1103">
        <v>600</v>
      </c>
      <c r="BM1103">
        <v>0</v>
      </c>
      <c r="BN1103">
        <v>0</v>
      </c>
      <c r="BO1103">
        <v>0</v>
      </c>
      <c r="BP1103">
        <v>1067</v>
      </c>
      <c r="BQ1103">
        <v>1067</v>
      </c>
      <c r="BR1103">
        <f t="shared" si="184"/>
        <v>0</v>
      </c>
      <c r="BS1103">
        <f t="shared" si="185"/>
        <v>126</v>
      </c>
      <c r="BU1103">
        <f>R1103*9</f>
        <v>567</v>
      </c>
      <c r="BV1103">
        <f>IF(BU1103&gt;BG1103, 1, 0)</f>
        <v>0</v>
      </c>
    </row>
    <row r="1104" spans="1:74" x14ac:dyDescent="0.25">
      <c r="A1104" s="5" t="s">
        <v>1135</v>
      </c>
      <c r="B1104" s="5" t="s">
        <v>207</v>
      </c>
      <c r="C1104" s="5" t="s">
        <v>61</v>
      </c>
      <c r="D1104" s="1" t="s">
        <v>141</v>
      </c>
      <c r="E1104">
        <v>0</v>
      </c>
      <c r="F1104">
        <v>235</v>
      </c>
      <c r="G1104">
        <v>0</v>
      </c>
      <c r="H1104">
        <v>0</v>
      </c>
      <c r="I1104">
        <v>350</v>
      </c>
      <c r="J1104">
        <v>1523</v>
      </c>
      <c r="K1104">
        <v>105</v>
      </c>
      <c r="L1104">
        <v>65</v>
      </c>
      <c r="M1104">
        <v>0</v>
      </c>
      <c r="N1104">
        <v>0</v>
      </c>
      <c r="O1104">
        <v>0</v>
      </c>
      <c r="P1104">
        <v>765</v>
      </c>
      <c r="Q1104">
        <v>130</v>
      </c>
      <c r="R1104">
        <v>85</v>
      </c>
      <c r="S1104" s="18">
        <f t="shared" si="176"/>
        <v>9</v>
      </c>
      <c r="T1104" s="17">
        <f t="shared" si="177"/>
        <v>0</v>
      </c>
      <c r="U1104" s="17">
        <f t="shared" si="178"/>
        <v>0</v>
      </c>
      <c r="V1104" s="17">
        <f t="shared" si="179"/>
        <v>0</v>
      </c>
      <c r="W1104" s="17">
        <f t="shared" si="180"/>
        <v>85</v>
      </c>
      <c r="X1104" s="17">
        <f t="shared" si="181"/>
        <v>45</v>
      </c>
      <c r="Y1104" s="19">
        <f t="shared" si="182"/>
        <v>0</v>
      </c>
      <c r="Z1104">
        <v>235</v>
      </c>
      <c r="AA1104">
        <v>0</v>
      </c>
      <c r="AB1104">
        <v>0</v>
      </c>
      <c r="AC1104">
        <v>2500</v>
      </c>
      <c r="AD1104">
        <v>0</v>
      </c>
      <c r="AE1104">
        <v>0</v>
      </c>
      <c r="AF1104">
        <v>0</v>
      </c>
      <c r="AG1104">
        <v>350</v>
      </c>
      <c r="AH1104">
        <v>350</v>
      </c>
      <c r="AI1104">
        <v>0</v>
      </c>
      <c r="AJ1104">
        <v>0</v>
      </c>
      <c r="AK1104">
        <v>1523</v>
      </c>
      <c r="AL1104">
        <v>1523</v>
      </c>
      <c r="AM1104">
        <v>0</v>
      </c>
      <c r="AN1104">
        <v>0</v>
      </c>
      <c r="AO1104">
        <v>105</v>
      </c>
      <c r="AP1104">
        <v>15</v>
      </c>
      <c r="AQ1104">
        <v>105</v>
      </c>
      <c r="AR1104">
        <v>90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65</v>
      </c>
      <c r="BA1104">
        <v>65</v>
      </c>
      <c r="BB1104">
        <v>0</v>
      </c>
      <c r="BC1104">
        <v>0</v>
      </c>
      <c r="BD1104">
        <v>0</v>
      </c>
      <c r="BE1104">
        <f t="shared" si="183"/>
        <v>6691</v>
      </c>
      <c r="BF1104">
        <v>4778</v>
      </c>
      <c r="BG1104">
        <v>4778</v>
      </c>
      <c r="BH1104" t="s">
        <v>82</v>
      </c>
      <c r="BI1104" t="s">
        <v>1234</v>
      </c>
      <c r="BJ1104">
        <v>2500</v>
      </c>
      <c r="BK1104">
        <v>2043</v>
      </c>
      <c r="BL1104">
        <v>4778</v>
      </c>
      <c r="BM1104">
        <v>0</v>
      </c>
      <c r="BN1104">
        <v>0</v>
      </c>
      <c r="BO1104">
        <v>0</v>
      </c>
      <c r="BP1104">
        <v>2808</v>
      </c>
      <c r="BQ1104">
        <v>2808</v>
      </c>
      <c r="BR1104">
        <f t="shared" si="184"/>
        <v>-45</v>
      </c>
      <c r="BS1104">
        <f t="shared" si="185"/>
        <v>215</v>
      </c>
    </row>
    <row r="1105" spans="1:71" x14ac:dyDescent="0.25">
      <c r="A1105" s="5" t="s">
        <v>1337</v>
      </c>
      <c r="B1105" s="5" t="s">
        <v>359</v>
      </c>
      <c r="C1105" s="5" t="s">
        <v>61</v>
      </c>
      <c r="D1105" s="1" t="s">
        <v>86</v>
      </c>
      <c r="E1105">
        <v>0</v>
      </c>
      <c r="F1105">
        <v>0</v>
      </c>
      <c r="G1105">
        <v>0</v>
      </c>
      <c r="H1105">
        <v>0</v>
      </c>
      <c r="I1105">
        <v>177</v>
      </c>
      <c r="J1105">
        <v>160</v>
      </c>
      <c r="K1105">
        <v>35</v>
      </c>
      <c r="L1105">
        <v>90</v>
      </c>
      <c r="M1105">
        <v>0</v>
      </c>
      <c r="N1105">
        <v>0</v>
      </c>
      <c r="O1105">
        <v>0</v>
      </c>
      <c r="P1105">
        <v>0</v>
      </c>
      <c r="Q1105">
        <v>45</v>
      </c>
      <c r="R1105">
        <v>0</v>
      </c>
      <c r="S1105" s="18" t="e">
        <f t="shared" si="176"/>
        <v>#DIV/0!</v>
      </c>
      <c r="T1105" s="17" t="e">
        <f t="shared" si="177"/>
        <v>#DIV/0!</v>
      </c>
      <c r="U1105" s="17" t="e">
        <f t="shared" si="178"/>
        <v>#DIV/0!</v>
      </c>
      <c r="V1105" s="17" t="e">
        <f t="shared" si="179"/>
        <v>#DIV/0!</v>
      </c>
      <c r="W1105" s="17" t="e">
        <f t="shared" si="180"/>
        <v>#DIV/0!</v>
      </c>
      <c r="X1105" s="17" t="e">
        <f t="shared" si="181"/>
        <v>#DIV/0!</v>
      </c>
      <c r="Y1105" s="19" t="e">
        <f t="shared" si="182"/>
        <v>#DIV/0!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177</v>
      </c>
      <c r="AH1105">
        <v>177</v>
      </c>
      <c r="AI1105">
        <v>0</v>
      </c>
      <c r="AJ1105">
        <v>0</v>
      </c>
      <c r="AK1105">
        <v>160</v>
      </c>
      <c r="AL1105">
        <v>160</v>
      </c>
      <c r="AM1105">
        <v>0</v>
      </c>
      <c r="AN1105">
        <v>0</v>
      </c>
      <c r="AO1105">
        <v>35</v>
      </c>
      <c r="AP1105">
        <v>35</v>
      </c>
      <c r="AQ1105">
        <v>35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90</v>
      </c>
      <c r="BA1105">
        <v>90</v>
      </c>
      <c r="BB1105">
        <v>0</v>
      </c>
      <c r="BC1105">
        <v>0</v>
      </c>
      <c r="BD1105">
        <v>0</v>
      </c>
      <c r="BE1105">
        <f t="shared" si="183"/>
        <v>959</v>
      </c>
      <c r="BF1105">
        <v>462</v>
      </c>
      <c r="BG1105">
        <v>462</v>
      </c>
      <c r="BH1105" t="s">
        <v>109</v>
      </c>
      <c r="BI1105" t="s">
        <v>1424</v>
      </c>
      <c r="BJ1105">
        <v>0</v>
      </c>
      <c r="BK1105">
        <v>462</v>
      </c>
      <c r="BL1105">
        <v>462</v>
      </c>
      <c r="BM1105">
        <v>0</v>
      </c>
      <c r="BN1105">
        <v>0</v>
      </c>
      <c r="BO1105">
        <v>0</v>
      </c>
      <c r="BP1105">
        <v>462</v>
      </c>
      <c r="BQ1105">
        <v>462</v>
      </c>
      <c r="BR1105">
        <f t="shared" si="184"/>
        <v>-45</v>
      </c>
      <c r="BS1105">
        <f t="shared" si="185"/>
        <v>45</v>
      </c>
    </row>
    <row r="1106" spans="1:71" x14ac:dyDescent="0.25">
      <c r="A1106" s="5" t="s">
        <v>1661</v>
      </c>
      <c r="B1106" s="5" t="s">
        <v>359</v>
      </c>
      <c r="C1106" s="5" t="s">
        <v>207</v>
      </c>
      <c r="D1106" s="1" t="s">
        <v>133</v>
      </c>
      <c r="E1106">
        <v>0</v>
      </c>
      <c r="F1106">
        <v>14</v>
      </c>
      <c r="G1106">
        <v>0</v>
      </c>
      <c r="H1106">
        <v>0</v>
      </c>
      <c r="I1106">
        <v>0</v>
      </c>
      <c r="J1106">
        <v>557</v>
      </c>
      <c r="K1106">
        <v>60</v>
      </c>
      <c r="L1106">
        <v>0</v>
      </c>
      <c r="M1106">
        <v>0</v>
      </c>
      <c r="N1106">
        <v>0</v>
      </c>
      <c r="O1106">
        <v>0</v>
      </c>
      <c r="P1106">
        <v>126</v>
      </c>
      <c r="Q1106">
        <v>59</v>
      </c>
      <c r="R1106">
        <v>14</v>
      </c>
      <c r="S1106" s="18">
        <f t="shared" si="176"/>
        <v>9</v>
      </c>
      <c r="T1106" s="17">
        <f t="shared" si="177"/>
        <v>0</v>
      </c>
      <c r="U1106" s="17">
        <f t="shared" si="178"/>
        <v>0</v>
      </c>
      <c r="V1106" s="17">
        <f t="shared" si="179"/>
        <v>0</v>
      </c>
      <c r="W1106" s="17">
        <f t="shared" si="180"/>
        <v>14</v>
      </c>
      <c r="X1106" s="17">
        <f t="shared" si="181"/>
        <v>45</v>
      </c>
      <c r="Y1106" s="19">
        <f t="shared" si="182"/>
        <v>0</v>
      </c>
      <c r="Z1106">
        <v>14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557</v>
      </c>
      <c r="AL1106">
        <v>557</v>
      </c>
      <c r="AM1106">
        <v>0</v>
      </c>
      <c r="AN1106">
        <v>0</v>
      </c>
      <c r="AO1106">
        <v>60</v>
      </c>
      <c r="AP1106">
        <v>0</v>
      </c>
      <c r="AQ1106">
        <v>60</v>
      </c>
      <c r="AR1106">
        <v>60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f t="shared" si="183"/>
        <v>1294</v>
      </c>
      <c r="BF1106">
        <v>973</v>
      </c>
      <c r="BG1106">
        <v>973</v>
      </c>
      <c r="BH1106" t="s">
        <v>82</v>
      </c>
      <c r="BI1106" t="s">
        <v>1914</v>
      </c>
      <c r="BJ1106">
        <v>0</v>
      </c>
      <c r="BK1106">
        <v>617</v>
      </c>
      <c r="BL1106">
        <v>631</v>
      </c>
      <c r="BM1106">
        <v>0</v>
      </c>
      <c r="BN1106">
        <v>0</v>
      </c>
      <c r="BO1106">
        <v>0</v>
      </c>
      <c r="BP1106">
        <v>743</v>
      </c>
      <c r="BQ1106">
        <v>743</v>
      </c>
      <c r="BR1106">
        <f t="shared" si="184"/>
        <v>-45</v>
      </c>
      <c r="BS1106">
        <f t="shared" si="185"/>
        <v>73</v>
      </c>
    </row>
    <row r="1107" spans="1:71" x14ac:dyDescent="0.25">
      <c r="A1107" s="5" t="s">
        <v>1946</v>
      </c>
      <c r="B1107" s="5" t="s">
        <v>61</v>
      </c>
      <c r="C1107" s="5" t="s">
        <v>61</v>
      </c>
      <c r="D1107" s="1" t="s">
        <v>161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200</v>
      </c>
      <c r="K1107">
        <v>310</v>
      </c>
      <c r="L1107">
        <v>46</v>
      </c>
      <c r="M1107">
        <v>0</v>
      </c>
      <c r="N1107">
        <v>0</v>
      </c>
      <c r="O1107">
        <v>0</v>
      </c>
      <c r="P1107">
        <v>0</v>
      </c>
      <c r="Q1107">
        <v>45</v>
      </c>
      <c r="R1107">
        <v>0</v>
      </c>
      <c r="S1107" s="18" t="e">
        <f t="shared" si="176"/>
        <v>#DIV/0!</v>
      </c>
      <c r="T1107" s="17" t="e">
        <f t="shared" si="177"/>
        <v>#DIV/0!</v>
      </c>
      <c r="U1107" s="17" t="e">
        <f t="shared" si="178"/>
        <v>#DIV/0!</v>
      </c>
      <c r="V1107" s="17" t="e">
        <f t="shared" si="179"/>
        <v>#DIV/0!</v>
      </c>
      <c r="W1107" s="17" t="e">
        <f t="shared" si="180"/>
        <v>#DIV/0!</v>
      </c>
      <c r="X1107" s="17" t="e">
        <f t="shared" si="181"/>
        <v>#DIV/0!</v>
      </c>
      <c r="Y1107" s="19" t="e">
        <f t="shared" si="182"/>
        <v>#DIV/0!</v>
      </c>
      <c r="Z1107">
        <v>0</v>
      </c>
      <c r="AA1107">
        <v>0</v>
      </c>
      <c r="AB1107">
        <v>0</v>
      </c>
      <c r="AC1107">
        <v>550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200</v>
      </c>
      <c r="AL1107">
        <v>200</v>
      </c>
      <c r="AM1107">
        <v>0</v>
      </c>
      <c r="AN1107">
        <v>0</v>
      </c>
      <c r="AO1107">
        <v>310</v>
      </c>
      <c r="AP1107">
        <v>250</v>
      </c>
      <c r="AQ1107">
        <v>310</v>
      </c>
      <c r="AR1107">
        <v>60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46</v>
      </c>
      <c r="BA1107">
        <v>46</v>
      </c>
      <c r="BB1107">
        <v>0</v>
      </c>
      <c r="BC1107">
        <v>0</v>
      </c>
      <c r="BD1107">
        <v>0</v>
      </c>
      <c r="BE1107">
        <f t="shared" si="183"/>
        <v>1972</v>
      </c>
      <c r="BF1107">
        <v>1106</v>
      </c>
      <c r="BG1107">
        <v>1106</v>
      </c>
      <c r="BH1107" t="s">
        <v>190</v>
      </c>
      <c r="BI1107" t="s">
        <v>1992</v>
      </c>
      <c r="BJ1107">
        <v>550</v>
      </c>
      <c r="BK1107">
        <v>556</v>
      </c>
      <c r="BL1107">
        <v>1106</v>
      </c>
      <c r="BM1107">
        <v>0</v>
      </c>
      <c r="BN1107">
        <v>0</v>
      </c>
      <c r="BO1107">
        <v>0</v>
      </c>
      <c r="BP1107">
        <v>556</v>
      </c>
      <c r="BQ1107">
        <v>556</v>
      </c>
      <c r="BR1107">
        <f t="shared" si="184"/>
        <v>-45</v>
      </c>
      <c r="BS1107">
        <f t="shared" si="185"/>
        <v>45</v>
      </c>
    </row>
    <row r="1108" spans="1:71" x14ac:dyDescent="0.25">
      <c r="A1108" s="5" t="s">
        <v>61</v>
      </c>
      <c r="B1108" s="5" t="s">
        <v>207</v>
      </c>
      <c r="C1108" s="5" t="s">
        <v>61</v>
      </c>
      <c r="D1108" s="1" t="s">
        <v>167</v>
      </c>
      <c r="E1108">
        <v>0</v>
      </c>
      <c r="F1108">
        <v>99</v>
      </c>
      <c r="G1108">
        <v>0</v>
      </c>
      <c r="H1108">
        <v>0</v>
      </c>
      <c r="I1108">
        <v>164</v>
      </c>
      <c r="J1108">
        <v>0</v>
      </c>
      <c r="K1108">
        <v>0</v>
      </c>
      <c r="L1108">
        <v>0</v>
      </c>
      <c r="M1108">
        <v>891</v>
      </c>
      <c r="N1108">
        <v>0</v>
      </c>
      <c r="O1108">
        <v>0</v>
      </c>
      <c r="P1108">
        <v>0</v>
      </c>
      <c r="Q1108">
        <v>146</v>
      </c>
      <c r="R1108">
        <v>99</v>
      </c>
      <c r="S1108" s="18">
        <f t="shared" si="176"/>
        <v>9</v>
      </c>
      <c r="T1108" s="17">
        <f t="shared" si="177"/>
        <v>99</v>
      </c>
      <c r="U1108" s="17">
        <f t="shared" si="178"/>
        <v>0</v>
      </c>
      <c r="V1108" s="17">
        <f t="shared" si="179"/>
        <v>0</v>
      </c>
      <c r="W1108" s="17">
        <f t="shared" si="180"/>
        <v>0</v>
      </c>
      <c r="X1108" s="17">
        <f t="shared" si="181"/>
        <v>47</v>
      </c>
      <c r="Y1108" s="19">
        <f t="shared" si="182"/>
        <v>0</v>
      </c>
      <c r="Z1108">
        <v>99</v>
      </c>
      <c r="AA1108">
        <v>0</v>
      </c>
      <c r="AB1108">
        <v>0</v>
      </c>
      <c r="AC1108">
        <v>0</v>
      </c>
      <c r="AD1108">
        <v>164</v>
      </c>
      <c r="AE1108">
        <v>0</v>
      </c>
      <c r="AF1108">
        <v>0</v>
      </c>
      <c r="AG1108">
        <v>0</v>
      </c>
      <c r="AH1108">
        <v>164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f t="shared" si="183"/>
        <v>328</v>
      </c>
      <c r="BF1108">
        <v>263</v>
      </c>
      <c r="BG1108">
        <v>263</v>
      </c>
      <c r="BH1108" t="s">
        <v>109</v>
      </c>
      <c r="BI1108" t="s">
        <v>260</v>
      </c>
      <c r="BJ1108">
        <v>0</v>
      </c>
      <c r="BK1108">
        <v>164</v>
      </c>
      <c r="BL1108">
        <v>263</v>
      </c>
      <c r="BM1108">
        <v>1055</v>
      </c>
      <c r="BN1108">
        <v>0</v>
      </c>
      <c r="BO1108">
        <v>0</v>
      </c>
      <c r="BP1108">
        <v>0</v>
      </c>
      <c r="BQ1108">
        <v>1055</v>
      </c>
      <c r="BR1108">
        <f t="shared" si="184"/>
        <v>-47</v>
      </c>
      <c r="BS1108">
        <f t="shared" si="185"/>
        <v>245</v>
      </c>
    </row>
    <row r="1109" spans="1:71" x14ac:dyDescent="0.25">
      <c r="A1109" s="5" t="s">
        <v>359</v>
      </c>
      <c r="B1109" s="5" t="s">
        <v>61</v>
      </c>
      <c r="C1109" s="5" t="s">
        <v>61</v>
      </c>
      <c r="D1109" s="1" t="s">
        <v>125</v>
      </c>
      <c r="E1109">
        <v>0</v>
      </c>
      <c r="F1109">
        <v>0</v>
      </c>
      <c r="G1109">
        <v>0</v>
      </c>
      <c r="H1109">
        <v>0</v>
      </c>
      <c r="I1109">
        <v>200</v>
      </c>
      <c r="J1109">
        <v>1976</v>
      </c>
      <c r="K1109">
        <v>555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47</v>
      </c>
      <c r="R1109">
        <v>0</v>
      </c>
      <c r="S1109" s="18" t="e">
        <f t="shared" si="176"/>
        <v>#DIV/0!</v>
      </c>
      <c r="T1109" s="17" t="e">
        <f t="shared" si="177"/>
        <v>#DIV/0!</v>
      </c>
      <c r="U1109" s="17" t="e">
        <f t="shared" si="178"/>
        <v>#DIV/0!</v>
      </c>
      <c r="V1109" s="17" t="e">
        <f t="shared" si="179"/>
        <v>#DIV/0!</v>
      </c>
      <c r="W1109" s="17" t="e">
        <f t="shared" si="180"/>
        <v>#DIV/0!</v>
      </c>
      <c r="X1109" s="17" t="e">
        <f t="shared" si="181"/>
        <v>#DIV/0!</v>
      </c>
      <c r="Y1109" s="19" t="e">
        <f t="shared" si="182"/>
        <v>#DIV/0!</v>
      </c>
      <c r="Z1109">
        <v>0</v>
      </c>
      <c r="AA1109">
        <v>0</v>
      </c>
      <c r="AB1109">
        <v>0</v>
      </c>
      <c r="AC1109">
        <v>923</v>
      </c>
      <c r="AD1109">
        <v>0</v>
      </c>
      <c r="AE1109">
        <v>0</v>
      </c>
      <c r="AF1109">
        <v>0</v>
      </c>
      <c r="AG1109">
        <v>200</v>
      </c>
      <c r="AH1109">
        <v>200</v>
      </c>
      <c r="AI1109">
        <v>0</v>
      </c>
      <c r="AJ1109">
        <v>0</v>
      </c>
      <c r="AK1109">
        <v>1976</v>
      </c>
      <c r="AL1109">
        <v>1976</v>
      </c>
      <c r="AM1109">
        <v>0</v>
      </c>
      <c r="AN1109">
        <v>0</v>
      </c>
      <c r="AO1109">
        <v>555</v>
      </c>
      <c r="AP1109">
        <v>485</v>
      </c>
      <c r="AQ1109">
        <v>555</v>
      </c>
      <c r="AR1109">
        <v>70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f t="shared" si="183"/>
        <v>6940</v>
      </c>
      <c r="BF1109">
        <v>3654</v>
      </c>
      <c r="BG1109">
        <v>3654</v>
      </c>
      <c r="BH1109" t="s">
        <v>82</v>
      </c>
      <c r="BI1109" t="s">
        <v>725</v>
      </c>
      <c r="BJ1109">
        <v>923</v>
      </c>
      <c r="BK1109">
        <v>2731</v>
      </c>
      <c r="BL1109">
        <v>3654</v>
      </c>
      <c r="BM1109">
        <v>0</v>
      </c>
      <c r="BN1109">
        <v>0</v>
      </c>
      <c r="BO1109">
        <v>0</v>
      </c>
      <c r="BP1109">
        <v>2731</v>
      </c>
      <c r="BQ1109">
        <v>2731</v>
      </c>
      <c r="BR1109">
        <f t="shared" si="184"/>
        <v>-47</v>
      </c>
      <c r="BS1109">
        <f t="shared" si="185"/>
        <v>47</v>
      </c>
    </row>
    <row r="1110" spans="1:71" x14ac:dyDescent="0.25">
      <c r="A1110" s="5" t="s">
        <v>1337</v>
      </c>
      <c r="B1110" s="5" t="s">
        <v>207</v>
      </c>
      <c r="C1110" s="5" t="s">
        <v>61</v>
      </c>
      <c r="D1110" s="1" t="s">
        <v>81</v>
      </c>
      <c r="E1110">
        <v>0</v>
      </c>
      <c r="F1110">
        <v>0</v>
      </c>
      <c r="G1110">
        <v>0</v>
      </c>
      <c r="H1110">
        <v>0</v>
      </c>
      <c r="I1110">
        <v>650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47</v>
      </c>
      <c r="R1110">
        <v>0</v>
      </c>
      <c r="S1110" s="18" t="e">
        <f t="shared" si="176"/>
        <v>#DIV/0!</v>
      </c>
      <c r="T1110" s="17" t="e">
        <f t="shared" si="177"/>
        <v>#DIV/0!</v>
      </c>
      <c r="U1110" s="17" t="e">
        <f t="shared" si="178"/>
        <v>#DIV/0!</v>
      </c>
      <c r="V1110" s="17" t="e">
        <f t="shared" si="179"/>
        <v>#DIV/0!</v>
      </c>
      <c r="W1110" s="17" t="e">
        <f t="shared" si="180"/>
        <v>#DIV/0!</v>
      </c>
      <c r="X1110" s="17" t="e">
        <f t="shared" si="181"/>
        <v>#DIV/0!</v>
      </c>
      <c r="Y1110" s="19" t="e">
        <f t="shared" si="182"/>
        <v>#DIV/0!</v>
      </c>
      <c r="Z1110">
        <v>0</v>
      </c>
      <c r="AA1110">
        <v>0</v>
      </c>
      <c r="AB1110">
        <v>0</v>
      </c>
      <c r="AC1110">
        <v>0</v>
      </c>
      <c r="AD1110">
        <v>650</v>
      </c>
      <c r="AE1110">
        <v>0</v>
      </c>
      <c r="AF1110">
        <v>0</v>
      </c>
      <c r="AG1110">
        <v>0</v>
      </c>
      <c r="AH1110">
        <v>650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f t="shared" si="183"/>
        <v>1300</v>
      </c>
      <c r="BF1110">
        <v>650</v>
      </c>
      <c r="BG1110">
        <v>650</v>
      </c>
      <c r="BH1110" t="s">
        <v>109</v>
      </c>
      <c r="BI1110" t="s">
        <v>1379</v>
      </c>
      <c r="BJ1110">
        <v>0</v>
      </c>
      <c r="BK1110">
        <v>650</v>
      </c>
      <c r="BL1110">
        <v>650</v>
      </c>
      <c r="BM1110">
        <v>650</v>
      </c>
      <c r="BN1110">
        <v>0</v>
      </c>
      <c r="BO1110">
        <v>0</v>
      </c>
      <c r="BP1110">
        <v>0</v>
      </c>
      <c r="BQ1110">
        <v>650</v>
      </c>
      <c r="BR1110">
        <f t="shared" si="184"/>
        <v>-47</v>
      </c>
      <c r="BS1110">
        <f t="shared" si="185"/>
        <v>47</v>
      </c>
    </row>
    <row r="1111" spans="1:71" x14ac:dyDescent="0.25">
      <c r="A1111" s="5" t="s">
        <v>1661</v>
      </c>
      <c r="B1111" s="5" t="s">
        <v>61</v>
      </c>
      <c r="C1111" s="5" t="s">
        <v>61</v>
      </c>
      <c r="D1111" s="1" t="s">
        <v>145</v>
      </c>
      <c r="E1111">
        <v>0</v>
      </c>
      <c r="F1111">
        <v>275</v>
      </c>
      <c r="G1111">
        <v>0</v>
      </c>
      <c r="H1111">
        <v>0</v>
      </c>
      <c r="I1111">
        <v>32</v>
      </c>
      <c r="J1111">
        <v>3029</v>
      </c>
      <c r="K1111">
        <v>435</v>
      </c>
      <c r="L1111">
        <v>275</v>
      </c>
      <c r="M1111">
        <v>0</v>
      </c>
      <c r="N1111">
        <v>0</v>
      </c>
      <c r="O1111">
        <v>0</v>
      </c>
      <c r="P1111">
        <v>360</v>
      </c>
      <c r="Q1111">
        <v>87</v>
      </c>
      <c r="R1111">
        <v>40</v>
      </c>
      <c r="S1111" s="18">
        <f t="shared" si="176"/>
        <v>9</v>
      </c>
      <c r="T1111" s="17">
        <f t="shared" si="177"/>
        <v>0</v>
      </c>
      <c r="U1111" s="17">
        <f t="shared" si="178"/>
        <v>0</v>
      </c>
      <c r="V1111" s="17">
        <f t="shared" si="179"/>
        <v>0</v>
      </c>
      <c r="W1111" s="17">
        <f t="shared" si="180"/>
        <v>40</v>
      </c>
      <c r="X1111" s="17">
        <f t="shared" si="181"/>
        <v>47</v>
      </c>
      <c r="Y1111" s="19">
        <f t="shared" si="182"/>
        <v>0</v>
      </c>
      <c r="Z1111">
        <v>275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32</v>
      </c>
      <c r="AH1111">
        <v>32</v>
      </c>
      <c r="AI1111">
        <v>0</v>
      </c>
      <c r="AJ1111">
        <v>0</v>
      </c>
      <c r="AK1111">
        <v>3029</v>
      </c>
      <c r="AL1111">
        <v>3029</v>
      </c>
      <c r="AM1111">
        <v>0</v>
      </c>
      <c r="AN1111">
        <v>0</v>
      </c>
      <c r="AO1111">
        <v>435</v>
      </c>
      <c r="AP1111">
        <v>112</v>
      </c>
      <c r="AQ1111">
        <v>435</v>
      </c>
      <c r="AR1111">
        <v>323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275</v>
      </c>
      <c r="BA1111">
        <v>275</v>
      </c>
      <c r="BB1111">
        <v>0</v>
      </c>
      <c r="BC1111">
        <v>0</v>
      </c>
      <c r="BD1111">
        <v>0</v>
      </c>
      <c r="BE1111">
        <f t="shared" si="183"/>
        <v>7977</v>
      </c>
      <c r="BF1111">
        <v>4046</v>
      </c>
      <c r="BG1111">
        <v>4046</v>
      </c>
      <c r="BH1111" t="s">
        <v>199</v>
      </c>
      <c r="BI1111" t="s">
        <v>1697</v>
      </c>
      <c r="BJ1111">
        <v>0</v>
      </c>
      <c r="BK1111">
        <v>3771</v>
      </c>
      <c r="BL1111">
        <v>4046</v>
      </c>
      <c r="BM1111">
        <v>0</v>
      </c>
      <c r="BN1111">
        <v>0</v>
      </c>
      <c r="BO1111">
        <v>0</v>
      </c>
      <c r="BP1111">
        <v>4131</v>
      </c>
      <c r="BQ1111">
        <v>4131</v>
      </c>
      <c r="BR1111">
        <f t="shared" si="184"/>
        <v>-47</v>
      </c>
      <c r="BS1111">
        <f t="shared" si="185"/>
        <v>127</v>
      </c>
    </row>
    <row r="1112" spans="1:71" x14ac:dyDescent="0.25">
      <c r="A1112" s="5" t="s">
        <v>61</v>
      </c>
      <c r="B1112" s="5" t="s">
        <v>61</v>
      </c>
      <c r="C1112" s="5" t="s">
        <v>61</v>
      </c>
      <c r="D1112" s="1" t="s">
        <v>106</v>
      </c>
      <c r="E1112">
        <v>45</v>
      </c>
      <c r="F1112">
        <v>3</v>
      </c>
      <c r="G1112">
        <v>0</v>
      </c>
      <c r="H1112">
        <v>0</v>
      </c>
      <c r="I1112">
        <v>16</v>
      </c>
      <c r="J1112">
        <v>0</v>
      </c>
      <c r="K1112">
        <v>273</v>
      </c>
      <c r="L1112">
        <v>0</v>
      </c>
      <c r="M1112">
        <v>0</v>
      </c>
      <c r="N1112">
        <v>0</v>
      </c>
      <c r="O1112">
        <v>0</v>
      </c>
      <c r="P1112">
        <v>18</v>
      </c>
      <c r="Q1112">
        <v>50</v>
      </c>
      <c r="R1112">
        <v>2</v>
      </c>
      <c r="S1112" s="18">
        <f t="shared" si="176"/>
        <v>9</v>
      </c>
      <c r="T1112" s="17">
        <f t="shared" si="177"/>
        <v>0</v>
      </c>
      <c r="U1112" s="17">
        <f t="shared" si="178"/>
        <v>0</v>
      </c>
      <c r="V1112" s="17">
        <f t="shared" si="179"/>
        <v>0</v>
      </c>
      <c r="W1112" s="17">
        <f t="shared" si="180"/>
        <v>2</v>
      </c>
      <c r="X1112" s="17">
        <f t="shared" si="181"/>
        <v>48</v>
      </c>
      <c r="Y1112" s="19">
        <f t="shared" si="182"/>
        <v>0</v>
      </c>
      <c r="Z1112">
        <v>3</v>
      </c>
      <c r="AA1112">
        <v>0</v>
      </c>
      <c r="AB1112">
        <v>0</v>
      </c>
      <c r="AC1112">
        <v>173</v>
      </c>
      <c r="AD1112">
        <v>0</v>
      </c>
      <c r="AE1112">
        <v>0</v>
      </c>
      <c r="AF1112">
        <v>0</v>
      </c>
      <c r="AG1112">
        <v>16</v>
      </c>
      <c r="AH1112">
        <v>16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273</v>
      </c>
      <c r="AP1112">
        <v>238</v>
      </c>
      <c r="AQ1112">
        <v>273</v>
      </c>
      <c r="AR1112">
        <v>35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f t="shared" si="183"/>
        <v>1024</v>
      </c>
      <c r="BF1112">
        <v>510</v>
      </c>
      <c r="BG1112">
        <v>510</v>
      </c>
      <c r="BH1112" t="s">
        <v>82</v>
      </c>
      <c r="BI1112" t="s">
        <v>107</v>
      </c>
      <c r="BJ1112">
        <v>218</v>
      </c>
      <c r="BK1112">
        <v>289</v>
      </c>
      <c r="BL1112">
        <v>510</v>
      </c>
      <c r="BM1112">
        <v>0</v>
      </c>
      <c r="BN1112">
        <v>0</v>
      </c>
      <c r="BO1112">
        <v>0</v>
      </c>
      <c r="BP1112">
        <v>307</v>
      </c>
      <c r="BQ1112">
        <v>307</v>
      </c>
      <c r="BR1112">
        <f t="shared" si="184"/>
        <v>-48</v>
      </c>
      <c r="BS1112">
        <f t="shared" si="185"/>
        <v>52</v>
      </c>
    </row>
    <row r="1113" spans="1:71" x14ac:dyDescent="0.25">
      <c r="A1113" s="5" t="s">
        <v>61</v>
      </c>
      <c r="B1113" s="5" t="s">
        <v>207</v>
      </c>
      <c r="C1113" s="5" t="s">
        <v>61</v>
      </c>
      <c r="D1113" s="1" t="s">
        <v>151</v>
      </c>
      <c r="E1113">
        <v>0</v>
      </c>
      <c r="F1113">
        <v>216</v>
      </c>
      <c r="G1113">
        <v>0</v>
      </c>
      <c r="H1113">
        <v>0</v>
      </c>
      <c r="I1113">
        <v>121</v>
      </c>
      <c r="J1113">
        <v>0</v>
      </c>
      <c r="K1113">
        <v>0</v>
      </c>
      <c r="L1113">
        <v>0</v>
      </c>
      <c r="M1113">
        <v>1944</v>
      </c>
      <c r="N1113">
        <v>0</v>
      </c>
      <c r="O1113">
        <v>0</v>
      </c>
      <c r="P1113">
        <v>0</v>
      </c>
      <c r="Q1113">
        <v>264</v>
      </c>
      <c r="R1113">
        <v>216</v>
      </c>
      <c r="S1113" s="18">
        <f t="shared" si="176"/>
        <v>9</v>
      </c>
      <c r="T1113" s="17">
        <f t="shared" si="177"/>
        <v>216</v>
      </c>
      <c r="U1113" s="17">
        <f t="shared" si="178"/>
        <v>0</v>
      </c>
      <c r="V1113" s="17">
        <f t="shared" si="179"/>
        <v>0</v>
      </c>
      <c r="W1113" s="17">
        <f t="shared" si="180"/>
        <v>0</v>
      </c>
      <c r="X1113" s="17">
        <f t="shared" si="181"/>
        <v>48</v>
      </c>
      <c r="Y1113" s="19">
        <f t="shared" si="182"/>
        <v>0</v>
      </c>
      <c r="Z1113">
        <v>216</v>
      </c>
      <c r="AA1113">
        <v>0</v>
      </c>
      <c r="AB1113">
        <v>0</v>
      </c>
      <c r="AC1113">
        <v>0</v>
      </c>
      <c r="AD1113">
        <v>121</v>
      </c>
      <c r="AE1113">
        <v>0</v>
      </c>
      <c r="AF1113">
        <v>0</v>
      </c>
      <c r="AG1113">
        <v>0</v>
      </c>
      <c r="AH1113">
        <v>121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f t="shared" si="183"/>
        <v>242</v>
      </c>
      <c r="BF1113">
        <v>337</v>
      </c>
      <c r="BG1113">
        <v>337</v>
      </c>
      <c r="BH1113" t="s">
        <v>109</v>
      </c>
      <c r="BI1113" t="s">
        <v>252</v>
      </c>
      <c r="BJ1113">
        <v>0</v>
      </c>
      <c r="BK1113">
        <v>121</v>
      </c>
      <c r="BL1113">
        <v>337</v>
      </c>
      <c r="BM1113">
        <v>2065</v>
      </c>
      <c r="BN1113">
        <v>0</v>
      </c>
      <c r="BO1113">
        <v>0</v>
      </c>
      <c r="BP1113">
        <v>0</v>
      </c>
      <c r="BQ1113">
        <v>2065</v>
      </c>
      <c r="BR1113">
        <f t="shared" si="184"/>
        <v>-48</v>
      </c>
      <c r="BS1113">
        <f t="shared" si="185"/>
        <v>480</v>
      </c>
    </row>
    <row r="1114" spans="1:71" x14ac:dyDescent="0.25">
      <c r="A1114" s="5" t="s">
        <v>875</v>
      </c>
      <c r="B1114" s="5" t="s">
        <v>61</v>
      </c>
      <c r="C1114" s="5" t="s">
        <v>207</v>
      </c>
      <c r="D1114" s="1" t="s">
        <v>355</v>
      </c>
      <c r="E1114">
        <v>0</v>
      </c>
      <c r="F1114">
        <v>0</v>
      </c>
      <c r="G1114">
        <v>0</v>
      </c>
      <c r="H1114">
        <v>0</v>
      </c>
      <c r="I1114">
        <v>125</v>
      </c>
      <c r="J1114">
        <v>0</v>
      </c>
      <c r="K1114">
        <v>150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48</v>
      </c>
      <c r="R1114">
        <v>0</v>
      </c>
      <c r="S1114" s="18" t="e">
        <f t="shared" si="176"/>
        <v>#DIV/0!</v>
      </c>
      <c r="T1114" s="17" t="e">
        <f t="shared" si="177"/>
        <v>#DIV/0!</v>
      </c>
      <c r="U1114" s="17" t="e">
        <f t="shared" si="178"/>
        <v>#DIV/0!</v>
      </c>
      <c r="V1114" s="17" t="e">
        <f t="shared" si="179"/>
        <v>#DIV/0!</v>
      </c>
      <c r="W1114" s="17" t="e">
        <f t="shared" si="180"/>
        <v>#DIV/0!</v>
      </c>
      <c r="X1114" s="17" t="e">
        <f t="shared" si="181"/>
        <v>#DIV/0!</v>
      </c>
      <c r="Y1114" s="19" t="e">
        <f t="shared" si="182"/>
        <v>#DIV/0!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125</v>
      </c>
      <c r="AH1114">
        <v>125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150</v>
      </c>
      <c r="AP1114">
        <v>100</v>
      </c>
      <c r="AQ1114">
        <v>150</v>
      </c>
      <c r="AR1114">
        <v>50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f t="shared" si="183"/>
        <v>700</v>
      </c>
      <c r="BF1114">
        <v>275</v>
      </c>
      <c r="BG1114">
        <v>275</v>
      </c>
      <c r="BH1114" t="s">
        <v>109</v>
      </c>
      <c r="BI1114" t="s">
        <v>945</v>
      </c>
      <c r="BJ1114">
        <v>0</v>
      </c>
      <c r="BK1114">
        <v>275</v>
      </c>
      <c r="BL1114">
        <v>275</v>
      </c>
      <c r="BM1114">
        <v>0</v>
      </c>
      <c r="BN1114">
        <v>0</v>
      </c>
      <c r="BO1114">
        <v>0</v>
      </c>
      <c r="BP1114">
        <v>275</v>
      </c>
      <c r="BQ1114">
        <v>275</v>
      </c>
      <c r="BR1114">
        <f t="shared" si="184"/>
        <v>-48</v>
      </c>
      <c r="BS1114">
        <f t="shared" si="185"/>
        <v>48</v>
      </c>
    </row>
    <row r="1115" spans="1:71" x14ac:dyDescent="0.25">
      <c r="A1115" s="5" t="s">
        <v>1337</v>
      </c>
      <c r="B1115" s="5" t="s">
        <v>207</v>
      </c>
      <c r="C1115" s="5" t="s">
        <v>61</v>
      </c>
      <c r="D1115" s="1" t="s">
        <v>113</v>
      </c>
      <c r="E1115">
        <v>0</v>
      </c>
      <c r="F1115">
        <v>4608</v>
      </c>
      <c r="G1115">
        <v>0</v>
      </c>
      <c r="H1115">
        <v>0</v>
      </c>
      <c r="I1115">
        <v>171</v>
      </c>
      <c r="J1115">
        <v>2150</v>
      </c>
      <c r="K1115">
        <v>283</v>
      </c>
      <c r="L1115">
        <v>63</v>
      </c>
      <c r="M1115">
        <v>0</v>
      </c>
      <c r="N1115">
        <v>0</v>
      </c>
      <c r="O1115">
        <v>0</v>
      </c>
      <c r="P1115">
        <v>2520</v>
      </c>
      <c r="Q1115">
        <v>328</v>
      </c>
      <c r="R1115">
        <v>280</v>
      </c>
      <c r="S1115" s="18">
        <f t="shared" si="176"/>
        <v>9</v>
      </c>
      <c r="T1115" s="17">
        <f t="shared" si="177"/>
        <v>0</v>
      </c>
      <c r="U1115" s="17">
        <f t="shared" si="178"/>
        <v>0</v>
      </c>
      <c r="V1115" s="17">
        <f t="shared" si="179"/>
        <v>0</v>
      </c>
      <c r="W1115" s="17">
        <f t="shared" si="180"/>
        <v>280</v>
      </c>
      <c r="X1115" s="17">
        <f t="shared" si="181"/>
        <v>48</v>
      </c>
      <c r="Y1115" s="19">
        <f t="shared" si="182"/>
        <v>0</v>
      </c>
      <c r="Z1115">
        <v>4608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171</v>
      </c>
      <c r="AH1115">
        <v>171</v>
      </c>
      <c r="AI1115">
        <v>0</v>
      </c>
      <c r="AJ1115">
        <v>0</v>
      </c>
      <c r="AK1115">
        <v>2150</v>
      </c>
      <c r="AL1115">
        <v>2150</v>
      </c>
      <c r="AM1115">
        <v>0</v>
      </c>
      <c r="AN1115">
        <v>0</v>
      </c>
      <c r="AO1115">
        <v>283</v>
      </c>
      <c r="AP1115">
        <v>130</v>
      </c>
      <c r="AQ1115">
        <v>283</v>
      </c>
      <c r="AR1115">
        <v>153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63</v>
      </c>
      <c r="BA1115">
        <v>63</v>
      </c>
      <c r="BB1115">
        <v>0</v>
      </c>
      <c r="BC1115">
        <v>0</v>
      </c>
      <c r="BD1115">
        <v>0</v>
      </c>
      <c r="BE1115">
        <f t="shared" si="183"/>
        <v>5617</v>
      </c>
      <c r="BF1115">
        <v>7275</v>
      </c>
      <c r="BG1115">
        <v>7275</v>
      </c>
      <c r="BH1115" t="s">
        <v>109</v>
      </c>
      <c r="BI1115" t="s">
        <v>1394</v>
      </c>
      <c r="BJ1115">
        <v>0</v>
      </c>
      <c r="BK1115">
        <v>2667</v>
      </c>
      <c r="BL1115">
        <v>7275</v>
      </c>
      <c r="BM1115">
        <v>0</v>
      </c>
      <c r="BN1115">
        <v>0</v>
      </c>
      <c r="BO1115">
        <v>0</v>
      </c>
      <c r="BP1115">
        <v>5187</v>
      </c>
      <c r="BQ1115">
        <v>5187</v>
      </c>
      <c r="BR1115">
        <f t="shared" si="184"/>
        <v>-48</v>
      </c>
      <c r="BS1115">
        <f t="shared" si="185"/>
        <v>608</v>
      </c>
    </row>
    <row r="1116" spans="1:71" x14ac:dyDescent="0.25">
      <c r="A1116" s="5" t="s">
        <v>1661</v>
      </c>
      <c r="B1116" s="5" t="s">
        <v>359</v>
      </c>
      <c r="C1116" s="5" t="s">
        <v>359</v>
      </c>
      <c r="D1116" s="1" t="s">
        <v>102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2947</v>
      </c>
      <c r="K1116">
        <v>70</v>
      </c>
      <c r="L1116">
        <v>60</v>
      </c>
      <c r="M1116">
        <v>0</v>
      </c>
      <c r="N1116">
        <v>0</v>
      </c>
      <c r="O1116">
        <v>0</v>
      </c>
      <c r="P1116">
        <v>0</v>
      </c>
      <c r="Q1116">
        <v>48</v>
      </c>
      <c r="R1116">
        <v>0</v>
      </c>
      <c r="S1116" s="18" t="e">
        <f t="shared" si="176"/>
        <v>#DIV/0!</v>
      </c>
      <c r="T1116" s="17" t="e">
        <f t="shared" si="177"/>
        <v>#DIV/0!</v>
      </c>
      <c r="U1116" s="17" t="e">
        <f t="shared" si="178"/>
        <v>#DIV/0!</v>
      </c>
      <c r="V1116" s="17" t="e">
        <f t="shared" si="179"/>
        <v>#DIV/0!</v>
      </c>
      <c r="W1116" s="17" t="e">
        <f t="shared" si="180"/>
        <v>#DIV/0!</v>
      </c>
      <c r="X1116" s="17" t="e">
        <f t="shared" si="181"/>
        <v>#DIV/0!</v>
      </c>
      <c r="Y1116" s="19" t="e">
        <f t="shared" si="182"/>
        <v>#DIV/0!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2947</v>
      </c>
      <c r="AL1116">
        <v>2947</v>
      </c>
      <c r="AM1116">
        <v>0</v>
      </c>
      <c r="AN1116">
        <v>0</v>
      </c>
      <c r="AO1116">
        <v>70</v>
      </c>
      <c r="AP1116">
        <v>10</v>
      </c>
      <c r="AQ1116">
        <v>70</v>
      </c>
      <c r="AR1116">
        <v>60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60</v>
      </c>
      <c r="BA1116">
        <v>60</v>
      </c>
      <c r="BB1116">
        <v>0</v>
      </c>
      <c r="BC1116">
        <v>0</v>
      </c>
      <c r="BD1116">
        <v>0</v>
      </c>
      <c r="BE1116">
        <f t="shared" si="183"/>
        <v>6224</v>
      </c>
      <c r="BF1116">
        <v>3077</v>
      </c>
      <c r="BG1116">
        <v>3077</v>
      </c>
      <c r="BH1116" t="s">
        <v>190</v>
      </c>
      <c r="BI1116" t="s">
        <v>1935</v>
      </c>
      <c r="BJ1116">
        <v>0</v>
      </c>
      <c r="BK1116">
        <v>3077</v>
      </c>
      <c r="BL1116">
        <v>3077</v>
      </c>
      <c r="BM1116">
        <v>0</v>
      </c>
      <c r="BN1116">
        <v>0</v>
      </c>
      <c r="BO1116">
        <v>0</v>
      </c>
      <c r="BP1116">
        <v>3077</v>
      </c>
      <c r="BQ1116">
        <v>3077</v>
      </c>
      <c r="BR1116">
        <f t="shared" si="184"/>
        <v>-48</v>
      </c>
      <c r="BS1116">
        <f t="shared" si="185"/>
        <v>48</v>
      </c>
    </row>
    <row r="1117" spans="1:71" x14ac:dyDescent="0.25">
      <c r="A1117" s="5" t="s">
        <v>61</v>
      </c>
      <c r="B1117" s="5" t="s">
        <v>207</v>
      </c>
      <c r="C1117" s="5" t="s">
        <v>207</v>
      </c>
      <c r="D1117" s="1" t="s">
        <v>102</v>
      </c>
      <c r="E1117">
        <v>0</v>
      </c>
      <c r="F1117">
        <v>0</v>
      </c>
      <c r="G1117">
        <v>0</v>
      </c>
      <c r="H1117">
        <v>0</v>
      </c>
      <c r="I1117">
        <v>106</v>
      </c>
      <c r="J1117">
        <v>290</v>
      </c>
      <c r="K1117">
        <v>150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49</v>
      </c>
      <c r="R1117">
        <v>0</v>
      </c>
      <c r="S1117" s="18" t="e">
        <f t="shared" si="176"/>
        <v>#DIV/0!</v>
      </c>
      <c r="T1117" s="17" t="e">
        <f t="shared" si="177"/>
        <v>#DIV/0!</v>
      </c>
      <c r="U1117" s="17" t="e">
        <f t="shared" si="178"/>
        <v>#DIV/0!</v>
      </c>
      <c r="V1117" s="17" t="e">
        <f t="shared" si="179"/>
        <v>#DIV/0!</v>
      </c>
      <c r="W1117" s="17" t="e">
        <f t="shared" si="180"/>
        <v>#DIV/0!</v>
      </c>
      <c r="X1117" s="17" t="e">
        <f t="shared" si="181"/>
        <v>#DIV/0!</v>
      </c>
      <c r="Y1117" s="19" t="e">
        <f t="shared" si="182"/>
        <v>#DIV/0!</v>
      </c>
      <c r="Z1117">
        <v>0</v>
      </c>
      <c r="AA1117">
        <v>0</v>
      </c>
      <c r="AB1117">
        <v>0</v>
      </c>
      <c r="AC1117">
        <v>55</v>
      </c>
      <c r="AD1117">
        <v>0</v>
      </c>
      <c r="AE1117">
        <v>0</v>
      </c>
      <c r="AF1117">
        <v>0</v>
      </c>
      <c r="AG1117">
        <v>106</v>
      </c>
      <c r="AH1117">
        <v>106</v>
      </c>
      <c r="AI1117">
        <v>0</v>
      </c>
      <c r="AJ1117">
        <v>0</v>
      </c>
      <c r="AK1117">
        <v>290</v>
      </c>
      <c r="AL1117">
        <v>290</v>
      </c>
      <c r="AM1117">
        <v>0</v>
      </c>
      <c r="AN1117">
        <v>0</v>
      </c>
      <c r="AO1117">
        <v>150</v>
      </c>
      <c r="AP1117">
        <v>131</v>
      </c>
      <c r="AQ1117">
        <v>150</v>
      </c>
      <c r="AR1117">
        <v>19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f t="shared" si="183"/>
        <v>1297</v>
      </c>
      <c r="BF1117">
        <v>601</v>
      </c>
      <c r="BG1117">
        <v>601</v>
      </c>
      <c r="BH1117" t="s">
        <v>82</v>
      </c>
      <c r="BI1117" t="s">
        <v>298</v>
      </c>
      <c r="BJ1117">
        <v>55</v>
      </c>
      <c r="BK1117">
        <v>546</v>
      </c>
      <c r="BL1117">
        <v>601</v>
      </c>
      <c r="BM1117">
        <v>0</v>
      </c>
      <c r="BN1117">
        <v>0</v>
      </c>
      <c r="BO1117">
        <v>0</v>
      </c>
      <c r="BP1117">
        <v>546</v>
      </c>
      <c r="BQ1117">
        <v>546</v>
      </c>
      <c r="BR1117">
        <f t="shared" si="184"/>
        <v>-49</v>
      </c>
      <c r="BS1117">
        <f t="shared" si="185"/>
        <v>49</v>
      </c>
    </row>
    <row r="1118" spans="1:71" x14ac:dyDescent="0.25">
      <c r="A1118" s="5" t="s">
        <v>359</v>
      </c>
      <c r="B1118" s="5" t="s">
        <v>61</v>
      </c>
      <c r="C1118" s="5" t="s">
        <v>61</v>
      </c>
      <c r="D1118" s="1" t="s">
        <v>119</v>
      </c>
      <c r="E1118">
        <v>0</v>
      </c>
      <c r="F1118">
        <v>11</v>
      </c>
      <c r="G1118">
        <v>0</v>
      </c>
      <c r="H1118">
        <v>0</v>
      </c>
      <c r="I1118">
        <v>80</v>
      </c>
      <c r="J1118">
        <v>256</v>
      </c>
      <c r="K1118">
        <v>70</v>
      </c>
      <c r="L1118">
        <v>0</v>
      </c>
      <c r="M1118">
        <v>0</v>
      </c>
      <c r="N1118">
        <v>0</v>
      </c>
      <c r="O1118">
        <v>0</v>
      </c>
      <c r="P1118">
        <v>36</v>
      </c>
      <c r="Q1118">
        <v>53</v>
      </c>
      <c r="R1118">
        <v>4</v>
      </c>
      <c r="S1118" s="18">
        <f t="shared" si="176"/>
        <v>9</v>
      </c>
      <c r="T1118" s="17">
        <f t="shared" si="177"/>
        <v>0</v>
      </c>
      <c r="U1118" s="17">
        <f t="shared" si="178"/>
        <v>0</v>
      </c>
      <c r="V1118" s="17">
        <f t="shared" si="179"/>
        <v>0</v>
      </c>
      <c r="W1118" s="17">
        <f t="shared" si="180"/>
        <v>4</v>
      </c>
      <c r="X1118" s="17">
        <f t="shared" si="181"/>
        <v>49</v>
      </c>
      <c r="Y1118" s="19">
        <f t="shared" si="182"/>
        <v>0</v>
      </c>
      <c r="Z1118">
        <v>11</v>
      </c>
      <c r="AA1118">
        <v>0</v>
      </c>
      <c r="AB1118">
        <v>0</v>
      </c>
      <c r="AC1118">
        <v>450</v>
      </c>
      <c r="AD1118">
        <v>0</v>
      </c>
      <c r="AE1118">
        <v>0</v>
      </c>
      <c r="AF1118">
        <v>0</v>
      </c>
      <c r="AG1118">
        <v>80</v>
      </c>
      <c r="AH1118">
        <v>80</v>
      </c>
      <c r="AI1118">
        <v>0</v>
      </c>
      <c r="AJ1118">
        <v>0</v>
      </c>
      <c r="AK1118">
        <v>256</v>
      </c>
      <c r="AL1118">
        <v>256</v>
      </c>
      <c r="AM1118">
        <v>0</v>
      </c>
      <c r="AN1118">
        <v>0</v>
      </c>
      <c r="AO1118">
        <v>70</v>
      </c>
      <c r="AP1118">
        <v>10</v>
      </c>
      <c r="AQ1118">
        <v>70</v>
      </c>
      <c r="AR1118">
        <v>60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f t="shared" si="183"/>
        <v>1332</v>
      </c>
      <c r="BF1118">
        <v>867</v>
      </c>
      <c r="BG1118">
        <v>867</v>
      </c>
      <c r="BH1118" t="s">
        <v>82</v>
      </c>
      <c r="BI1118" t="s">
        <v>722</v>
      </c>
      <c r="BJ1118">
        <v>450</v>
      </c>
      <c r="BK1118">
        <v>406</v>
      </c>
      <c r="BL1118">
        <v>867</v>
      </c>
      <c r="BM1118">
        <v>0</v>
      </c>
      <c r="BN1118">
        <v>0</v>
      </c>
      <c r="BO1118">
        <v>0</v>
      </c>
      <c r="BP1118">
        <v>442</v>
      </c>
      <c r="BQ1118">
        <v>442</v>
      </c>
      <c r="BR1118">
        <f t="shared" si="184"/>
        <v>-49</v>
      </c>
      <c r="BS1118">
        <f t="shared" si="185"/>
        <v>57</v>
      </c>
    </row>
    <row r="1119" spans="1:71" x14ac:dyDescent="0.25">
      <c r="A1119" s="5" t="s">
        <v>359</v>
      </c>
      <c r="B1119" s="5" t="s">
        <v>207</v>
      </c>
      <c r="C1119" s="5" t="s">
        <v>61</v>
      </c>
      <c r="D1119" s="1" t="s">
        <v>100</v>
      </c>
      <c r="E1119">
        <v>0</v>
      </c>
      <c r="F1119">
        <v>0</v>
      </c>
      <c r="G1119">
        <v>0</v>
      </c>
      <c r="H1119">
        <v>0</v>
      </c>
      <c r="I1119">
        <v>150</v>
      </c>
      <c r="J1119">
        <v>907</v>
      </c>
      <c r="K1119">
        <v>100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49</v>
      </c>
      <c r="R1119">
        <v>0</v>
      </c>
      <c r="S1119" s="18" t="e">
        <f t="shared" si="176"/>
        <v>#DIV/0!</v>
      </c>
      <c r="T1119" s="17" t="e">
        <f t="shared" si="177"/>
        <v>#DIV/0!</v>
      </c>
      <c r="U1119" s="17" t="e">
        <f t="shared" si="178"/>
        <v>#DIV/0!</v>
      </c>
      <c r="V1119" s="17" t="e">
        <f t="shared" si="179"/>
        <v>#DIV/0!</v>
      </c>
      <c r="W1119" s="17" t="e">
        <f t="shared" si="180"/>
        <v>#DIV/0!</v>
      </c>
      <c r="X1119" s="17" t="e">
        <f t="shared" si="181"/>
        <v>#DIV/0!</v>
      </c>
      <c r="Y1119" s="19" t="e">
        <f t="shared" si="182"/>
        <v>#DIV/0!</v>
      </c>
      <c r="Z1119">
        <v>0</v>
      </c>
      <c r="AA1119">
        <v>0</v>
      </c>
      <c r="AB1119">
        <v>0</v>
      </c>
      <c r="AC1119">
        <v>585</v>
      </c>
      <c r="AD1119">
        <v>0</v>
      </c>
      <c r="AE1119">
        <v>0</v>
      </c>
      <c r="AF1119">
        <v>0</v>
      </c>
      <c r="AG1119">
        <v>150</v>
      </c>
      <c r="AH1119">
        <v>150</v>
      </c>
      <c r="AI1119">
        <v>0</v>
      </c>
      <c r="AJ1119">
        <v>0</v>
      </c>
      <c r="AK1119">
        <v>907</v>
      </c>
      <c r="AL1119">
        <v>907</v>
      </c>
      <c r="AM1119">
        <v>0</v>
      </c>
      <c r="AN1119">
        <v>0</v>
      </c>
      <c r="AO1119">
        <v>100</v>
      </c>
      <c r="AP1119">
        <v>0</v>
      </c>
      <c r="AQ1119">
        <v>100</v>
      </c>
      <c r="AR1119">
        <v>100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f t="shared" si="183"/>
        <v>2999</v>
      </c>
      <c r="BF1119">
        <v>1742</v>
      </c>
      <c r="BG1119">
        <v>1742</v>
      </c>
      <c r="BH1119" t="s">
        <v>82</v>
      </c>
      <c r="BI1119" t="s">
        <v>297</v>
      </c>
      <c r="BJ1119">
        <v>585</v>
      </c>
      <c r="BK1119">
        <v>1157</v>
      </c>
      <c r="BL1119">
        <v>1742</v>
      </c>
      <c r="BM1119">
        <v>0</v>
      </c>
      <c r="BN1119">
        <v>0</v>
      </c>
      <c r="BO1119">
        <v>0</v>
      </c>
      <c r="BP1119">
        <v>1157</v>
      </c>
      <c r="BQ1119">
        <v>1157</v>
      </c>
      <c r="BR1119">
        <f t="shared" si="184"/>
        <v>-49</v>
      </c>
      <c r="BS1119">
        <f t="shared" si="185"/>
        <v>49</v>
      </c>
    </row>
    <row r="1120" spans="1:71" x14ac:dyDescent="0.25">
      <c r="A1120" s="5" t="s">
        <v>1451</v>
      </c>
      <c r="B1120" s="5" t="s">
        <v>207</v>
      </c>
      <c r="C1120" s="5" t="s">
        <v>207</v>
      </c>
      <c r="D1120" s="1" t="s">
        <v>113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918</v>
      </c>
      <c r="K1120">
        <v>141</v>
      </c>
      <c r="L1120">
        <v>100</v>
      </c>
      <c r="M1120">
        <v>0</v>
      </c>
      <c r="N1120">
        <v>0</v>
      </c>
      <c r="O1120">
        <v>0</v>
      </c>
      <c r="P1120">
        <v>0</v>
      </c>
      <c r="Q1120">
        <v>49</v>
      </c>
      <c r="R1120">
        <v>0</v>
      </c>
      <c r="S1120" s="18" t="e">
        <f t="shared" si="176"/>
        <v>#DIV/0!</v>
      </c>
      <c r="T1120" s="17" t="e">
        <f t="shared" si="177"/>
        <v>#DIV/0!</v>
      </c>
      <c r="U1120" s="17" t="e">
        <f t="shared" si="178"/>
        <v>#DIV/0!</v>
      </c>
      <c r="V1120" s="17" t="e">
        <f t="shared" si="179"/>
        <v>#DIV/0!</v>
      </c>
      <c r="W1120" s="17" t="e">
        <f t="shared" si="180"/>
        <v>#DIV/0!</v>
      </c>
      <c r="X1120" s="17" t="e">
        <f t="shared" si="181"/>
        <v>#DIV/0!</v>
      </c>
      <c r="Y1120" s="19" t="e">
        <f t="shared" si="182"/>
        <v>#DIV/0!</v>
      </c>
      <c r="Z1120">
        <v>0</v>
      </c>
      <c r="AA1120">
        <v>0</v>
      </c>
      <c r="AB1120">
        <v>0</v>
      </c>
      <c r="AC1120">
        <v>138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918</v>
      </c>
      <c r="AL1120">
        <v>918</v>
      </c>
      <c r="AM1120">
        <v>0</v>
      </c>
      <c r="AN1120">
        <v>0</v>
      </c>
      <c r="AO1120">
        <v>141</v>
      </c>
      <c r="AP1120">
        <v>13</v>
      </c>
      <c r="AQ1120">
        <v>141</v>
      </c>
      <c r="AR1120">
        <v>128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100</v>
      </c>
      <c r="BA1120">
        <v>100</v>
      </c>
      <c r="BB1120">
        <v>0</v>
      </c>
      <c r="BC1120">
        <v>0</v>
      </c>
      <c r="BD1120">
        <v>0</v>
      </c>
      <c r="BE1120">
        <f t="shared" si="183"/>
        <v>2597</v>
      </c>
      <c r="BF1120">
        <v>1297</v>
      </c>
      <c r="BG1120">
        <v>1297</v>
      </c>
      <c r="BH1120" t="s">
        <v>82</v>
      </c>
      <c r="BI1120" t="s">
        <v>1577</v>
      </c>
      <c r="BJ1120">
        <v>138</v>
      </c>
      <c r="BK1120">
        <v>1159</v>
      </c>
      <c r="BL1120">
        <v>1297</v>
      </c>
      <c r="BM1120">
        <v>0</v>
      </c>
      <c r="BN1120">
        <v>0</v>
      </c>
      <c r="BO1120">
        <v>0</v>
      </c>
      <c r="BP1120">
        <v>1159</v>
      </c>
      <c r="BQ1120">
        <v>1159</v>
      </c>
      <c r="BR1120">
        <f t="shared" si="184"/>
        <v>-49</v>
      </c>
      <c r="BS1120">
        <f t="shared" si="185"/>
        <v>49</v>
      </c>
    </row>
    <row r="1121" spans="1:74" x14ac:dyDescent="0.25">
      <c r="A1121" s="5" t="s">
        <v>1661</v>
      </c>
      <c r="B1121" s="5" t="s">
        <v>359</v>
      </c>
      <c r="C1121" s="5" t="s">
        <v>207</v>
      </c>
      <c r="D1121" s="1" t="s">
        <v>143</v>
      </c>
      <c r="E1121">
        <v>0</v>
      </c>
      <c r="F1121">
        <v>12</v>
      </c>
      <c r="G1121">
        <v>0</v>
      </c>
      <c r="H1121">
        <v>0</v>
      </c>
      <c r="I1121">
        <v>0</v>
      </c>
      <c r="J1121">
        <v>495</v>
      </c>
      <c r="K1121">
        <v>58</v>
      </c>
      <c r="L1121">
        <v>40</v>
      </c>
      <c r="M1121">
        <v>0</v>
      </c>
      <c r="N1121">
        <v>0</v>
      </c>
      <c r="O1121">
        <v>0</v>
      </c>
      <c r="P1121">
        <v>27</v>
      </c>
      <c r="Q1121">
        <v>52</v>
      </c>
      <c r="R1121">
        <v>3</v>
      </c>
      <c r="S1121" s="18">
        <f t="shared" si="176"/>
        <v>9</v>
      </c>
      <c r="T1121" s="17">
        <f t="shared" si="177"/>
        <v>0</v>
      </c>
      <c r="U1121" s="17">
        <f t="shared" si="178"/>
        <v>0</v>
      </c>
      <c r="V1121" s="17">
        <f t="shared" si="179"/>
        <v>0</v>
      </c>
      <c r="W1121" s="17">
        <f t="shared" si="180"/>
        <v>3</v>
      </c>
      <c r="X1121" s="17">
        <f t="shared" si="181"/>
        <v>49</v>
      </c>
      <c r="Y1121" s="19">
        <f t="shared" si="182"/>
        <v>0</v>
      </c>
      <c r="Z1121">
        <v>12</v>
      </c>
      <c r="AA1121">
        <v>0</v>
      </c>
      <c r="AB1121">
        <v>180</v>
      </c>
      <c r="AC1121">
        <v>335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495</v>
      </c>
      <c r="AL1121">
        <v>495</v>
      </c>
      <c r="AM1121">
        <v>0</v>
      </c>
      <c r="AN1121">
        <v>0</v>
      </c>
      <c r="AO1121">
        <v>58</v>
      </c>
      <c r="AP1121">
        <v>3</v>
      </c>
      <c r="AQ1121">
        <v>58</v>
      </c>
      <c r="AR1121">
        <v>55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40</v>
      </c>
      <c r="BA1121">
        <v>40</v>
      </c>
      <c r="BB1121">
        <v>0</v>
      </c>
      <c r="BC1121">
        <v>0</v>
      </c>
      <c r="BD1121">
        <v>0</v>
      </c>
      <c r="BE1121">
        <f t="shared" si="183"/>
        <v>1579</v>
      </c>
      <c r="BF1121">
        <v>1120</v>
      </c>
      <c r="BG1121">
        <v>1120</v>
      </c>
      <c r="BH1121" t="s">
        <v>82</v>
      </c>
      <c r="BI1121" t="s">
        <v>1918</v>
      </c>
      <c r="BJ1121">
        <v>515</v>
      </c>
      <c r="BK1121">
        <v>593</v>
      </c>
      <c r="BL1121">
        <v>1120</v>
      </c>
      <c r="BM1121">
        <v>0</v>
      </c>
      <c r="BN1121">
        <v>0</v>
      </c>
      <c r="BO1121">
        <v>0</v>
      </c>
      <c r="BP1121">
        <v>620</v>
      </c>
      <c r="BQ1121">
        <v>620</v>
      </c>
      <c r="BR1121">
        <f t="shared" si="184"/>
        <v>-49</v>
      </c>
      <c r="BS1121">
        <f t="shared" si="185"/>
        <v>55</v>
      </c>
    </row>
    <row r="1122" spans="1:74" x14ac:dyDescent="0.25">
      <c r="A1122" s="5" t="s">
        <v>2294</v>
      </c>
      <c r="B1122" s="5" t="s">
        <v>61</v>
      </c>
      <c r="C1122" s="5" t="s">
        <v>61</v>
      </c>
      <c r="D1122" s="1" t="s">
        <v>98</v>
      </c>
      <c r="E1122">
        <v>153</v>
      </c>
      <c r="F1122">
        <v>0</v>
      </c>
      <c r="G1122">
        <v>0</v>
      </c>
      <c r="H1122">
        <v>0</v>
      </c>
      <c r="I1122">
        <v>150</v>
      </c>
      <c r="J1122">
        <v>1395</v>
      </c>
      <c r="K1122">
        <v>120</v>
      </c>
      <c r="L1122">
        <v>800</v>
      </c>
      <c r="M1122">
        <v>0</v>
      </c>
      <c r="N1122">
        <v>0</v>
      </c>
      <c r="O1122">
        <v>0</v>
      </c>
      <c r="P1122">
        <v>0</v>
      </c>
      <c r="Q1122">
        <v>49</v>
      </c>
      <c r="R1122">
        <v>0</v>
      </c>
      <c r="S1122" s="18" t="e">
        <f t="shared" si="176"/>
        <v>#DIV/0!</v>
      </c>
      <c r="T1122" s="17" t="e">
        <f t="shared" si="177"/>
        <v>#DIV/0!</v>
      </c>
      <c r="U1122" s="17" t="e">
        <f t="shared" si="178"/>
        <v>#DIV/0!</v>
      </c>
      <c r="V1122" s="17" t="e">
        <f t="shared" si="179"/>
        <v>#DIV/0!</v>
      </c>
      <c r="W1122" s="17" t="e">
        <f t="shared" si="180"/>
        <v>#DIV/0!</v>
      </c>
      <c r="X1122" s="17" t="e">
        <f t="shared" si="181"/>
        <v>#DIV/0!</v>
      </c>
      <c r="Y1122" s="19" t="e">
        <f t="shared" si="182"/>
        <v>#DIV/0!</v>
      </c>
      <c r="Z1122">
        <v>0</v>
      </c>
      <c r="AA1122">
        <v>9</v>
      </c>
      <c r="AB1122">
        <v>0</v>
      </c>
      <c r="AC1122">
        <v>100</v>
      </c>
      <c r="AD1122">
        <v>0</v>
      </c>
      <c r="AE1122">
        <v>0</v>
      </c>
      <c r="AF1122">
        <v>0</v>
      </c>
      <c r="AG1122">
        <v>150</v>
      </c>
      <c r="AH1122">
        <v>150</v>
      </c>
      <c r="AI1122">
        <v>0</v>
      </c>
      <c r="AJ1122">
        <v>0</v>
      </c>
      <c r="AK1122">
        <v>1395</v>
      </c>
      <c r="AL1122">
        <v>1395</v>
      </c>
      <c r="AM1122">
        <v>0</v>
      </c>
      <c r="AN1122">
        <v>0</v>
      </c>
      <c r="AO1122">
        <v>120</v>
      </c>
      <c r="AP1122">
        <v>60</v>
      </c>
      <c r="AQ1122">
        <v>120</v>
      </c>
      <c r="AR1122">
        <v>60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800</v>
      </c>
      <c r="BA1122">
        <v>800</v>
      </c>
      <c r="BB1122">
        <v>0</v>
      </c>
      <c r="BC1122">
        <v>0</v>
      </c>
      <c r="BD1122">
        <v>0</v>
      </c>
      <c r="BE1122">
        <f t="shared" si="183"/>
        <v>5150</v>
      </c>
      <c r="BF1122">
        <v>2727</v>
      </c>
      <c r="BG1122">
        <v>2727</v>
      </c>
      <c r="BH1122" t="s">
        <v>199</v>
      </c>
      <c r="BI1122" t="s">
        <v>2311</v>
      </c>
      <c r="BJ1122">
        <v>262</v>
      </c>
      <c r="BK1122">
        <v>2465</v>
      </c>
      <c r="BL1122">
        <v>2727</v>
      </c>
      <c r="BM1122">
        <v>0</v>
      </c>
      <c r="BN1122">
        <v>0</v>
      </c>
      <c r="BO1122">
        <v>0</v>
      </c>
      <c r="BP1122">
        <v>2465</v>
      </c>
      <c r="BQ1122">
        <v>2465</v>
      </c>
      <c r="BR1122">
        <f t="shared" si="184"/>
        <v>-49</v>
      </c>
      <c r="BS1122">
        <f t="shared" si="185"/>
        <v>49</v>
      </c>
    </row>
    <row r="1123" spans="1:74" x14ac:dyDescent="0.25">
      <c r="A1123" s="5" t="s">
        <v>2294</v>
      </c>
      <c r="B1123" s="5" t="s">
        <v>207</v>
      </c>
      <c r="C1123" s="5" t="s">
        <v>61</v>
      </c>
      <c r="D1123" s="1" t="s">
        <v>141</v>
      </c>
      <c r="E1123">
        <v>0</v>
      </c>
      <c r="F1123">
        <v>0</v>
      </c>
      <c r="G1123">
        <v>0</v>
      </c>
      <c r="H1123">
        <v>0</v>
      </c>
      <c r="I1123">
        <v>134</v>
      </c>
      <c r="J1123">
        <v>690</v>
      </c>
      <c r="K1123">
        <v>788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49</v>
      </c>
      <c r="R1123">
        <v>0</v>
      </c>
      <c r="S1123" s="18" t="e">
        <f t="shared" si="176"/>
        <v>#DIV/0!</v>
      </c>
      <c r="T1123" s="17" t="e">
        <f t="shared" si="177"/>
        <v>#DIV/0!</v>
      </c>
      <c r="U1123" s="17" t="e">
        <f t="shared" si="178"/>
        <v>#DIV/0!</v>
      </c>
      <c r="V1123" s="17" t="e">
        <f t="shared" si="179"/>
        <v>#DIV/0!</v>
      </c>
      <c r="W1123" s="17" t="e">
        <f t="shared" si="180"/>
        <v>#DIV/0!</v>
      </c>
      <c r="X1123" s="17" t="e">
        <f t="shared" si="181"/>
        <v>#DIV/0!</v>
      </c>
      <c r="Y1123" s="19" t="e">
        <f t="shared" si="182"/>
        <v>#DIV/0!</v>
      </c>
      <c r="Z1123">
        <v>0</v>
      </c>
      <c r="AA1123">
        <v>0</v>
      </c>
      <c r="AB1123">
        <v>0</v>
      </c>
      <c r="AC1123">
        <v>621</v>
      </c>
      <c r="AD1123">
        <v>0</v>
      </c>
      <c r="AE1123">
        <v>0</v>
      </c>
      <c r="AF1123">
        <v>0</v>
      </c>
      <c r="AG1123">
        <v>134</v>
      </c>
      <c r="AH1123">
        <v>134</v>
      </c>
      <c r="AI1123">
        <v>0</v>
      </c>
      <c r="AJ1123">
        <v>0</v>
      </c>
      <c r="AK1123">
        <v>690</v>
      </c>
      <c r="AL1123">
        <v>690</v>
      </c>
      <c r="AM1123">
        <v>0</v>
      </c>
      <c r="AN1123">
        <v>0</v>
      </c>
      <c r="AO1123">
        <v>788</v>
      </c>
      <c r="AP1123">
        <v>788</v>
      </c>
      <c r="AQ1123">
        <v>788</v>
      </c>
      <c r="AR1123">
        <v>80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f t="shared" si="183"/>
        <v>4713</v>
      </c>
      <c r="BF1123">
        <v>2233</v>
      </c>
      <c r="BG1123">
        <v>2233</v>
      </c>
      <c r="BH1123" t="s">
        <v>82</v>
      </c>
      <c r="BI1123" t="s">
        <v>1081</v>
      </c>
      <c r="BJ1123">
        <v>621</v>
      </c>
      <c r="BK1123">
        <v>1612</v>
      </c>
      <c r="BL1123">
        <v>2233</v>
      </c>
      <c r="BM1123">
        <v>0</v>
      </c>
      <c r="BN1123">
        <v>0</v>
      </c>
      <c r="BO1123">
        <v>0</v>
      </c>
      <c r="BP1123">
        <v>1612</v>
      </c>
      <c r="BQ1123">
        <v>1612</v>
      </c>
      <c r="BR1123">
        <f t="shared" si="184"/>
        <v>-49</v>
      </c>
      <c r="BS1123">
        <f t="shared" si="185"/>
        <v>49</v>
      </c>
    </row>
    <row r="1124" spans="1:74" x14ac:dyDescent="0.25">
      <c r="A1124" s="5" t="s">
        <v>61</v>
      </c>
      <c r="B1124" s="5" t="s">
        <v>207</v>
      </c>
      <c r="C1124" s="5" t="s">
        <v>207</v>
      </c>
      <c r="D1124" s="1" t="s">
        <v>149</v>
      </c>
      <c r="E1124">
        <v>0</v>
      </c>
      <c r="F1124">
        <v>100</v>
      </c>
      <c r="G1124">
        <v>0</v>
      </c>
      <c r="H1124">
        <v>0</v>
      </c>
      <c r="I1124">
        <v>24</v>
      </c>
      <c r="J1124">
        <v>0</v>
      </c>
      <c r="K1124">
        <v>0</v>
      </c>
      <c r="L1124">
        <v>0</v>
      </c>
      <c r="M1124">
        <v>900</v>
      </c>
      <c r="N1124">
        <v>0</v>
      </c>
      <c r="O1124">
        <v>0</v>
      </c>
      <c r="P1124">
        <v>0</v>
      </c>
      <c r="Q1124">
        <v>150</v>
      </c>
      <c r="R1124">
        <v>100</v>
      </c>
      <c r="S1124" s="18">
        <f t="shared" si="176"/>
        <v>9</v>
      </c>
      <c r="T1124" s="17">
        <f t="shared" si="177"/>
        <v>100</v>
      </c>
      <c r="U1124" s="17">
        <f t="shared" si="178"/>
        <v>0</v>
      </c>
      <c r="V1124" s="17">
        <f t="shared" si="179"/>
        <v>0</v>
      </c>
      <c r="W1124" s="17">
        <f t="shared" si="180"/>
        <v>0</v>
      </c>
      <c r="X1124" s="17">
        <f t="shared" si="181"/>
        <v>50</v>
      </c>
      <c r="Y1124" s="19">
        <f t="shared" si="182"/>
        <v>0</v>
      </c>
      <c r="Z1124">
        <v>100</v>
      </c>
      <c r="AA1124">
        <v>0</v>
      </c>
      <c r="AB1124">
        <v>0</v>
      </c>
      <c r="AC1124">
        <v>0</v>
      </c>
      <c r="AD1124">
        <v>24</v>
      </c>
      <c r="AE1124">
        <v>0</v>
      </c>
      <c r="AF1124">
        <v>0</v>
      </c>
      <c r="AG1124">
        <v>0</v>
      </c>
      <c r="AH1124">
        <v>24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f t="shared" si="183"/>
        <v>48</v>
      </c>
      <c r="BF1124">
        <v>124</v>
      </c>
      <c r="BG1124">
        <v>124</v>
      </c>
      <c r="BH1124" t="s">
        <v>109</v>
      </c>
      <c r="BI1124" t="s">
        <v>321</v>
      </c>
      <c r="BJ1124">
        <v>0</v>
      </c>
      <c r="BK1124">
        <v>24</v>
      </c>
      <c r="BL1124">
        <v>124</v>
      </c>
      <c r="BM1124">
        <v>924</v>
      </c>
      <c r="BN1124">
        <v>0</v>
      </c>
      <c r="BO1124">
        <v>0</v>
      </c>
      <c r="BP1124">
        <v>0</v>
      </c>
      <c r="BQ1124">
        <v>924</v>
      </c>
      <c r="BR1124">
        <f t="shared" si="184"/>
        <v>-50</v>
      </c>
      <c r="BS1124">
        <f t="shared" si="185"/>
        <v>250</v>
      </c>
    </row>
    <row r="1125" spans="1:74" x14ac:dyDescent="0.25">
      <c r="A1125" s="5" t="s">
        <v>61</v>
      </c>
      <c r="B1125" s="5" t="s">
        <v>359</v>
      </c>
      <c r="C1125" s="5" t="s">
        <v>61</v>
      </c>
      <c r="D1125" s="1" t="s">
        <v>131</v>
      </c>
      <c r="E1125">
        <v>0</v>
      </c>
      <c r="F1125">
        <v>960</v>
      </c>
      <c r="G1125">
        <v>0</v>
      </c>
      <c r="H1125">
        <v>0</v>
      </c>
      <c r="I1125">
        <v>150</v>
      </c>
      <c r="J1125">
        <v>0</v>
      </c>
      <c r="K1125">
        <v>0</v>
      </c>
      <c r="L1125">
        <v>0</v>
      </c>
      <c r="M1125">
        <v>4554</v>
      </c>
      <c r="N1125">
        <v>0</v>
      </c>
      <c r="O1125">
        <v>0</v>
      </c>
      <c r="P1125">
        <v>0</v>
      </c>
      <c r="Q1125">
        <v>556</v>
      </c>
      <c r="R1125">
        <v>506</v>
      </c>
      <c r="S1125" s="18">
        <f t="shared" si="176"/>
        <v>9</v>
      </c>
      <c r="T1125" s="17">
        <f t="shared" si="177"/>
        <v>506</v>
      </c>
      <c r="U1125" s="17">
        <f t="shared" si="178"/>
        <v>0</v>
      </c>
      <c r="V1125" s="17">
        <f t="shared" si="179"/>
        <v>0</v>
      </c>
      <c r="W1125" s="17">
        <f t="shared" si="180"/>
        <v>0</v>
      </c>
      <c r="X1125" s="17">
        <f t="shared" si="181"/>
        <v>50</v>
      </c>
      <c r="Y1125" s="19">
        <f t="shared" si="182"/>
        <v>0</v>
      </c>
      <c r="Z1125">
        <v>960</v>
      </c>
      <c r="AA1125">
        <v>0</v>
      </c>
      <c r="AB1125">
        <v>0</v>
      </c>
      <c r="AC1125">
        <v>0</v>
      </c>
      <c r="AD1125">
        <v>150</v>
      </c>
      <c r="AE1125">
        <v>0</v>
      </c>
      <c r="AF1125">
        <v>0</v>
      </c>
      <c r="AG1125">
        <v>0</v>
      </c>
      <c r="AH1125">
        <v>150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f t="shared" si="183"/>
        <v>300</v>
      </c>
      <c r="BF1125">
        <v>1110</v>
      </c>
      <c r="BG1125">
        <v>1110</v>
      </c>
      <c r="BH1125" t="s">
        <v>109</v>
      </c>
      <c r="BI1125" t="s">
        <v>393</v>
      </c>
      <c r="BJ1125">
        <v>0</v>
      </c>
      <c r="BK1125">
        <v>150</v>
      </c>
      <c r="BL1125">
        <v>1110</v>
      </c>
      <c r="BM1125">
        <v>4704</v>
      </c>
      <c r="BN1125">
        <v>0</v>
      </c>
      <c r="BO1125">
        <v>0</v>
      </c>
      <c r="BP1125">
        <v>0</v>
      </c>
      <c r="BQ1125">
        <v>4704</v>
      </c>
      <c r="BR1125">
        <f t="shared" si="184"/>
        <v>-50</v>
      </c>
      <c r="BS1125">
        <f t="shared" si="185"/>
        <v>1062</v>
      </c>
    </row>
    <row r="1126" spans="1:74" x14ac:dyDescent="0.25">
      <c r="A1126" s="5" t="s">
        <v>61</v>
      </c>
      <c r="B1126" s="5" t="s">
        <v>359</v>
      </c>
      <c r="C1126" s="5" t="s">
        <v>61</v>
      </c>
      <c r="D1126" s="1" t="s">
        <v>147</v>
      </c>
      <c r="E1126">
        <v>0</v>
      </c>
      <c r="F1126">
        <v>1070</v>
      </c>
      <c r="G1126">
        <v>0</v>
      </c>
      <c r="H1126">
        <v>0</v>
      </c>
      <c r="I1126">
        <v>150</v>
      </c>
      <c r="J1126">
        <v>0</v>
      </c>
      <c r="K1126">
        <v>0</v>
      </c>
      <c r="L1126">
        <v>0</v>
      </c>
      <c r="M1126">
        <v>5247</v>
      </c>
      <c r="N1126">
        <v>0</v>
      </c>
      <c r="O1126">
        <v>0</v>
      </c>
      <c r="P1126">
        <v>0</v>
      </c>
      <c r="Q1126">
        <v>633</v>
      </c>
      <c r="R1126">
        <v>583</v>
      </c>
      <c r="S1126" s="18">
        <f t="shared" si="176"/>
        <v>9</v>
      </c>
      <c r="T1126" s="17">
        <f t="shared" si="177"/>
        <v>583</v>
      </c>
      <c r="U1126" s="17">
        <f t="shared" si="178"/>
        <v>0</v>
      </c>
      <c r="V1126" s="17">
        <f t="shared" si="179"/>
        <v>0</v>
      </c>
      <c r="W1126" s="17">
        <f t="shared" si="180"/>
        <v>0</v>
      </c>
      <c r="X1126" s="17">
        <f t="shared" si="181"/>
        <v>50</v>
      </c>
      <c r="Y1126" s="19">
        <f t="shared" si="182"/>
        <v>0</v>
      </c>
      <c r="Z1126">
        <v>1070</v>
      </c>
      <c r="AA1126">
        <v>0</v>
      </c>
      <c r="AB1126">
        <v>0</v>
      </c>
      <c r="AC1126">
        <v>0</v>
      </c>
      <c r="AD1126">
        <v>150</v>
      </c>
      <c r="AE1126">
        <v>0</v>
      </c>
      <c r="AF1126">
        <v>0</v>
      </c>
      <c r="AG1126">
        <v>0</v>
      </c>
      <c r="AH1126">
        <v>150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f t="shared" si="183"/>
        <v>300</v>
      </c>
      <c r="BF1126">
        <v>1220</v>
      </c>
      <c r="BG1126">
        <v>1220</v>
      </c>
      <c r="BH1126" t="s">
        <v>109</v>
      </c>
      <c r="BI1126" t="s">
        <v>401</v>
      </c>
      <c r="BJ1126">
        <v>0</v>
      </c>
      <c r="BK1126">
        <v>150</v>
      </c>
      <c r="BL1126">
        <v>1220</v>
      </c>
      <c r="BM1126">
        <v>5397</v>
      </c>
      <c r="BN1126">
        <v>0</v>
      </c>
      <c r="BO1126">
        <v>0</v>
      </c>
      <c r="BP1126">
        <v>0</v>
      </c>
      <c r="BQ1126">
        <v>5397</v>
      </c>
      <c r="BR1126">
        <f t="shared" si="184"/>
        <v>-50</v>
      </c>
      <c r="BS1126">
        <f t="shared" si="185"/>
        <v>1216</v>
      </c>
    </row>
    <row r="1127" spans="1:74" x14ac:dyDescent="0.25">
      <c r="A1127" s="5" t="s">
        <v>875</v>
      </c>
      <c r="B1127" s="5" t="s">
        <v>61</v>
      </c>
      <c r="C1127" s="5" t="s">
        <v>207</v>
      </c>
      <c r="D1127" s="1" t="s">
        <v>69</v>
      </c>
      <c r="E1127">
        <v>0</v>
      </c>
      <c r="F1127">
        <v>240</v>
      </c>
      <c r="G1127">
        <v>0</v>
      </c>
      <c r="H1127">
        <v>0</v>
      </c>
      <c r="I1127">
        <v>400</v>
      </c>
      <c r="J1127">
        <v>0</v>
      </c>
      <c r="K1127">
        <v>10</v>
      </c>
      <c r="L1127">
        <v>0</v>
      </c>
      <c r="M1127">
        <v>540</v>
      </c>
      <c r="N1127">
        <v>0</v>
      </c>
      <c r="O1127">
        <v>0</v>
      </c>
      <c r="P1127">
        <v>0</v>
      </c>
      <c r="Q1127">
        <v>60</v>
      </c>
      <c r="R1127">
        <v>60</v>
      </c>
      <c r="S1127" s="18">
        <f t="shared" si="176"/>
        <v>9</v>
      </c>
      <c r="T1127" s="17">
        <f t="shared" si="177"/>
        <v>60</v>
      </c>
      <c r="U1127" s="17">
        <f t="shared" si="178"/>
        <v>0</v>
      </c>
      <c r="V1127" s="17">
        <f t="shared" si="179"/>
        <v>0</v>
      </c>
      <c r="W1127" s="17">
        <f t="shared" si="180"/>
        <v>0</v>
      </c>
      <c r="X1127" s="17">
        <f t="shared" si="181"/>
        <v>0</v>
      </c>
      <c r="Y1127" s="19" t="e">
        <f t="shared" si="182"/>
        <v>#DIV/0!</v>
      </c>
      <c r="Z1127">
        <v>240</v>
      </c>
      <c r="AA1127">
        <v>0</v>
      </c>
      <c r="AB1127">
        <v>0</v>
      </c>
      <c r="AC1127">
        <v>0</v>
      </c>
      <c r="AD1127">
        <v>400</v>
      </c>
      <c r="AE1127">
        <v>0</v>
      </c>
      <c r="AF1127">
        <v>0</v>
      </c>
      <c r="AG1127">
        <v>0</v>
      </c>
      <c r="AH1127">
        <v>400</v>
      </c>
      <c r="AI1127">
        <v>0</v>
      </c>
      <c r="AJ1127">
        <v>0</v>
      </c>
      <c r="AK1127">
        <v>0</v>
      </c>
      <c r="AL1127">
        <v>0</v>
      </c>
      <c r="AM1127">
        <v>10</v>
      </c>
      <c r="AN1127">
        <v>0</v>
      </c>
      <c r="AO1127">
        <v>0</v>
      </c>
      <c r="AP1127">
        <v>0</v>
      </c>
      <c r="AQ1127">
        <v>10</v>
      </c>
      <c r="AR1127">
        <v>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f t="shared" si="183"/>
        <v>830</v>
      </c>
      <c r="BF1127">
        <v>650</v>
      </c>
      <c r="BG1127">
        <v>650</v>
      </c>
      <c r="BH1127" t="s">
        <v>63</v>
      </c>
      <c r="BI1127" t="s">
        <v>879</v>
      </c>
      <c r="BJ1127">
        <v>0</v>
      </c>
      <c r="BK1127">
        <v>410</v>
      </c>
      <c r="BL1127">
        <v>650</v>
      </c>
      <c r="BM1127">
        <v>950</v>
      </c>
      <c r="BN1127">
        <v>0</v>
      </c>
      <c r="BO1127">
        <v>0</v>
      </c>
      <c r="BP1127">
        <v>0</v>
      </c>
      <c r="BQ1127">
        <v>950</v>
      </c>
      <c r="BR1127">
        <f t="shared" si="184"/>
        <v>0</v>
      </c>
      <c r="BS1127">
        <f t="shared" si="185"/>
        <v>120</v>
      </c>
      <c r="BU1127">
        <f>R1127*9</f>
        <v>540</v>
      </c>
      <c r="BV1127">
        <f>IF(BU1127&gt;BG1127, 1, 0)</f>
        <v>0</v>
      </c>
    </row>
    <row r="1128" spans="1:74" x14ac:dyDescent="0.25">
      <c r="A1128" s="5" t="s">
        <v>359</v>
      </c>
      <c r="B1128" s="5" t="s">
        <v>61</v>
      </c>
      <c r="C1128" s="5" t="s">
        <v>61</v>
      </c>
      <c r="D1128" s="1" t="s">
        <v>75</v>
      </c>
      <c r="E1128">
        <v>0</v>
      </c>
      <c r="F1128">
        <v>112</v>
      </c>
      <c r="G1128">
        <v>0</v>
      </c>
      <c r="H1128">
        <v>0</v>
      </c>
      <c r="I1128">
        <v>800</v>
      </c>
      <c r="J1128">
        <v>25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522</v>
      </c>
      <c r="Q1128">
        <v>158</v>
      </c>
      <c r="R1128">
        <v>58</v>
      </c>
      <c r="S1128" s="18">
        <f t="shared" si="176"/>
        <v>9</v>
      </c>
      <c r="T1128" s="17">
        <f t="shared" si="177"/>
        <v>0</v>
      </c>
      <c r="U1128" s="17">
        <f t="shared" si="178"/>
        <v>0</v>
      </c>
      <c r="V1128" s="17">
        <f t="shared" si="179"/>
        <v>0</v>
      </c>
      <c r="W1128" s="17">
        <f t="shared" si="180"/>
        <v>58</v>
      </c>
      <c r="X1128" s="17">
        <f t="shared" si="181"/>
        <v>100</v>
      </c>
      <c r="Y1128" s="19">
        <f t="shared" si="182"/>
        <v>0</v>
      </c>
      <c r="Z1128">
        <v>112</v>
      </c>
      <c r="AA1128">
        <v>0</v>
      </c>
      <c r="AB1128">
        <v>0</v>
      </c>
      <c r="AC1128">
        <v>125</v>
      </c>
      <c r="AD1128">
        <v>0</v>
      </c>
      <c r="AE1128">
        <v>0</v>
      </c>
      <c r="AF1128">
        <v>0</v>
      </c>
      <c r="AG1128">
        <v>800</v>
      </c>
      <c r="AH1128">
        <v>800</v>
      </c>
      <c r="AI1128">
        <v>0</v>
      </c>
      <c r="AJ1128">
        <v>0</v>
      </c>
      <c r="AK1128">
        <v>25</v>
      </c>
      <c r="AL1128">
        <v>25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f t="shared" si="183"/>
        <v>1775</v>
      </c>
      <c r="BF1128">
        <v>1062</v>
      </c>
      <c r="BG1128">
        <v>1062</v>
      </c>
      <c r="BH1128" t="s">
        <v>63</v>
      </c>
      <c r="BI1128" t="s">
        <v>703</v>
      </c>
      <c r="BJ1128">
        <v>125</v>
      </c>
      <c r="BK1128">
        <v>825</v>
      </c>
      <c r="BL1128">
        <v>1062</v>
      </c>
      <c r="BM1128">
        <v>0</v>
      </c>
      <c r="BN1128">
        <v>0</v>
      </c>
      <c r="BO1128">
        <v>0</v>
      </c>
      <c r="BP1128">
        <v>1347</v>
      </c>
      <c r="BQ1128">
        <v>1347</v>
      </c>
      <c r="BR1128">
        <f t="shared" si="184"/>
        <v>-100</v>
      </c>
      <c r="BS1128">
        <f t="shared" si="185"/>
        <v>216</v>
      </c>
      <c r="BU1128">
        <f>R1128*9</f>
        <v>522</v>
      </c>
      <c r="BV1128">
        <f>IF(BU1128&gt;BG1128, 1, 0)</f>
        <v>0</v>
      </c>
    </row>
    <row r="1129" spans="1:74" x14ac:dyDescent="0.25">
      <c r="A1129" s="5" t="s">
        <v>2090</v>
      </c>
      <c r="B1129" s="5" t="s">
        <v>61</v>
      </c>
      <c r="C1129" s="5" t="s">
        <v>61</v>
      </c>
      <c r="D1129" s="1" t="s">
        <v>2209</v>
      </c>
      <c r="E1129">
        <v>0</v>
      </c>
      <c r="F1129">
        <v>24</v>
      </c>
      <c r="G1129">
        <v>0</v>
      </c>
      <c r="H1129">
        <v>0</v>
      </c>
      <c r="I1129">
        <v>145</v>
      </c>
      <c r="J1129">
        <v>1080</v>
      </c>
      <c r="K1129">
        <v>70</v>
      </c>
      <c r="L1129">
        <v>30</v>
      </c>
      <c r="M1129">
        <v>0</v>
      </c>
      <c r="N1129">
        <v>0</v>
      </c>
      <c r="O1129">
        <v>0</v>
      </c>
      <c r="P1129">
        <v>54</v>
      </c>
      <c r="Q1129">
        <v>56</v>
      </c>
      <c r="R1129">
        <v>6</v>
      </c>
      <c r="S1129" s="18">
        <f t="shared" si="176"/>
        <v>9</v>
      </c>
      <c r="T1129" s="17">
        <f t="shared" si="177"/>
        <v>0</v>
      </c>
      <c r="U1129" s="17">
        <f t="shared" si="178"/>
        <v>0</v>
      </c>
      <c r="V1129" s="17">
        <f t="shared" si="179"/>
        <v>0</v>
      </c>
      <c r="W1129" s="17">
        <f t="shared" si="180"/>
        <v>6</v>
      </c>
      <c r="X1129" s="17">
        <f t="shared" si="181"/>
        <v>50</v>
      </c>
      <c r="Y1129" s="19">
        <f t="shared" si="182"/>
        <v>0</v>
      </c>
      <c r="Z1129">
        <v>24</v>
      </c>
      <c r="AA1129">
        <v>0</v>
      </c>
      <c r="AB1129">
        <v>0</v>
      </c>
      <c r="AC1129">
        <v>674</v>
      </c>
      <c r="AD1129">
        <v>0</v>
      </c>
      <c r="AE1129">
        <v>0</v>
      </c>
      <c r="AF1129">
        <v>0</v>
      </c>
      <c r="AG1129">
        <v>145</v>
      </c>
      <c r="AH1129">
        <v>145</v>
      </c>
      <c r="AI1129">
        <v>0</v>
      </c>
      <c r="AJ1129">
        <v>0</v>
      </c>
      <c r="AK1129">
        <v>1080</v>
      </c>
      <c r="AL1129">
        <v>1080</v>
      </c>
      <c r="AM1129">
        <v>0</v>
      </c>
      <c r="AN1129">
        <v>0</v>
      </c>
      <c r="AO1129">
        <v>70</v>
      </c>
      <c r="AP1129">
        <v>10</v>
      </c>
      <c r="AQ1129">
        <v>70</v>
      </c>
      <c r="AR1129">
        <v>60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30</v>
      </c>
      <c r="BA1129">
        <v>30</v>
      </c>
      <c r="BB1129">
        <v>0</v>
      </c>
      <c r="BC1129">
        <v>0</v>
      </c>
      <c r="BD1129">
        <v>0</v>
      </c>
      <c r="BE1129">
        <f t="shared" si="183"/>
        <v>3394</v>
      </c>
      <c r="BF1129">
        <v>2023</v>
      </c>
      <c r="BG1129">
        <v>2023</v>
      </c>
      <c r="BH1129" t="s">
        <v>82</v>
      </c>
      <c r="BI1129" t="s">
        <v>2210</v>
      </c>
      <c r="BJ1129">
        <v>674</v>
      </c>
      <c r="BK1129">
        <v>1325</v>
      </c>
      <c r="BL1129">
        <v>2023</v>
      </c>
      <c r="BM1129">
        <v>0</v>
      </c>
      <c r="BN1129">
        <v>0</v>
      </c>
      <c r="BO1129">
        <v>0</v>
      </c>
      <c r="BP1129">
        <v>1379</v>
      </c>
      <c r="BQ1129">
        <v>1379</v>
      </c>
      <c r="BR1129">
        <f t="shared" si="184"/>
        <v>-50</v>
      </c>
      <c r="BS1129">
        <f t="shared" si="185"/>
        <v>62</v>
      </c>
    </row>
    <row r="1130" spans="1:74" x14ac:dyDescent="0.25">
      <c r="A1130" s="5" t="s">
        <v>875</v>
      </c>
      <c r="B1130" s="5" t="s">
        <v>207</v>
      </c>
      <c r="C1130" s="5" t="s">
        <v>61</v>
      </c>
      <c r="D1130" s="1" t="s">
        <v>133</v>
      </c>
      <c r="E1130">
        <v>60</v>
      </c>
      <c r="F1130">
        <v>0</v>
      </c>
      <c r="G1130">
        <v>0</v>
      </c>
      <c r="H1130">
        <v>0</v>
      </c>
      <c r="I1130">
        <v>195</v>
      </c>
      <c r="J1130">
        <v>195</v>
      </c>
      <c r="K1130">
        <v>205</v>
      </c>
      <c r="L1130">
        <v>45</v>
      </c>
      <c r="M1130">
        <v>0</v>
      </c>
      <c r="N1130">
        <v>0</v>
      </c>
      <c r="O1130">
        <v>0</v>
      </c>
      <c r="P1130">
        <v>0</v>
      </c>
      <c r="Q1130">
        <v>51</v>
      </c>
      <c r="R1130">
        <v>0</v>
      </c>
      <c r="S1130" s="18" t="e">
        <f t="shared" si="176"/>
        <v>#DIV/0!</v>
      </c>
      <c r="T1130" s="17" t="e">
        <f t="shared" si="177"/>
        <v>#DIV/0!</v>
      </c>
      <c r="U1130" s="17" t="e">
        <f t="shared" si="178"/>
        <v>#DIV/0!</v>
      </c>
      <c r="V1130" s="17" t="e">
        <f t="shared" si="179"/>
        <v>#DIV/0!</v>
      </c>
      <c r="W1130" s="17" t="e">
        <f t="shared" si="180"/>
        <v>#DIV/0!</v>
      </c>
      <c r="X1130" s="17" t="e">
        <f t="shared" si="181"/>
        <v>#DIV/0!</v>
      </c>
      <c r="Y1130" s="19" t="e">
        <f t="shared" si="182"/>
        <v>#DIV/0!</v>
      </c>
      <c r="Z1130">
        <v>0</v>
      </c>
      <c r="AA1130">
        <v>4</v>
      </c>
      <c r="AB1130">
        <v>50</v>
      </c>
      <c r="AC1130">
        <v>750</v>
      </c>
      <c r="AD1130">
        <v>0</v>
      </c>
      <c r="AE1130">
        <v>0</v>
      </c>
      <c r="AF1130">
        <v>0</v>
      </c>
      <c r="AG1130">
        <v>195</v>
      </c>
      <c r="AH1130">
        <v>195</v>
      </c>
      <c r="AI1130">
        <v>0</v>
      </c>
      <c r="AJ1130">
        <v>0</v>
      </c>
      <c r="AK1130">
        <v>195</v>
      </c>
      <c r="AL1130">
        <v>195</v>
      </c>
      <c r="AM1130">
        <v>0</v>
      </c>
      <c r="AN1130">
        <v>0</v>
      </c>
      <c r="AO1130">
        <v>205</v>
      </c>
      <c r="AP1130">
        <v>95</v>
      </c>
      <c r="AQ1130">
        <v>205</v>
      </c>
      <c r="AR1130">
        <v>110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45</v>
      </c>
      <c r="BA1130">
        <v>45</v>
      </c>
      <c r="BB1130">
        <v>0</v>
      </c>
      <c r="BC1130">
        <v>0</v>
      </c>
      <c r="BD1130">
        <v>0</v>
      </c>
      <c r="BE1130">
        <f t="shared" si="183"/>
        <v>2235</v>
      </c>
      <c r="BF1130">
        <v>1504</v>
      </c>
      <c r="BG1130">
        <v>1504</v>
      </c>
      <c r="BH1130" t="s">
        <v>82</v>
      </c>
      <c r="BI1130" t="s">
        <v>999</v>
      </c>
      <c r="BJ1130">
        <v>864</v>
      </c>
      <c r="BK1130">
        <v>640</v>
      </c>
      <c r="BL1130">
        <v>1504</v>
      </c>
      <c r="BM1130">
        <v>0</v>
      </c>
      <c r="BN1130">
        <v>0</v>
      </c>
      <c r="BO1130">
        <v>0</v>
      </c>
      <c r="BP1130">
        <v>640</v>
      </c>
      <c r="BQ1130">
        <v>640</v>
      </c>
      <c r="BR1130">
        <f t="shared" si="184"/>
        <v>-51</v>
      </c>
      <c r="BS1130">
        <f t="shared" si="185"/>
        <v>51</v>
      </c>
    </row>
    <row r="1131" spans="1:74" x14ac:dyDescent="0.25">
      <c r="A1131" s="5" t="s">
        <v>1337</v>
      </c>
      <c r="B1131" s="5" t="s">
        <v>359</v>
      </c>
      <c r="C1131" s="5" t="s">
        <v>61</v>
      </c>
      <c r="D1131" s="1" t="s">
        <v>137</v>
      </c>
      <c r="E1131">
        <v>0</v>
      </c>
      <c r="F1131">
        <v>4</v>
      </c>
      <c r="G1131">
        <v>0</v>
      </c>
      <c r="H1131">
        <v>0</v>
      </c>
      <c r="I1131">
        <v>7</v>
      </c>
      <c r="J1131">
        <v>296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36</v>
      </c>
      <c r="Q1131">
        <v>55</v>
      </c>
      <c r="R1131">
        <v>4</v>
      </c>
      <c r="S1131" s="18">
        <f t="shared" si="176"/>
        <v>9</v>
      </c>
      <c r="T1131" s="17">
        <f t="shared" si="177"/>
        <v>0</v>
      </c>
      <c r="U1131" s="17">
        <f t="shared" si="178"/>
        <v>0</v>
      </c>
      <c r="V1131" s="17">
        <f t="shared" si="179"/>
        <v>0</v>
      </c>
      <c r="W1131" s="17">
        <f t="shared" si="180"/>
        <v>4</v>
      </c>
      <c r="X1131" s="17">
        <f t="shared" si="181"/>
        <v>51</v>
      </c>
      <c r="Y1131" s="19">
        <f t="shared" si="182"/>
        <v>0</v>
      </c>
      <c r="Z1131">
        <v>4</v>
      </c>
      <c r="AA1131">
        <v>0</v>
      </c>
      <c r="AB1131">
        <v>0</v>
      </c>
      <c r="AC1131">
        <v>437</v>
      </c>
      <c r="AD1131">
        <v>0</v>
      </c>
      <c r="AE1131">
        <v>0</v>
      </c>
      <c r="AF1131">
        <v>0</v>
      </c>
      <c r="AG1131">
        <v>7</v>
      </c>
      <c r="AH1131">
        <v>7</v>
      </c>
      <c r="AI1131">
        <v>0</v>
      </c>
      <c r="AJ1131">
        <v>0</v>
      </c>
      <c r="AK1131">
        <v>296</v>
      </c>
      <c r="AL1131">
        <v>296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f t="shared" si="183"/>
        <v>1043</v>
      </c>
      <c r="BF1131">
        <v>744</v>
      </c>
      <c r="BG1131">
        <v>744</v>
      </c>
      <c r="BH1131" t="s">
        <v>82</v>
      </c>
      <c r="BI1131" t="s">
        <v>1446</v>
      </c>
      <c r="BJ1131">
        <v>437</v>
      </c>
      <c r="BK1131">
        <v>303</v>
      </c>
      <c r="BL1131">
        <v>744</v>
      </c>
      <c r="BM1131">
        <v>0</v>
      </c>
      <c r="BN1131">
        <v>0</v>
      </c>
      <c r="BO1131">
        <v>0</v>
      </c>
      <c r="BP1131">
        <v>339</v>
      </c>
      <c r="BQ1131">
        <v>339</v>
      </c>
      <c r="BR1131">
        <f t="shared" si="184"/>
        <v>-51</v>
      </c>
      <c r="BS1131">
        <f t="shared" si="185"/>
        <v>59</v>
      </c>
    </row>
    <row r="1132" spans="1:74" x14ac:dyDescent="0.25">
      <c r="A1132" s="5" t="s">
        <v>1451</v>
      </c>
      <c r="B1132" s="5" t="s">
        <v>207</v>
      </c>
      <c r="C1132" s="5" t="s">
        <v>207</v>
      </c>
      <c r="D1132" s="1" t="s">
        <v>143</v>
      </c>
      <c r="E1132">
        <v>0</v>
      </c>
      <c r="F1132">
        <v>1680</v>
      </c>
      <c r="G1132">
        <v>0</v>
      </c>
      <c r="H1132">
        <v>0</v>
      </c>
      <c r="I1132">
        <v>147</v>
      </c>
      <c r="J1132">
        <v>0</v>
      </c>
      <c r="K1132">
        <v>316</v>
      </c>
      <c r="L1132">
        <v>0</v>
      </c>
      <c r="M1132">
        <v>1278</v>
      </c>
      <c r="N1132">
        <v>0</v>
      </c>
      <c r="O1132">
        <v>0</v>
      </c>
      <c r="P1132">
        <v>0</v>
      </c>
      <c r="Q1132">
        <v>193</v>
      </c>
      <c r="R1132">
        <v>142</v>
      </c>
      <c r="S1132" s="18">
        <f t="shared" si="176"/>
        <v>9</v>
      </c>
      <c r="T1132" s="17">
        <f t="shared" si="177"/>
        <v>142</v>
      </c>
      <c r="U1132" s="17">
        <f t="shared" si="178"/>
        <v>0</v>
      </c>
      <c r="V1132" s="17">
        <f t="shared" si="179"/>
        <v>0</v>
      </c>
      <c r="W1132" s="17">
        <f t="shared" si="180"/>
        <v>0</v>
      </c>
      <c r="X1132" s="17">
        <f t="shared" si="181"/>
        <v>51</v>
      </c>
      <c r="Y1132" s="19">
        <f t="shared" si="182"/>
        <v>0</v>
      </c>
      <c r="Z1132">
        <v>1680</v>
      </c>
      <c r="AA1132">
        <v>0</v>
      </c>
      <c r="AB1132">
        <v>0</v>
      </c>
      <c r="AC1132">
        <v>0</v>
      </c>
      <c r="AD1132">
        <v>147</v>
      </c>
      <c r="AE1132">
        <v>0</v>
      </c>
      <c r="AF1132">
        <v>0</v>
      </c>
      <c r="AG1132">
        <v>0</v>
      </c>
      <c r="AH1132">
        <v>147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316</v>
      </c>
      <c r="AP1132">
        <v>75</v>
      </c>
      <c r="AQ1132">
        <v>316</v>
      </c>
      <c r="AR1132">
        <v>241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f t="shared" si="183"/>
        <v>1242</v>
      </c>
      <c r="BF1132">
        <v>2143</v>
      </c>
      <c r="BG1132">
        <v>2143</v>
      </c>
      <c r="BH1132" t="s">
        <v>109</v>
      </c>
      <c r="BI1132" t="s">
        <v>259</v>
      </c>
      <c r="BJ1132">
        <v>0</v>
      </c>
      <c r="BK1132">
        <v>463</v>
      </c>
      <c r="BL1132">
        <v>2143</v>
      </c>
      <c r="BM1132">
        <v>1425</v>
      </c>
      <c r="BN1132">
        <v>0</v>
      </c>
      <c r="BO1132">
        <v>0</v>
      </c>
      <c r="BP1132">
        <v>316</v>
      </c>
      <c r="BQ1132">
        <v>1741</v>
      </c>
      <c r="BR1132">
        <f t="shared" si="184"/>
        <v>-51</v>
      </c>
      <c r="BS1132">
        <f t="shared" si="185"/>
        <v>335</v>
      </c>
    </row>
    <row r="1133" spans="1:74" x14ac:dyDescent="0.25">
      <c r="A1133" s="5" t="s">
        <v>1946</v>
      </c>
      <c r="B1133" s="5" t="s">
        <v>61</v>
      </c>
      <c r="C1133" s="5" t="s">
        <v>61</v>
      </c>
      <c r="D1133" s="1" t="s">
        <v>183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1120</v>
      </c>
      <c r="K1133">
        <v>318</v>
      </c>
      <c r="L1133">
        <v>155</v>
      </c>
      <c r="M1133">
        <v>0</v>
      </c>
      <c r="N1133">
        <v>0</v>
      </c>
      <c r="O1133">
        <v>0</v>
      </c>
      <c r="P1133">
        <v>0</v>
      </c>
      <c r="Q1133">
        <v>51</v>
      </c>
      <c r="R1133">
        <v>0</v>
      </c>
      <c r="S1133" s="18" t="e">
        <f t="shared" si="176"/>
        <v>#DIV/0!</v>
      </c>
      <c r="T1133" s="17" t="e">
        <f t="shared" si="177"/>
        <v>#DIV/0!</v>
      </c>
      <c r="U1133" s="17" t="e">
        <f t="shared" si="178"/>
        <v>#DIV/0!</v>
      </c>
      <c r="V1133" s="17" t="e">
        <f t="shared" si="179"/>
        <v>#DIV/0!</v>
      </c>
      <c r="W1133" s="17" t="e">
        <f t="shared" si="180"/>
        <v>#DIV/0!</v>
      </c>
      <c r="X1133" s="17" t="e">
        <f t="shared" si="181"/>
        <v>#DIV/0!</v>
      </c>
      <c r="Y1133" s="19" t="e">
        <f t="shared" si="182"/>
        <v>#DIV/0!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1120</v>
      </c>
      <c r="AK1133">
        <v>0</v>
      </c>
      <c r="AL1133">
        <v>1120</v>
      </c>
      <c r="AM1133">
        <v>0</v>
      </c>
      <c r="AN1133">
        <v>0</v>
      </c>
      <c r="AO1133">
        <v>318</v>
      </c>
      <c r="AP1133">
        <v>0</v>
      </c>
      <c r="AQ1133">
        <v>318</v>
      </c>
      <c r="AR1133">
        <v>318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155</v>
      </c>
      <c r="BA1133">
        <v>155</v>
      </c>
      <c r="BB1133">
        <v>0</v>
      </c>
      <c r="BC1133">
        <v>0</v>
      </c>
      <c r="BD1133">
        <v>0</v>
      </c>
      <c r="BE1133">
        <f t="shared" si="183"/>
        <v>3504</v>
      </c>
      <c r="BF1133">
        <v>1593</v>
      </c>
      <c r="BG1133">
        <v>1593</v>
      </c>
      <c r="BH1133" t="s">
        <v>199</v>
      </c>
      <c r="BI1133" t="s">
        <v>2003</v>
      </c>
      <c r="BJ1133">
        <v>0</v>
      </c>
      <c r="BK1133">
        <v>1593</v>
      </c>
      <c r="BL1133">
        <v>1593</v>
      </c>
      <c r="BM1133">
        <v>0</v>
      </c>
      <c r="BN1133">
        <v>1120</v>
      </c>
      <c r="BO1133">
        <v>0</v>
      </c>
      <c r="BP1133">
        <v>473</v>
      </c>
      <c r="BQ1133">
        <v>1593</v>
      </c>
      <c r="BR1133">
        <f t="shared" si="184"/>
        <v>-51</v>
      </c>
      <c r="BS1133">
        <f t="shared" si="185"/>
        <v>51</v>
      </c>
    </row>
    <row r="1134" spans="1:74" x14ac:dyDescent="0.25">
      <c r="A1134" s="5" t="s">
        <v>61</v>
      </c>
      <c r="B1134" s="5" t="s">
        <v>207</v>
      </c>
      <c r="C1134" s="5" t="s">
        <v>61</v>
      </c>
      <c r="D1134" s="1" t="s">
        <v>161</v>
      </c>
      <c r="E1134">
        <v>0</v>
      </c>
      <c r="F1134">
        <v>1</v>
      </c>
      <c r="G1134">
        <v>0</v>
      </c>
      <c r="H1134">
        <v>0</v>
      </c>
      <c r="I1134">
        <v>154</v>
      </c>
      <c r="J1134">
        <v>0</v>
      </c>
      <c r="K1134">
        <v>0</v>
      </c>
      <c r="L1134">
        <v>0</v>
      </c>
      <c r="M1134">
        <v>9</v>
      </c>
      <c r="N1134">
        <v>0</v>
      </c>
      <c r="O1134">
        <v>0</v>
      </c>
      <c r="P1134">
        <v>0</v>
      </c>
      <c r="Q1134">
        <v>53</v>
      </c>
      <c r="R1134">
        <v>1</v>
      </c>
      <c r="S1134" s="18">
        <f t="shared" si="176"/>
        <v>9</v>
      </c>
      <c r="T1134" s="17">
        <f t="shared" si="177"/>
        <v>1</v>
      </c>
      <c r="U1134" s="17">
        <f t="shared" si="178"/>
        <v>0</v>
      </c>
      <c r="V1134" s="17">
        <f t="shared" si="179"/>
        <v>0</v>
      </c>
      <c r="W1134" s="17">
        <f t="shared" si="180"/>
        <v>0</v>
      </c>
      <c r="X1134" s="17">
        <f t="shared" si="181"/>
        <v>52</v>
      </c>
      <c r="Y1134" s="19">
        <f t="shared" si="182"/>
        <v>0</v>
      </c>
      <c r="Z1134">
        <v>1</v>
      </c>
      <c r="AA1134">
        <v>0</v>
      </c>
      <c r="AB1134">
        <v>0</v>
      </c>
      <c r="AC1134">
        <v>0</v>
      </c>
      <c r="AD1134">
        <v>154</v>
      </c>
      <c r="AE1134">
        <v>0</v>
      </c>
      <c r="AF1134">
        <v>0</v>
      </c>
      <c r="AG1134">
        <v>0</v>
      </c>
      <c r="AH1134">
        <v>154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f t="shared" si="183"/>
        <v>308</v>
      </c>
      <c r="BF1134">
        <v>155</v>
      </c>
      <c r="BG1134">
        <v>155</v>
      </c>
      <c r="BH1134" t="s">
        <v>109</v>
      </c>
      <c r="BI1134" t="s">
        <v>257</v>
      </c>
      <c r="BJ1134">
        <v>0</v>
      </c>
      <c r="BK1134">
        <v>154</v>
      </c>
      <c r="BL1134">
        <v>155</v>
      </c>
      <c r="BM1134">
        <v>163</v>
      </c>
      <c r="BN1134">
        <v>0</v>
      </c>
      <c r="BO1134">
        <v>0</v>
      </c>
      <c r="BP1134">
        <v>0</v>
      </c>
      <c r="BQ1134">
        <v>163</v>
      </c>
      <c r="BR1134">
        <f t="shared" si="184"/>
        <v>-52</v>
      </c>
      <c r="BS1134">
        <f t="shared" si="185"/>
        <v>54</v>
      </c>
    </row>
    <row r="1135" spans="1:74" x14ac:dyDescent="0.25">
      <c r="A1135" s="5" t="s">
        <v>207</v>
      </c>
      <c r="B1135" s="5" t="s">
        <v>627</v>
      </c>
      <c r="C1135" s="6" t="s">
        <v>207</v>
      </c>
      <c r="D1135" s="1" t="s">
        <v>121</v>
      </c>
      <c r="E1135">
        <v>0</v>
      </c>
      <c r="F1135">
        <v>270</v>
      </c>
      <c r="G1135">
        <v>0</v>
      </c>
      <c r="H1135">
        <v>0</v>
      </c>
      <c r="I1135">
        <v>42</v>
      </c>
      <c r="J1135">
        <v>120</v>
      </c>
      <c r="K1135">
        <v>28</v>
      </c>
      <c r="L1135">
        <v>0</v>
      </c>
      <c r="M1135">
        <v>810</v>
      </c>
      <c r="N1135">
        <v>0</v>
      </c>
      <c r="O1135">
        <v>0</v>
      </c>
      <c r="P1135">
        <v>0</v>
      </c>
      <c r="Q1135">
        <v>142</v>
      </c>
      <c r="R1135">
        <v>90</v>
      </c>
      <c r="S1135" s="18">
        <f t="shared" si="176"/>
        <v>9</v>
      </c>
      <c r="T1135" s="17">
        <f t="shared" si="177"/>
        <v>90</v>
      </c>
      <c r="U1135" s="17">
        <f t="shared" si="178"/>
        <v>0</v>
      </c>
      <c r="V1135" s="17">
        <f t="shared" si="179"/>
        <v>0</v>
      </c>
      <c r="W1135" s="17">
        <f t="shared" si="180"/>
        <v>0</v>
      </c>
      <c r="X1135" s="17">
        <f t="shared" si="181"/>
        <v>52</v>
      </c>
      <c r="Y1135" s="19">
        <f t="shared" si="182"/>
        <v>0</v>
      </c>
      <c r="Z1135">
        <v>270</v>
      </c>
      <c r="AA1135">
        <v>0</v>
      </c>
      <c r="AB1135">
        <v>0</v>
      </c>
      <c r="AC1135">
        <v>102</v>
      </c>
      <c r="AD1135">
        <v>0</v>
      </c>
      <c r="AE1135">
        <v>0</v>
      </c>
      <c r="AF1135">
        <v>0</v>
      </c>
      <c r="AG1135">
        <v>42</v>
      </c>
      <c r="AH1135">
        <v>42</v>
      </c>
      <c r="AI1135">
        <v>0</v>
      </c>
      <c r="AJ1135">
        <v>0</v>
      </c>
      <c r="AK1135">
        <v>120</v>
      </c>
      <c r="AL1135">
        <v>120</v>
      </c>
      <c r="AM1135">
        <v>0</v>
      </c>
      <c r="AN1135">
        <v>0</v>
      </c>
      <c r="AO1135">
        <v>28</v>
      </c>
      <c r="AP1135">
        <v>0</v>
      </c>
      <c r="AQ1135">
        <v>28</v>
      </c>
      <c r="AR1135">
        <v>28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f t="shared" si="183"/>
        <v>510</v>
      </c>
      <c r="BF1135">
        <v>562</v>
      </c>
      <c r="BG1135">
        <v>562</v>
      </c>
      <c r="BH1135" t="s">
        <v>190</v>
      </c>
      <c r="BI1135" t="s">
        <v>686</v>
      </c>
      <c r="BJ1135">
        <v>102</v>
      </c>
      <c r="BK1135">
        <v>190</v>
      </c>
      <c r="BL1135">
        <v>562</v>
      </c>
      <c r="BM1135">
        <v>810</v>
      </c>
      <c r="BN1135">
        <v>0</v>
      </c>
      <c r="BO1135">
        <v>0</v>
      </c>
      <c r="BP1135">
        <v>190</v>
      </c>
      <c r="BQ1135">
        <v>1000</v>
      </c>
      <c r="BR1135">
        <f t="shared" si="184"/>
        <v>-52</v>
      </c>
      <c r="BS1135">
        <f t="shared" si="185"/>
        <v>232</v>
      </c>
    </row>
    <row r="1136" spans="1:74" x14ac:dyDescent="0.25">
      <c r="A1136" s="5" t="s">
        <v>627</v>
      </c>
      <c r="B1136" s="5" t="s">
        <v>207</v>
      </c>
      <c r="C1136" s="7" t="s">
        <v>61</v>
      </c>
      <c r="D1136" s="1" t="s">
        <v>92</v>
      </c>
      <c r="E1136">
        <v>0</v>
      </c>
      <c r="F1136">
        <v>0</v>
      </c>
      <c r="G1136">
        <v>0</v>
      </c>
      <c r="H1136">
        <v>0</v>
      </c>
      <c r="I1136">
        <v>190</v>
      </c>
      <c r="J1136">
        <v>550</v>
      </c>
      <c r="K1136">
        <v>25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52</v>
      </c>
      <c r="R1136">
        <v>0</v>
      </c>
      <c r="S1136" s="18" t="e">
        <f t="shared" si="176"/>
        <v>#DIV/0!</v>
      </c>
      <c r="T1136" s="17" t="e">
        <f t="shared" si="177"/>
        <v>#DIV/0!</v>
      </c>
      <c r="U1136" s="17" t="e">
        <f t="shared" si="178"/>
        <v>#DIV/0!</v>
      </c>
      <c r="V1136" s="17" t="e">
        <f t="shared" si="179"/>
        <v>#DIV/0!</v>
      </c>
      <c r="W1136" s="17" t="e">
        <f t="shared" si="180"/>
        <v>#DIV/0!</v>
      </c>
      <c r="X1136" s="17" t="e">
        <f t="shared" si="181"/>
        <v>#DIV/0!</v>
      </c>
      <c r="Y1136" s="19" t="e">
        <f t="shared" si="182"/>
        <v>#DIV/0!</v>
      </c>
      <c r="Z1136">
        <v>0</v>
      </c>
      <c r="AA1136">
        <v>0</v>
      </c>
      <c r="AB1136">
        <v>0</v>
      </c>
      <c r="AC1136">
        <v>291</v>
      </c>
      <c r="AD1136">
        <v>0</v>
      </c>
      <c r="AE1136">
        <v>0</v>
      </c>
      <c r="AF1136">
        <v>0</v>
      </c>
      <c r="AG1136">
        <v>190</v>
      </c>
      <c r="AH1136">
        <v>190</v>
      </c>
      <c r="AI1136">
        <v>0</v>
      </c>
      <c r="AJ1136">
        <v>0</v>
      </c>
      <c r="AK1136">
        <v>550</v>
      </c>
      <c r="AL1136">
        <v>550</v>
      </c>
      <c r="AM1136">
        <v>0</v>
      </c>
      <c r="AN1136">
        <v>0</v>
      </c>
      <c r="AO1136">
        <v>25</v>
      </c>
      <c r="AP1136">
        <v>15</v>
      </c>
      <c r="AQ1136">
        <v>25</v>
      </c>
      <c r="AR1136">
        <v>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f t="shared" si="183"/>
        <v>1846</v>
      </c>
      <c r="BF1136">
        <v>1056</v>
      </c>
      <c r="BG1136">
        <v>1056</v>
      </c>
      <c r="BH1136" t="s">
        <v>82</v>
      </c>
      <c r="BI1136" t="s">
        <v>844</v>
      </c>
      <c r="BJ1136">
        <v>291</v>
      </c>
      <c r="BK1136">
        <v>765</v>
      </c>
      <c r="BL1136">
        <v>1056</v>
      </c>
      <c r="BM1136">
        <v>0</v>
      </c>
      <c r="BN1136">
        <v>0</v>
      </c>
      <c r="BO1136">
        <v>0</v>
      </c>
      <c r="BP1136">
        <v>765</v>
      </c>
      <c r="BQ1136">
        <v>765</v>
      </c>
      <c r="BR1136">
        <f t="shared" si="184"/>
        <v>-52</v>
      </c>
      <c r="BS1136">
        <f t="shared" si="185"/>
        <v>52</v>
      </c>
    </row>
    <row r="1137" spans="1:71" x14ac:dyDescent="0.25">
      <c r="A1137" s="5" t="s">
        <v>1017</v>
      </c>
      <c r="B1137" s="5" t="s">
        <v>61</v>
      </c>
      <c r="C1137" s="5" t="s">
        <v>61</v>
      </c>
      <c r="D1137" s="1" t="s">
        <v>100</v>
      </c>
      <c r="E1137">
        <v>700</v>
      </c>
      <c r="F1137">
        <v>0</v>
      </c>
      <c r="G1137">
        <v>0</v>
      </c>
      <c r="H1137">
        <v>0</v>
      </c>
      <c r="I1137">
        <v>0</v>
      </c>
      <c r="J1137">
        <v>2375</v>
      </c>
      <c r="K1137">
        <v>105</v>
      </c>
      <c r="L1137">
        <v>420</v>
      </c>
      <c r="M1137">
        <v>0</v>
      </c>
      <c r="N1137">
        <v>0</v>
      </c>
      <c r="O1137">
        <v>0</v>
      </c>
      <c r="P1137">
        <v>0</v>
      </c>
      <c r="Q1137">
        <v>52</v>
      </c>
      <c r="R1137">
        <v>0</v>
      </c>
      <c r="S1137" s="18" t="e">
        <f t="shared" si="176"/>
        <v>#DIV/0!</v>
      </c>
      <c r="T1137" s="17" t="e">
        <f t="shared" si="177"/>
        <v>#DIV/0!</v>
      </c>
      <c r="U1137" s="17" t="e">
        <f t="shared" si="178"/>
        <v>#DIV/0!</v>
      </c>
      <c r="V1137" s="17" t="e">
        <f t="shared" si="179"/>
        <v>#DIV/0!</v>
      </c>
      <c r="W1137" s="17" t="e">
        <f t="shared" si="180"/>
        <v>#DIV/0!</v>
      </c>
      <c r="X1137" s="17" t="e">
        <f t="shared" si="181"/>
        <v>#DIV/0!</v>
      </c>
      <c r="Y1137" s="19" t="e">
        <f t="shared" si="182"/>
        <v>#DIV/0!</v>
      </c>
      <c r="Z1137">
        <v>0</v>
      </c>
      <c r="AA1137">
        <v>9</v>
      </c>
      <c r="AB1137">
        <v>0</v>
      </c>
      <c r="AC1137">
        <v>992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2375</v>
      </c>
      <c r="AL1137">
        <v>2375</v>
      </c>
      <c r="AM1137">
        <v>0</v>
      </c>
      <c r="AN1137">
        <v>0</v>
      </c>
      <c r="AO1137">
        <v>105</v>
      </c>
      <c r="AP1137">
        <v>45</v>
      </c>
      <c r="AQ1137">
        <v>105</v>
      </c>
      <c r="AR1137">
        <v>60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420</v>
      </c>
      <c r="BA1137">
        <v>420</v>
      </c>
      <c r="BB1137">
        <v>0</v>
      </c>
      <c r="BC1137">
        <v>0</v>
      </c>
      <c r="BD1137">
        <v>0</v>
      </c>
      <c r="BE1137">
        <f t="shared" si="183"/>
        <v>6897</v>
      </c>
      <c r="BF1137">
        <v>5421</v>
      </c>
      <c r="BG1137">
        <v>5421</v>
      </c>
      <c r="BH1137" t="s">
        <v>199</v>
      </c>
      <c r="BI1137" t="s">
        <v>1035</v>
      </c>
      <c r="BJ1137">
        <v>1701</v>
      </c>
      <c r="BK1137">
        <v>2900</v>
      </c>
      <c r="BL1137">
        <v>4601</v>
      </c>
      <c r="BM1137">
        <v>0</v>
      </c>
      <c r="BN1137">
        <v>0</v>
      </c>
      <c r="BO1137">
        <v>0</v>
      </c>
      <c r="BP1137">
        <v>2900</v>
      </c>
      <c r="BQ1137">
        <v>2900</v>
      </c>
      <c r="BR1137">
        <f t="shared" si="184"/>
        <v>-52</v>
      </c>
      <c r="BS1137">
        <f t="shared" si="185"/>
        <v>52</v>
      </c>
    </row>
    <row r="1138" spans="1:71" x14ac:dyDescent="0.25">
      <c r="A1138" s="5" t="s">
        <v>1337</v>
      </c>
      <c r="B1138" s="5" t="s">
        <v>61</v>
      </c>
      <c r="C1138" s="5" t="s">
        <v>61</v>
      </c>
      <c r="D1138" s="1" t="s">
        <v>137</v>
      </c>
      <c r="E1138">
        <v>0</v>
      </c>
      <c r="F1138">
        <v>116</v>
      </c>
      <c r="G1138">
        <v>0</v>
      </c>
      <c r="H1138">
        <v>0</v>
      </c>
      <c r="I1138">
        <v>277</v>
      </c>
      <c r="J1138">
        <v>311</v>
      </c>
      <c r="K1138">
        <v>117</v>
      </c>
      <c r="L1138">
        <v>0</v>
      </c>
      <c r="M1138">
        <v>0</v>
      </c>
      <c r="N1138">
        <v>0</v>
      </c>
      <c r="O1138">
        <v>0</v>
      </c>
      <c r="P1138">
        <v>738</v>
      </c>
      <c r="Q1138">
        <v>134</v>
      </c>
      <c r="R1138">
        <v>82</v>
      </c>
      <c r="S1138" s="18">
        <f t="shared" si="176"/>
        <v>9</v>
      </c>
      <c r="T1138" s="17">
        <f t="shared" si="177"/>
        <v>0</v>
      </c>
      <c r="U1138" s="17">
        <f t="shared" si="178"/>
        <v>0</v>
      </c>
      <c r="V1138" s="17">
        <f t="shared" si="179"/>
        <v>0</v>
      </c>
      <c r="W1138" s="17">
        <f t="shared" si="180"/>
        <v>82</v>
      </c>
      <c r="X1138" s="17">
        <f t="shared" si="181"/>
        <v>52</v>
      </c>
      <c r="Y1138" s="19">
        <f t="shared" si="182"/>
        <v>0</v>
      </c>
      <c r="Z1138">
        <v>116</v>
      </c>
      <c r="AA1138">
        <v>28</v>
      </c>
      <c r="AB1138">
        <v>72</v>
      </c>
      <c r="AC1138">
        <v>3000</v>
      </c>
      <c r="AD1138">
        <v>0</v>
      </c>
      <c r="AE1138">
        <v>0</v>
      </c>
      <c r="AF1138">
        <v>0</v>
      </c>
      <c r="AG1138">
        <v>277</v>
      </c>
      <c r="AH1138">
        <v>277</v>
      </c>
      <c r="AI1138">
        <v>0</v>
      </c>
      <c r="AJ1138">
        <v>0</v>
      </c>
      <c r="AK1138">
        <v>311</v>
      </c>
      <c r="AL1138">
        <v>311</v>
      </c>
      <c r="AM1138">
        <v>0</v>
      </c>
      <c r="AN1138">
        <v>0</v>
      </c>
      <c r="AO1138">
        <v>117</v>
      </c>
      <c r="AP1138">
        <v>54</v>
      </c>
      <c r="AQ1138">
        <v>117</v>
      </c>
      <c r="AR1138">
        <v>63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f t="shared" si="183"/>
        <v>4527</v>
      </c>
      <c r="BF1138">
        <v>3921</v>
      </c>
      <c r="BG1138">
        <v>3921</v>
      </c>
      <c r="BH1138" t="s">
        <v>82</v>
      </c>
      <c r="BI1138" t="s">
        <v>1046</v>
      </c>
      <c r="BJ1138">
        <v>3100</v>
      </c>
      <c r="BK1138">
        <v>705</v>
      </c>
      <c r="BL1138">
        <v>3921</v>
      </c>
      <c r="BM1138">
        <v>0</v>
      </c>
      <c r="BN1138">
        <v>0</v>
      </c>
      <c r="BO1138">
        <v>0</v>
      </c>
      <c r="BP1138">
        <v>1443</v>
      </c>
      <c r="BQ1138">
        <v>1443</v>
      </c>
      <c r="BR1138">
        <f t="shared" si="184"/>
        <v>-52</v>
      </c>
      <c r="BS1138">
        <f t="shared" si="185"/>
        <v>216</v>
      </c>
    </row>
    <row r="1139" spans="1:71" x14ac:dyDescent="0.25">
      <c r="A1139" s="5" t="s">
        <v>1661</v>
      </c>
      <c r="B1139" s="5" t="s">
        <v>207</v>
      </c>
      <c r="C1139" s="5" t="s">
        <v>207</v>
      </c>
      <c r="D1139" s="1" t="s">
        <v>179</v>
      </c>
      <c r="E1139">
        <v>0</v>
      </c>
      <c r="F1139">
        <v>0</v>
      </c>
      <c r="G1139">
        <v>0</v>
      </c>
      <c r="H1139">
        <v>0</v>
      </c>
      <c r="I1139">
        <v>20</v>
      </c>
      <c r="J1139">
        <v>685</v>
      </c>
      <c r="K1139">
        <v>33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52</v>
      </c>
      <c r="R1139">
        <v>0</v>
      </c>
      <c r="S1139" s="18" t="e">
        <f t="shared" si="176"/>
        <v>#DIV/0!</v>
      </c>
      <c r="T1139" s="17" t="e">
        <f t="shared" si="177"/>
        <v>#DIV/0!</v>
      </c>
      <c r="U1139" s="17" t="e">
        <f t="shared" si="178"/>
        <v>#DIV/0!</v>
      </c>
      <c r="V1139" s="17" t="e">
        <f t="shared" si="179"/>
        <v>#DIV/0!</v>
      </c>
      <c r="W1139" s="17" t="e">
        <f t="shared" si="180"/>
        <v>#DIV/0!</v>
      </c>
      <c r="X1139" s="17" t="e">
        <f t="shared" si="181"/>
        <v>#DIV/0!</v>
      </c>
      <c r="Y1139" s="19" t="e">
        <f t="shared" si="182"/>
        <v>#DIV/0!</v>
      </c>
      <c r="Z1139">
        <v>0</v>
      </c>
      <c r="AA1139">
        <v>0</v>
      </c>
      <c r="AB1139">
        <v>288</v>
      </c>
      <c r="AC1139">
        <v>440</v>
      </c>
      <c r="AD1139">
        <v>0</v>
      </c>
      <c r="AE1139">
        <v>0</v>
      </c>
      <c r="AF1139">
        <v>0</v>
      </c>
      <c r="AG1139">
        <v>20</v>
      </c>
      <c r="AH1139">
        <v>20</v>
      </c>
      <c r="AI1139">
        <v>0</v>
      </c>
      <c r="AJ1139">
        <v>0</v>
      </c>
      <c r="AK1139">
        <v>685</v>
      </c>
      <c r="AL1139">
        <v>685</v>
      </c>
      <c r="AM1139">
        <v>0</v>
      </c>
      <c r="AN1139">
        <v>0</v>
      </c>
      <c r="AO1139">
        <v>33</v>
      </c>
      <c r="AP1139">
        <v>29</v>
      </c>
      <c r="AQ1139">
        <v>33</v>
      </c>
      <c r="AR1139">
        <v>4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f t="shared" si="183"/>
        <v>1949</v>
      </c>
      <c r="BF1139">
        <v>1466</v>
      </c>
      <c r="BG1139">
        <v>1466</v>
      </c>
      <c r="BH1139" t="s">
        <v>82</v>
      </c>
      <c r="BI1139" t="s">
        <v>1846</v>
      </c>
      <c r="BJ1139">
        <v>728</v>
      </c>
      <c r="BK1139">
        <v>738</v>
      </c>
      <c r="BL1139">
        <v>1466</v>
      </c>
      <c r="BM1139">
        <v>0</v>
      </c>
      <c r="BN1139">
        <v>0</v>
      </c>
      <c r="BO1139">
        <v>0</v>
      </c>
      <c r="BP1139">
        <v>738</v>
      </c>
      <c r="BQ1139">
        <v>738</v>
      </c>
      <c r="BR1139">
        <f t="shared" si="184"/>
        <v>-52</v>
      </c>
      <c r="BS1139">
        <f t="shared" si="185"/>
        <v>52</v>
      </c>
    </row>
    <row r="1140" spans="1:71" x14ac:dyDescent="0.25">
      <c r="A1140" s="5" t="s">
        <v>1661</v>
      </c>
      <c r="B1140" s="5" t="s">
        <v>359</v>
      </c>
      <c r="C1140" s="5" t="s">
        <v>207</v>
      </c>
      <c r="D1140" s="1" t="s">
        <v>139</v>
      </c>
      <c r="E1140">
        <v>0</v>
      </c>
      <c r="F1140">
        <v>35</v>
      </c>
      <c r="G1140">
        <v>0</v>
      </c>
      <c r="H1140">
        <v>0</v>
      </c>
      <c r="I1140">
        <v>80</v>
      </c>
      <c r="J1140">
        <v>415</v>
      </c>
      <c r="K1140">
        <v>50</v>
      </c>
      <c r="L1140">
        <v>0</v>
      </c>
      <c r="M1140">
        <v>0</v>
      </c>
      <c r="N1140">
        <v>0</v>
      </c>
      <c r="O1140">
        <v>0</v>
      </c>
      <c r="P1140">
        <v>189</v>
      </c>
      <c r="Q1140">
        <v>73</v>
      </c>
      <c r="R1140">
        <v>21</v>
      </c>
      <c r="S1140" s="18">
        <f t="shared" si="176"/>
        <v>9</v>
      </c>
      <c r="T1140" s="17">
        <f t="shared" si="177"/>
        <v>0</v>
      </c>
      <c r="U1140" s="17">
        <f t="shared" si="178"/>
        <v>0</v>
      </c>
      <c r="V1140" s="17">
        <f t="shared" si="179"/>
        <v>0</v>
      </c>
      <c r="W1140" s="17">
        <f t="shared" si="180"/>
        <v>21</v>
      </c>
      <c r="X1140" s="17">
        <f t="shared" si="181"/>
        <v>52</v>
      </c>
      <c r="Y1140" s="19">
        <f t="shared" si="182"/>
        <v>0</v>
      </c>
      <c r="Z1140">
        <v>35</v>
      </c>
      <c r="AA1140">
        <v>0</v>
      </c>
      <c r="AB1140">
        <v>0</v>
      </c>
      <c r="AC1140">
        <v>310</v>
      </c>
      <c r="AD1140">
        <v>0</v>
      </c>
      <c r="AE1140">
        <v>0</v>
      </c>
      <c r="AF1140">
        <v>0</v>
      </c>
      <c r="AG1140">
        <v>80</v>
      </c>
      <c r="AH1140">
        <v>80</v>
      </c>
      <c r="AI1140">
        <v>0</v>
      </c>
      <c r="AJ1140">
        <v>0</v>
      </c>
      <c r="AK1140">
        <v>415</v>
      </c>
      <c r="AL1140">
        <v>415</v>
      </c>
      <c r="AM1140">
        <v>0</v>
      </c>
      <c r="AN1140">
        <v>0</v>
      </c>
      <c r="AO1140">
        <v>50</v>
      </c>
      <c r="AP1140">
        <v>0</v>
      </c>
      <c r="AQ1140">
        <v>50</v>
      </c>
      <c r="AR1140">
        <v>50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f t="shared" si="183"/>
        <v>1450</v>
      </c>
      <c r="BF1140">
        <v>890</v>
      </c>
      <c r="BG1140">
        <v>890</v>
      </c>
      <c r="BH1140" t="s">
        <v>82</v>
      </c>
      <c r="BI1140" t="s">
        <v>845</v>
      </c>
      <c r="BJ1140">
        <v>310</v>
      </c>
      <c r="BK1140">
        <v>545</v>
      </c>
      <c r="BL1140">
        <v>890</v>
      </c>
      <c r="BM1140">
        <v>0</v>
      </c>
      <c r="BN1140">
        <v>0</v>
      </c>
      <c r="BO1140">
        <v>0</v>
      </c>
      <c r="BP1140">
        <v>734</v>
      </c>
      <c r="BQ1140">
        <v>734</v>
      </c>
      <c r="BR1140">
        <f t="shared" si="184"/>
        <v>-52</v>
      </c>
      <c r="BS1140">
        <f t="shared" si="185"/>
        <v>94</v>
      </c>
    </row>
    <row r="1141" spans="1:71" x14ac:dyDescent="0.25">
      <c r="A1141" s="5" t="s">
        <v>1946</v>
      </c>
      <c r="B1141" s="5" t="s">
        <v>61</v>
      </c>
      <c r="C1141" s="5" t="s">
        <v>61</v>
      </c>
      <c r="D1141" s="1" t="s">
        <v>177</v>
      </c>
      <c r="E1141">
        <v>0</v>
      </c>
      <c r="F1141">
        <v>0</v>
      </c>
      <c r="G1141">
        <v>0</v>
      </c>
      <c r="H1141">
        <v>0</v>
      </c>
      <c r="I1141">
        <v>2416</v>
      </c>
      <c r="J1141">
        <v>4191</v>
      </c>
      <c r="K1141">
        <v>850</v>
      </c>
      <c r="L1141">
        <v>1230</v>
      </c>
      <c r="M1141">
        <v>0</v>
      </c>
      <c r="N1141">
        <v>0</v>
      </c>
      <c r="O1141">
        <v>0</v>
      </c>
      <c r="P1141">
        <v>0</v>
      </c>
      <c r="Q1141">
        <v>52</v>
      </c>
      <c r="R1141">
        <v>0</v>
      </c>
      <c r="S1141" s="18" t="e">
        <f t="shared" si="176"/>
        <v>#DIV/0!</v>
      </c>
      <c r="T1141" s="17" t="e">
        <f t="shared" si="177"/>
        <v>#DIV/0!</v>
      </c>
      <c r="U1141" s="17" t="e">
        <f t="shared" si="178"/>
        <v>#DIV/0!</v>
      </c>
      <c r="V1141" s="17" t="e">
        <f t="shared" si="179"/>
        <v>#DIV/0!</v>
      </c>
      <c r="W1141" s="17" t="e">
        <f t="shared" si="180"/>
        <v>#DIV/0!</v>
      </c>
      <c r="X1141" s="17" t="e">
        <f t="shared" si="181"/>
        <v>#DIV/0!</v>
      </c>
      <c r="Y1141" s="19" t="e">
        <f t="shared" si="182"/>
        <v>#DIV/0!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2416</v>
      </c>
      <c r="AH1141">
        <v>2416</v>
      </c>
      <c r="AI1141">
        <v>0</v>
      </c>
      <c r="AJ1141">
        <v>1091</v>
      </c>
      <c r="AK1141">
        <v>3100</v>
      </c>
      <c r="AL1141">
        <v>4191</v>
      </c>
      <c r="AM1141">
        <v>0</v>
      </c>
      <c r="AN1141">
        <v>0</v>
      </c>
      <c r="AO1141">
        <v>850</v>
      </c>
      <c r="AP1141">
        <v>200</v>
      </c>
      <c r="AQ1141">
        <v>850</v>
      </c>
      <c r="AR1141">
        <v>650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1230</v>
      </c>
      <c r="BA1141">
        <v>1230</v>
      </c>
      <c r="BB1141">
        <v>0</v>
      </c>
      <c r="BC1141">
        <v>0</v>
      </c>
      <c r="BD1141">
        <v>0</v>
      </c>
      <c r="BE1141">
        <f t="shared" si="183"/>
        <v>18224</v>
      </c>
      <c r="BF1141">
        <v>8687</v>
      </c>
      <c r="BG1141">
        <v>8687</v>
      </c>
      <c r="BH1141" t="s">
        <v>199</v>
      </c>
      <c r="BI1141" t="s">
        <v>2000</v>
      </c>
      <c r="BJ1141">
        <v>0</v>
      </c>
      <c r="BK1141">
        <v>8687</v>
      </c>
      <c r="BL1141">
        <v>8687</v>
      </c>
      <c r="BM1141">
        <v>0</v>
      </c>
      <c r="BN1141">
        <v>1091</v>
      </c>
      <c r="BO1141">
        <v>0</v>
      </c>
      <c r="BP1141">
        <v>7596</v>
      </c>
      <c r="BQ1141">
        <v>8687</v>
      </c>
      <c r="BR1141">
        <f t="shared" si="184"/>
        <v>-52</v>
      </c>
      <c r="BS1141">
        <f t="shared" si="185"/>
        <v>52</v>
      </c>
    </row>
    <row r="1142" spans="1:71" x14ac:dyDescent="0.25">
      <c r="A1142" s="5" t="s">
        <v>2090</v>
      </c>
      <c r="B1142" s="5" t="s">
        <v>61</v>
      </c>
      <c r="C1142" s="5" t="s">
        <v>61</v>
      </c>
      <c r="D1142" s="1" t="s">
        <v>201</v>
      </c>
      <c r="E1142">
        <v>0</v>
      </c>
      <c r="F1142">
        <v>0</v>
      </c>
      <c r="G1142">
        <v>0</v>
      </c>
      <c r="H1142">
        <v>0</v>
      </c>
      <c r="I1142">
        <v>3</v>
      </c>
      <c r="J1142">
        <v>0</v>
      </c>
      <c r="K1142">
        <v>36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52</v>
      </c>
      <c r="R1142">
        <v>0</v>
      </c>
      <c r="S1142" s="18" t="e">
        <f t="shared" si="176"/>
        <v>#DIV/0!</v>
      </c>
      <c r="T1142" s="17" t="e">
        <f t="shared" si="177"/>
        <v>#DIV/0!</v>
      </c>
      <c r="U1142" s="17" t="e">
        <f t="shared" si="178"/>
        <v>#DIV/0!</v>
      </c>
      <c r="V1142" s="17" t="e">
        <f t="shared" si="179"/>
        <v>#DIV/0!</v>
      </c>
      <c r="W1142" s="17" t="e">
        <f t="shared" si="180"/>
        <v>#DIV/0!</v>
      </c>
      <c r="X1142" s="17" t="e">
        <f t="shared" si="181"/>
        <v>#DIV/0!</v>
      </c>
      <c r="Y1142" s="19" t="e">
        <f t="shared" si="182"/>
        <v>#DIV/0!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</v>
      </c>
      <c r="AH1142">
        <v>3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36</v>
      </c>
      <c r="AP1142">
        <v>0</v>
      </c>
      <c r="AQ1142">
        <v>36</v>
      </c>
      <c r="AR1142">
        <v>36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f t="shared" si="183"/>
        <v>114</v>
      </c>
      <c r="BF1142">
        <v>39</v>
      </c>
      <c r="BG1142">
        <v>39</v>
      </c>
      <c r="BH1142" t="s">
        <v>190</v>
      </c>
      <c r="BI1142" t="s">
        <v>2155</v>
      </c>
      <c r="BJ1142">
        <v>0</v>
      </c>
      <c r="BK1142">
        <v>39</v>
      </c>
      <c r="BL1142">
        <v>39</v>
      </c>
      <c r="BM1142">
        <v>0</v>
      </c>
      <c r="BN1142">
        <v>0</v>
      </c>
      <c r="BO1142">
        <v>0</v>
      </c>
      <c r="BP1142">
        <v>39</v>
      </c>
      <c r="BQ1142">
        <v>39</v>
      </c>
      <c r="BR1142">
        <f t="shared" si="184"/>
        <v>-52</v>
      </c>
      <c r="BS1142">
        <f t="shared" si="185"/>
        <v>52</v>
      </c>
    </row>
    <row r="1143" spans="1:71" x14ac:dyDescent="0.25">
      <c r="A1143" s="5" t="s">
        <v>2294</v>
      </c>
      <c r="B1143" s="5" t="s">
        <v>61</v>
      </c>
      <c r="C1143" s="5" t="s">
        <v>61</v>
      </c>
      <c r="D1143" s="1" t="s">
        <v>90</v>
      </c>
      <c r="E1143">
        <v>90</v>
      </c>
      <c r="F1143">
        <v>0</v>
      </c>
      <c r="G1143">
        <v>0</v>
      </c>
      <c r="H1143">
        <v>0</v>
      </c>
      <c r="I1143">
        <v>135</v>
      </c>
      <c r="J1143">
        <v>400</v>
      </c>
      <c r="K1143">
        <v>124</v>
      </c>
      <c r="L1143">
        <v>7</v>
      </c>
      <c r="M1143">
        <v>0</v>
      </c>
      <c r="N1143">
        <v>0</v>
      </c>
      <c r="O1143">
        <v>0</v>
      </c>
      <c r="P1143">
        <v>0</v>
      </c>
      <c r="Q1143">
        <v>52</v>
      </c>
      <c r="R1143">
        <v>0</v>
      </c>
      <c r="S1143" s="18" t="e">
        <f t="shared" si="176"/>
        <v>#DIV/0!</v>
      </c>
      <c r="T1143" s="17" t="e">
        <f t="shared" si="177"/>
        <v>#DIV/0!</v>
      </c>
      <c r="U1143" s="17" t="e">
        <f t="shared" si="178"/>
        <v>#DIV/0!</v>
      </c>
      <c r="V1143" s="17" t="e">
        <f t="shared" si="179"/>
        <v>#DIV/0!</v>
      </c>
      <c r="W1143" s="17" t="e">
        <f t="shared" si="180"/>
        <v>#DIV/0!</v>
      </c>
      <c r="X1143" s="17" t="e">
        <f t="shared" si="181"/>
        <v>#DIV/0!</v>
      </c>
      <c r="Y1143" s="19" t="e">
        <f t="shared" si="182"/>
        <v>#DIV/0!</v>
      </c>
      <c r="Z1143">
        <v>0</v>
      </c>
      <c r="AA1143">
        <v>0</v>
      </c>
      <c r="AB1143">
        <v>0</v>
      </c>
      <c r="AC1143">
        <v>772</v>
      </c>
      <c r="AD1143">
        <v>0</v>
      </c>
      <c r="AE1143">
        <v>0</v>
      </c>
      <c r="AF1143">
        <v>0</v>
      </c>
      <c r="AG1143">
        <v>135</v>
      </c>
      <c r="AH1143">
        <v>135</v>
      </c>
      <c r="AI1143">
        <v>0</v>
      </c>
      <c r="AJ1143">
        <v>0</v>
      </c>
      <c r="AK1143">
        <v>400</v>
      </c>
      <c r="AL1143">
        <v>400</v>
      </c>
      <c r="AM1143">
        <v>0</v>
      </c>
      <c r="AN1143">
        <v>0</v>
      </c>
      <c r="AO1143">
        <v>124</v>
      </c>
      <c r="AP1143">
        <v>97</v>
      </c>
      <c r="AQ1143">
        <v>124</v>
      </c>
      <c r="AR1143">
        <v>27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7</v>
      </c>
      <c r="BA1143">
        <v>7</v>
      </c>
      <c r="BB1143">
        <v>0</v>
      </c>
      <c r="BC1143">
        <v>0</v>
      </c>
      <c r="BD1143">
        <v>0</v>
      </c>
      <c r="BE1143">
        <f t="shared" si="183"/>
        <v>2228</v>
      </c>
      <c r="BF1143">
        <v>1528</v>
      </c>
      <c r="BG1143">
        <v>1528</v>
      </c>
      <c r="BH1143" t="s">
        <v>82</v>
      </c>
      <c r="BI1143" t="s">
        <v>2307</v>
      </c>
      <c r="BJ1143">
        <v>862</v>
      </c>
      <c r="BK1143">
        <v>666</v>
      </c>
      <c r="BL1143">
        <v>1528</v>
      </c>
      <c r="BM1143">
        <v>0</v>
      </c>
      <c r="BN1143">
        <v>0</v>
      </c>
      <c r="BO1143">
        <v>0</v>
      </c>
      <c r="BP1143">
        <v>666</v>
      </c>
      <c r="BQ1143">
        <v>666</v>
      </c>
      <c r="BR1143">
        <f t="shared" si="184"/>
        <v>-52</v>
      </c>
      <c r="BS1143">
        <f t="shared" si="185"/>
        <v>52</v>
      </c>
    </row>
    <row r="1144" spans="1:71" x14ac:dyDescent="0.25">
      <c r="A1144" s="5" t="s">
        <v>2294</v>
      </c>
      <c r="B1144" s="5" t="s">
        <v>207</v>
      </c>
      <c r="C1144" s="5" t="s">
        <v>61</v>
      </c>
      <c r="D1144" s="1" t="s">
        <v>139</v>
      </c>
      <c r="E1144">
        <v>9.6999999999999993</v>
      </c>
      <c r="F1144">
        <v>0</v>
      </c>
      <c r="G1144">
        <v>0</v>
      </c>
      <c r="H1144">
        <v>0</v>
      </c>
      <c r="I1144">
        <v>314</v>
      </c>
      <c r="J1144">
        <v>502</v>
      </c>
      <c r="K1144">
        <v>9</v>
      </c>
      <c r="L1144">
        <v>14</v>
      </c>
      <c r="M1144">
        <v>0</v>
      </c>
      <c r="N1144">
        <v>0</v>
      </c>
      <c r="O1144">
        <v>0</v>
      </c>
      <c r="P1144">
        <v>0</v>
      </c>
      <c r="Q1144">
        <v>52</v>
      </c>
      <c r="R1144">
        <v>0</v>
      </c>
      <c r="S1144" s="18" t="e">
        <f t="shared" si="176"/>
        <v>#DIV/0!</v>
      </c>
      <c r="T1144" s="17" t="e">
        <f t="shared" si="177"/>
        <v>#DIV/0!</v>
      </c>
      <c r="U1144" s="17" t="e">
        <f t="shared" si="178"/>
        <v>#DIV/0!</v>
      </c>
      <c r="V1144" s="17" t="e">
        <f t="shared" si="179"/>
        <v>#DIV/0!</v>
      </c>
      <c r="W1144" s="17" t="e">
        <f t="shared" si="180"/>
        <v>#DIV/0!</v>
      </c>
      <c r="X1144" s="17" t="e">
        <f t="shared" si="181"/>
        <v>#DIV/0!</v>
      </c>
      <c r="Y1144" s="19" t="e">
        <f t="shared" si="182"/>
        <v>#DIV/0!</v>
      </c>
      <c r="Z1144">
        <v>0</v>
      </c>
      <c r="AA1144">
        <v>0</v>
      </c>
      <c r="AB1144">
        <v>0</v>
      </c>
      <c r="AC1144">
        <v>326</v>
      </c>
      <c r="AD1144">
        <v>0</v>
      </c>
      <c r="AE1144">
        <v>0</v>
      </c>
      <c r="AF1144">
        <v>0</v>
      </c>
      <c r="AG1144">
        <v>314</v>
      </c>
      <c r="AH1144">
        <v>314</v>
      </c>
      <c r="AI1144">
        <v>0</v>
      </c>
      <c r="AJ1144">
        <v>0</v>
      </c>
      <c r="AK1144">
        <v>502</v>
      </c>
      <c r="AL1144">
        <v>502</v>
      </c>
      <c r="AM1144">
        <v>0</v>
      </c>
      <c r="AN1144">
        <v>0</v>
      </c>
      <c r="AO1144">
        <v>9</v>
      </c>
      <c r="AP1144">
        <v>0</v>
      </c>
      <c r="AQ1144">
        <v>9</v>
      </c>
      <c r="AR1144">
        <v>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14</v>
      </c>
      <c r="BA1144">
        <v>14</v>
      </c>
      <c r="BB1144">
        <v>0</v>
      </c>
      <c r="BC1144">
        <v>0</v>
      </c>
      <c r="BD1144">
        <v>0</v>
      </c>
      <c r="BE1144">
        <f t="shared" si="183"/>
        <v>2013</v>
      </c>
      <c r="BF1144">
        <v>1174.7</v>
      </c>
      <c r="BG1144">
        <v>1174.7</v>
      </c>
      <c r="BH1144" t="s">
        <v>82</v>
      </c>
      <c r="BI1144" t="s">
        <v>2358</v>
      </c>
      <c r="BJ1144">
        <v>335.7</v>
      </c>
      <c r="BK1144">
        <v>839</v>
      </c>
      <c r="BL1144">
        <v>1174.7</v>
      </c>
      <c r="BM1144">
        <v>0</v>
      </c>
      <c r="BN1144">
        <v>0</v>
      </c>
      <c r="BO1144">
        <v>0</v>
      </c>
      <c r="BP1144">
        <v>839</v>
      </c>
      <c r="BQ1144">
        <v>839</v>
      </c>
      <c r="BR1144">
        <f t="shared" si="184"/>
        <v>-52</v>
      </c>
      <c r="BS1144">
        <f t="shared" si="185"/>
        <v>52</v>
      </c>
    </row>
    <row r="1145" spans="1:71" x14ac:dyDescent="0.25">
      <c r="A1145" s="5" t="s">
        <v>61</v>
      </c>
      <c r="B1145" s="5" t="s">
        <v>61</v>
      </c>
      <c r="C1145" s="5" t="s">
        <v>61</v>
      </c>
      <c r="D1145" s="1" t="s">
        <v>149</v>
      </c>
      <c r="E1145">
        <v>0</v>
      </c>
      <c r="F1145">
        <v>70</v>
      </c>
      <c r="G1145">
        <v>0</v>
      </c>
      <c r="H1145">
        <v>0</v>
      </c>
      <c r="I1145">
        <v>85</v>
      </c>
      <c r="J1145">
        <v>0</v>
      </c>
      <c r="K1145">
        <v>0</v>
      </c>
      <c r="L1145">
        <v>0</v>
      </c>
      <c r="M1145">
        <v>387</v>
      </c>
      <c r="N1145">
        <v>0</v>
      </c>
      <c r="O1145">
        <v>0</v>
      </c>
      <c r="P1145">
        <v>0</v>
      </c>
      <c r="Q1145">
        <v>96</v>
      </c>
      <c r="R1145">
        <v>43</v>
      </c>
      <c r="S1145" s="18">
        <f t="shared" si="176"/>
        <v>9</v>
      </c>
      <c r="T1145" s="17">
        <f t="shared" si="177"/>
        <v>43</v>
      </c>
      <c r="U1145" s="17">
        <f t="shared" si="178"/>
        <v>0</v>
      </c>
      <c r="V1145" s="17">
        <f t="shared" si="179"/>
        <v>0</v>
      </c>
      <c r="W1145" s="17">
        <f t="shared" si="180"/>
        <v>0</v>
      </c>
      <c r="X1145" s="17">
        <f t="shared" si="181"/>
        <v>53</v>
      </c>
      <c r="Y1145" s="19">
        <f t="shared" si="182"/>
        <v>0</v>
      </c>
      <c r="Z1145">
        <v>70</v>
      </c>
      <c r="AA1145">
        <v>0</v>
      </c>
      <c r="AB1145">
        <v>0</v>
      </c>
      <c r="AC1145">
        <v>0</v>
      </c>
      <c r="AD1145">
        <v>85</v>
      </c>
      <c r="AE1145">
        <v>0</v>
      </c>
      <c r="AF1145">
        <v>0</v>
      </c>
      <c r="AG1145">
        <v>0</v>
      </c>
      <c r="AH1145">
        <v>85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f t="shared" si="183"/>
        <v>170</v>
      </c>
      <c r="BF1145">
        <v>155</v>
      </c>
      <c r="BG1145">
        <v>155</v>
      </c>
      <c r="BH1145" t="s">
        <v>109</v>
      </c>
      <c r="BI1145" t="s">
        <v>150</v>
      </c>
      <c r="BJ1145">
        <v>0</v>
      </c>
      <c r="BK1145">
        <v>85</v>
      </c>
      <c r="BL1145">
        <v>155</v>
      </c>
      <c r="BM1145">
        <v>472</v>
      </c>
      <c r="BN1145">
        <v>0</v>
      </c>
      <c r="BO1145">
        <v>0</v>
      </c>
      <c r="BP1145">
        <v>0</v>
      </c>
      <c r="BQ1145">
        <v>472</v>
      </c>
      <c r="BR1145">
        <f t="shared" si="184"/>
        <v>-53</v>
      </c>
      <c r="BS1145">
        <f t="shared" si="185"/>
        <v>139</v>
      </c>
    </row>
    <row r="1146" spans="1:71" x14ac:dyDescent="0.25">
      <c r="A1146" s="5" t="s">
        <v>61</v>
      </c>
      <c r="B1146" s="5" t="s">
        <v>207</v>
      </c>
      <c r="C1146" s="5" t="s">
        <v>207</v>
      </c>
      <c r="D1146" s="1" t="s">
        <v>357</v>
      </c>
      <c r="E1146">
        <v>0</v>
      </c>
      <c r="F1146">
        <v>0</v>
      </c>
      <c r="G1146">
        <v>0</v>
      </c>
      <c r="H1146">
        <v>0</v>
      </c>
      <c r="I1146">
        <v>28</v>
      </c>
      <c r="J1146">
        <v>708</v>
      </c>
      <c r="K1146">
        <v>11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54</v>
      </c>
      <c r="R1146">
        <v>0</v>
      </c>
      <c r="S1146" s="18" t="e">
        <f t="shared" si="176"/>
        <v>#DIV/0!</v>
      </c>
      <c r="T1146" s="17" t="e">
        <f t="shared" si="177"/>
        <v>#DIV/0!</v>
      </c>
      <c r="U1146" s="17" t="e">
        <f t="shared" si="178"/>
        <v>#DIV/0!</v>
      </c>
      <c r="V1146" s="17" t="e">
        <f t="shared" si="179"/>
        <v>#DIV/0!</v>
      </c>
      <c r="W1146" s="17" t="e">
        <f t="shared" si="180"/>
        <v>#DIV/0!</v>
      </c>
      <c r="X1146" s="17" t="e">
        <f t="shared" si="181"/>
        <v>#DIV/0!</v>
      </c>
      <c r="Y1146" s="19" t="e">
        <f t="shared" si="182"/>
        <v>#DIV/0!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28</v>
      </c>
      <c r="AH1146">
        <v>28</v>
      </c>
      <c r="AI1146">
        <v>0</v>
      </c>
      <c r="AJ1146">
        <v>0</v>
      </c>
      <c r="AK1146">
        <v>708</v>
      </c>
      <c r="AL1146">
        <v>708</v>
      </c>
      <c r="AM1146">
        <v>0</v>
      </c>
      <c r="AN1146">
        <v>0</v>
      </c>
      <c r="AO1146">
        <v>11</v>
      </c>
      <c r="AP1146">
        <v>0</v>
      </c>
      <c r="AQ1146">
        <v>11</v>
      </c>
      <c r="AR1146">
        <v>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f t="shared" si="183"/>
        <v>1505</v>
      </c>
      <c r="BF1146">
        <v>747</v>
      </c>
      <c r="BG1146">
        <v>747</v>
      </c>
      <c r="BH1146" t="s">
        <v>190</v>
      </c>
      <c r="BI1146" t="s">
        <v>358</v>
      </c>
      <c r="BJ1146">
        <v>0</v>
      </c>
      <c r="BK1146">
        <v>747</v>
      </c>
      <c r="BL1146">
        <v>747</v>
      </c>
      <c r="BM1146">
        <v>0</v>
      </c>
      <c r="BN1146">
        <v>0</v>
      </c>
      <c r="BO1146">
        <v>0</v>
      </c>
      <c r="BP1146">
        <v>747</v>
      </c>
      <c r="BQ1146">
        <v>747</v>
      </c>
      <c r="BR1146">
        <f t="shared" si="184"/>
        <v>-54</v>
      </c>
      <c r="BS1146">
        <f t="shared" si="185"/>
        <v>54</v>
      </c>
    </row>
    <row r="1147" spans="1:71" x14ac:dyDescent="0.25">
      <c r="A1147" s="5" t="s">
        <v>61</v>
      </c>
      <c r="B1147" s="5" t="s">
        <v>359</v>
      </c>
      <c r="C1147" s="5" t="s">
        <v>61</v>
      </c>
      <c r="D1147" s="1" t="s">
        <v>192</v>
      </c>
      <c r="E1147">
        <v>70</v>
      </c>
      <c r="F1147">
        <v>70</v>
      </c>
      <c r="G1147">
        <v>0</v>
      </c>
      <c r="H1147">
        <v>0</v>
      </c>
      <c r="I1147">
        <v>20</v>
      </c>
      <c r="J1147">
        <v>503</v>
      </c>
      <c r="K1147">
        <v>0</v>
      </c>
      <c r="L1147">
        <v>288</v>
      </c>
      <c r="M1147">
        <v>0</v>
      </c>
      <c r="N1147">
        <v>0</v>
      </c>
      <c r="O1147">
        <v>0</v>
      </c>
      <c r="P1147">
        <v>162</v>
      </c>
      <c r="Q1147">
        <v>72</v>
      </c>
      <c r="R1147">
        <v>18</v>
      </c>
      <c r="S1147" s="18">
        <f t="shared" si="176"/>
        <v>9</v>
      </c>
      <c r="T1147" s="17">
        <f t="shared" si="177"/>
        <v>0</v>
      </c>
      <c r="U1147" s="17">
        <f t="shared" si="178"/>
        <v>0</v>
      </c>
      <c r="V1147" s="17">
        <f t="shared" si="179"/>
        <v>0</v>
      </c>
      <c r="W1147" s="17">
        <f t="shared" si="180"/>
        <v>18</v>
      </c>
      <c r="X1147" s="17">
        <f t="shared" si="181"/>
        <v>54</v>
      </c>
      <c r="Y1147" s="19">
        <f t="shared" si="182"/>
        <v>0</v>
      </c>
      <c r="Z1147">
        <v>70</v>
      </c>
      <c r="AA1147">
        <v>0</v>
      </c>
      <c r="AB1147">
        <v>0</v>
      </c>
      <c r="AC1147">
        <v>230</v>
      </c>
      <c r="AD1147">
        <v>0</v>
      </c>
      <c r="AE1147">
        <v>0</v>
      </c>
      <c r="AF1147">
        <v>0</v>
      </c>
      <c r="AG1147">
        <v>20</v>
      </c>
      <c r="AH1147">
        <v>20</v>
      </c>
      <c r="AI1147">
        <v>0</v>
      </c>
      <c r="AJ1147">
        <v>0</v>
      </c>
      <c r="AK1147">
        <v>503</v>
      </c>
      <c r="AL1147">
        <v>503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288</v>
      </c>
      <c r="BA1147">
        <v>288</v>
      </c>
      <c r="BB1147">
        <v>0</v>
      </c>
      <c r="BC1147">
        <v>0</v>
      </c>
      <c r="BD1147">
        <v>0</v>
      </c>
      <c r="BE1147">
        <f t="shared" si="183"/>
        <v>1852</v>
      </c>
      <c r="BF1147">
        <v>1181</v>
      </c>
      <c r="BG1147">
        <v>1181</v>
      </c>
      <c r="BH1147" t="s">
        <v>199</v>
      </c>
      <c r="BI1147" t="s">
        <v>423</v>
      </c>
      <c r="BJ1147">
        <v>300</v>
      </c>
      <c r="BK1147">
        <v>811</v>
      </c>
      <c r="BL1147">
        <v>1181</v>
      </c>
      <c r="BM1147">
        <v>0</v>
      </c>
      <c r="BN1147">
        <v>0</v>
      </c>
      <c r="BO1147">
        <v>0</v>
      </c>
      <c r="BP1147">
        <v>973</v>
      </c>
      <c r="BQ1147">
        <v>973</v>
      </c>
      <c r="BR1147">
        <f t="shared" si="184"/>
        <v>-54</v>
      </c>
      <c r="BS1147">
        <f t="shared" si="185"/>
        <v>90</v>
      </c>
    </row>
    <row r="1148" spans="1:71" x14ac:dyDescent="0.25">
      <c r="A1148" s="5" t="s">
        <v>207</v>
      </c>
      <c r="B1148" s="5" t="s">
        <v>61</v>
      </c>
      <c r="C1148" s="5" t="s">
        <v>61</v>
      </c>
      <c r="D1148" s="1" t="s">
        <v>96</v>
      </c>
      <c r="E1148">
        <v>20</v>
      </c>
      <c r="F1148">
        <v>0</v>
      </c>
      <c r="G1148">
        <v>0</v>
      </c>
      <c r="H1148">
        <v>0</v>
      </c>
      <c r="I1148">
        <v>100</v>
      </c>
      <c r="J1148">
        <v>200</v>
      </c>
      <c r="K1148">
        <v>182</v>
      </c>
      <c r="L1148">
        <v>100</v>
      </c>
      <c r="M1148">
        <v>0</v>
      </c>
      <c r="N1148">
        <v>0</v>
      </c>
      <c r="O1148">
        <v>0</v>
      </c>
      <c r="P1148">
        <v>0</v>
      </c>
      <c r="Q1148">
        <v>54</v>
      </c>
      <c r="R1148">
        <v>0</v>
      </c>
      <c r="S1148" s="18" t="e">
        <f t="shared" si="176"/>
        <v>#DIV/0!</v>
      </c>
      <c r="T1148" s="17" t="e">
        <f t="shared" si="177"/>
        <v>#DIV/0!</v>
      </c>
      <c r="U1148" s="17" t="e">
        <f t="shared" si="178"/>
        <v>#DIV/0!</v>
      </c>
      <c r="V1148" s="17" t="e">
        <f t="shared" si="179"/>
        <v>#DIV/0!</v>
      </c>
      <c r="W1148" s="17" t="e">
        <f t="shared" si="180"/>
        <v>#DIV/0!</v>
      </c>
      <c r="X1148" s="17" t="e">
        <f t="shared" si="181"/>
        <v>#DIV/0!</v>
      </c>
      <c r="Y1148" s="19" t="e">
        <f t="shared" si="182"/>
        <v>#DIV/0!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100</v>
      </c>
      <c r="AH1148">
        <v>100</v>
      </c>
      <c r="AI1148">
        <v>0</v>
      </c>
      <c r="AJ1148">
        <v>0</v>
      </c>
      <c r="AK1148">
        <v>200</v>
      </c>
      <c r="AL1148">
        <v>200</v>
      </c>
      <c r="AM1148">
        <v>0</v>
      </c>
      <c r="AN1148">
        <v>0</v>
      </c>
      <c r="AO1148">
        <v>182</v>
      </c>
      <c r="AP1148">
        <v>14</v>
      </c>
      <c r="AQ1148">
        <v>182</v>
      </c>
      <c r="AR1148">
        <v>168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100</v>
      </c>
      <c r="BA1148">
        <v>100</v>
      </c>
      <c r="BB1148">
        <v>0</v>
      </c>
      <c r="BC1148">
        <v>0</v>
      </c>
      <c r="BD1148">
        <v>0</v>
      </c>
      <c r="BE1148">
        <f t="shared" si="183"/>
        <v>1346</v>
      </c>
      <c r="BF1148">
        <v>602</v>
      </c>
      <c r="BG1148">
        <v>602</v>
      </c>
      <c r="BH1148" t="s">
        <v>190</v>
      </c>
      <c r="BI1148" t="s">
        <v>442</v>
      </c>
      <c r="BJ1148">
        <v>20</v>
      </c>
      <c r="BK1148">
        <v>582</v>
      </c>
      <c r="BL1148">
        <v>602</v>
      </c>
      <c r="BM1148">
        <v>0</v>
      </c>
      <c r="BN1148">
        <v>0</v>
      </c>
      <c r="BO1148">
        <v>0</v>
      </c>
      <c r="BP1148">
        <v>582</v>
      </c>
      <c r="BQ1148">
        <v>582</v>
      </c>
      <c r="BR1148">
        <f t="shared" si="184"/>
        <v>-54</v>
      </c>
      <c r="BS1148">
        <f t="shared" si="185"/>
        <v>54</v>
      </c>
    </row>
    <row r="1149" spans="1:71" x14ac:dyDescent="0.25">
      <c r="A1149" s="5" t="s">
        <v>875</v>
      </c>
      <c r="B1149" s="5" t="s">
        <v>207</v>
      </c>
      <c r="C1149" s="5" t="s">
        <v>61</v>
      </c>
      <c r="D1149" s="1" t="s">
        <v>163</v>
      </c>
      <c r="E1149">
        <v>30</v>
      </c>
      <c r="F1149">
        <v>0</v>
      </c>
      <c r="G1149">
        <v>0</v>
      </c>
      <c r="H1149">
        <v>0</v>
      </c>
      <c r="I1149">
        <v>50</v>
      </c>
      <c r="J1149">
        <v>160</v>
      </c>
      <c r="K1149">
        <v>100</v>
      </c>
      <c r="L1149">
        <v>10</v>
      </c>
      <c r="M1149">
        <v>0</v>
      </c>
      <c r="N1149">
        <v>0</v>
      </c>
      <c r="O1149">
        <v>0</v>
      </c>
      <c r="P1149">
        <v>0</v>
      </c>
      <c r="Q1149">
        <v>54</v>
      </c>
      <c r="R1149">
        <v>0</v>
      </c>
      <c r="S1149" s="18" t="e">
        <f t="shared" si="176"/>
        <v>#DIV/0!</v>
      </c>
      <c r="T1149" s="17" t="e">
        <f t="shared" si="177"/>
        <v>#DIV/0!</v>
      </c>
      <c r="U1149" s="17" t="e">
        <f t="shared" si="178"/>
        <v>#DIV/0!</v>
      </c>
      <c r="V1149" s="17" t="e">
        <f t="shared" si="179"/>
        <v>#DIV/0!</v>
      </c>
      <c r="W1149" s="17" t="e">
        <f t="shared" si="180"/>
        <v>#DIV/0!</v>
      </c>
      <c r="X1149" s="17" t="e">
        <f t="shared" si="181"/>
        <v>#DIV/0!</v>
      </c>
      <c r="Y1149" s="19" t="e">
        <f t="shared" si="182"/>
        <v>#DIV/0!</v>
      </c>
      <c r="Z1149">
        <v>0</v>
      </c>
      <c r="AA1149">
        <v>0</v>
      </c>
      <c r="AB1149">
        <v>0</v>
      </c>
      <c r="AC1149">
        <v>900</v>
      </c>
      <c r="AD1149">
        <v>0</v>
      </c>
      <c r="AE1149">
        <v>0</v>
      </c>
      <c r="AF1149">
        <v>0</v>
      </c>
      <c r="AG1149">
        <v>50</v>
      </c>
      <c r="AH1149">
        <v>50</v>
      </c>
      <c r="AI1149">
        <v>0</v>
      </c>
      <c r="AJ1149">
        <v>0</v>
      </c>
      <c r="AK1149">
        <v>160</v>
      </c>
      <c r="AL1149">
        <v>160</v>
      </c>
      <c r="AM1149">
        <v>0</v>
      </c>
      <c r="AN1149">
        <v>0</v>
      </c>
      <c r="AO1149">
        <v>100</v>
      </c>
      <c r="AP1149">
        <v>65</v>
      </c>
      <c r="AQ1149">
        <v>100</v>
      </c>
      <c r="AR1149">
        <v>35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10</v>
      </c>
      <c r="BA1149">
        <v>10</v>
      </c>
      <c r="BB1149">
        <v>0</v>
      </c>
      <c r="BC1149">
        <v>0</v>
      </c>
      <c r="BD1149">
        <v>0</v>
      </c>
      <c r="BE1149">
        <f t="shared" si="183"/>
        <v>1640</v>
      </c>
      <c r="BF1149">
        <v>1250</v>
      </c>
      <c r="BG1149">
        <v>1250</v>
      </c>
      <c r="BH1149" t="s">
        <v>82</v>
      </c>
      <c r="BI1149" t="s">
        <v>1014</v>
      </c>
      <c r="BJ1149">
        <v>930</v>
      </c>
      <c r="BK1149">
        <v>320</v>
      </c>
      <c r="BL1149">
        <v>1250</v>
      </c>
      <c r="BM1149">
        <v>0</v>
      </c>
      <c r="BN1149">
        <v>0</v>
      </c>
      <c r="BO1149">
        <v>0</v>
      </c>
      <c r="BP1149">
        <v>320</v>
      </c>
      <c r="BQ1149">
        <v>320</v>
      </c>
      <c r="BR1149">
        <f t="shared" si="184"/>
        <v>-54</v>
      </c>
      <c r="BS1149">
        <f t="shared" si="185"/>
        <v>54</v>
      </c>
    </row>
    <row r="1150" spans="1:71" x14ac:dyDescent="0.25">
      <c r="A1150" s="5" t="s">
        <v>1337</v>
      </c>
      <c r="B1150" s="5" t="s">
        <v>61</v>
      </c>
      <c r="C1150" s="5" t="s">
        <v>61</v>
      </c>
      <c r="D1150" s="1" t="s">
        <v>115</v>
      </c>
      <c r="E1150">
        <v>0</v>
      </c>
      <c r="F1150">
        <v>26</v>
      </c>
      <c r="G1150">
        <v>0</v>
      </c>
      <c r="H1150">
        <v>0</v>
      </c>
      <c r="I1150">
        <v>58</v>
      </c>
      <c r="J1150">
        <v>709</v>
      </c>
      <c r="K1150">
        <v>249</v>
      </c>
      <c r="L1150">
        <v>21</v>
      </c>
      <c r="M1150">
        <v>0</v>
      </c>
      <c r="N1150">
        <v>0</v>
      </c>
      <c r="O1150">
        <v>0</v>
      </c>
      <c r="P1150">
        <v>45</v>
      </c>
      <c r="Q1150">
        <v>59</v>
      </c>
      <c r="R1150">
        <v>5</v>
      </c>
      <c r="S1150" s="18">
        <f t="shared" si="176"/>
        <v>9</v>
      </c>
      <c r="T1150" s="17">
        <f t="shared" si="177"/>
        <v>0</v>
      </c>
      <c r="U1150" s="17">
        <f t="shared" si="178"/>
        <v>0</v>
      </c>
      <c r="V1150" s="17">
        <f t="shared" si="179"/>
        <v>0</v>
      </c>
      <c r="W1150" s="17">
        <f t="shared" si="180"/>
        <v>5</v>
      </c>
      <c r="X1150" s="17">
        <f t="shared" si="181"/>
        <v>54</v>
      </c>
      <c r="Y1150" s="19">
        <f t="shared" si="182"/>
        <v>0</v>
      </c>
      <c r="Z1150">
        <v>26</v>
      </c>
      <c r="AA1150">
        <v>0</v>
      </c>
      <c r="AB1150">
        <v>0</v>
      </c>
      <c r="AC1150">
        <v>269</v>
      </c>
      <c r="AD1150">
        <v>0</v>
      </c>
      <c r="AE1150">
        <v>0</v>
      </c>
      <c r="AF1150">
        <v>0</v>
      </c>
      <c r="AG1150">
        <v>58</v>
      </c>
      <c r="AH1150">
        <v>58</v>
      </c>
      <c r="AI1150">
        <v>0</v>
      </c>
      <c r="AJ1150">
        <v>0</v>
      </c>
      <c r="AK1150">
        <v>709</v>
      </c>
      <c r="AL1150">
        <v>709</v>
      </c>
      <c r="AM1150">
        <v>0</v>
      </c>
      <c r="AN1150">
        <v>0</v>
      </c>
      <c r="AO1150">
        <v>249</v>
      </c>
      <c r="AP1150">
        <v>61</v>
      </c>
      <c r="AQ1150">
        <v>249</v>
      </c>
      <c r="AR1150">
        <v>188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21</v>
      </c>
      <c r="BA1150">
        <v>21</v>
      </c>
      <c r="BB1150">
        <v>0</v>
      </c>
      <c r="BC1150">
        <v>0</v>
      </c>
      <c r="BD1150">
        <v>0</v>
      </c>
      <c r="BE1150">
        <f t="shared" si="183"/>
        <v>2592</v>
      </c>
      <c r="BF1150">
        <v>1332</v>
      </c>
      <c r="BG1150">
        <v>1332</v>
      </c>
      <c r="BH1150" t="s">
        <v>190</v>
      </c>
      <c r="BI1150" t="s">
        <v>1361</v>
      </c>
      <c r="BJ1150">
        <v>269</v>
      </c>
      <c r="BK1150">
        <v>1037</v>
      </c>
      <c r="BL1150">
        <v>1332</v>
      </c>
      <c r="BM1150">
        <v>0</v>
      </c>
      <c r="BN1150">
        <v>0</v>
      </c>
      <c r="BO1150">
        <v>0</v>
      </c>
      <c r="BP1150">
        <v>1082</v>
      </c>
      <c r="BQ1150">
        <v>1082</v>
      </c>
      <c r="BR1150">
        <f t="shared" si="184"/>
        <v>-54</v>
      </c>
      <c r="BS1150">
        <f t="shared" si="185"/>
        <v>64</v>
      </c>
    </row>
    <row r="1151" spans="1:71" x14ac:dyDescent="0.25">
      <c r="A1151" s="5" t="s">
        <v>1451</v>
      </c>
      <c r="B1151" s="5" t="s">
        <v>61</v>
      </c>
      <c r="C1151" s="5" t="s">
        <v>627</v>
      </c>
      <c r="D1151" s="1" t="s">
        <v>81</v>
      </c>
      <c r="E1151">
        <v>0</v>
      </c>
      <c r="F1151">
        <v>5530</v>
      </c>
      <c r="G1151">
        <v>0</v>
      </c>
      <c r="H1151">
        <v>0</v>
      </c>
      <c r="I1151">
        <v>0</v>
      </c>
      <c r="J1151">
        <v>3550</v>
      </c>
      <c r="K1151">
        <v>168</v>
      </c>
      <c r="L1151">
        <v>180</v>
      </c>
      <c r="M1151">
        <v>0</v>
      </c>
      <c r="N1151">
        <v>0</v>
      </c>
      <c r="O1151">
        <v>0</v>
      </c>
      <c r="P1151">
        <v>5940</v>
      </c>
      <c r="Q1151">
        <v>714</v>
      </c>
      <c r="R1151">
        <v>660</v>
      </c>
      <c r="S1151" s="18">
        <f t="shared" si="176"/>
        <v>9</v>
      </c>
      <c r="T1151" s="17">
        <f t="shared" si="177"/>
        <v>0</v>
      </c>
      <c r="U1151" s="17">
        <f t="shared" si="178"/>
        <v>0</v>
      </c>
      <c r="V1151" s="17">
        <f t="shared" si="179"/>
        <v>0</v>
      </c>
      <c r="W1151" s="17">
        <f t="shared" si="180"/>
        <v>660</v>
      </c>
      <c r="X1151" s="17">
        <f t="shared" si="181"/>
        <v>54</v>
      </c>
      <c r="Y1151" s="19">
        <f t="shared" si="182"/>
        <v>0</v>
      </c>
      <c r="Z1151">
        <v>5530</v>
      </c>
      <c r="AA1151">
        <v>4</v>
      </c>
      <c r="AB1151">
        <v>0</v>
      </c>
      <c r="AC1151">
        <v>2854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3550</v>
      </c>
      <c r="AL1151">
        <v>3550</v>
      </c>
      <c r="AM1151">
        <v>0</v>
      </c>
      <c r="AN1151">
        <v>0</v>
      </c>
      <c r="AO1151">
        <v>168</v>
      </c>
      <c r="AP1151">
        <v>30</v>
      </c>
      <c r="AQ1151">
        <v>168</v>
      </c>
      <c r="AR1151">
        <v>138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180</v>
      </c>
      <c r="BA1151">
        <v>180</v>
      </c>
      <c r="BB1151">
        <v>0</v>
      </c>
      <c r="BC1151">
        <v>0</v>
      </c>
      <c r="BD1151">
        <v>0</v>
      </c>
      <c r="BE1151">
        <f t="shared" si="183"/>
        <v>10818</v>
      </c>
      <c r="BF1151">
        <v>12286</v>
      </c>
      <c r="BG1151">
        <v>12286</v>
      </c>
      <c r="BH1151" t="s">
        <v>82</v>
      </c>
      <c r="BI1151" t="s">
        <v>890</v>
      </c>
      <c r="BJ1151">
        <v>2858</v>
      </c>
      <c r="BK1151">
        <v>3898</v>
      </c>
      <c r="BL1151">
        <v>12286</v>
      </c>
      <c r="BM1151">
        <v>0</v>
      </c>
      <c r="BN1151">
        <v>0</v>
      </c>
      <c r="BO1151">
        <v>0</v>
      </c>
      <c r="BP1151">
        <v>9838</v>
      </c>
      <c r="BQ1151">
        <v>9838</v>
      </c>
      <c r="BR1151">
        <f t="shared" si="184"/>
        <v>-54</v>
      </c>
      <c r="BS1151">
        <f t="shared" si="185"/>
        <v>1374</v>
      </c>
    </row>
    <row r="1152" spans="1:71" x14ac:dyDescent="0.25">
      <c r="A1152" s="5" t="s">
        <v>61</v>
      </c>
      <c r="B1152" s="5" t="s">
        <v>61</v>
      </c>
      <c r="C1152" s="5" t="s">
        <v>61</v>
      </c>
      <c r="D1152" s="1" t="s">
        <v>102</v>
      </c>
      <c r="E1152">
        <v>0</v>
      </c>
      <c r="F1152">
        <v>25</v>
      </c>
      <c r="G1152">
        <v>0</v>
      </c>
      <c r="H1152">
        <v>0</v>
      </c>
      <c r="I1152">
        <v>120</v>
      </c>
      <c r="J1152">
        <v>512</v>
      </c>
      <c r="K1152">
        <v>20</v>
      </c>
      <c r="L1152">
        <v>0</v>
      </c>
      <c r="M1152">
        <v>0</v>
      </c>
      <c r="N1152">
        <v>0</v>
      </c>
      <c r="O1152">
        <v>0</v>
      </c>
      <c r="P1152">
        <v>126</v>
      </c>
      <c r="Q1152">
        <v>69</v>
      </c>
      <c r="R1152">
        <v>14</v>
      </c>
      <c r="S1152" s="18">
        <f t="shared" si="176"/>
        <v>9</v>
      </c>
      <c r="T1152" s="17">
        <f t="shared" si="177"/>
        <v>0</v>
      </c>
      <c r="U1152" s="17">
        <f t="shared" si="178"/>
        <v>0</v>
      </c>
      <c r="V1152" s="17">
        <f t="shared" si="179"/>
        <v>0</v>
      </c>
      <c r="W1152" s="17">
        <f t="shared" si="180"/>
        <v>14</v>
      </c>
      <c r="X1152" s="17">
        <f t="shared" si="181"/>
        <v>55</v>
      </c>
      <c r="Y1152" s="19">
        <f t="shared" si="182"/>
        <v>0</v>
      </c>
      <c r="Z1152">
        <v>25</v>
      </c>
      <c r="AA1152">
        <v>0</v>
      </c>
      <c r="AB1152">
        <v>0</v>
      </c>
      <c r="AC1152">
        <v>267</v>
      </c>
      <c r="AD1152">
        <v>0</v>
      </c>
      <c r="AE1152">
        <v>0</v>
      </c>
      <c r="AF1152">
        <v>0</v>
      </c>
      <c r="AG1152">
        <v>120</v>
      </c>
      <c r="AH1152">
        <v>120</v>
      </c>
      <c r="AI1152">
        <v>0</v>
      </c>
      <c r="AJ1152">
        <v>0</v>
      </c>
      <c r="AK1152">
        <v>512</v>
      </c>
      <c r="AL1152">
        <v>512</v>
      </c>
      <c r="AM1152">
        <v>0</v>
      </c>
      <c r="AN1152">
        <v>0</v>
      </c>
      <c r="AO1152">
        <v>20</v>
      </c>
      <c r="AP1152">
        <v>5</v>
      </c>
      <c r="AQ1152">
        <v>20</v>
      </c>
      <c r="AR1152">
        <v>15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f t="shared" si="183"/>
        <v>1591</v>
      </c>
      <c r="BF1152">
        <v>944</v>
      </c>
      <c r="BG1152">
        <v>944</v>
      </c>
      <c r="BH1152" t="s">
        <v>82</v>
      </c>
      <c r="BI1152" t="s">
        <v>103</v>
      </c>
      <c r="BJ1152">
        <v>267</v>
      </c>
      <c r="BK1152">
        <v>652</v>
      </c>
      <c r="BL1152">
        <v>944</v>
      </c>
      <c r="BM1152">
        <v>0</v>
      </c>
      <c r="BN1152">
        <v>0</v>
      </c>
      <c r="BO1152">
        <v>0</v>
      </c>
      <c r="BP1152">
        <v>778</v>
      </c>
      <c r="BQ1152">
        <v>778</v>
      </c>
      <c r="BR1152">
        <f t="shared" si="184"/>
        <v>-55</v>
      </c>
      <c r="BS1152">
        <f t="shared" si="185"/>
        <v>83</v>
      </c>
    </row>
    <row r="1153" spans="1:74" x14ac:dyDescent="0.25">
      <c r="A1153" s="5" t="s">
        <v>627</v>
      </c>
      <c r="B1153" s="5" t="s">
        <v>61</v>
      </c>
      <c r="C1153" s="5" t="s">
        <v>61</v>
      </c>
      <c r="D1153" s="1" t="s">
        <v>71</v>
      </c>
      <c r="E1153">
        <v>0</v>
      </c>
      <c r="F1153">
        <v>73</v>
      </c>
      <c r="G1153">
        <v>0</v>
      </c>
      <c r="H1153">
        <v>0</v>
      </c>
      <c r="I1153">
        <v>0</v>
      </c>
      <c r="J1153">
        <v>2177</v>
      </c>
      <c r="K1153">
        <v>0</v>
      </c>
      <c r="L1153">
        <v>123</v>
      </c>
      <c r="M1153">
        <v>513</v>
      </c>
      <c r="N1153">
        <v>0</v>
      </c>
      <c r="O1153">
        <v>0</v>
      </c>
      <c r="P1153">
        <v>0</v>
      </c>
      <c r="Q1153">
        <v>329</v>
      </c>
      <c r="R1153">
        <v>57</v>
      </c>
      <c r="S1153" s="18">
        <f t="shared" si="176"/>
        <v>9</v>
      </c>
      <c r="T1153" s="17">
        <f t="shared" si="177"/>
        <v>57</v>
      </c>
      <c r="U1153" s="17">
        <f t="shared" si="178"/>
        <v>0</v>
      </c>
      <c r="V1153" s="17">
        <f t="shared" si="179"/>
        <v>0</v>
      </c>
      <c r="W1153" s="17">
        <f t="shared" si="180"/>
        <v>0</v>
      </c>
      <c r="X1153" s="17">
        <f t="shared" si="181"/>
        <v>272</v>
      </c>
      <c r="Y1153" s="19">
        <f t="shared" si="182"/>
        <v>0</v>
      </c>
      <c r="Z1153">
        <v>73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2177</v>
      </c>
      <c r="AL1153">
        <v>2177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48</v>
      </c>
      <c r="AY1153">
        <v>0</v>
      </c>
      <c r="AZ1153">
        <v>75</v>
      </c>
      <c r="BA1153">
        <v>123</v>
      </c>
      <c r="BB1153">
        <v>0</v>
      </c>
      <c r="BC1153">
        <v>0</v>
      </c>
      <c r="BD1153">
        <v>0</v>
      </c>
      <c r="BE1153">
        <f t="shared" si="183"/>
        <v>4600</v>
      </c>
      <c r="BF1153">
        <v>2373</v>
      </c>
      <c r="BG1153">
        <v>2373</v>
      </c>
      <c r="BH1153" t="s">
        <v>63</v>
      </c>
      <c r="BI1153" t="s">
        <v>813</v>
      </c>
      <c r="BJ1153">
        <v>0</v>
      </c>
      <c r="BK1153">
        <v>2300</v>
      </c>
      <c r="BL1153">
        <v>2373</v>
      </c>
      <c r="BM1153">
        <v>561</v>
      </c>
      <c r="BN1153">
        <v>0</v>
      </c>
      <c r="BO1153">
        <v>0</v>
      </c>
      <c r="BP1153">
        <v>2252</v>
      </c>
      <c r="BQ1153">
        <v>2813</v>
      </c>
      <c r="BR1153">
        <f t="shared" si="184"/>
        <v>-272</v>
      </c>
      <c r="BS1153">
        <f t="shared" si="185"/>
        <v>386</v>
      </c>
      <c r="BU1153">
        <f>R1153*9</f>
        <v>513</v>
      </c>
      <c r="BV1153">
        <f>IF(BU1153&gt;BG1153, 1, 0)</f>
        <v>0</v>
      </c>
    </row>
    <row r="1154" spans="1:74" x14ac:dyDescent="0.25">
      <c r="A1154" s="5" t="s">
        <v>1017</v>
      </c>
      <c r="B1154" s="5" t="s">
        <v>61</v>
      </c>
      <c r="C1154" s="5" t="s">
        <v>61</v>
      </c>
      <c r="D1154" s="1" t="s">
        <v>90</v>
      </c>
      <c r="E1154">
        <v>0</v>
      </c>
      <c r="F1154">
        <v>0</v>
      </c>
      <c r="G1154">
        <v>0</v>
      </c>
      <c r="H1154">
        <v>0</v>
      </c>
      <c r="I1154">
        <v>98</v>
      </c>
      <c r="J1154">
        <v>600</v>
      </c>
      <c r="K1154">
        <v>270</v>
      </c>
      <c r="L1154">
        <v>40</v>
      </c>
      <c r="M1154">
        <v>0</v>
      </c>
      <c r="N1154">
        <v>0</v>
      </c>
      <c r="O1154">
        <v>0</v>
      </c>
      <c r="P1154">
        <v>0</v>
      </c>
      <c r="Q1154">
        <v>55</v>
      </c>
      <c r="R1154">
        <v>0</v>
      </c>
      <c r="S1154" s="18" t="e">
        <f t="shared" ref="S1154:S1217" si="186">(M1154+N1154+O1154+P1154)/R1154</f>
        <v>#DIV/0!</v>
      </c>
      <c r="T1154" s="17" t="e">
        <f t="shared" ref="T1154:T1217" si="187">M1154/$S1154</f>
        <v>#DIV/0!</v>
      </c>
      <c r="U1154" s="17" t="e">
        <f t="shared" ref="U1154:U1217" si="188">N1154/$S1154</f>
        <v>#DIV/0!</v>
      </c>
      <c r="V1154" s="17" t="e">
        <f t="shared" ref="V1154:V1217" si="189">O1154/$S1154</f>
        <v>#DIV/0!</v>
      </c>
      <c r="W1154" s="17" t="e">
        <f t="shared" ref="W1154:W1217" si="190">P1154/$S1154</f>
        <v>#DIV/0!</v>
      </c>
      <c r="X1154" s="17" t="e">
        <f t="shared" ref="X1154:X1217" si="191">Q1154-T1154-U1154-W1154</f>
        <v>#DIV/0!</v>
      </c>
      <c r="Y1154" s="19" t="e">
        <f t="shared" ref="Y1154:Y1217" si="192">V1154/X1154</f>
        <v>#DIV/0!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98</v>
      </c>
      <c r="AH1154">
        <v>98</v>
      </c>
      <c r="AI1154">
        <v>0</v>
      </c>
      <c r="AJ1154">
        <v>0</v>
      </c>
      <c r="AK1154">
        <v>600</v>
      </c>
      <c r="AL1154">
        <v>600</v>
      </c>
      <c r="AM1154">
        <v>0</v>
      </c>
      <c r="AN1154">
        <v>0</v>
      </c>
      <c r="AO1154">
        <v>270</v>
      </c>
      <c r="AP1154">
        <v>170</v>
      </c>
      <c r="AQ1154">
        <v>270</v>
      </c>
      <c r="AR1154">
        <v>100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40</v>
      </c>
      <c r="BA1154">
        <v>40</v>
      </c>
      <c r="BB1154">
        <v>0</v>
      </c>
      <c r="BC1154">
        <v>0</v>
      </c>
      <c r="BD1154">
        <v>0</v>
      </c>
      <c r="BE1154">
        <f t="shared" ref="BE1154:BE1217" si="193">SUM(AC1154:BD1154)</f>
        <v>2286</v>
      </c>
      <c r="BF1154">
        <v>1008</v>
      </c>
      <c r="BG1154">
        <v>1008</v>
      </c>
      <c r="BH1154" t="s">
        <v>190</v>
      </c>
      <c r="BI1154" t="s">
        <v>1030</v>
      </c>
      <c r="BJ1154">
        <v>0</v>
      </c>
      <c r="BK1154">
        <v>1008</v>
      </c>
      <c r="BL1154">
        <v>1008</v>
      </c>
      <c r="BM1154">
        <v>0</v>
      </c>
      <c r="BN1154">
        <v>0</v>
      </c>
      <c r="BO1154">
        <v>0</v>
      </c>
      <c r="BP1154">
        <v>1008</v>
      </c>
      <c r="BQ1154">
        <v>1008</v>
      </c>
      <c r="BR1154">
        <f t="shared" ref="BR1154:BR1217" si="194">R1154-Q1154</f>
        <v>-55</v>
      </c>
      <c r="BS1154">
        <f t="shared" ref="BS1154:BS1217" si="195">R1154+Q1154</f>
        <v>55</v>
      </c>
    </row>
    <row r="1155" spans="1:74" x14ac:dyDescent="0.25">
      <c r="A1155" s="5" t="s">
        <v>1661</v>
      </c>
      <c r="B1155" s="5" t="s">
        <v>359</v>
      </c>
      <c r="C1155" s="5" t="s">
        <v>359</v>
      </c>
      <c r="D1155" s="1" t="s">
        <v>67</v>
      </c>
      <c r="E1155">
        <v>0</v>
      </c>
      <c r="F1155">
        <v>75</v>
      </c>
      <c r="G1155">
        <v>0</v>
      </c>
      <c r="H1155">
        <v>0</v>
      </c>
      <c r="I1155">
        <v>2550</v>
      </c>
      <c r="J1155">
        <v>0</v>
      </c>
      <c r="K1155">
        <v>290</v>
      </c>
      <c r="L1155">
        <v>0</v>
      </c>
      <c r="M1155">
        <v>0</v>
      </c>
      <c r="N1155">
        <v>0</v>
      </c>
      <c r="O1155">
        <v>0</v>
      </c>
      <c r="P1155">
        <v>468</v>
      </c>
      <c r="Q1155">
        <v>377</v>
      </c>
      <c r="R1155">
        <v>52</v>
      </c>
      <c r="S1155" s="18">
        <f t="shared" si="186"/>
        <v>9</v>
      </c>
      <c r="T1155" s="17">
        <f t="shared" si="187"/>
        <v>0</v>
      </c>
      <c r="U1155" s="17">
        <f t="shared" si="188"/>
        <v>0</v>
      </c>
      <c r="V1155" s="17">
        <f t="shared" si="189"/>
        <v>0</v>
      </c>
      <c r="W1155" s="17">
        <f t="shared" si="190"/>
        <v>52</v>
      </c>
      <c r="X1155" s="17">
        <f t="shared" si="191"/>
        <v>325</v>
      </c>
      <c r="Y1155" s="19">
        <f t="shared" si="192"/>
        <v>0</v>
      </c>
      <c r="Z1155">
        <v>75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2550</v>
      </c>
      <c r="AH1155">
        <v>2550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290</v>
      </c>
      <c r="AP1155">
        <v>183</v>
      </c>
      <c r="AQ1155">
        <v>290</v>
      </c>
      <c r="AR1155">
        <v>107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f t="shared" si="193"/>
        <v>5970</v>
      </c>
      <c r="BF1155">
        <v>2915</v>
      </c>
      <c r="BG1155">
        <v>2915</v>
      </c>
      <c r="BH1155" t="s">
        <v>63</v>
      </c>
      <c r="BI1155" t="s">
        <v>1923</v>
      </c>
      <c r="BJ1155">
        <v>0</v>
      </c>
      <c r="BK1155">
        <v>2840</v>
      </c>
      <c r="BL1155">
        <v>2915</v>
      </c>
      <c r="BM1155">
        <v>0</v>
      </c>
      <c r="BN1155">
        <v>0</v>
      </c>
      <c r="BO1155">
        <v>0</v>
      </c>
      <c r="BP1155">
        <v>3308</v>
      </c>
      <c r="BQ1155">
        <v>3308</v>
      </c>
      <c r="BR1155">
        <f t="shared" si="194"/>
        <v>-325</v>
      </c>
      <c r="BS1155">
        <f t="shared" si="195"/>
        <v>429</v>
      </c>
      <c r="BU1155">
        <f>R1155*9</f>
        <v>468</v>
      </c>
      <c r="BV1155">
        <f>IF(BU1155&gt;BG1155, 1, 0)</f>
        <v>0</v>
      </c>
    </row>
    <row r="1156" spans="1:74" x14ac:dyDescent="0.25">
      <c r="A1156" s="5" t="s">
        <v>61</v>
      </c>
      <c r="B1156" s="5" t="s">
        <v>207</v>
      </c>
      <c r="C1156" s="5" t="s">
        <v>207</v>
      </c>
      <c r="D1156" s="1" t="s">
        <v>185</v>
      </c>
      <c r="E1156">
        <v>0</v>
      </c>
      <c r="F1156">
        <v>0</v>
      </c>
      <c r="G1156">
        <v>0</v>
      </c>
      <c r="H1156">
        <v>0</v>
      </c>
      <c r="I1156">
        <v>30</v>
      </c>
      <c r="J1156">
        <v>318</v>
      </c>
      <c r="K1156">
        <v>127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56</v>
      </c>
      <c r="R1156">
        <v>0</v>
      </c>
      <c r="S1156" s="18" t="e">
        <f t="shared" si="186"/>
        <v>#DIV/0!</v>
      </c>
      <c r="T1156" s="17" t="e">
        <f t="shared" si="187"/>
        <v>#DIV/0!</v>
      </c>
      <c r="U1156" s="17" t="e">
        <f t="shared" si="188"/>
        <v>#DIV/0!</v>
      </c>
      <c r="V1156" s="17" t="e">
        <f t="shared" si="189"/>
        <v>#DIV/0!</v>
      </c>
      <c r="W1156" s="17" t="e">
        <f t="shared" si="190"/>
        <v>#DIV/0!</v>
      </c>
      <c r="X1156" s="17" t="e">
        <f t="shared" si="191"/>
        <v>#DIV/0!</v>
      </c>
      <c r="Y1156" s="19" t="e">
        <f t="shared" si="192"/>
        <v>#DIV/0!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30</v>
      </c>
      <c r="AH1156">
        <v>30</v>
      </c>
      <c r="AI1156">
        <v>0</v>
      </c>
      <c r="AJ1156">
        <v>0</v>
      </c>
      <c r="AK1156">
        <v>318</v>
      </c>
      <c r="AL1156">
        <v>318</v>
      </c>
      <c r="AM1156">
        <v>0</v>
      </c>
      <c r="AN1156">
        <v>0</v>
      </c>
      <c r="AO1156">
        <v>127</v>
      </c>
      <c r="AP1156">
        <v>83</v>
      </c>
      <c r="AQ1156">
        <v>127</v>
      </c>
      <c r="AR1156">
        <v>44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f t="shared" si="193"/>
        <v>1077</v>
      </c>
      <c r="BF1156">
        <v>475</v>
      </c>
      <c r="BG1156">
        <v>475</v>
      </c>
      <c r="BH1156" t="s">
        <v>190</v>
      </c>
      <c r="BI1156" t="s">
        <v>339</v>
      </c>
      <c r="BJ1156">
        <v>0</v>
      </c>
      <c r="BK1156">
        <v>475</v>
      </c>
      <c r="BL1156">
        <v>475</v>
      </c>
      <c r="BM1156">
        <v>0</v>
      </c>
      <c r="BN1156">
        <v>0</v>
      </c>
      <c r="BO1156">
        <v>0</v>
      </c>
      <c r="BP1156">
        <v>475</v>
      </c>
      <c r="BQ1156">
        <v>475</v>
      </c>
      <c r="BR1156">
        <f t="shared" si="194"/>
        <v>-56</v>
      </c>
      <c r="BS1156">
        <f t="shared" si="195"/>
        <v>56</v>
      </c>
    </row>
    <row r="1157" spans="1:74" x14ac:dyDescent="0.25">
      <c r="A1157" s="5" t="s">
        <v>1017</v>
      </c>
      <c r="B1157" s="5" t="s">
        <v>61</v>
      </c>
      <c r="C1157" s="5" t="s">
        <v>61</v>
      </c>
      <c r="D1157" s="1" t="s">
        <v>75</v>
      </c>
      <c r="E1157">
        <v>0</v>
      </c>
      <c r="F1157">
        <v>0</v>
      </c>
      <c r="G1157">
        <v>0</v>
      </c>
      <c r="H1157">
        <v>0</v>
      </c>
      <c r="I1157">
        <v>340</v>
      </c>
      <c r="J1157">
        <v>111</v>
      </c>
      <c r="K1157">
        <v>45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56</v>
      </c>
      <c r="R1157">
        <v>0</v>
      </c>
      <c r="S1157" s="18" t="e">
        <f t="shared" si="186"/>
        <v>#DIV/0!</v>
      </c>
      <c r="T1157" s="17" t="e">
        <f t="shared" si="187"/>
        <v>#DIV/0!</v>
      </c>
      <c r="U1157" s="17" t="e">
        <f t="shared" si="188"/>
        <v>#DIV/0!</v>
      </c>
      <c r="V1157" s="17" t="e">
        <f t="shared" si="189"/>
        <v>#DIV/0!</v>
      </c>
      <c r="W1157" s="17" t="e">
        <f t="shared" si="190"/>
        <v>#DIV/0!</v>
      </c>
      <c r="X1157" s="17" t="e">
        <f t="shared" si="191"/>
        <v>#DIV/0!</v>
      </c>
      <c r="Y1157" s="19" t="e">
        <f t="shared" si="192"/>
        <v>#DIV/0!</v>
      </c>
      <c r="Z1157">
        <v>0</v>
      </c>
      <c r="AA1157">
        <v>0</v>
      </c>
      <c r="AB1157">
        <v>45</v>
      </c>
      <c r="AC1157">
        <v>135</v>
      </c>
      <c r="AD1157">
        <v>270</v>
      </c>
      <c r="AE1157">
        <v>0</v>
      </c>
      <c r="AF1157">
        <v>0</v>
      </c>
      <c r="AG1157">
        <v>70</v>
      </c>
      <c r="AH1157">
        <v>340</v>
      </c>
      <c r="AI1157">
        <v>0</v>
      </c>
      <c r="AJ1157">
        <v>0</v>
      </c>
      <c r="AK1157">
        <v>111</v>
      </c>
      <c r="AL1157">
        <v>111</v>
      </c>
      <c r="AM1157">
        <v>0</v>
      </c>
      <c r="AN1157">
        <v>0</v>
      </c>
      <c r="AO1157">
        <v>45</v>
      </c>
      <c r="AP1157">
        <v>25</v>
      </c>
      <c r="AQ1157">
        <v>45</v>
      </c>
      <c r="AR1157">
        <v>20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f t="shared" si="193"/>
        <v>1172</v>
      </c>
      <c r="BF1157">
        <v>676</v>
      </c>
      <c r="BG1157">
        <v>676</v>
      </c>
      <c r="BH1157" t="s">
        <v>190</v>
      </c>
      <c r="BI1157" t="s">
        <v>1023</v>
      </c>
      <c r="BJ1157">
        <v>180</v>
      </c>
      <c r="BK1157">
        <v>496</v>
      </c>
      <c r="BL1157">
        <v>676</v>
      </c>
      <c r="BM1157">
        <v>270</v>
      </c>
      <c r="BN1157">
        <v>0</v>
      </c>
      <c r="BO1157">
        <v>0</v>
      </c>
      <c r="BP1157">
        <v>226</v>
      </c>
      <c r="BQ1157">
        <v>496</v>
      </c>
      <c r="BR1157">
        <f t="shared" si="194"/>
        <v>-56</v>
      </c>
      <c r="BS1157">
        <f t="shared" si="195"/>
        <v>56</v>
      </c>
    </row>
    <row r="1158" spans="1:74" x14ac:dyDescent="0.25">
      <c r="A1158" s="5" t="s">
        <v>1451</v>
      </c>
      <c r="B1158" s="5" t="s">
        <v>359</v>
      </c>
      <c r="C1158" s="5" t="s">
        <v>61</v>
      </c>
      <c r="D1158" s="1" t="s">
        <v>79</v>
      </c>
      <c r="E1158">
        <v>0</v>
      </c>
      <c r="F1158">
        <v>60</v>
      </c>
      <c r="G1158">
        <v>0</v>
      </c>
      <c r="H1158">
        <v>0</v>
      </c>
      <c r="I1158">
        <v>1100</v>
      </c>
      <c r="J1158">
        <v>4050</v>
      </c>
      <c r="K1158">
        <v>1007</v>
      </c>
      <c r="L1158">
        <v>182</v>
      </c>
      <c r="M1158">
        <v>0</v>
      </c>
      <c r="N1158">
        <v>0</v>
      </c>
      <c r="O1158">
        <v>0</v>
      </c>
      <c r="P1158">
        <v>405</v>
      </c>
      <c r="Q1158">
        <v>545</v>
      </c>
      <c r="R1158">
        <v>45</v>
      </c>
      <c r="S1158" s="18">
        <f t="shared" si="186"/>
        <v>9</v>
      </c>
      <c r="T1158" s="17">
        <f t="shared" si="187"/>
        <v>0</v>
      </c>
      <c r="U1158" s="17">
        <f t="shared" si="188"/>
        <v>0</v>
      </c>
      <c r="V1158" s="17">
        <f t="shared" si="189"/>
        <v>0</v>
      </c>
      <c r="W1158" s="17">
        <f t="shared" si="190"/>
        <v>45</v>
      </c>
      <c r="X1158" s="17">
        <f t="shared" si="191"/>
        <v>500</v>
      </c>
      <c r="Y1158" s="19">
        <f t="shared" si="192"/>
        <v>0</v>
      </c>
      <c r="Z1158">
        <v>60</v>
      </c>
      <c r="AA1158">
        <v>0</v>
      </c>
      <c r="AB1158">
        <v>0</v>
      </c>
      <c r="AC1158">
        <v>375</v>
      </c>
      <c r="AD1158">
        <v>610</v>
      </c>
      <c r="AE1158">
        <v>0</v>
      </c>
      <c r="AF1158">
        <v>0</v>
      </c>
      <c r="AG1158">
        <v>490</v>
      </c>
      <c r="AH1158">
        <v>1100</v>
      </c>
      <c r="AI1158">
        <v>380</v>
      </c>
      <c r="AJ1158">
        <v>0</v>
      </c>
      <c r="AK1158">
        <v>3670</v>
      </c>
      <c r="AL1158">
        <v>4050</v>
      </c>
      <c r="AM1158">
        <v>0</v>
      </c>
      <c r="AN1158">
        <v>0</v>
      </c>
      <c r="AO1158">
        <v>1007</v>
      </c>
      <c r="AP1158">
        <v>473</v>
      </c>
      <c r="AQ1158">
        <v>1007</v>
      </c>
      <c r="AR1158">
        <v>534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182</v>
      </c>
      <c r="BA1158">
        <v>182</v>
      </c>
      <c r="BB1158">
        <v>0</v>
      </c>
      <c r="BC1158">
        <v>0</v>
      </c>
      <c r="BD1158">
        <v>0</v>
      </c>
      <c r="BE1158">
        <f t="shared" si="193"/>
        <v>14060</v>
      </c>
      <c r="BF1158">
        <v>7254</v>
      </c>
      <c r="BG1158">
        <v>7254</v>
      </c>
      <c r="BH1158" t="s">
        <v>63</v>
      </c>
      <c r="BI1158" t="s">
        <v>1609</v>
      </c>
      <c r="BJ1158">
        <v>375</v>
      </c>
      <c r="BK1158">
        <v>6339</v>
      </c>
      <c r="BL1158">
        <v>6774</v>
      </c>
      <c r="BM1158">
        <v>990</v>
      </c>
      <c r="BN1158">
        <v>0</v>
      </c>
      <c r="BO1158">
        <v>0</v>
      </c>
      <c r="BP1158">
        <v>5754</v>
      </c>
      <c r="BQ1158">
        <v>6744</v>
      </c>
      <c r="BR1158">
        <f t="shared" si="194"/>
        <v>-500</v>
      </c>
      <c r="BS1158">
        <f t="shared" si="195"/>
        <v>590</v>
      </c>
      <c r="BU1158">
        <f>R1158*9</f>
        <v>405</v>
      </c>
      <c r="BV1158">
        <f>IF(BU1158&gt;BG1158, 1, 0)</f>
        <v>0</v>
      </c>
    </row>
    <row r="1159" spans="1:74" x14ac:dyDescent="0.25">
      <c r="A1159" s="5" t="s">
        <v>2090</v>
      </c>
      <c r="B1159" s="5" t="s">
        <v>207</v>
      </c>
      <c r="C1159" s="5" t="s">
        <v>61</v>
      </c>
      <c r="D1159" s="1" t="s">
        <v>163</v>
      </c>
      <c r="E1159">
        <v>0</v>
      </c>
      <c r="F1159">
        <v>61</v>
      </c>
      <c r="G1159">
        <v>0</v>
      </c>
      <c r="H1159">
        <v>0</v>
      </c>
      <c r="I1159">
        <v>102</v>
      </c>
      <c r="J1159">
        <v>294</v>
      </c>
      <c r="K1159">
        <v>25</v>
      </c>
      <c r="L1159">
        <v>6</v>
      </c>
      <c r="M1159">
        <v>0</v>
      </c>
      <c r="N1159">
        <v>0</v>
      </c>
      <c r="O1159">
        <v>0</v>
      </c>
      <c r="P1159">
        <v>90</v>
      </c>
      <c r="Q1159">
        <v>66</v>
      </c>
      <c r="R1159">
        <v>10</v>
      </c>
      <c r="S1159" s="18">
        <f t="shared" si="186"/>
        <v>9</v>
      </c>
      <c r="T1159" s="17">
        <f t="shared" si="187"/>
        <v>0</v>
      </c>
      <c r="U1159" s="17">
        <f t="shared" si="188"/>
        <v>0</v>
      </c>
      <c r="V1159" s="17">
        <f t="shared" si="189"/>
        <v>0</v>
      </c>
      <c r="W1159" s="17">
        <f t="shared" si="190"/>
        <v>10</v>
      </c>
      <c r="X1159" s="17">
        <f t="shared" si="191"/>
        <v>56</v>
      </c>
      <c r="Y1159" s="19">
        <f t="shared" si="192"/>
        <v>0</v>
      </c>
      <c r="Z1159">
        <v>61</v>
      </c>
      <c r="AA1159">
        <v>0</v>
      </c>
      <c r="AB1159">
        <v>85</v>
      </c>
      <c r="AC1159">
        <v>1314</v>
      </c>
      <c r="AD1159">
        <v>0</v>
      </c>
      <c r="AE1159">
        <v>0</v>
      </c>
      <c r="AF1159">
        <v>0</v>
      </c>
      <c r="AG1159">
        <v>102</v>
      </c>
      <c r="AH1159">
        <v>102</v>
      </c>
      <c r="AI1159">
        <v>0</v>
      </c>
      <c r="AJ1159">
        <v>0</v>
      </c>
      <c r="AK1159">
        <v>294</v>
      </c>
      <c r="AL1159">
        <v>294</v>
      </c>
      <c r="AM1159">
        <v>0</v>
      </c>
      <c r="AN1159">
        <v>0</v>
      </c>
      <c r="AO1159">
        <v>25</v>
      </c>
      <c r="AP1159">
        <v>2</v>
      </c>
      <c r="AQ1159">
        <v>25</v>
      </c>
      <c r="AR1159">
        <v>23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6</v>
      </c>
      <c r="BA1159">
        <v>6</v>
      </c>
      <c r="BB1159">
        <v>0</v>
      </c>
      <c r="BC1159">
        <v>0</v>
      </c>
      <c r="BD1159">
        <v>0</v>
      </c>
      <c r="BE1159">
        <f t="shared" si="193"/>
        <v>2193</v>
      </c>
      <c r="BF1159">
        <v>1887</v>
      </c>
      <c r="BG1159">
        <v>1887</v>
      </c>
      <c r="BH1159" t="s">
        <v>190</v>
      </c>
      <c r="BI1159" t="s">
        <v>2260</v>
      </c>
      <c r="BJ1159">
        <v>1399</v>
      </c>
      <c r="BK1159">
        <v>427</v>
      </c>
      <c r="BL1159">
        <v>1887</v>
      </c>
      <c r="BM1159">
        <v>0</v>
      </c>
      <c r="BN1159">
        <v>0</v>
      </c>
      <c r="BO1159">
        <v>0</v>
      </c>
      <c r="BP1159">
        <v>517</v>
      </c>
      <c r="BQ1159">
        <v>517</v>
      </c>
      <c r="BR1159">
        <f t="shared" si="194"/>
        <v>-56</v>
      </c>
      <c r="BS1159">
        <f t="shared" si="195"/>
        <v>76</v>
      </c>
    </row>
    <row r="1160" spans="1:74" x14ac:dyDescent="0.25">
      <c r="A1160" s="5" t="s">
        <v>61</v>
      </c>
      <c r="B1160" s="5" t="s">
        <v>61</v>
      </c>
      <c r="C1160" s="5" t="s">
        <v>61</v>
      </c>
      <c r="D1160" s="1" t="s">
        <v>177</v>
      </c>
      <c r="E1160">
        <v>0</v>
      </c>
      <c r="F1160">
        <v>60</v>
      </c>
      <c r="G1160">
        <v>0</v>
      </c>
      <c r="H1160">
        <v>0</v>
      </c>
      <c r="I1160">
        <v>182</v>
      </c>
      <c r="J1160">
        <v>0</v>
      </c>
      <c r="K1160">
        <v>100</v>
      </c>
      <c r="L1160">
        <v>0</v>
      </c>
      <c r="M1160">
        <v>360</v>
      </c>
      <c r="N1160">
        <v>0</v>
      </c>
      <c r="O1160">
        <v>0</v>
      </c>
      <c r="P1160">
        <v>0</v>
      </c>
      <c r="Q1160">
        <v>97</v>
      </c>
      <c r="R1160">
        <v>40</v>
      </c>
      <c r="S1160" s="18">
        <f t="shared" si="186"/>
        <v>9</v>
      </c>
      <c r="T1160" s="17">
        <f t="shared" si="187"/>
        <v>40</v>
      </c>
      <c r="U1160" s="17">
        <f t="shared" si="188"/>
        <v>0</v>
      </c>
      <c r="V1160" s="17">
        <f t="shared" si="189"/>
        <v>0</v>
      </c>
      <c r="W1160" s="17">
        <f t="shared" si="190"/>
        <v>0</v>
      </c>
      <c r="X1160" s="17">
        <f t="shared" si="191"/>
        <v>57</v>
      </c>
      <c r="Y1160" s="19">
        <f t="shared" si="192"/>
        <v>0</v>
      </c>
      <c r="Z1160">
        <v>60</v>
      </c>
      <c r="AA1160">
        <v>0</v>
      </c>
      <c r="AB1160">
        <v>0</v>
      </c>
      <c r="AC1160">
        <v>0</v>
      </c>
      <c r="AD1160">
        <v>182</v>
      </c>
      <c r="AE1160">
        <v>0</v>
      </c>
      <c r="AF1160">
        <v>0</v>
      </c>
      <c r="AG1160">
        <v>0</v>
      </c>
      <c r="AH1160">
        <v>182</v>
      </c>
      <c r="AI1160">
        <v>0</v>
      </c>
      <c r="AJ1160">
        <v>0</v>
      </c>
      <c r="AK1160">
        <v>0</v>
      </c>
      <c r="AL1160">
        <v>0</v>
      </c>
      <c r="AM1160">
        <v>100</v>
      </c>
      <c r="AN1160">
        <v>0</v>
      </c>
      <c r="AO1160">
        <v>0</v>
      </c>
      <c r="AP1160">
        <v>20</v>
      </c>
      <c r="AQ1160">
        <v>100</v>
      </c>
      <c r="AR1160">
        <v>80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f t="shared" si="193"/>
        <v>664</v>
      </c>
      <c r="BF1160">
        <v>342</v>
      </c>
      <c r="BG1160">
        <v>342</v>
      </c>
      <c r="BH1160" t="s">
        <v>109</v>
      </c>
      <c r="BI1160" t="s">
        <v>178</v>
      </c>
      <c r="BJ1160">
        <v>0</v>
      </c>
      <c r="BK1160">
        <v>282</v>
      </c>
      <c r="BL1160">
        <v>342</v>
      </c>
      <c r="BM1160">
        <v>642</v>
      </c>
      <c r="BN1160">
        <v>0</v>
      </c>
      <c r="BO1160">
        <v>0</v>
      </c>
      <c r="BP1160">
        <v>0</v>
      </c>
      <c r="BQ1160">
        <v>642</v>
      </c>
      <c r="BR1160">
        <f t="shared" si="194"/>
        <v>-57</v>
      </c>
      <c r="BS1160">
        <f t="shared" si="195"/>
        <v>137</v>
      </c>
    </row>
    <row r="1161" spans="1:74" x14ac:dyDescent="0.25">
      <c r="A1161" s="5" t="s">
        <v>875</v>
      </c>
      <c r="B1161" s="5" t="s">
        <v>61</v>
      </c>
      <c r="C1161" s="5" t="s">
        <v>207</v>
      </c>
      <c r="D1161" s="1" t="s">
        <v>194</v>
      </c>
      <c r="E1161">
        <v>0</v>
      </c>
      <c r="F1161">
        <v>0</v>
      </c>
      <c r="G1161">
        <v>0</v>
      </c>
      <c r="H1161">
        <v>0</v>
      </c>
      <c r="I1161">
        <v>55</v>
      </c>
      <c r="J1161">
        <v>1180</v>
      </c>
      <c r="K1161">
        <v>140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57</v>
      </c>
      <c r="R1161">
        <v>0</v>
      </c>
      <c r="S1161" s="18" t="e">
        <f t="shared" si="186"/>
        <v>#DIV/0!</v>
      </c>
      <c r="T1161" s="17" t="e">
        <f t="shared" si="187"/>
        <v>#DIV/0!</v>
      </c>
      <c r="U1161" s="17" t="e">
        <f t="shared" si="188"/>
        <v>#DIV/0!</v>
      </c>
      <c r="V1161" s="17" t="e">
        <f t="shared" si="189"/>
        <v>#DIV/0!</v>
      </c>
      <c r="W1161" s="17" t="e">
        <f t="shared" si="190"/>
        <v>#DIV/0!</v>
      </c>
      <c r="X1161" s="17" t="e">
        <f t="shared" si="191"/>
        <v>#DIV/0!</v>
      </c>
      <c r="Y1161" s="19" t="e">
        <f t="shared" si="192"/>
        <v>#DIV/0!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55</v>
      </c>
      <c r="AH1161">
        <v>55</v>
      </c>
      <c r="AI1161">
        <v>0</v>
      </c>
      <c r="AJ1161">
        <v>0</v>
      </c>
      <c r="AK1161">
        <v>1180</v>
      </c>
      <c r="AL1161">
        <v>1180</v>
      </c>
      <c r="AM1161">
        <v>0</v>
      </c>
      <c r="AN1161">
        <v>0</v>
      </c>
      <c r="AO1161">
        <v>140</v>
      </c>
      <c r="AP1161">
        <v>65</v>
      </c>
      <c r="AQ1161">
        <v>140</v>
      </c>
      <c r="AR1161">
        <v>75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f t="shared" si="193"/>
        <v>2890</v>
      </c>
      <c r="BF1161">
        <v>1375</v>
      </c>
      <c r="BG1161">
        <v>1375</v>
      </c>
      <c r="BH1161" t="s">
        <v>190</v>
      </c>
      <c r="BI1161" t="s">
        <v>936</v>
      </c>
      <c r="BJ1161">
        <v>0</v>
      </c>
      <c r="BK1161">
        <v>1375</v>
      </c>
      <c r="BL1161">
        <v>1375</v>
      </c>
      <c r="BM1161">
        <v>0</v>
      </c>
      <c r="BN1161">
        <v>0</v>
      </c>
      <c r="BO1161">
        <v>0</v>
      </c>
      <c r="BP1161">
        <v>1375</v>
      </c>
      <c r="BQ1161">
        <v>1375</v>
      </c>
      <c r="BR1161">
        <f t="shared" si="194"/>
        <v>-57</v>
      </c>
      <c r="BS1161">
        <f t="shared" si="195"/>
        <v>57</v>
      </c>
    </row>
    <row r="1162" spans="1:74" x14ac:dyDescent="0.25">
      <c r="A1162" s="5" t="s">
        <v>1451</v>
      </c>
      <c r="B1162" s="5" t="s">
        <v>61</v>
      </c>
      <c r="C1162" s="5" t="s">
        <v>359</v>
      </c>
      <c r="D1162" s="1" t="s">
        <v>62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3969</v>
      </c>
      <c r="N1162">
        <v>0</v>
      </c>
      <c r="O1162">
        <v>0</v>
      </c>
      <c r="P1162">
        <v>9459</v>
      </c>
      <c r="Q1162">
        <v>1549</v>
      </c>
      <c r="R1162">
        <v>1492</v>
      </c>
      <c r="S1162" s="18">
        <f t="shared" si="186"/>
        <v>9</v>
      </c>
      <c r="T1162" s="17">
        <f t="shared" si="187"/>
        <v>441</v>
      </c>
      <c r="U1162" s="17">
        <f t="shared" si="188"/>
        <v>0</v>
      </c>
      <c r="V1162" s="17">
        <f t="shared" si="189"/>
        <v>0</v>
      </c>
      <c r="W1162" s="17">
        <f t="shared" si="190"/>
        <v>1051</v>
      </c>
      <c r="X1162" s="17">
        <f t="shared" si="191"/>
        <v>57</v>
      </c>
      <c r="Y1162" s="19">
        <f t="shared" si="192"/>
        <v>0</v>
      </c>
      <c r="Z1162">
        <v>25408</v>
      </c>
      <c r="AA1162">
        <v>0</v>
      </c>
      <c r="AB1162">
        <v>0</v>
      </c>
      <c r="AC1162">
        <v>2890</v>
      </c>
      <c r="AD1162">
        <v>76</v>
      </c>
      <c r="AE1162">
        <v>0</v>
      </c>
      <c r="AF1162">
        <v>0</v>
      </c>
      <c r="AG1162">
        <v>0</v>
      </c>
      <c r="AH1162">
        <v>76</v>
      </c>
      <c r="AI1162">
        <v>0</v>
      </c>
      <c r="AJ1162">
        <v>0</v>
      </c>
      <c r="AK1162">
        <v>1777</v>
      </c>
      <c r="AL1162">
        <v>1777</v>
      </c>
      <c r="AM1162">
        <v>0</v>
      </c>
      <c r="AN1162">
        <v>0</v>
      </c>
      <c r="AO1162">
        <v>399</v>
      </c>
      <c r="AP1162">
        <v>399</v>
      </c>
      <c r="AQ1162">
        <v>399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40</v>
      </c>
      <c r="BA1162">
        <v>40</v>
      </c>
      <c r="BB1162">
        <v>0</v>
      </c>
      <c r="BC1162">
        <v>0</v>
      </c>
      <c r="BD1162">
        <v>0</v>
      </c>
      <c r="BE1162">
        <f t="shared" si="193"/>
        <v>7873</v>
      </c>
      <c r="BF1162">
        <v>28540</v>
      </c>
      <c r="BG1162">
        <v>28540</v>
      </c>
      <c r="BH1162" t="s">
        <v>546</v>
      </c>
      <c r="BI1162" t="s">
        <v>1305</v>
      </c>
      <c r="BJ1162">
        <v>2890</v>
      </c>
      <c r="BK1162">
        <v>2292</v>
      </c>
      <c r="BL1162">
        <v>30590</v>
      </c>
      <c r="BM1162">
        <v>4045</v>
      </c>
      <c r="BN1162">
        <v>0</v>
      </c>
      <c r="BO1162">
        <v>0</v>
      </c>
      <c r="BP1162">
        <v>11675</v>
      </c>
      <c r="BQ1162">
        <v>15720</v>
      </c>
      <c r="BR1162">
        <f t="shared" si="194"/>
        <v>-57</v>
      </c>
      <c r="BS1162">
        <f t="shared" si="195"/>
        <v>3041</v>
      </c>
    </row>
    <row r="1163" spans="1:74" x14ac:dyDescent="0.25">
      <c r="A1163" s="5" t="s">
        <v>1946</v>
      </c>
      <c r="B1163" s="5" t="s">
        <v>207</v>
      </c>
      <c r="C1163" s="6" t="s">
        <v>207</v>
      </c>
      <c r="D1163" s="1" t="s">
        <v>67</v>
      </c>
      <c r="E1163">
        <v>0</v>
      </c>
      <c r="F1163">
        <v>680</v>
      </c>
      <c r="G1163">
        <v>0</v>
      </c>
      <c r="H1163">
        <v>0</v>
      </c>
      <c r="I1163">
        <v>986</v>
      </c>
      <c r="J1163">
        <v>1991</v>
      </c>
      <c r="K1163">
        <v>25</v>
      </c>
      <c r="L1163">
        <v>0</v>
      </c>
      <c r="M1163">
        <v>0</v>
      </c>
      <c r="N1163">
        <v>0</v>
      </c>
      <c r="O1163">
        <v>0</v>
      </c>
      <c r="P1163">
        <v>387</v>
      </c>
      <c r="Q1163">
        <v>153</v>
      </c>
      <c r="R1163">
        <v>43</v>
      </c>
      <c r="S1163" s="18">
        <f t="shared" si="186"/>
        <v>9</v>
      </c>
      <c r="T1163" s="17">
        <f t="shared" si="187"/>
        <v>0</v>
      </c>
      <c r="U1163" s="17">
        <f t="shared" si="188"/>
        <v>0</v>
      </c>
      <c r="V1163" s="17">
        <f t="shared" si="189"/>
        <v>0</v>
      </c>
      <c r="W1163" s="17">
        <f t="shared" si="190"/>
        <v>43</v>
      </c>
      <c r="X1163" s="17">
        <f t="shared" si="191"/>
        <v>110</v>
      </c>
      <c r="Y1163" s="19">
        <f t="shared" si="192"/>
        <v>0</v>
      </c>
      <c r="Z1163">
        <v>680</v>
      </c>
      <c r="AA1163">
        <v>0</v>
      </c>
      <c r="AB1163">
        <v>0</v>
      </c>
      <c r="AC1163">
        <v>140</v>
      </c>
      <c r="AD1163">
        <v>0</v>
      </c>
      <c r="AE1163">
        <v>0</v>
      </c>
      <c r="AF1163">
        <v>0</v>
      </c>
      <c r="AG1163">
        <v>986</v>
      </c>
      <c r="AH1163">
        <v>986</v>
      </c>
      <c r="AI1163">
        <v>0</v>
      </c>
      <c r="AJ1163">
        <v>0</v>
      </c>
      <c r="AK1163">
        <v>1991</v>
      </c>
      <c r="AL1163">
        <v>1991</v>
      </c>
      <c r="AM1163">
        <v>0</v>
      </c>
      <c r="AN1163">
        <v>0</v>
      </c>
      <c r="AO1163">
        <v>25</v>
      </c>
      <c r="AP1163">
        <v>25</v>
      </c>
      <c r="AQ1163">
        <v>25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f t="shared" si="193"/>
        <v>6169</v>
      </c>
      <c r="BF1163">
        <v>3822</v>
      </c>
      <c r="BG1163">
        <v>3822</v>
      </c>
      <c r="BH1163" t="s">
        <v>63</v>
      </c>
      <c r="BI1163" t="s">
        <v>2043</v>
      </c>
      <c r="BJ1163">
        <v>140</v>
      </c>
      <c r="BK1163">
        <v>3002</v>
      </c>
      <c r="BL1163">
        <v>3822</v>
      </c>
      <c r="BM1163">
        <v>0</v>
      </c>
      <c r="BN1163">
        <v>0</v>
      </c>
      <c r="BO1163">
        <v>0</v>
      </c>
      <c r="BP1163">
        <v>3389</v>
      </c>
      <c r="BQ1163">
        <v>3389</v>
      </c>
      <c r="BR1163">
        <f t="shared" si="194"/>
        <v>-110</v>
      </c>
      <c r="BS1163">
        <f t="shared" si="195"/>
        <v>196</v>
      </c>
      <c r="BU1163">
        <f>R1163*9</f>
        <v>387</v>
      </c>
      <c r="BV1163">
        <f>IF(BU1163&gt;BG1163, 1, 0)</f>
        <v>0</v>
      </c>
    </row>
    <row r="1164" spans="1:74" x14ac:dyDescent="0.25">
      <c r="A1164" s="5" t="s">
        <v>1337</v>
      </c>
      <c r="B1164" s="5" t="s">
        <v>61</v>
      </c>
      <c r="C1164" s="7" t="s">
        <v>61</v>
      </c>
      <c r="D1164" s="1" t="s">
        <v>73</v>
      </c>
      <c r="E1164">
        <v>22.5</v>
      </c>
      <c r="F1164">
        <v>14</v>
      </c>
      <c r="G1164">
        <v>0</v>
      </c>
      <c r="H1164">
        <v>0</v>
      </c>
      <c r="I1164">
        <v>52</v>
      </c>
      <c r="J1164">
        <v>278</v>
      </c>
      <c r="K1164">
        <v>150</v>
      </c>
      <c r="L1164">
        <v>41</v>
      </c>
      <c r="M1164">
        <v>0</v>
      </c>
      <c r="N1164">
        <v>0</v>
      </c>
      <c r="O1164">
        <v>0</v>
      </c>
      <c r="P1164">
        <v>81</v>
      </c>
      <c r="Q1164">
        <v>67</v>
      </c>
      <c r="R1164">
        <v>9</v>
      </c>
      <c r="S1164" s="18">
        <f t="shared" si="186"/>
        <v>9</v>
      </c>
      <c r="T1164" s="17">
        <f t="shared" si="187"/>
        <v>0</v>
      </c>
      <c r="U1164" s="17">
        <f t="shared" si="188"/>
        <v>0</v>
      </c>
      <c r="V1164" s="17">
        <f t="shared" si="189"/>
        <v>0</v>
      </c>
      <c r="W1164" s="17">
        <f t="shared" si="190"/>
        <v>9</v>
      </c>
      <c r="X1164" s="17">
        <f t="shared" si="191"/>
        <v>58</v>
      </c>
      <c r="Y1164" s="19">
        <f t="shared" si="192"/>
        <v>0</v>
      </c>
      <c r="Z1164">
        <v>14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52</v>
      </c>
      <c r="AH1164">
        <v>52</v>
      </c>
      <c r="AI1164">
        <v>0</v>
      </c>
      <c r="AJ1164">
        <v>0</v>
      </c>
      <c r="AK1164">
        <v>278</v>
      </c>
      <c r="AL1164">
        <v>278</v>
      </c>
      <c r="AM1164">
        <v>0</v>
      </c>
      <c r="AN1164">
        <v>0</v>
      </c>
      <c r="AO1164">
        <v>150</v>
      </c>
      <c r="AP1164">
        <v>87</v>
      </c>
      <c r="AQ1164">
        <v>150</v>
      </c>
      <c r="AR1164">
        <v>63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41</v>
      </c>
      <c r="BA1164">
        <v>41</v>
      </c>
      <c r="BB1164">
        <v>0</v>
      </c>
      <c r="BC1164">
        <v>0</v>
      </c>
      <c r="BD1164">
        <v>0</v>
      </c>
      <c r="BE1164">
        <f t="shared" si="193"/>
        <v>1192</v>
      </c>
      <c r="BF1164">
        <v>557.5</v>
      </c>
      <c r="BG1164">
        <v>557.5</v>
      </c>
      <c r="BH1164" t="s">
        <v>82</v>
      </c>
      <c r="BI1164" t="s">
        <v>1343</v>
      </c>
      <c r="BJ1164">
        <v>22.5</v>
      </c>
      <c r="BK1164">
        <v>521</v>
      </c>
      <c r="BL1164">
        <v>557.5</v>
      </c>
      <c r="BM1164">
        <v>0</v>
      </c>
      <c r="BN1164">
        <v>0</v>
      </c>
      <c r="BO1164">
        <v>0</v>
      </c>
      <c r="BP1164">
        <v>602</v>
      </c>
      <c r="BQ1164">
        <v>602</v>
      </c>
      <c r="BR1164">
        <f t="shared" si="194"/>
        <v>-58</v>
      </c>
      <c r="BS1164">
        <f t="shared" si="195"/>
        <v>76</v>
      </c>
    </row>
    <row r="1165" spans="1:74" x14ac:dyDescent="0.25">
      <c r="A1165" s="5" t="s">
        <v>61</v>
      </c>
      <c r="B1165" s="5" t="s">
        <v>207</v>
      </c>
      <c r="C1165" s="5" t="s">
        <v>61</v>
      </c>
      <c r="D1165" s="1" t="s">
        <v>143</v>
      </c>
      <c r="E1165">
        <v>0</v>
      </c>
      <c r="F1165">
        <v>112</v>
      </c>
      <c r="G1165">
        <v>0</v>
      </c>
      <c r="H1165">
        <v>0</v>
      </c>
      <c r="I1165">
        <v>103</v>
      </c>
      <c r="J1165">
        <v>0</v>
      </c>
      <c r="K1165">
        <v>0</v>
      </c>
      <c r="L1165">
        <v>0</v>
      </c>
      <c r="M1165">
        <v>774</v>
      </c>
      <c r="N1165">
        <v>0</v>
      </c>
      <c r="O1165">
        <v>0</v>
      </c>
      <c r="P1165">
        <v>0</v>
      </c>
      <c r="Q1165">
        <v>145</v>
      </c>
      <c r="R1165">
        <v>86</v>
      </c>
      <c r="S1165" s="18">
        <f t="shared" si="186"/>
        <v>9</v>
      </c>
      <c r="T1165" s="17">
        <f t="shared" si="187"/>
        <v>86</v>
      </c>
      <c r="U1165" s="17">
        <f t="shared" si="188"/>
        <v>0</v>
      </c>
      <c r="V1165" s="17">
        <f t="shared" si="189"/>
        <v>0</v>
      </c>
      <c r="W1165" s="17">
        <f t="shared" si="190"/>
        <v>0</v>
      </c>
      <c r="X1165" s="17">
        <f t="shared" si="191"/>
        <v>59</v>
      </c>
      <c r="Y1165" s="19">
        <f t="shared" si="192"/>
        <v>0</v>
      </c>
      <c r="Z1165">
        <v>112</v>
      </c>
      <c r="AA1165">
        <v>0</v>
      </c>
      <c r="AB1165">
        <v>0</v>
      </c>
      <c r="AC1165">
        <v>0</v>
      </c>
      <c r="AD1165">
        <v>103</v>
      </c>
      <c r="AE1165">
        <v>0</v>
      </c>
      <c r="AF1165">
        <v>0</v>
      </c>
      <c r="AG1165">
        <v>0</v>
      </c>
      <c r="AH1165">
        <v>103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f t="shared" si="193"/>
        <v>206</v>
      </c>
      <c r="BF1165">
        <v>215</v>
      </c>
      <c r="BG1165">
        <v>215</v>
      </c>
      <c r="BH1165" t="s">
        <v>109</v>
      </c>
      <c r="BI1165" t="s">
        <v>248</v>
      </c>
      <c r="BJ1165">
        <v>0</v>
      </c>
      <c r="BK1165">
        <v>103</v>
      </c>
      <c r="BL1165">
        <v>215</v>
      </c>
      <c r="BM1165">
        <v>877</v>
      </c>
      <c r="BN1165">
        <v>0</v>
      </c>
      <c r="BO1165">
        <v>0</v>
      </c>
      <c r="BP1165">
        <v>0</v>
      </c>
      <c r="BQ1165">
        <v>877</v>
      </c>
      <c r="BR1165">
        <f t="shared" si="194"/>
        <v>-59</v>
      </c>
      <c r="BS1165">
        <f t="shared" si="195"/>
        <v>231</v>
      </c>
    </row>
    <row r="1166" spans="1:74" x14ac:dyDescent="0.25">
      <c r="A1166" s="5" t="s">
        <v>61</v>
      </c>
      <c r="B1166" s="5" t="s">
        <v>207</v>
      </c>
      <c r="C1166" s="5" t="s">
        <v>207</v>
      </c>
      <c r="D1166" s="1" t="s">
        <v>157</v>
      </c>
      <c r="E1166">
        <v>0</v>
      </c>
      <c r="F1166">
        <v>15</v>
      </c>
      <c r="G1166">
        <v>0</v>
      </c>
      <c r="H1166">
        <v>0</v>
      </c>
      <c r="I1166">
        <v>107</v>
      </c>
      <c r="J1166">
        <v>0</v>
      </c>
      <c r="K1166">
        <v>0</v>
      </c>
      <c r="L1166">
        <v>0</v>
      </c>
      <c r="M1166">
        <v>135</v>
      </c>
      <c r="N1166">
        <v>0</v>
      </c>
      <c r="O1166">
        <v>0</v>
      </c>
      <c r="P1166">
        <v>0</v>
      </c>
      <c r="Q1166">
        <v>74</v>
      </c>
      <c r="R1166">
        <v>15</v>
      </c>
      <c r="S1166" s="18">
        <f t="shared" si="186"/>
        <v>9</v>
      </c>
      <c r="T1166" s="17">
        <f t="shared" si="187"/>
        <v>15</v>
      </c>
      <c r="U1166" s="17">
        <f t="shared" si="188"/>
        <v>0</v>
      </c>
      <c r="V1166" s="17">
        <f t="shared" si="189"/>
        <v>0</v>
      </c>
      <c r="W1166" s="17">
        <f t="shared" si="190"/>
        <v>0</v>
      </c>
      <c r="X1166" s="17">
        <f t="shared" si="191"/>
        <v>59</v>
      </c>
      <c r="Y1166" s="19">
        <f t="shared" si="192"/>
        <v>0</v>
      </c>
      <c r="Z1166">
        <v>15</v>
      </c>
      <c r="AA1166">
        <v>0</v>
      </c>
      <c r="AB1166">
        <v>0</v>
      </c>
      <c r="AC1166">
        <v>0</v>
      </c>
      <c r="AD1166">
        <v>107</v>
      </c>
      <c r="AE1166">
        <v>0</v>
      </c>
      <c r="AF1166">
        <v>0</v>
      </c>
      <c r="AG1166">
        <v>0</v>
      </c>
      <c r="AH1166">
        <v>107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f t="shared" si="193"/>
        <v>214</v>
      </c>
      <c r="BF1166">
        <v>122</v>
      </c>
      <c r="BG1166">
        <v>122</v>
      </c>
      <c r="BH1166" t="s">
        <v>109</v>
      </c>
      <c r="BI1166" t="s">
        <v>325</v>
      </c>
      <c r="BJ1166">
        <v>0</v>
      </c>
      <c r="BK1166">
        <v>107</v>
      </c>
      <c r="BL1166">
        <v>122</v>
      </c>
      <c r="BM1166">
        <v>242</v>
      </c>
      <c r="BN1166">
        <v>0</v>
      </c>
      <c r="BO1166">
        <v>0</v>
      </c>
      <c r="BP1166">
        <v>0</v>
      </c>
      <c r="BQ1166">
        <v>242</v>
      </c>
      <c r="BR1166">
        <f t="shared" si="194"/>
        <v>-59</v>
      </c>
      <c r="BS1166">
        <f t="shared" si="195"/>
        <v>89</v>
      </c>
    </row>
    <row r="1167" spans="1:74" x14ac:dyDescent="0.25">
      <c r="A1167" s="5" t="s">
        <v>2294</v>
      </c>
      <c r="B1167" s="5" t="s">
        <v>207</v>
      </c>
      <c r="C1167" s="5" t="s">
        <v>61</v>
      </c>
      <c r="D1167" s="1" t="s">
        <v>133</v>
      </c>
      <c r="E1167">
        <v>9</v>
      </c>
      <c r="F1167">
        <v>0</v>
      </c>
      <c r="G1167">
        <v>0</v>
      </c>
      <c r="H1167">
        <v>0</v>
      </c>
      <c r="I1167">
        <v>67</v>
      </c>
      <c r="J1167">
        <v>278</v>
      </c>
      <c r="K1167">
        <v>20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59</v>
      </c>
      <c r="R1167">
        <v>0</v>
      </c>
      <c r="S1167" s="18" t="e">
        <f t="shared" si="186"/>
        <v>#DIV/0!</v>
      </c>
      <c r="T1167" s="17" t="e">
        <f t="shared" si="187"/>
        <v>#DIV/0!</v>
      </c>
      <c r="U1167" s="17" t="e">
        <f t="shared" si="188"/>
        <v>#DIV/0!</v>
      </c>
      <c r="V1167" s="17" t="e">
        <f t="shared" si="189"/>
        <v>#DIV/0!</v>
      </c>
      <c r="W1167" s="17" t="e">
        <f t="shared" si="190"/>
        <v>#DIV/0!</v>
      </c>
      <c r="X1167" s="17" t="e">
        <f t="shared" si="191"/>
        <v>#DIV/0!</v>
      </c>
      <c r="Y1167" s="19" t="e">
        <f t="shared" si="192"/>
        <v>#DIV/0!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67</v>
      </c>
      <c r="AH1167">
        <v>67</v>
      </c>
      <c r="AI1167">
        <v>0</v>
      </c>
      <c r="AJ1167">
        <v>0</v>
      </c>
      <c r="AK1167">
        <v>278</v>
      </c>
      <c r="AL1167">
        <v>278</v>
      </c>
      <c r="AM1167">
        <v>0</v>
      </c>
      <c r="AN1167">
        <v>0</v>
      </c>
      <c r="AO1167">
        <v>20</v>
      </c>
      <c r="AP1167">
        <v>20</v>
      </c>
      <c r="AQ1167">
        <v>20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f t="shared" si="193"/>
        <v>750</v>
      </c>
      <c r="BF1167">
        <v>589</v>
      </c>
      <c r="BG1167">
        <v>589</v>
      </c>
      <c r="BH1167" t="s">
        <v>82</v>
      </c>
      <c r="BI1167" t="s">
        <v>2355</v>
      </c>
      <c r="BJ1167">
        <v>9</v>
      </c>
      <c r="BK1167">
        <v>365</v>
      </c>
      <c r="BL1167">
        <v>374</v>
      </c>
      <c r="BM1167">
        <v>0</v>
      </c>
      <c r="BN1167">
        <v>0</v>
      </c>
      <c r="BO1167">
        <v>0</v>
      </c>
      <c r="BP1167">
        <v>365</v>
      </c>
      <c r="BQ1167">
        <v>365</v>
      </c>
      <c r="BR1167">
        <f t="shared" si="194"/>
        <v>-59</v>
      </c>
      <c r="BS1167">
        <f t="shared" si="195"/>
        <v>59</v>
      </c>
    </row>
    <row r="1168" spans="1:74" x14ac:dyDescent="0.25">
      <c r="A1168" s="5" t="s">
        <v>61</v>
      </c>
      <c r="B1168" s="5" t="s">
        <v>207</v>
      </c>
      <c r="C1168" s="5" t="s">
        <v>61</v>
      </c>
      <c r="D1168" s="1" t="s">
        <v>86</v>
      </c>
      <c r="E1168">
        <v>0</v>
      </c>
      <c r="F1168">
        <v>10</v>
      </c>
      <c r="G1168">
        <v>0</v>
      </c>
      <c r="H1168">
        <v>0</v>
      </c>
      <c r="I1168">
        <v>153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90</v>
      </c>
      <c r="Q1168">
        <v>70</v>
      </c>
      <c r="R1168">
        <v>10</v>
      </c>
      <c r="S1168" s="18">
        <f t="shared" si="186"/>
        <v>9</v>
      </c>
      <c r="T1168" s="17">
        <f t="shared" si="187"/>
        <v>0</v>
      </c>
      <c r="U1168" s="17">
        <f t="shared" si="188"/>
        <v>0</v>
      </c>
      <c r="V1168" s="17">
        <f t="shared" si="189"/>
        <v>0</v>
      </c>
      <c r="W1168" s="17">
        <f t="shared" si="190"/>
        <v>10</v>
      </c>
      <c r="X1168" s="17">
        <f t="shared" si="191"/>
        <v>60</v>
      </c>
      <c r="Y1168" s="19">
        <f t="shared" si="192"/>
        <v>0</v>
      </c>
      <c r="Z1168">
        <v>10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153</v>
      </c>
      <c r="AH1168">
        <v>153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f t="shared" si="193"/>
        <v>306</v>
      </c>
      <c r="BF1168">
        <v>163</v>
      </c>
      <c r="BG1168">
        <v>163</v>
      </c>
      <c r="BH1168" t="s">
        <v>109</v>
      </c>
      <c r="BI1168" t="s">
        <v>219</v>
      </c>
      <c r="BJ1168">
        <v>0</v>
      </c>
      <c r="BK1168">
        <v>153</v>
      </c>
      <c r="BL1168">
        <v>163</v>
      </c>
      <c r="BM1168">
        <v>0</v>
      </c>
      <c r="BN1168">
        <v>0</v>
      </c>
      <c r="BO1168">
        <v>0</v>
      </c>
      <c r="BP1168">
        <v>243</v>
      </c>
      <c r="BQ1168">
        <v>243</v>
      </c>
      <c r="BR1168">
        <f t="shared" si="194"/>
        <v>-60</v>
      </c>
      <c r="BS1168">
        <f t="shared" si="195"/>
        <v>80</v>
      </c>
    </row>
    <row r="1169" spans="1:74" x14ac:dyDescent="0.25">
      <c r="A1169" s="5" t="s">
        <v>359</v>
      </c>
      <c r="B1169" s="5" t="s">
        <v>61</v>
      </c>
      <c r="C1169" s="5" t="s">
        <v>61</v>
      </c>
      <c r="D1169" s="1" t="s">
        <v>62</v>
      </c>
      <c r="E1169">
        <v>0</v>
      </c>
      <c r="F1169">
        <v>172</v>
      </c>
      <c r="G1169">
        <v>0</v>
      </c>
      <c r="H1169">
        <v>0</v>
      </c>
      <c r="I1169">
        <v>1620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387</v>
      </c>
      <c r="Q1169">
        <v>183</v>
      </c>
      <c r="R1169">
        <v>43</v>
      </c>
      <c r="S1169" s="18">
        <f t="shared" si="186"/>
        <v>9</v>
      </c>
      <c r="T1169" s="17">
        <f t="shared" si="187"/>
        <v>0</v>
      </c>
      <c r="U1169" s="17">
        <f t="shared" si="188"/>
        <v>0</v>
      </c>
      <c r="V1169" s="17">
        <f t="shared" si="189"/>
        <v>0</v>
      </c>
      <c r="W1169" s="17">
        <f t="shared" si="190"/>
        <v>43</v>
      </c>
      <c r="X1169" s="17">
        <f t="shared" si="191"/>
        <v>140</v>
      </c>
      <c r="Y1169" s="19">
        <f t="shared" si="192"/>
        <v>0</v>
      </c>
      <c r="Z1169">
        <v>172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1620</v>
      </c>
      <c r="AH1169">
        <v>1620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f t="shared" si="193"/>
        <v>3240</v>
      </c>
      <c r="BF1169">
        <v>1792</v>
      </c>
      <c r="BG1169">
        <v>1792</v>
      </c>
      <c r="BH1169" t="s">
        <v>63</v>
      </c>
      <c r="BI1169" t="s">
        <v>697</v>
      </c>
      <c r="BJ1169">
        <v>0</v>
      </c>
      <c r="BK1169">
        <v>1620</v>
      </c>
      <c r="BL1169">
        <v>1792</v>
      </c>
      <c r="BM1169">
        <v>0</v>
      </c>
      <c r="BN1169">
        <v>0</v>
      </c>
      <c r="BO1169">
        <v>0</v>
      </c>
      <c r="BP1169">
        <v>2007</v>
      </c>
      <c r="BQ1169">
        <v>2007</v>
      </c>
      <c r="BR1169">
        <f t="shared" si="194"/>
        <v>-140</v>
      </c>
      <c r="BS1169">
        <f t="shared" si="195"/>
        <v>226</v>
      </c>
      <c r="BU1169">
        <f>R1169*9</f>
        <v>387</v>
      </c>
      <c r="BV1169">
        <f>IF(BU1169&gt;BG1169, 1, 0)</f>
        <v>0</v>
      </c>
    </row>
    <row r="1170" spans="1:74" x14ac:dyDescent="0.25">
      <c r="A1170" s="5" t="s">
        <v>1135</v>
      </c>
      <c r="B1170" s="5" t="s">
        <v>207</v>
      </c>
      <c r="C1170" s="5" t="s">
        <v>61</v>
      </c>
      <c r="D1170" s="1" t="s">
        <v>165</v>
      </c>
      <c r="E1170">
        <v>0</v>
      </c>
      <c r="F1170">
        <v>2500</v>
      </c>
      <c r="G1170">
        <v>0</v>
      </c>
      <c r="H1170">
        <v>0</v>
      </c>
      <c r="I1170">
        <v>950</v>
      </c>
      <c r="J1170">
        <v>800</v>
      </c>
      <c r="K1170">
        <v>1360</v>
      </c>
      <c r="L1170">
        <v>850</v>
      </c>
      <c r="M1170">
        <v>0</v>
      </c>
      <c r="N1170">
        <v>0</v>
      </c>
      <c r="O1170">
        <v>0</v>
      </c>
      <c r="P1170">
        <v>4950</v>
      </c>
      <c r="Q1170">
        <v>610</v>
      </c>
      <c r="R1170">
        <v>550</v>
      </c>
      <c r="S1170" s="18">
        <f t="shared" si="186"/>
        <v>9</v>
      </c>
      <c r="T1170" s="17">
        <f t="shared" si="187"/>
        <v>0</v>
      </c>
      <c r="U1170" s="17">
        <f t="shared" si="188"/>
        <v>0</v>
      </c>
      <c r="V1170" s="17">
        <f t="shared" si="189"/>
        <v>0</v>
      </c>
      <c r="W1170" s="17">
        <f t="shared" si="190"/>
        <v>550</v>
      </c>
      <c r="X1170" s="17">
        <f t="shared" si="191"/>
        <v>60</v>
      </c>
      <c r="Y1170" s="19">
        <f t="shared" si="192"/>
        <v>0</v>
      </c>
      <c r="Z1170">
        <v>2500</v>
      </c>
      <c r="AA1170">
        <v>0</v>
      </c>
      <c r="AB1170">
        <v>0</v>
      </c>
      <c r="AC1170">
        <v>3300</v>
      </c>
      <c r="AD1170">
        <v>0</v>
      </c>
      <c r="AE1170">
        <v>0</v>
      </c>
      <c r="AF1170">
        <v>0</v>
      </c>
      <c r="AG1170">
        <v>950</v>
      </c>
      <c r="AH1170">
        <v>950</v>
      </c>
      <c r="AI1170">
        <v>0</v>
      </c>
      <c r="AJ1170">
        <v>0</v>
      </c>
      <c r="AK1170">
        <v>800</v>
      </c>
      <c r="AL1170">
        <v>800</v>
      </c>
      <c r="AM1170">
        <v>0</v>
      </c>
      <c r="AN1170">
        <v>0</v>
      </c>
      <c r="AO1170">
        <v>1360</v>
      </c>
      <c r="AP1170">
        <v>1105</v>
      </c>
      <c r="AQ1170">
        <v>1360</v>
      </c>
      <c r="AR1170">
        <v>255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850</v>
      </c>
      <c r="BA1170">
        <v>850</v>
      </c>
      <c r="BB1170">
        <v>0</v>
      </c>
      <c r="BC1170">
        <v>0</v>
      </c>
      <c r="BD1170">
        <v>0</v>
      </c>
      <c r="BE1170">
        <f t="shared" si="193"/>
        <v>12580</v>
      </c>
      <c r="BF1170">
        <v>9760</v>
      </c>
      <c r="BG1170">
        <v>9760</v>
      </c>
      <c r="BH1170" t="s">
        <v>82</v>
      </c>
      <c r="BI1170" t="s">
        <v>1245</v>
      </c>
      <c r="BJ1170">
        <v>3300</v>
      </c>
      <c r="BK1170">
        <v>3960</v>
      </c>
      <c r="BL1170">
        <v>9760</v>
      </c>
      <c r="BM1170">
        <v>0</v>
      </c>
      <c r="BN1170">
        <v>0</v>
      </c>
      <c r="BO1170">
        <v>0</v>
      </c>
      <c r="BP1170">
        <v>8910</v>
      </c>
      <c r="BQ1170">
        <v>8910</v>
      </c>
      <c r="BR1170">
        <f t="shared" si="194"/>
        <v>-60</v>
      </c>
      <c r="BS1170">
        <f t="shared" si="195"/>
        <v>1160</v>
      </c>
    </row>
    <row r="1171" spans="1:74" x14ac:dyDescent="0.25">
      <c r="A1171" s="5" t="s">
        <v>61</v>
      </c>
      <c r="B1171" s="5" t="s">
        <v>207</v>
      </c>
      <c r="C1171" s="5" t="s">
        <v>61</v>
      </c>
      <c r="D1171" s="1" t="s">
        <v>115</v>
      </c>
      <c r="E1171">
        <v>0</v>
      </c>
      <c r="F1171">
        <v>46</v>
      </c>
      <c r="G1171">
        <v>0</v>
      </c>
      <c r="H1171">
        <v>0</v>
      </c>
      <c r="I1171">
        <v>222</v>
      </c>
      <c r="J1171">
        <v>0</v>
      </c>
      <c r="K1171">
        <v>0</v>
      </c>
      <c r="L1171">
        <v>0</v>
      </c>
      <c r="M1171">
        <v>414</v>
      </c>
      <c r="N1171">
        <v>0</v>
      </c>
      <c r="O1171">
        <v>0</v>
      </c>
      <c r="P1171">
        <v>0</v>
      </c>
      <c r="Q1171">
        <v>107</v>
      </c>
      <c r="R1171">
        <v>46</v>
      </c>
      <c r="S1171" s="18">
        <f t="shared" si="186"/>
        <v>9</v>
      </c>
      <c r="T1171" s="17">
        <f t="shared" si="187"/>
        <v>46</v>
      </c>
      <c r="U1171" s="17">
        <f t="shared" si="188"/>
        <v>0</v>
      </c>
      <c r="V1171" s="17">
        <f t="shared" si="189"/>
        <v>0</v>
      </c>
      <c r="W1171" s="17">
        <f t="shared" si="190"/>
        <v>0</v>
      </c>
      <c r="X1171" s="17">
        <f t="shared" si="191"/>
        <v>61</v>
      </c>
      <c r="Y1171" s="19">
        <f t="shared" si="192"/>
        <v>0</v>
      </c>
      <c r="Z1171">
        <v>46</v>
      </c>
      <c r="AA1171">
        <v>0</v>
      </c>
      <c r="AB1171">
        <v>0</v>
      </c>
      <c r="AC1171">
        <v>0</v>
      </c>
      <c r="AD1171">
        <v>222</v>
      </c>
      <c r="AE1171">
        <v>0</v>
      </c>
      <c r="AF1171">
        <v>0</v>
      </c>
      <c r="AG1171">
        <v>0</v>
      </c>
      <c r="AH1171">
        <v>222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f t="shared" si="193"/>
        <v>444</v>
      </c>
      <c r="BF1171">
        <v>268</v>
      </c>
      <c r="BG1171">
        <v>268</v>
      </c>
      <c r="BH1171" t="s">
        <v>109</v>
      </c>
      <c r="BI1171" t="s">
        <v>234</v>
      </c>
      <c r="BJ1171">
        <v>0</v>
      </c>
      <c r="BK1171">
        <v>222</v>
      </c>
      <c r="BL1171">
        <v>268</v>
      </c>
      <c r="BM1171">
        <v>636</v>
      </c>
      <c r="BN1171">
        <v>0</v>
      </c>
      <c r="BO1171">
        <v>0</v>
      </c>
      <c r="BP1171">
        <v>0</v>
      </c>
      <c r="BQ1171">
        <v>636</v>
      </c>
      <c r="BR1171">
        <f t="shared" si="194"/>
        <v>-61</v>
      </c>
      <c r="BS1171">
        <f t="shared" si="195"/>
        <v>153</v>
      </c>
    </row>
    <row r="1172" spans="1:74" x14ac:dyDescent="0.25">
      <c r="A1172" s="5" t="s">
        <v>207</v>
      </c>
      <c r="B1172" s="5" t="s">
        <v>61</v>
      </c>
      <c r="C1172" s="5" t="s">
        <v>359</v>
      </c>
      <c r="D1172" s="1" t="s">
        <v>81</v>
      </c>
      <c r="E1172">
        <v>0</v>
      </c>
      <c r="F1172">
        <v>3900</v>
      </c>
      <c r="G1172">
        <v>0</v>
      </c>
      <c r="H1172">
        <v>0</v>
      </c>
      <c r="I1172">
        <v>65</v>
      </c>
      <c r="J1172">
        <v>0</v>
      </c>
      <c r="K1172">
        <v>0</v>
      </c>
      <c r="L1172">
        <v>0</v>
      </c>
      <c r="M1172">
        <v>8694</v>
      </c>
      <c r="N1172">
        <v>0</v>
      </c>
      <c r="O1172">
        <v>0</v>
      </c>
      <c r="P1172">
        <v>0</v>
      </c>
      <c r="Q1172">
        <v>1027</v>
      </c>
      <c r="R1172">
        <v>966</v>
      </c>
      <c r="S1172" s="18">
        <f t="shared" si="186"/>
        <v>9</v>
      </c>
      <c r="T1172" s="17">
        <f t="shared" si="187"/>
        <v>966</v>
      </c>
      <c r="U1172" s="17">
        <f t="shared" si="188"/>
        <v>0</v>
      </c>
      <c r="V1172" s="17">
        <f t="shared" si="189"/>
        <v>0</v>
      </c>
      <c r="W1172" s="17">
        <f t="shared" si="190"/>
        <v>0</v>
      </c>
      <c r="X1172" s="17">
        <f t="shared" si="191"/>
        <v>61</v>
      </c>
      <c r="Y1172" s="19">
        <f t="shared" si="192"/>
        <v>0</v>
      </c>
      <c r="Z1172">
        <v>3900</v>
      </c>
      <c r="AA1172">
        <v>0</v>
      </c>
      <c r="AB1172">
        <v>0</v>
      </c>
      <c r="AC1172">
        <v>0</v>
      </c>
      <c r="AD1172">
        <v>65</v>
      </c>
      <c r="AE1172">
        <v>0</v>
      </c>
      <c r="AF1172">
        <v>0</v>
      </c>
      <c r="AG1172">
        <v>0</v>
      </c>
      <c r="AH1172">
        <v>65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f t="shared" si="193"/>
        <v>130</v>
      </c>
      <c r="BF1172">
        <v>3965</v>
      </c>
      <c r="BG1172">
        <v>3965</v>
      </c>
      <c r="BH1172" t="s">
        <v>109</v>
      </c>
      <c r="BI1172" t="s">
        <v>509</v>
      </c>
      <c r="BJ1172">
        <v>0</v>
      </c>
      <c r="BK1172">
        <v>65</v>
      </c>
      <c r="BL1172">
        <v>3965</v>
      </c>
      <c r="BM1172">
        <v>8759</v>
      </c>
      <c r="BN1172">
        <v>0</v>
      </c>
      <c r="BO1172">
        <v>0</v>
      </c>
      <c r="BP1172">
        <v>0</v>
      </c>
      <c r="BQ1172">
        <v>8759</v>
      </c>
      <c r="BR1172">
        <f t="shared" si="194"/>
        <v>-61</v>
      </c>
      <c r="BS1172">
        <f t="shared" si="195"/>
        <v>1993</v>
      </c>
    </row>
    <row r="1173" spans="1:74" x14ac:dyDescent="0.25">
      <c r="A1173" s="5" t="s">
        <v>1661</v>
      </c>
      <c r="B1173" s="5" t="s">
        <v>61</v>
      </c>
      <c r="C1173" s="5" t="s">
        <v>207</v>
      </c>
      <c r="D1173" s="1" t="s">
        <v>75</v>
      </c>
      <c r="E1173">
        <v>0</v>
      </c>
      <c r="F1173">
        <v>14430</v>
      </c>
      <c r="G1173">
        <v>0</v>
      </c>
      <c r="H1173">
        <v>0</v>
      </c>
      <c r="I1173">
        <v>0</v>
      </c>
      <c r="J1173">
        <v>124</v>
      </c>
      <c r="K1173">
        <v>108</v>
      </c>
      <c r="L1173">
        <v>14</v>
      </c>
      <c r="M1173">
        <v>0</v>
      </c>
      <c r="N1173">
        <v>17604</v>
      </c>
      <c r="O1173">
        <v>0</v>
      </c>
      <c r="P1173">
        <v>0</v>
      </c>
      <c r="Q1173">
        <v>2017</v>
      </c>
      <c r="R1173">
        <v>1956</v>
      </c>
      <c r="S1173" s="18">
        <f t="shared" si="186"/>
        <v>9</v>
      </c>
      <c r="T1173" s="17">
        <f t="shared" si="187"/>
        <v>0</v>
      </c>
      <c r="U1173" s="17">
        <f t="shared" si="188"/>
        <v>1956</v>
      </c>
      <c r="V1173" s="17">
        <f t="shared" si="189"/>
        <v>0</v>
      </c>
      <c r="W1173" s="17">
        <f t="shared" si="190"/>
        <v>0</v>
      </c>
      <c r="X1173" s="17">
        <f t="shared" si="191"/>
        <v>61</v>
      </c>
      <c r="Y1173" s="19">
        <f t="shared" si="192"/>
        <v>0</v>
      </c>
      <c r="Z1173">
        <v>14430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124</v>
      </c>
      <c r="AL1173">
        <v>124</v>
      </c>
      <c r="AM1173">
        <v>0</v>
      </c>
      <c r="AN1173">
        <v>0</v>
      </c>
      <c r="AO1173">
        <v>108</v>
      </c>
      <c r="AP1173">
        <v>6</v>
      </c>
      <c r="AQ1173">
        <v>108</v>
      </c>
      <c r="AR1173">
        <v>102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14</v>
      </c>
      <c r="BA1173">
        <v>14</v>
      </c>
      <c r="BB1173">
        <v>0</v>
      </c>
      <c r="BC1173">
        <v>0</v>
      </c>
      <c r="BD1173">
        <v>0</v>
      </c>
      <c r="BE1173">
        <f t="shared" si="193"/>
        <v>600</v>
      </c>
      <c r="BF1173">
        <v>14676</v>
      </c>
      <c r="BG1173">
        <v>14676</v>
      </c>
      <c r="BH1173" t="s">
        <v>199</v>
      </c>
      <c r="BI1173" t="s">
        <v>1704</v>
      </c>
      <c r="BJ1173">
        <v>0</v>
      </c>
      <c r="BK1173">
        <v>246</v>
      </c>
      <c r="BL1173">
        <v>14676</v>
      </c>
      <c r="BM1173">
        <v>0</v>
      </c>
      <c r="BN1173">
        <v>17604</v>
      </c>
      <c r="BO1173">
        <v>0</v>
      </c>
      <c r="BP1173">
        <v>246</v>
      </c>
      <c r="BQ1173">
        <v>17850</v>
      </c>
      <c r="BR1173">
        <f t="shared" si="194"/>
        <v>-61</v>
      </c>
      <c r="BS1173">
        <f t="shared" si="195"/>
        <v>3973</v>
      </c>
    </row>
    <row r="1174" spans="1:74" x14ac:dyDescent="0.25">
      <c r="A1174" s="5" t="s">
        <v>61</v>
      </c>
      <c r="B1174" s="5" t="s">
        <v>207</v>
      </c>
      <c r="C1174" s="5" t="s">
        <v>61</v>
      </c>
      <c r="D1174" s="1" t="s">
        <v>92</v>
      </c>
      <c r="E1174">
        <v>0</v>
      </c>
      <c r="F1174">
        <v>13</v>
      </c>
      <c r="G1174">
        <v>0</v>
      </c>
      <c r="H1174">
        <v>0</v>
      </c>
      <c r="I1174">
        <v>0</v>
      </c>
      <c r="J1174">
        <v>685</v>
      </c>
      <c r="K1174">
        <v>68</v>
      </c>
      <c r="L1174">
        <v>0</v>
      </c>
      <c r="M1174">
        <v>0</v>
      </c>
      <c r="N1174">
        <v>0</v>
      </c>
      <c r="O1174">
        <v>0</v>
      </c>
      <c r="P1174">
        <v>117</v>
      </c>
      <c r="Q1174">
        <v>75</v>
      </c>
      <c r="R1174">
        <v>13</v>
      </c>
      <c r="S1174" s="18">
        <f t="shared" si="186"/>
        <v>9</v>
      </c>
      <c r="T1174" s="17">
        <f t="shared" si="187"/>
        <v>0</v>
      </c>
      <c r="U1174" s="17">
        <f t="shared" si="188"/>
        <v>0</v>
      </c>
      <c r="V1174" s="17">
        <f t="shared" si="189"/>
        <v>0</v>
      </c>
      <c r="W1174" s="17">
        <f t="shared" si="190"/>
        <v>13</v>
      </c>
      <c r="X1174" s="17">
        <f t="shared" si="191"/>
        <v>62</v>
      </c>
      <c r="Y1174" s="19">
        <f t="shared" si="192"/>
        <v>0</v>
      </c>
      <c r="Z1174">
        <v>13</v>
      </c>
      <c r="AA1174">
        <v>0</v>
      </c>
      <c r="AB1174">
        <v>0</v>
      </c>
      <c r="AC1174">
        <v>975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685</v>
      </c>
      <c r="AL1174">
        <v>685</v>
      </c>
      <c r="AM1174">
        <v>0</v>
      </c>
      <c r="AN1174">
        <v>0</v>
      </c>
      <c r="AO1174">
        <v>68</v>
      </c>
      <c r="AP1174">
        <v>16</v>
      </c>
      <c r="AQ1174">
        <v>68</v>
      </c>
      <c r="AR1174">
        <v>52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f t="shared" si="193"/>
        <v>2549</v>
      </c>
      <c r="BF1174">
        <v>1741</v>
      </c>
      <c r="BG1174">
        <v>1741</v>
      </c>
      <c r="BH1174" t="s">
        <v>82</v>
      </c>
      <c r="BI1174" t="s">
        <v>222</v>
      </c>
      <c r="BJ1174">
        <v>975</v>
      </c>
      <c r="BK1174">
        <v>753</v>
      </c>
      <c r="BL1174">
        <v>1741</v>
      </c>
      <c r="BM1174">
        <v>0</v>
      </c>
      <c r="BN1174">
        <v>0</v>
      </c>
      <c r="BO1174">
        <v>0</v>
      </c>
      <c r="BP1174">
        <v>870</v>
      </c>
      <c r="BQ1174">
        <v>870</v>
      </c>
      <c r="BR1174">
        <f t="shared" si="194"/>
        <v>-62</v>
      </c>
      <c r="BS1174">
        <f t="shared" si="195"/>
        <v>88</v>
      </c>
    </row>
    <row r="1175" spans="1:74" x14ac:dyDescent="0.25">
      <c r="A1175" s="5" t="s">
        <v>61</v>
      </c>
      <c r="B1175" s="5" t="s">
        <v>207</v>
      </c>
      <c r="C1175" s="5" t="s">
        <v>207</v>
      </c>
      <c r="D1175" s="1" t="s">
        <v>167</v>
      </c>
      <c r="E1175">
        <v>0</v>
      </c>
      <c r="F1175">
        <v>4</v>
      </c>
      <c r="G1175">
        <v>0</v>
      </c>
      <c r="H1175">
        <v>0</v>
      </c>
      <c r="I1175">
        <v>38</v>
      </c>
      <c r="J1175">
        <v>0</v>
      </c>
      <c r="K1175">
        <v>0</v>
      </c>
      <c r="L1175">
        <v>0</v>
      </c>
      <c r="M1175">
        <v>36</v>
      </c>
      <c r="N1175">
        <v>0</v>
      </c>
      <c r="O1175">
        <v>0</v>
      </c>
      <c r="P1175">
        <v>0</v>
      </c>
      <c r="Q1175">
        <v>66</v>
      </c>
      <c r="R1175">
        <v>4</v>
      </c>
      <c r="S1175" s="18">
        <f t="shared" si="186"/>
        <v>9</v>
      </c>
      <c r="T1175" s="17">
        <f t="shared" si="187"/>
        <v>4</v>
      </c>
      <c r="U1175" s="17">
        <f t="shared" si="188"/>
        <v>0</v>
      </c>
      <c r="V1175" s="17">
        <f t="shared" si="189"/>
        <v>0</v>
      </c>
      <c r="W1175" s="17">
        <f t="shared" si="190"/>
        <v>0</v>
      </c>
      <c r="X1175" s="17">
        <f t="shared" si="191"/>
        <v>62</v>
      </c>
      <c r="Y1175" s="19">
        <f t="shared" si="192"/>
        <v>0</v>
      </c>
      <c r="Z1175">
        <v>4</v>
      </c>
      <c r="AA1175">
        <v>0</v>
      </c>
      <c r="AB1175">
        <v>0</v>
      </c>
      <c r="AC1175">
        <v>0</v>
      </c>
      <c r="AD1175">
        <v>38</v>
      </c>
      <c r="AE1175">
        <v>0</v>
      </c>
      <c r="AF1175">
        <v>0</v>
      </c>
      <c r="AG1175">
        <v>0</v>
      </c>
      <c r="AH1175">
        <v>38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f t="shared" si="193"/>
        <v>76</v>
      </c>
      <c r="BF1175">
        <v>42</v>
      </c>
      <c r="BG1175">
        <v>42</v>
      </c>
      <c r="BH1175" t="s">
        <v>109</v>
      </c>
      <c r="BI1175" t="s">
        <v>330</v>
      </c>
      <c r="BJ1175">
        <v>0</v>
      </c>
      <c r="BK1175">
        <v>38</v>
      </c>
      <c r="BL1175">
        <v>42</v>
      </c>
      <c r="BM1175">
        <v>74</v>
      </c>
      <c r="BN1175">
        <v>0</v>
      </c>
      <c r="BO1175">
        <v>0</v>
      </c>
      <c r="BP1175">
        <v>0</v>
      </c>
      <c r="BQ1175">
        <v>74</v>
      </c>
      <c r="BR1175">
        <f t="shared" si="194"/>
        <v>-62</v>
      </c>
      <c r="BS1175">
        <f t="shared" si="195"/>
        <v>70</v>
      </c>
    </row>
    <row r="1176" spans="1:74" x14ac:dyDescent="0.25">
      <c r="A1176" s="5" t="s">
        <v>1451</v>
      </c>
      <c r="B1176" s="5" t="s">
        <v>207</v>
      </c>
      <c r="C1176" s="5" t="s">
        <v>61</v>
      </c>
      <c r="D1176" s="1" t="s">
        <v>98</v>
      </c>
      <c r="E1176">
        <v>0</v>
      </c>
      <c r="F1176">
        <v>0</v>
      </c>
      <c r="G1176">
        <v>0</v>
      </c>
      <c r="H1176">
        <v>0</v>
      </c>
      <c r="I1176">
        <v>15</v>
      </c>
      <c r="J1176">
        <v>620</v>
      </c>
      <c r="K1176">
        <v>90</v>
      </c>
      <c r="L1176">
        <v>16</v>
      </c>
      <c r="M1176">
        <v>0</v>
      </c>
      <c r="N1176">
        <v>0</v>
      </c>
      <c r="O1176">
        <v>0</v>
      </c>
      <c r="P1176">
        <v>0</v>
      </c>
      <c r="Q1176">
        <v>62</v>
      </c>
      <c r="R1176">
        <v>0</v>
      </c>
      <c r="S1176" s="18" t="e">
        <f t="shared" si="186"/>
        <v>#DIV/0!</v>
      </c>
      <c r="T1176" s="17" t="e">
        <f t="shared" si="187"/>
        <v>#DIV/0!</v>
      </c>
      <c r="U1176" s="17" t="e">
        <f t="shared" si="188"/>
        <v>#DIV/0!</v>
      </c>
      <c r="V1176" s="17" t="e">
        <f t="shared" si="189"/>
        <v>#DIV/0!</v>
      </c>
      <c r="W1176" s="17" t="e">
        <f t="shared" si="190"/>
        <v>#DIV/0!</v>
      </c>
      <c r="X1176" s="17" t="e">
        <f t="shared" si="191"/>
        <v>#DIV/0!</v>
      </c>
      <c r="Y1176" s="19" t="e">
        <f t="shared" si="192"/>
        <v>#DIV/0!</v>
      </c>
      <c r="Z1176">
        <v>0</v>
      </c>
      <c r="AA1176">
        <v>0</v>
      </c>
      <c r="AB1176">
        <v>60</v>
      </c>
      <c r="AC1176">
        <v>900</v>
      </c>
      <c r="AD1176">
        <v>0</v>
      </c>
      <c r="AE1176">
        <v>0</v>
      </c>
      <c r="AF1176">
        <v>0</v>
      </c>
      <c r="AG1176">
        <v>15</v>
      </c>
      <c r="AH1176">
        <v>15</v>
      </c>
      <c r="AI1176">
        <v>0</v>
      </c>
      <c r="AJ1176">
        <v>0</v>
      </c>
      <c r="AK1176">
        <v>620</v>
      </c>
      <c r="AL1176">
        <v>620</v>
      </c>
      <c r="AM1176">
        <v>0</v>
      </c>
      <c r="AN1176">
        <v>0</v>
      </c>
      <c r="AO1176">
        <v>90</v>
      </c>
      <c r="AP1176">
        <v>90</v>
      </c>
      <c r="AQ1176">
        <v>90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16</v>
      </c>
      <c r="BA1176">
        <v>16</v>
      </c>
      <c r="BB1176">
        <v>0</v>
      </c>
      <c r="BC1176">
        <v>0</v>
      </c>
      <c r="BD1176">
        <v>0</v>
      </c>
      <c r="BE1176">
        <f t="shared" si="193"/>
        <v>2472</v>
      </c>
      <c r="BF1176">
        <v>1701</v>
      </c>
      <c r="BG1176">
        <v>1701</v>
      </c>
      <c r="BH1176" t="s">
        <v>82</v>
      </c>
      <c r="BI1176" t="s">
        <v>1547</v>
      </c>
      <c r="BJ1176">
        <v>960</v>
      </c>
      <c r="BK1176">
        <v>741</v>
      </c>
      <c r="BL1176">
        <v>1701</v>
      </c>
      <c r="BM1176">
        <v>0</v>
      </c>
      <c r="BN1176">
        <v>0</v>
      </c>
      <c r="BO1176">
        <v>0</v>
      </c>
      <c r="BP1176">
        <v>741</v>
      </c>
      <c r="BQ1176">
        <v>741</v>
      </c>
      <c r="BR1176">
        <f t="shared" si="194"/>
        <v>-62</v>
      </c>
      <c r="BS1176">
        <f t="shared" si="195"/>
        <v>62</v>
      </c>
    </row>
    <row r="1177" spans="1:74" x14ac:dyDescent="0.25">
      <c r="A1177" s="5" t="s">
        <v>2294</v>
      </c>
      <c r="B1177" s="5" t="s">
        <v>207</v>
      </c>
      <c r="C1177" s="5" t="s">
        <v>61</v>
      </c>
      <c r="D1177" s="1" t="s">
        <v>113</v>
      </c>
      <c r="E1177">
        <v>0</v>
      </c>
      <c r="F1177">
        <v>57</v>
      </c>
      <c r="G1177">
        <v>0</v>
      </c>
      <c r="H1177">
        <v>0</v>
      </c>
      <c r="I1177">
        <v>112</v>
      </c>
      <c r="J1177">
        <v>0</v>
      </c>
      <c r="K1177">
        <v>106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62</v>
      </c>
      <c r="R1177">
        <v>0</v>
      </c>
      <c r="S1177" s="18" t="e">
        <f t="shared" si="186"/>
        <v>#DIV/0!</v>
      </c>
      <c r="T1177" s="17" t="e">
        <f t="shared" si="187"/>
        <v>#DIV/0!</v>
      </c>
      <c r="U1177" s="17" t="e">
        <f t="shared" si="188"/>
        <v>#DIV/0!</v>
      </c>
      <c r="V1177" s="17" t="e">
        <f t="shared" si="189"/>
        <v>#DIV/0!</v>
      </c>
      <c r="W1177" s="17" t="e">
        <f t="shared" si="190"/>
        <v>#DIV/0!</v>
      </c>
      <c r="X1177" s="17" t="e">
        <f t="shared" si="191"/>
        <v>#DIV/0!</v>
      </c>
      <c r="Y1177" s="19" t="e">
        <f t="shared" si="192"/>
        <v>#DIV/0!</v>
      </c>
      <c r="Z1177">
        <v>0</v>
      </c>
      <c r="AA1177">
        <v>0</v>
      </c>
      <c r="AB1177">
        <v>0</v>
      </c>
      <c r="AC1177">
        <v>140</v>
      </c>
      <c r="AD1177">
        <v>0</v>
      </c>
      <c r="AE1177">
        <v>0</v>
      </c>
      <c r="AF1177">
        <v>0</v>
      </c>
      <c r="AG1177">
        <v>112</v>
      </c>
      <c r="AH1177">
        <v>112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106</v>
      </c>
      <c r="AP1177">
        <v>90</v>
      </c>
      <c r="AQ1177">
        <v>106</v>
      </c>
      <c r="AR1177">
        <v>16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f t="shared" si="193"/>
        <v>682</v>
      </c>
      <c r="BF1177">
        <v>348</v>
      </c>
      <c r="BG1177">
        <v>348</v>
      </c>
      <c r="BH1177" t="s">
        <v>190</v>
      </c>
      <c r="BI1177" t="s">
        <v>2346</v>
      </c>
      <c r="BJ1177">
        <v>140</v>
      </c>
      <c r="BK1177">
        <v>218</v>
      </c>
      <c r="BL1177">
        <v>358</v>
      </c>
      <c r="BM1177">
        <v>0</v>
      </c>
      <c r="BN1177">
        <v>0</v>
      </c>
      <c r="BO1177">
        <v>0</v>
      </c>
      <c r="BP1177">
        <v>218</v>
      </c>
      <c r="BQ1177">
        <v>218</v>
      </c>
      <c r="BR1177">
        <f t="shared" si="194"/>
        <v>-62</v>
      </c>
      <c r="BS1177">
        <f t="shared" si="195"/>
        <v>62</v>
      </c>
    </row>
    <row r="1178" spans="1:74" x14ac:dyDescent="0.25">
      <c r="A1178" s="5" t="s">
        <v>61</v>
      </c>
      <c r="B1178" s="5" t="s">
        <v>61</v>
      </c>
      <c r="C1178" s="5" t="s">
        <v>61</v>
      </c>
      <c r="D1178" s="1" t="s">
        <v>92</v>
      </c>
      <c r="E1178">
        <v>0</v>
      </c>
      <c r="F1178">
        <v>6</v>
      </c>
      <c r="G1178">
        <v>0</v>
      </c>
      <c r="H1178">
        <v>0</v>
      </c>
      <c r="I1178">
        <v>25</v>
      </c>
      <c r="J1178">
        <v>1007</v>
      </c>
      <c r="K1178">
        <v>65</v>
      </c>
      <c r="L1178">
        <v>0</v>
      </c>
      <c r="M1178">
        <v>0</v>
      </c>
      <c r="N1178">
        <v>0</v>
      </c>
      <c r="O1178">
        <v>0</v>
      </c>
      <c r="P1178">
        <v>36</v>
      </c>
      <c r="Q1178">
        <v>67</v>
      </c>
      <c r="R1178">
        <v>4</v>
      </c>
      <c r="S1178" s="18">
        <f t="shared" si="186"/>
        <v>9</v>
      </c>
      <c r="T1178" s="17">
        <f t="shared" si="187"/>
        <v>0</v>
      </c>
      <c r="U1178" s="17">
        <f t="shared" si="188"/>
        <v>0</v>
      </c>
      <c r="V1178" s="17">
        <f t="shared" si="189"/>
        <v>0</v>
      </c>
      <c r="W1178" s="17">
        <f t="shared" si="190"/>
        <v>4</v>
      </c>
      <c r="X1178" s="17">
        <f t="shared" si="191"/>
        <v>63</v>
      </c>
      <c r="Y1178" s="19">
        <f t="shared" si="192"/>
        <v>0</v>
      </c>
      <c r="Z1178">
        <v>6</v>
      </c>
      <c r="AA1178">
        <v>0</v>
      </c>
      <c r="AB1178">
        <v>0</v>
      </c>
      <c r="AC1178">
        <v>120</v>
      </c>
      <c r="AD1178">
        <v>0</v>
      </c>
      <c r="AE1178">
        <v>0</v>
      </c>
      <c r="AF1178">
        <v>0</v>
      </c>
      <c r="AG1178">
        <v>25</v>
      </c>
      <c r="AH1178">
        <v>25</v>
      </c>
      <c r="AI1178">
        <v>0</v>
      </c>
      <c r="AJ1178">
        <v>0</v>
      </c>
      <c r="AK1178">
        <v>1007</v>
      </c>
      <c r="AL1178">
        <v>1007</v>
      </c>
      <c r="AM1178">
        <v>0</v>
      </c>
      <c r="AN1178">
        <v>0</v>
      </c>
      <c r="AO1178">
        <v>65</v>
      </c>
      <c r="AP1178">
        <v>50</v>
      </c>
      <c r="AQ1178">
        <v>65</v>
      </c>
      <c r="AR1178">
        <v>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f t="shared" si="193"/>
        <v>2379</v>
      </c>
      <c r="BF1178">
        <v>1223</v>
      </c>
      <c r="BG1178">
        <v>1223</v>
      </c>
      <c r="BH1178" t="s">
        <v>82</v>
      </c>
      <c r="BI1178" t="s">
        <v>93</v>
      </c>
      <c r="BJ1178">
        <v>120</v>
      </c>
      <c r="BK1178">
        <v>1097</v>
      </c>
      <c r="BL1178">
        <v>1223</v>
      </c>
      <c r="BM1178">
        <v>0</v>
      </c>
      <c r="BN1178">
        <v>0</v>
      </c>
      <c r="BO1178">
        <v>0</v>
      </c>
      <c r="BP1178">
        <v>1133</v>
      </c>
      <c r="BQ1178">
        <v>1133</v>
      </c>
      <c r="BR1178">
        <f t="shared" si="194"/>
        <v>-63</v>
      </c>
      <c r="BS1178">
        <f t="shared" si="195"/>
        <v>71</v>
      </c>
    </row>
    <row r="1179" spans="1:74" x14ac:dyDescent="0.25">
      <c r="A1179" s="5" t="s">
        <v>61</v>
      </c>
      <c r="B1179" s="5" t="s">
        <v>61</v>
      </c>
      <c r="C1179" s="5" t="s">
        <v>61</v>
      </c>
      <c r="D1179" s="1" t="s">
        <v>129</v>
      </c>
      <c r="E1179">
        <v>0</v>
      </c>
      <c r="F1179">
        <v>120</v>
      </c>
      <c r="G1179">
        <v>0</v>
      </c>
      <c r="H1179">
        <v>0</v>
      </c>
      <c r="I1179">
        <v>64</v>
      </c>
      <c r="J1179">
        <v>0</v>
      </c>
      <c r="K1179">
        <v>0</v>
      </c>
      <c r="L1179">
        <v>0</v>
      </c>
      <c r="M1179">
        <v>666</v>
      </c>
      <c r="N1179">
        <v>0</v>
      </c>
      <c r="O1179">
        <v>0</v>
      </c>
      <c r="P1179">
        <v>0</v>
      </c>
      <c r="Q1179">
        <v>137</v>
      </c>
      <c r="R1179">
        <v>74</v>
      </c>
      <c r="S1179" s="18">
        <f t="shared" si="186"/>
        <v>9</v>
      </c>
      <c r="T1179" s="17">
        <f t="shared" si="187"/>
        <v>74</v>
      </c>
      <c r="U1179" s="17">
        <f t="shared" si="188"/>
        <v>0</v>
      </c>
      <c r="V1179" s="17">
        <f t="shared" si="189"/>
        <v>0</v>
      </c>
      <c r="W1179" s="17">
        <f t="shared" si="190"/>
        <v>0</v>
      </c>
      <c r="X1179" s="17">
        <f t="shared" si="191"/>
        <v>63</v>
      </c>
      <c r="Y1179" s="19">
        <f t="shared" si="192"/>
        <v>0</v>
      </c>
      <c r="Z1179">
        <v>120</v>
      </c>
      <c r="AA1179">
        <v>0</v>
      </c>
      <c r="AB1179">
        <v>0</v>
      </c>
      <c r="AC1179">
        <v>0</v>
      </c>
      <c r="AD1179">
        <v>64</v>
      </c>
      <c r="AE1179">
        <v>0</v>
      </c>
      <c r="AF1179">
        <v>0</v>
      </c>
      <c r="AG1179">
        <v>0</v>
      </c>
      <c r="AH1179">
        <v>64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f t="shared" si="193"/>
        <v>128</v>
      </c>
      <c r="BF1179">
        <v>184</v>
      </c>
      <c r="BG1179">
        <v>184</v>
      </c>
      <c r="BH1179" t="s">
        <v>109</v>
      </c>
      <c r="BI1179" t="s">
        <v>130</v>
      </c>
      <c r="BJ1179">
        <v>0</v>
      </c>
      <c r="BK1179">
        <v>64</v>
      </c>
      <c r="BL1179">
        <v>184</v>
      </c>
      <c r="BM1179">
        <v>730</v>
      </c>
      <c r="BN1179">
        <v>0</v>
      </c>
      <c r="BO1179">
        <v>0</v>
      </c>
      <c r="BP1179">
        <v>0</v>
      </c>
      <c r="BQ1179">
        <v>730</v>
      </c>
      <c r="BR1179">
        <f t="shared" si="194"/>
        <v>-63</v>
      </c>
      <c r="BS1179">
        <f t="shared" si="195"/>
        <v>211</v>
      </c>
    </row>
    <row r="1180" spans="1:74" x14ac:dyDescent="0.25">
      <c r="A1180" s="5" t="s">
        <v>1135</v>
      </c>
      <c r="B1180" s="5" t="s">
        <v>61</v>
      </c>
      <c r="C1180" s="5" t="s">
        <v>61</v>
      </c>
      <c r="D1180" s="1" t="s">
        <v>92</v>
      </c>
      <c r="E1180">
        <v>0</v>
      </c>
      <c r="F1180">
        <v>175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1575</v>
      </c>
      <c r="N1180">
        <v>0</v>
      </c>
      <c r="O1180">
        <v>0</v>
      </c>
      <c r="P1180">
        <v>0</v>
      </c>
      <c r="Q1180">
        <v>238</v>
      </c>
      <c r="R1180">
        <v>175</v>
      </c>
      <c r="S1180" s="18">
        <f t="shared" si="186"/>
        <v>9</v>
      </c>
      <c r="T1180" s="17">
        <f t="shared" si="187"/>
        <v>175</v>
      </c>
      <c r="U1180" s="17">
        <f t="shared" si="188"/>
        <v>0</v>
      </c>
      <c r="V1180" s="17">
        <f t="shared" si="189"/>
        <v>0</v>
      </c>
      <c r="W1180" s="17">
        <f t="shared" si="190"/>
        <v>0</v>
      </c>
      <c r="X1180" s="17">
        <f t="shared" si="191"/>
        <v>63</v>
      </c>
      <c r="Y1180" s="19">
        <f t="shared" si="192"/>
        <v>0</v>
      </c>
      <c r="Z1180">
        <v>175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f t="shared" si="193"/>
        <v>0</v>
      </c>
      <c r="BF1180">
        <v>175</v>
      </c>
      <c r="BG1180">
        <v>175</v>
      </c>
      <c r="BH1180" t="s">
        <v>109</v>
      </c>
      <c r="BI1180" t="s">
        <v>1147</v>
      </c>
      <c r="BJ1180">
        <v>0</v>
      </c>
      <c r="BK1180">
        <v>0</v>
      </c>
      <c r="BL1180">
        <v>175</v>
      </c>
      <c r="BM1180">
        <v>1575</v>
      </c>
      <c r="BN1180">
        <v>0</v>
      </c>
      <c r="BO1180">
        <v>0</v>
      </c>
      <c r="BP1180">
        <v>0</v>
      </c>
      <c r="BQ1180">
        <v>1575</v>
      </c>
      <c r="BR1180">
        <f t="shared" si="194"/>
        <v>-63</v>
      </c>
      <c r="BS1180">
        <f t="shared" si="195"/>
        <v>413</v>
      </c>
    </row>
    <row r="1181" spans="1:74" x14ac:dyDescent="0.25">
      <c r="A1181" s="5" t="s">
        <v>1661</v>
      </c>
      <c r="B1181" s="5" t="s">
        <v>207</v>
      </c>
      <c r="C1181" s="5" t="s">
        <v>61</v>
      </c>
      <c r="D1181" s="1" t="s">
        <v>113</v>
      </c>
      <c r="E1181">
        <v>0</v>
      </c>
      <c r="F1181">
        <v>2273</v>
      </c>
      <c r="G1181">
        <v>0</v>
      </c>
      <c r="H1181">
        <v>0</v>
      </c>
      <c r="I1181">
        <v>23</v>
      </c>
      <c r="J1181">
        <v>730</v>
      </c>
      <c r="K1181">
        <v>316</v>
      </c>
      <c r="L1181">
        <v>0</v>
      </c>
      <c r="M1181">
        <v>0</v>
      </c>
      <c r="N1181">
        <v>0</v>
      </c>
      <c r="O1181">
        <v>0</v>
      </c>
      <c r="P1181">
        <v>1539</v>
      </c>
      <c r="Q1181">
        <v>234</v>
      </c>
      <c r="R1181">
        <v>171</v>
      </c>
      <c r="S1181" s="18">
        <f t="shared" si="186"/>
        <v>9</v>
      </c>
      <c r="T1181" s="17">
        <f t="shared" si="187"/>
        <v>0</v>
      </c>
      <c r="U1181" s="17">
        <f t="shared" si="188"/>
        <v>0</v>
      </c>
      <c r="V1181" s="17">
        <f t="shared" si="189"/>
        <v>0</v>
      </c>
      <c r="W1181" s="17">
        <f t="shared" si="190"/>
        <v>171</v>
      </c>
      <c r="X1181" s="17">
        <f t="shared" si="191"/>
        <v>63</v>
      </c>
      <c r="Y1181" s="19">
        <f t="shared" si="192"/>
        <v>0</v>
      </c>
      <c r="Z1181">
        <v>2273</v>
      </c>
      <c r="AA1181">
        <v>0</v>
      </c>
      <c r="AB1181">
        <v>0</v>
      </c>
      <c r="AC1181">
        <v>330</v>
      </c>
      <c r="AD1181">
        <v>0</v>
      </c>
      <c r="AE1181">
        <v>0</v>
      </c>
      <c r="AF1181">
        <v>0</v>
      </c>
      <c r="AG1181">
        <v>23</v>
      </c>
      <c r="AH1181">
        <v>23</v>
      </c>
      <c r="AI1181">
        <v>0</v>
      </c>
      <c r="AJ1181">
        <v>0</v>
      </c>
      <c r="AK1181">
        <v>730</v>
      </c>
      <c r="AL1181">
        <v>730</v>
      </c>
      <c r="AM1181">
        <v>0</v>
      </c>
      <c r="AN1181">
        <v>0</v>
      </c>
      <c r="AO1181">
        <v>316</v>
      </c>
      <c r="AP1181">
        <v>251</v>
      </c>
      <c r="AQ1181">
        <v>316</v>
      </c>
      <c r="AR1181">
        <v>65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f t="shared" si="193"/>
        <v>2784</v>
      </c>
      <c r="BF1181">
        <v>3672</v>
      </c>
      <c r="BG1181">
        <v>3672</v>
      </c>
      <c r="BH1181" t="s">
        <v>190</v>
      </c>
      <c r="BI1181" t="s">
        <v>1780</v>
      </c>
      <c r="BJ1181">
        <v>330</v>
      </c>
      <c r="BK1181">
        <v>1069</v>
      </c>
      <c r="BL1181">
        <v>3672</v>
      </c>
      <c r="BM1181">
        <v>0</v>
      </c>
      <c r="BN1181">
        <v>0</v>
      </c>
      <c r="BO1181">
        <v>0</v>
      </c>
      <c r="BP1181">
        <v>2608</v>
      </c>
      <c r="BQ1181">
        <v>2608</v>
      </c>
      <c r="BR1181">
        <f t="shared" si="194"/>
        <v>-63</v>
      </c>
      <c r="BS1181">
        <f t="shared" si="195"/>
        <v>405</v>
      </c>
    </row>
    <row r="1182" spans="1:74" x14ac:dyDescent="0.25">
      <c r="A1182" s="5" t="s">
        <v>1661</v>
      </c>
      <c r="B1182" s="5" t="s">
        <v>207</v>
      </c>
      <c r="C1182" s="5" t="s">
        <v>207</v>
      </c>
      <c r="D1182" s="1" t="s">
        <v>102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1001</v>
      </c>
      <c r="K1182">
        <v>67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63</v>
      </c>
      <c r="R1182">
        <v>0</v>
      </c>
      <c r="S1182" s="18" t="e">
        <f t="shared" si="186"/>
        <v>#DIV/0!</v>
      </c>
      <c r="T1182" s="17" t="e">
        <f t="shared" si="187"/>
        <v>#DIV/0!</v>
      </c>
      <c r="U1182" s="17" t="e">
        <f t="shared" si="188"/>
        <v>#DIV/0!</v>
      </c>
      <c r="V1182" s="17" t="e">
        <f t="shared" si="189"/>
        <v>#DIV/0!</v>
      </c>
      <c r="W1182" s="17" t="e">
        <f t="shared" si="190"/>
        <v>#DIV/0!</v>
      </c>
      <c r="X1182" s="17" t="e">
        <f t="shared" si="191"/>
        <v>#DIV/0!</v>
      </c>
      <c r="Y1182" s="19" t="e">
        <f t="shared" si="192"/>
        <v>#DIV/0!</v>
      </c>
      <c r="Z1182">
        <v>0</v>
      </c>
      <c r="AA1182">
        <v>0</v>
      </c>
      <c r="AB1182">
        <v>0</v>
      </c>
      <c r="AC1182">
        <v>2706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1001</v>
      </c>
      <c r="AL1182">
        <v>1001</v>
      </c>
      <c r="AM1182">
        <v>0</v>
      </c>
      <c r="AN1182">
        <v>0</v>
      </c>
      <c r="AO1182">
        <v>67</v>
      </c>
      <c r="AP1182">
        <v>0</v>
      </c>
      <c r="AQ1182">
        <v>67</v>
      </c>
      <c r="AR1182">
        <v>67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f t="shared" si="193"/>
        <v>4909</v>
      </c>
      <c r="BF1182">
        <v>3774</v>
      </c>
      <c r="BG1182">
        <v>3774</v>
      </c>
      <c r="BH1182" t="s">
        <v>82</v>
      </c>
      <c r="BI1182" t="s">
        <v>1811</v>
      </c>
      <c r="BJ1182">
        <v>2706</v>
      </c>
      <c r="BK1182">
        <v>1068</v>
      </c>
      <c r="BL1182">
        <v>3774</v>
      </c>
      <c r="BM1182">
        <v>0</v>
      </c>
      <c r="BN1182">
        <v>0</v>
      </c>
      <c r="BO1182">
        <v>0</v>
      </c>
      <c r="BP1182">
        <v>1068</v>
      </c>
      <c r="BQ1182">
        <v>1068</v>
      </c>
      <c r="BR1182">
        <f t="shared" si="194"/>
        <v>-63</v>
      </c>
      <c r="BS1182">
        <f t="shared" si="195"/>
        <v>63</v>
      </c>
    </row>
    <row r="1183" spans="1:74" x14ac:dyDescent="0.25">
      <c r="A1183" s="5" t="s">
        <v>61</v>
      </c>
      <c r="B1183" s="5" t="s">
        <v>207</v>
      </c>
      <c r="C1183" s="6" t="s">
        <v>61</v>
      </c>
      <c r="D1183" s="1" t="s">
        <v>111</v>
      </c>
      <c r="E1183">
        <v>0</v>
      </c>
      <c r="F1183">
        <v>22</v>
      </c>
      <c r="G1183">
        <v>0</v>
      </c>
      <c r="H1183">
        <v>0</v>
      </c>
      <c r="I1183">
        <v>354</v>
      </c>
      <c r="J1183">
        <v>0</v>
      </c>
      <c r="K1183">
        <v>0</v>
      </c>
      <c r="L1183">
        <v>0</v>
      </c>
      <c r="M1183">
        <v>117</v>
      </c>
      <c r="N1183">
        <v>0</v>
      </c>
      <c r="O1183">
        <v>0</v>
      </c>
      <c r="P1183">
        <v>0</v>
      </c>
      <c r="Q1183">
        <v>77</v>
      </c>
      <c r="R1183">
        <v>13</v>
      </c>
      <c r="S1183" s="18">
        <f t="shared" si="186"/>
        <v>9</v>
      </c>
      <c r="T1183" s="17">
        <f t="shared" si="187"/>
        <v>13</v>
      </c>
      <c r="U1183" s="17">
        <f t="shared" si="188"/>
        <v>0</v>
      </c>
      <c r="V1183" s="17">
        <f t="shared" si="189"/>
        <v>0</v>
      </c>
      <c r="W1183" s="17">
        <f t="shared" si="190"/>
        <v>0</v>
      </c>
      <c r="X1183" s="17">
        <f t="shared" si="191"/>
        <v>64</v>
      </c>
      <c r="Y1183" s="19">
        <f t="shared" si="192"/>
        <v>0</v>
      </c>
      <c r="Z1183">
        <v>22</v>
      </c>
      <c r="AA1183">
        <v>0</v>
      </c>
      <c r="AB1183">
        <v>0</v>
      </c>
      <c r="AC1183">
        <v>0</v>
      </c>
      <c r="AD1183">
        <v>354</v>
      </c>
      <c r="AE1183">
        <v>0</v>
      </c>
      <c r="AF1183">
        <v>0</v>
      </c>
      <c r="AG1183">
        <v>0</v>
      </c>
      <c r="AH1183">
        <v>354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f t="shared" si="193"/>
        <v>708</v>
      </c>
      <c r="BF1183">
        <v>376</v>
      </c>
      <c r="BG1183">
        <v>376</v>
      </c>
      <c r="BH1183" t="s">
        <v>109</v>
      </c>
      <c r="BI1183" t="s">
        <v>232</v>
      </c>
      <c r="BJ1183">
        <v>0</v>
      </c>
      <c r="BK1183">
        <v>354</v>
      </c>
      <c r="BL1183">
        <v>376</v>
      </c>
      <c r="BM1183">
        <v>471</v>
      </c>
      <c r="BN1183">
        <v>0</v>
      </c>
      <c r="BO1183">
        <v>0</v>
      </c>
      <c r="BP1183">
        <v>0</v>
      </c>
      <c r="BQ1183">
        <v>471</v>
      </c>
      <c r="BR1183">
        <f t="shared" si="194"/>
        <v>-64</v>
      </c>
      <c r="BS1183">
        <f t="shared" si="195"/>
        <v>90</v>
      </c>
    </row>
    <row r="1184" spans="1:74" x14ac:dyDescent="0.25">
      <c r="A1184" s="5" t="s">
        <v>359</v>
      </c>
      <c r="B1184" s="5" t="s">
        <v>627</v>
      </c>
      <c r="C1184" s="1" t="s">
        <v>61</v>
      </c>
      <c r="D1184" s="1" t="s">
        <v>90</v>
      </c>
      <c r="E1184">
        <v>0</v>
      </c>
      <c r="F1184">
        <v>0</v>
      </c>
      <c r="G1184">
        <v>0</v>
      </c>
      <c r="H1184">
        <v>0</v>
      </c>
      <c r="I1184">
        <v>230</v>
      </c>
      <c r="J1184">
        <v>260</v>
      </c>
      <c r="K1184">
        <v>785</v>
      </c>
      <c r="L1184">
        <v>52</v>
      </c>
      <c r="M1184">
        <v>0</v>
      </c>
      <c r="N1184">
        <v>0</v>
      </c>
      <c r="O1184">
        <v>0</v>
      </c>
      <c r="P1184">
        <v>0</v>
      </c>
      <c r="Q1184">
        <v>64</v>
      </c>
      <c r="R1184">
        <v>0</v>
      </c>
      <c r="S1184" s="18" t="e">
        <f t="shared" si="186"/>
        <v>#DIV/0!</v>
      </c>
      <c r="T1184" s="17" t="e">
        <f t="shared" si="187"/>
        <v>#DIV/0!</v>
      </c>
      <c r="U1184" s="17" t="e">
        <f t="shared" si="188"/>
        <v>#DIV/0!</v>
      </c>
      <c r="V1184" s="17" t="e">
        <f t="shared" si="189"/>
        <v>#DIV/0!</v>
      </c>
      <c r="W1184" s="17" t="e">
        <f t="shared" si="190"/>
        <v>#DIV/0!</v>
      </c>
      <c r="X1184" s="17" t="e">
        <f t="shared" si="191"/>
        <v>#DIV/0!</v>
      </c>
      <c r="Y1184" s="19" t="e">
        <f t="shared" si="192"/>
        <v>#DIV/0!</v>
      </c>
      <c r="Z1184">
        <v>0</v>
      </c>
      <c r="AA1184">
        <v>0</v>
      </c>
      <c r="AB1184">
        <v>0</v>
      </c>
      <c r="AC1184">
        <v>850</v>
      </c>
      <c r="AD1184">
        <v>0</v>
      </c>
      <c r="AE1184">
        <v>0</v>
      </c>
      <c r="AF1184">
        <v>0</v>
      </c>
      <c r="AG1184">
        <v>230</v>
      </c>
      <c r="AH1184">
        <v>230</v>
      </c>
      <c r="AI1184">
        <v>0</v>
      </c>
      <c r="AJ1184">
        <v>0</v>
      </c>
      <c r="AK1184">
        <v>260</v>
      </c>
      <c r="AL1184">
        <v>260</v>
      </c>
      <c r="AM1184">
        <v>0</v>
      </c>
      <c r="AN1184">
        <v>0</v>
      </c>
      <c r="AO1184">
        <v>785</v>
      </c>
      <c r="AP1184">
        <v>455</v>
      </c>
      <c r="AQ1184">
        <v>785</v>
      </c>
      <c r="AR1184">
        <v>330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52</v>
      </c>
      <c r="BA1184">
        <v>52</v>
      </c>
      <c r="BB1184">
        <v>0</v>
      </c>
      <c r="BC1184">
        <v>0</v>
      </c>
      <c r="BD1184">
        <v>0</v>
      </c>
      <c r="BE1184">
        <f t="shared" si="193"/>
        <v>4289</v>
      </c>
      <c r="BF1184">
        <v>2177</v>
      </c>
      <c r="BG1184">
        <v>2177</v>
      </c>
      <c r="BH1184" t="s">
        <v>82</v>
      </c>
      <c r="BI1184" t="s">
        <v>804</v>
      </c>
      <c r="BJ1184">
        <v>850</v>
      </c>
      <c r="BK1184">
        <v>1327</v>
      </c>
      <c r="BL1184">
        <v>2177</v>
      </c>
      <c r="BM1184">
        <v>0</v>
      </c>
      <c r="BN1184">
        <v>0</v>
      </c>
      <c r="BO1184">
        <v>0</v>
      </c>
      <c r="BP1184">
        <v>1327</v>
      </c>
      <c r="BQ1184">
        <v>1327</v>
      </c>
      <c r="BR1184">
        <f t="shared" si="194"/>
        <v>-64</v>
      </c>
      <c r="BS1184">
        <f t="shared" si="195"/>
        <v>64</v>
      </c>
    </row>
    <row r="1185" spans="1:74" x14ac:dyDescent="0.25">
      <c r="A1185" s="5" t="s">
        <v>359</v>
      </c>
      <c r="B1185" s="5" t="s">
        <v>627</v>
      </c>
      <c r="C1185" s="7" t="s">
        <v>61</v>
      </c>
      <c r="D1185" s="1" t="s">
        <v>98</v>
      </c>
      <c r="E1185">
        <v>0</v>
      </c>
      <c r="F1185">
        <v>0</v>
      </c>
      <c r="G1185">
        <v>0</v>
      </c>
      <c r="H1185">
        <v>0</v>
      </c>
      <c r="I1185">
        <v>250</v>
      </c>
      <c r="J1185">
        <v>1350</v>
      </c>
      <c r="K1185">
        <v>85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64</v>
      </c>
      <c r="R1185">
        <v>0</v>
      </c>
      <c r="S1185" s="18" t="e">
        <f t="shared" si="186"/>
        <v>#DIV/0!</v>
      </c>
      <c r="T1185" s="17" t="e">
        <f t="shared" si="187"/>
        <v>#DIV/0!</v>
      </c>
      <c r="U1185" s="17" t="e">
        <f t="shared" si="188"/>
        <v>#DIV/0!</v>
      </c>
      <c r="V1185" s="17" t="e">
        <f t="shared" si="189"/>
        <v>#DIV/0!</v>
      </c>
      <c r="W1185" s="17" t="e">
        <f t="shared" si="190"/>
        <v>#DIV/0!</v>
      </c>
      <c r="X1185" s="17" t="e">
        <f t="shared" si="191"/>
        <v>#DIV/0!</v>
      </c>
      <c r="Y1185" s="19" t="e">
        <f t="shared" si="192"/>
        <v>#DIV/0!</v>
      </c>
      <c r="Z1185">
        <v>0</v>
      </c>
      <c r="AA1185">
        <v>0</v>
      </c>
      <c r="AB1185">
        <v>160</v>
      </c>
      <c r="AC1185">
        <v>800</v>
      </c>
      <c r="AD1185">
        <v>0</v>
      </c>
      <c r="AE1185">
        <v>0</v>
      </c>
      <c r="AF1185">
        <v>0</v>
      </c>
      <c r="AG1185">
        <v>250</v>
      </c>
      <c r="AH1185">
        <v>250</v>
      </c>
      <c r="AI1185">
        <v>0</v>
      </c>
      <c r="AJ1185">
        <v>0</v>
      </c>
      <c r="AK1185">
        <v>1350</v>
      </c>
      <c r="AL1185">
        <v>1350</v>
      </c>
      <c r="AM1185">
        <v>0</v>
      </c>
      <c r="AN1185">
        <v>0</v>
      </c>
      <c r="AO1185">
        <v>85</v>
      </c>
      <c r="AP1185">
        <v>70</v>
      </c>
      <c r="AQ1185">
        <v>85</v>
      </c>
      <c r="AR1185">
        <v>15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f t="shared" si="193"/>
        <v>4255</v>
      </c>
      <c r="BF1185">
        <v>2645</v>
      </c>
      <c r="BG1185">
        <v>2645</v>
      </c>
      <c r="BH1185" t="s">
        <v>82</v>
      </c>
      <c r="BI1185" t="s">
        <v>808</v>
      </c>
      <c r="BJ1185">
        <v>960</v>
      </c>
      <c r="BK1185">
        <v>1685</v>
      </c>
      <c r="BL1185">
        <v>2645</v>
      </c>
      <c r="BM1185">
        <v>0</v>
      </c>
      <c r="BN1185">
        <v>0</v>
      </c>
      <c r="BO1185">
        <v>0</v>
      </c>
      <c r="BP1185">
        <v>1685</v>
      </c>
      <c r="BQ1185">
        <v>1685</v>
      </c>
      <c r="BR1185">
        <f t="shared" si="194"/>
        <v>-64</v>
      </c>
      <c r="BS1185">
        <f t="shared" si="195"/>
        <v>64</v>
      </c>
    </row>
    <row r="1186" spans="1:74" x14ac:dyDescent="0.25">
      <c r="A1186" s="5" t="s">
        <v>2090</v>
      </c>
      <c r="B1186" s="5" t="s">
        <v>207</v>
      </c>
      <c r="C1186" s="5" t="s">
        <v>61</v>
      </c>
      <c r="D1186" s="1" t="s">
        <v>84</v>
      </c>
      <c r="E1186">
        <v>0</v>
      </c>
      <c r="F1186">
        <v>8557</v>
      </c>
      <c r="G1186">
        <v>0</v>
      </c>
      <c r="H1186">
        <v>0</v>
      </c>
      <c r="I1186">
        <v>22</v>
      </c>
      <c r="J1186">
        <v>0</v>
      </c>
      <c r="K1186">
        <v>220</v>
      </c>
      <c r="L1186">
        <v>24</v>
      </c>
      <c r="M1186">
        <v>12528</v>
      </c>
      <c r="N1186">
        <v>0</v>
      </c>
      <c r="O1186">
        <v>0</v>
      </c>
      <c r="P1186">
        <v>0</v>
      </c>
      <c r="Q1186">
        <v>1456</v>
      </c>
      <c r="R1186">
        <v>1392</v>
      </c>
      <c r="S1186" s="18">
        <f t="shared" si="186"/>
        <v>9</v>
      </c>
      <c r="T1186" s="17">
        <f t="shared" si="187"/>
        <v>1392</v>
      </c>
      <c r="U1186" s="17">
        <f t="shared" si="188"/>
        <v>0</v>
      </c>
      <c r="V1186" s="17">
        <f t="shared" si="189"/>
        <v>0</v>
      </c>
      <c r="W1186" s="17">
        <f t="shared" si="190"/>
        <v>0</v>
      </c>
      <c r="X1186" s="17">
        <f t="shared" si="191"/>
        <v>64</v>
      </c>
      <c r="Y1186" s="19">
        <f t="shared" si="192"/>
        <v>0</v>
      </c>
      <c r="Z1186">
        <v>8557</v>
      </c>
      <c r="AA1186">
        <v>0</v>
      </c>
      <c r="AB1186">
        <v>0</v>
      </c>
      <c r="AC1186">
        <v>0</v>
      </c>
      <c r="AD1186">
        <v>22</v>
      </c>
      <c r="AE1186">
        <v>0</v>
      </c>
      <c r="AF1186">
        <v>0</v>
      </c>
      <c r="AG1186">
        <v>0</v>
      </c>
      <c r="AH1186">
        <v>22</v>
      </c>
      <c r="AI1186">
        <v>0</v>
      </c>
      <c r="AJ1186">
        <v>0</v>
      </c>
      <c r="AK1186">
        <v>0</v>
      </c>
      <c r="AL1186">
        <v>0</v>
      </c>
      <c r="AM1186">
        <v>220</v>
      </c>
      <c r="AN1186">
        <v>0</v>
      </c>
      <c r="AO1186">
        <v>0</v>
      </c>
      <c r="AP1186">
        <v>88</v>
      </c>
      <c r="AQ1186">
        <v>220</v>
      </c>
      <c r="AR1186">
        <v>132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24</v>
      </c>
      <c r="AY1186">
        <v>0</v>
      </c>
      <c r="AZ1186">
        <v>0</v>
      </c>
      <c r="BA1186">
        <v>24</v>
      </c>
      <c r="BB1186">
        <v>0</v>
      </c>
      <c r="BC1186">
        <v>0</v>
      </c>
      <c r="BD1186">
        <v>0</v>
      </c>
      <c r="BE1186">
        <f t="shared" si="193"/>
        <v>752</v>
      </c>
      <c r="BF1186">
        <v>8823</v>
      </c>
      <c r="BG1186">
        <v>8823</v>
      </c>
      <c r="BH1186" t="s">
        <v>109</v>
      </c>
      <c r="BI1186" t="s">
        <v>2221</v>
      </c>
      <c r="BJ1186">
        <v>0</v>
      </c>
      <c r="BK1186">
        <v>266</v>
      </c>
      <c r="BL1186">
        <v>8823</v>
      </c>
      <c r="BM1186">
        <v>12794</v>
      </c>
      <c r="BN1186">
        <v>0</v>
      </c>
      <c r="BO1186">
        <v>0</v>
      </c>
      <c r="BP1186">
        <v>0</v>
      </c>
      <c r="BQ1186">
        <v>12794</v>
      </c>
      <c r="BR1186">
        <f t="shared" si="194"/>
        <v>-64</v>
      </c>
      <c r="BS1186">
        <f t="shared" si="195"/>
        <v>2848</v>
      </c>
    </row>
    <row r="1187" spans="1:74" x14ac:dyDescent="0.25">
      <c r="A1187" s="5" t="s">
        <v>207</v>
      </c>
      <c r="B1187" s="5" t="s">
        <v>627</v>
      </c>
      <c r="C1187" s="5" t="s">
        <v>61</v>
      </c>
      <c r="D1187" s="1" t="s">
        <v>113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520</v>
      </c>
      <c r="K1187">
        <v>60</v>
      </c>
      <c r="L1187">
        <v>18</v>
      </c>
      <c r="M1187">
        <v>0</v>
      </c>
      <c r="N1187">
        <v>0</v>
      </c>
      <c r="O1187">
        <v>0</v>
      </c>
      <c r="P1187">
        <v>0</v>
      </c>
      <c r="Q1187">
        <v>65</v>
      </c>
      <c r="R1187">
        <v>0</v>
      </c>
      <c r="S1187" s="18" t="e">
        <f t="shared" si="186"/>
        <v>#DIV/0!</v>
      </c>
      <c r="T1187" s="17" t="e">
        <f t="shared" si="187"/>
        <v>#DIV/0!</v>
      </c>
      <c r="U1187" s="17" t="e">
        <f t="shared" si="188"/>
        <v>#DIV/0!</v>
      </c>
      <c r="V1187" s="17" t="e">
        <f t="shared" si="189"/>
        <v>#DIV/0!</v>
      </c>
      <c r="W1187" s="17" t="e">
        <f t="shared" si="190"/>
        <v>#DIV/0!</v>
      </c>
      <c r="X1187" s="17" t="e">
        <f t="shared" si="191"/>
        <v>#DIV/0!</v>
      </c>
      <c r="Y1187" s="19" t="e">
        <f t="shared" si="192"/>
        <v>#DIV/0!</v>
      </c>
      <c r="Z1187">
        <v>0</v>
      </c>
      <c r="AA1187">
        <v>0</v>
      </c>
      <c r="AB1187">
        <v>0</v>
      </c>
      <c r="AC1187">
        <v>914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520</v>
      </c>
      <c r="AL1187">
        <v>520</v>
      </c>
      <c r="AM1187">
        <v>0</v>
      </c>
      <c r="AN1187">
        <v>0</v>
      </c>
      <c r="AO1187">
        <v>60</v>
      </c>
      <c r="AP1187">
        <v>14</v>
      </c>
      <c r="AQ1187">
        <v>60</v>
      </c>
      <c r="AR1187">
        <v>46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18</v>
      </c>
      <c r="BA1187">
        <v>18</v>
      </c>
      <c r="BB1187">
        <v>0</v>
      </c>
      <c r="BC1187">
        <v>0</v>
      </c>
      <c r="BD1187">
        <v>0</v>
      </c>
      <c r="BE1187">
        <f t="shared" si="193"/>
        <v>2170</v>
      </c>
      <c r="BF1187">
        <v>1512</v>
      </c>
      <c r="BG1187">
        <v>1512</v>
      </c>
      <c r="BH1187" t="s">
        <v>82</v>
      </c>
      <c r="BI1187" t="s">
        <v>650</v>
      </c>
      <c r="BJ1187">
        <v>914</v>
      </c>
      <c r="BK1187">
        <v>598</v>
      </c>
      <c r="BL1187">
        <v>1512</v>
      </c>
      <c r="BM1187">
        <v>0</v>
      </c>
      <c r="BN1187">
        <v>0</v>
      </c>
      <c r="BO1187">
        <v>0</v>
      </c>
      <c r="BP1187">
        <v>598</v>
      </c>
      <c r="BQ1187">
        <v>598</v>
      </c>
      <c r="BR1187">
        <f t="shared" si="194"/>
        <v>-65</v>
      </c>
      <c r="BS1187">
        <f t="shared" si="195"/>
        <v>65</v>
      </c>
    </row>
    <row r="1188" spans="1:74" x14ac:dyDescent="0.25">
      <c r="A1188" s="5" t="s">
        <v>207</v>
      </c>
      <c r="B1188" s="5" t="s">
        <v>627</v>
      </c>
      <c r="C1188" s="5" t="s">
        <v>61</v>
      </c>
      <c r="D1188" s="1" t="s">
        <v>131</v>
      </c>
      <c r="E1188">
        <v>86</v>
      </c>
      <c r="F1188">
        <v>50</v>
      </c>
      <c r="G1188">
        <v>0</v>
      </c>
      <c r="H1188">
        <v>0</v>
      </c>
      <c r="I1188">
        <v>450</v>
      </c>
      <c r="J1188">
        <v>1300</v>
      </c>
      <c r="K1188">
        <v>57</v>
      </c>
      <c r="L1188">
        <v>58</v>
      </c>
      <c r="M1188">
        <v>0</v>
      </c>
      <c r="N1188">
        <v>0</v>
      </c>
      <c r="O1188">
        <v>0</v>
      </c>
      <c r="P1188">
        <v>90</v>
      </c>
      <c r="Q1188">
        <v>75</v>
      </c>
      <c r="R1188">
        <v>10</v>
      </c>
      <c r="S1188" s="18">
        <f t="shared" si="186"/>
        <v>9</v>
      </c>
      <c r="T1188" s="17">
        <f t="shared" si="187"/>
        <v>0</v>
      </c>
      <c r="U1188" s="17">
        <f t="shared" si="188"/>
        <v>0</v>
      </c>
      <c r="V1188" s="17">
        <f t="shared" si="189"/>
        <v>0</v>
      </c>
      <c r="W1188" s="17">
        <f t="shared" si="190"/>
        <v>10</v>
      </c>
      <c r="X1188" s="17">
        <f t="shared" si="191"/>
        <v>65</v>
      </c>
      <c r="Y1188" s="19">
        <f t="shared" si="192"/>
        <v>0</v>
      </c>
      <c r="Z1188">
        <v>50</v>
      </c>
      <c r="AA1188">
        <v>4</v>
      </c>
      <c r="AB1188">
        <v>135</v>
      </c>
      <c r="AC1188">
        <v>1415</v>
      </c>
      <c r="AD1188">
        <v>0</v>
      </c>
      <c r="AE1188">
        <v>0</v>
      </c>
      <c r="AF1188">
        <v>0</v>
      </c>
      <c r="AG1188">
        <v>450</v>
      </c>
      <c r="AH1188">
        <v>450</v>
      </c>
      <c r="AI1188">
        <v>0</v>
      </c>
      <c r="AJ1188">
        <v>0</v>
      </c>
      <c r="AK1188">
        <v>1300</v>
      </c>
      <c r="AL1188">
        <v>1300</v>
      </c>
      <c r="AM1188">
        <v>0</v>
      </c>
      <c r="AN1188">
        <v>0</v>
      </c>
      <c r="AO1188">
        <v>57</v>
      </c>
      <c r="AP1188">
        <v>38</v>
      </c>
      <c r="AQ1188">
        <v>57</v>
      </c>
      <c r="AR1188">
        <v>19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58</v>
      </c>
      <c r="BA1188">
        <v>58</v>
      </c>
      <c r="BB1188">
        <v>0</v>
      </c>
      <c r="BC1188">
        <v>0</v>
      </c>
      <c r="BD1188">
        <v>0</v>
      </c>
      <c r="BE1188">
        <f t="shared" si="193"/>
        <v>5202</v>
      </c>
      <c r="BF1188">
        <v>3555</v>
      </c>
      <c r="BG1188">
        <v>3555</v>
      </c>
      <c r="BH1188" t="s">
        <v>82</v>
      </c>
      <c r="BI1188" t="s">
        <v>658</v>
      </c>
      <c r="BJ1188">
        <v>1640</v>
      </c>
      <c r="BK1188">
        <v>1865</v>
      </c>
      <c r="BL1188">
        <v>3555</v>
      </c>
      <c r="BM1188">
        <v>0</v>
      </c>
      <c r="BN1188">
        <v>0</v>
      </c>
      <c r="BO1188">
        <v>0</v>
      </c>
      <c r="BP1188">
        <v>1955</v>
      </c>
      <c r="BQ1188">
        <v>1955</v>
      </c>
      <c r="BR1188">
        <f t="shared" si="194"/>
        <v>-65</v>
      </c>
      <c r="BS1188">
        <f t="shared" si="195"/>
        <v>85</v>
      </c>
    </row>
    <row r="1189" spans="1:74" x14ac:dyDescent="0.25">
      <c r="A1189" s="5" t="s">
        <v>1135</v>
      </c>
      <c r="B1189" s="6" t="s">
        <v>207</v>
      </c>
      <c r="C1189" s="6" t="s">
        <v>61</v>
      </c>
      <c r="D1189" s="1" t="s">
        <v>149</v>
      </c>
      <c r="E1189">
        <v>0</v>
      </c>
      <c r="F1189">
        <v>550</v>
      </c>
      <c r="G1189">
        <v>0</v>
      </c>
      <c r="H1189">
        <v>0</v>
      </c>
      <c r="I1189">
        <v>45</v>
      </c>
      <c r="J1189">
        <v>1155</v>
      </c>
      <c r="K1189">
        <v>35</v>
      </c>
      <c r="L1189">
        <v>60</v>
      </c>
      <c r="M1189">
        <v>0</v>
      </c>
      <c r="N1189">
        <v>0</v>
      </c>
      <c r="O1189">
        <v>0</v>
      </c>
      <c r="P1189">
        <v>495</v>
      </c>
      <c r="Q1189">
        <v>120</v>
      </c>
      <c r="R1189">
        <v>55</v>
      </c>
      <c r="S1189" s="18">
        <f t="shared" si="186"/>
        <v>9</v>
      </c>
      <c r="T1189" s="17">
        <f t="shared" si="187"/>
        <v>0</v>
      </c>
      <c r="U1189" s="17">
        <f t="shared" si="188"/>
        <v>0</v>
      </c>
      <c r="V1189" s="17">
        <f t="shared" si="189"/>
        <v>0</v>
      </c>
      <c r="W1189" s="17">
        <f t="shared" si="190"/>
        <v>55</v>
      </c>
      <c r="X1189" s="17">
        <f t="shared" si="191"/>
        <v>65</v>
      </c>
      <c r="Y1189" s="19">
        <f t="shared" si="192"/>
        <v>0</v>
      </c>
      <c r="Z1189">
        <v>550</v>
      </c>
      <c r="AA1189">
        <v>0</v>
      </c>
      <c r="AB1189">
        <v>0</v>
      </c>
      <c r="AC1189">
        <v>650</v>
      </c>
      <c r="AD1189">
        <v>0</v>
      </c>
      <c r="AE1189">
        <v>0</v>
      </c>
      <c r="AF1189">
        <v>0</v>
      </c>
      <c r="AG1189">
        <v>45</v>
      </c>
      <c r="AH1189">
        <v>45</v>
      </c>
      <c r="AI1189">
        <v>0</v>
      </c>
      <c r="AJ1189">
        <v>0</v>
      </c>
      <c r="AK1189">
        <v>1155</v>
      </c>
      <c r="AL1189">
        <v>1155</v>
      </c>
      <c r="AM1189">
        <v>0</v>
      </c>
      <c r="AN1189">
        <v>0</v>
      </c>
      <c r="AO1189">
        <v>35</v>
      </c>
      <c r="AP1189">
        <v>10</v>
      </c>
      <c r="AQ1189">
        <v>35</v>
      </c>
      <c r="AR1189">
        <v>25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60</v>
      </c>
      <c r="BA1189">
        <v>60</v>
      </c>
      <c r="BB1189">
        <v>0</v>
      </c>
      <c r="BC1189">
        <v>0</v>
      </c>
      <c r="BD1189">
        <v>0</v>
      </c>
      <c r="BE1189">
        <f t="shared" si="193"/>
        <v>3275</v>
      </c>
      <c r="BF1189">
        <v>2495</v>
      </c>
      <c r="BG1189">
        <v>2495</v>
      </c>
      <c r="BH1189" t="s">
        <v>82</v>
      </c>
      <c r="BI1189" t="s">
        <v>1237</v>
      </c>
      <c r="BJ1189">
        <v>650</v>
      </c>
      <c r="BK1189">
        <v>1295</v>
      </c>
      <c r="BL1189">
        <v>2495</v>
      </c>
      <c r="BM1189">
        <v>0</v>
      </c>
      <c r="BN1189">
        <v>0</v>
      </c>
      <c r="BO1189">
        <v>0</v>
      </c>
      <c r="BP1189">
        <v>1790</v>
      </c>
      <c r="BQ1189">
        <v>1790</v>
      </c>
      <c r="BR1189">
        <f t="shared" si="194"/>
        <v>-65</v>
      </c>
      <c r="BS1189">
        <f t="shared" si="195"/>
        <v>175</v>
      </c>
    </row>
    <row r="1190" spans="1:74" x14ac:dyDescent="0.25">
      <c r="A1190" s="5" t="s">
        <v>207</v>
      </c>
      <c r="B1190" s="7" t="s">
        <v>207</v>
      </c>
      <c r="C1190" s="7" t="s">
        <v>61</v>
      </c>
      <c r="D1190" s="1" t="s">
        <v>67</v>
      </c>
      <c r="E1190">
        <v>0</v>
      </c>
      <c r="F1190">
        <v>60</v>
      </c>
      <c r="G1190">
        <v>0</v>
      </c>
      <c r="H1190">
        <v>0</v>
      </c>
      <c r="I1190">
        <v>500</v>
      </c>
      <c r="J1190">
        <v>258</v>
      </c>
      <c r="K1190">
        <v>111</v>
      </c>
      <c r="L1190">
        <v>156</v>
      </c>
      <c r="M1190">
        <v>0</v>
      </c>
      <c r="N1190">
        <v>0</v>
      </c>
      <c r="O1190">
        <v>0</v>
      </c>
      <c r="P1190">
        <v>378</v>
      </c>
      <c r="Q1190">
        <v>80</v>
      </c>
      <c r="R1190">
        <v>42</v>
      </c>
      <c r="S1190" s="18">
        <f t="shared" si="186"/>
        <v>9</v>
      </c>
      <c r="T1190" s="17">
        <f t="shared" si="187"/>
        <v>0</v>
      </c>
      <c r="U1190" s="17">
        <f t="shared" si="188"/>
        <v>0</v>
      </c>
      <c r="V1190" s="17">
        <f t="shared" si="189"/>
        <v>0</v>
      </c>
      <c r="W1190" s="17">
        <f t="shared" si="190"/>
        <v>42</v>
      </c>
      <c r="X1190" s="17">
        <f t="shared" si="191"/>
        <v>38</v>
      </c>
      <c r="Y1190" s="19">
        <f t="shared" si="192"/>
        <v>0</v>
      </c>
      <c r="Z1190">
        <v>60</v>
      </c>
      <c r="AA1190">
        <v>0</v>
      </c>
      <c r="AB1190">
        <v>0</v>
      </c>
      <c r="AC1190">
        <v>0</v>
      </c>
      <c r="AD1190">
        <v>500</v>
      </c>
      <c r="AE1190">
        <v>0</v>
      </c>
      <c r="AF1190">
        <v>0</v>
      </c>
      <c r="AG1190">
        <v>0</v>
      </c>
      <c r="AH1190">
        <v>500</v>
      </c>
      <c r="AI1190">
        <v>0</v>
      </c>
      <c r="AJ1190">
        <v>0</v>
      </c>
      <c r="AK1190">
        <v>258</v>
      </c>
      <c r="AL1190">
        <v>258</v>
      </c>
      <c r="AM1190">
        <v>0</v>
      </c>
      <c r="AN1190">
        <v>111</v>
      </c>
      <c r="AO1190">
        <v>0</v>
      </c>
      <c r="AP1190">
        <v>0</v>
      </c>
      <c r="AQ1190">
        <v>111</v>
      </c>
      <c r="AR1190">
        <v>111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156</v>
      </c>
      <c r="AY1190">
        <v>0</v>
      </c>
      <c r="AZ1190">
        <v>0</v>
      </c>
      <c r="BA1190">
        <v>156</v>
      </c>
      <c r="BB1190">
        <v>0</v>
      </c>
      <c r="BC1190">
        <v>0</v>
      </c>
      <c r="BD1190">
        <v>0</v>
      </c>
      <c r="BE1190">
        <f t="shared" si="193"/>
        <v>2161</v>
      </c>
      <c r="BF1190">
        <v>1085</v>
      </c>
      <c r="BG1190">
        <v>1085</v>
      </c>
      <c r="BH1190" t="s">
        <v>63</v>
      </c>
      <c r="BI1190" t="s">
        <v>541</v>
      </c>
      <c r="BJ1190">
        <v>0</v>
      </c>
      <c r="BK1190">
        <v>1025</v>
      </c>
      <c r="BL1190">
        <v>1085</v>
      </c>
      <c r="BM1190">
        <v>656</v>
      </c>
      <c r="BN1190">
        <v>111</v>
      </c>
      <c r="BO1190">
        <v>0</v>
      </c>
      <c r="BP1190">
        <v>636</v>
      </c>
      <c r="BQ1190">
        <v>1403</v>
      </c>
      <c r="BR1190">
        <f t="shared" si="194"/>
        <v>-38</v>
      </c>
      <c r="BS1190">
        <f t="shared" si="195"/>
        <v>122</v>
      </c>
      <c r="BU1190">
        <f>R1190*9</f>
        <v>378</v>
      </c>
      <c r="BV1190">
        <f>IF(BU1190&gt;BG1190, 1, 0)</f>
        <v>0</v>
      </c>
    </row>
    <row r="1191" spans="1:74" x14ac:dyDescent="0.25">
      <c r="A1191" s="5" t="s">
        <v>1661</v>
      </c>
      <c r="B1191" s="5" t="s">
        <v>61</v>
      </c>
      <c r="C1191" s="5" t="s">
        <v>359</v>
      </c>
      <c r="D1191" s="1" t="s">
        <v>131</v>
      </c>
      <c r="E1191">
        <v>0</v>
      </c>
      <c r="F1191">
        <v>50</v>
      </c>
      <c r="G1191">
        <v>0</v>
      </c>
      <c r="H1191">
        <v>0</v>
      </c>
      <c r="I1191">
        <v>20</v>
      </c>
      <c r="J1191">
        <v>970</v>
      </c>
      <c r="K1191">
        <v>120</v>
      </c>
      <c r="L1191">
        <v>50</v>
      </c>
      <c r="M1191">
        <v>0</v>
      </c>
      <c r="N1191">
        <v>0</v>
      </c>
      <c r="O1191">
        <v>0</v>
      </c>
      <c r="P1191">
        <v>450</v>
      </c>
      <c r="Q1191">
        <v>115</v>
      </c>
      <c r="R1191">
        <v>50</v>
      </c>
      <c r="S1191" s="18">
        <f t="shared" si="186"/>
        <v>9</v>
      </c>
      <c r="T1191" s="17">
        <f t="shared" si="187"/>
        <v>0</v>
      </c>
      <c r="U1191" s="17">
        <f t="shared" si="188"/>
        <v>0</v>
      </c>
      <c r="V1191" s="17">
        <f t="shared" si="189"/>
        <v>0</v>
      </c>
      <c r="W1191" s="17">
        <f t="shared" si="190"/>
        <v>50</v>
      </c>
      <c r="X1191" s="17">
        <f t="shared" si="191"/>
        <v>65</v>
      </c>
      <c r="Y1191" s="19">
        <f t="shared" si="192"/>
        <v>0</v>
      </c>
      <c r="Z1191">
        <v>50</v>
      </c>
      <c r="AA1191">
        <v>0</v>
      </c>
      <c r="AB1191">
        <v>67</v>
      </c>
      <c r="AC1191">
        <v>1000</v>
      </c>
      <c r="AD1191">
        <v>0</v>
      </c>
      <c r="AE1191">
        <v>0</v>
      </c>
      <c r="AF1191">
        <v>0</v>
      </c>
      <c r="AG1191">
        <v>20</v>
      </c>
      <c r="AH1191">
        <v>20</v>
      </c>
      <c r="AI1191">
        <v>0</v>
      </c>
      <c r="AJ1191">
        <v>0</v>
      </c>
      <c r="AK1191">
        <v>970</v>
      </c>
      <c r="AL1191">
        <v>970</v>
      </c>
      <c r="AM1191">
        <v>0</v>
      </c>
      <c r="AN1191">
        <v>0</v>
      </c>
      <c r="AO1191">
        <v>120</v>
      </c>
      <c r="AP1191">
        <v>60</v>
      </c>
      <c r="AQ1191">
        <v>120</v>
      </c>
      <c r="AR1191">
        <v>60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50</v>
      </c>
      <c r="BA1191">
        <v>50</v>
      </c>
      <c r="BB1191">
        <v>0</v>
      </c>
      <c r="BC1191">
        <v>0</v>
      </c>
      <c r="BD1191">
        <v>0</v>
      </c>
      <c r="BE1191">
        <f t="shared" si="193"/>
        <v>3440</v>
      </c>
      <c r="BF1191">
        <v>2277</v>
      </c>
      <c r="BG1191">
        <v>2277</v>
      </c>
      <c r="BH1191" t="s">
        <v>82</v>
      </c>
      <c r="BI1191" t="s">
        <v>1743</v>
      </c>
      <c r="BJ1191">
        <v>1067</v>
      </c>
      <c r="BK1191">
        <v>1160</v>
      </c>
      <c r="BL1191">
        <v>2277</v>
      </c>
      <c r="BM1191">
        <v>0</v>
      </c>
      <c r="BN1191">
        <v>0</v>
      </c>
      <c r="BO1191">
        <v>0</v>
      </c>
      <c r="BP1191">
        <v>1610</v>
      </c>
      <c r="BQ1191">
        <v>1610</v>
      </c>
      <c r="BR1191">
        <f t="shared" si="194"/>
        <v>-65</v>
      </c>
      <c r="BS1191">
        <f t="shared" si="195"/>
        <v>165</v>
      </c>
    </row>
    <row r="1192" spans="1:74" x14ac:dyDescent="0.25">
      <c r="A1192" s="5" t="s">
        <v>2294</v>
      </c>
      <c r="B1192" s="5" t="s">
        <v>207</v>
      </c>
      <c r="C1192" s="5" t="s">
        <v>61</v>
      </c>
      <c r="D1192" s="1" t="s">
        <v>111</v>
      </c>
      <c r="E1192">
        <v>0</v>
      </c>
      <c r="F1192">
        <v>0</v>
      </c>
      <c r="G1192">
        <v>0</v>
      </c>
      <c r="H1192">
        <v>0</v>
      </c>
      <c r="I1192">
        <v>124</v>
      </c>
      <c r="J1192">
        <v>510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65</v>
      </c>
      <c r="R1192">
        <v>0</v>
      </c>
      <c r="S1192" s="18" t="e">
        <f t="shared" si="186"/>
        <v>#DIV/0!</v>
      </c>
      <c r="T1192" s="17" t="e">
        <f t="shared" si="187"/>
        <v>#DIV/0!</v>
      </c>
      <c r="U1192" s="17" t="e">
        <f t="shared" si="188"/>
        <v>#DIV/0!</v>
      </c>
      <c r="V1192" s="17" t="e">
        <f t="shared" si="189"/>
        <v>#DIV/0!</v>
      </c>
      <c r="W1192" s="17" t="e">
        <f t="shared" si="190"/>
        <v>#DIV/0!</v>
      </c>
      <c r="X1192" s="17" t="e">
        <f t="shared" si="191"/>
        <v>#DIV/0!</v>
      </c>
      <c r="Y1192" s="19" t="e">
        <f t="shared" si="192"/>
        <v>#DIV/0!</v>
      </c>
      <c r="Z1192">
        <v>0</v>
      </c>
      <c r="AA1192">
        <v>0</v>
      </c>
      <c r="AB1192">
        <v>0</v>
      </c>
      <c r="AC1192">
        <v>37</v>
      </c>
      <c r="AD1192">
        <v>0</v>
      </c>
      <c r="AE1192">
        <v>0</v>
      </c>
      <c r="AF1192">
        <v>0</v>
      </c>
      <c r="AG1192">
        <v>124</v>
      </c>
      <c r="AH1192">
        <v>124</v>
      </c>
      <c r="AI1192">
        <v>0</v>
      </c>
      <c r="AJ1192">
        <v>0</v>
      </c>
      <c r="AK1192">
        <v>510</v>
      </c>
      <c r="AL1192">
        <v>510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f t="shared" si="193"/>
        <v>1305</v>
      </c>
      <c r="BF1192">
        <v>671</v>
      </c>
      <c r="BG1192">
        <v>671</v>
      </c>
      <c r="BH1192" t="s">
        <v>190</v>
      </c>
      <c r="BI1192" t="s">
        <v>2345</v>
      </c>
      <c r="BJ1192">
        <v>37</v>
      </c>
      <c r="BK1192">
        <v>634</v>
      </c>
      <c r="BL1192">
        <v>671</v>
      </c>
      <c r="BM1192">
        <v>0</v>
      </c>
      <c r="BN1192">
        <v>0</v>
      </c>
      <c r="BO1192">
        <v>0</v>
      </c>
      <c r="BP1192">
        <v>634</v>
      </c>
      <c r="BQ1192">
        <v>634</v>
      </c>
      <c r="BR1192">
        <f t="shared" si="194"/>
        <v>-65</v>
      </c>
      <c r="BS1192">
        <f t="shared" si="195"/>
        <v>65</v>
      </c>
    </row>
    <row r="1193" spans="1:74" x14ac:dyDescent="0.25">
      <c r="A1193" s="5" t="s">
        <v>61</v>
      </c>
      <c r="B1193" s="5" t="s">
        <v>61</v>
      </c>
      <c r="C1193" s="5" t="s">
        <v>61</v>
      </c>
      <c r="D1193" s="1" t="s">
        <v>96</v>
      </c>
      <c r="E1193">
        <v>0</v>
      </c>
      <c r="F1193">
        <v>3</v>
      </c>
      <c r="G1193">
        <v>0</v>
      </c>
      <c r="H1193">
        <v>0</v>
      </c>
      <c r="I1193">
        <v>17</v>
      </c>
      <c r="J1193">
        <v>456</v>
      </c>
      <c r="K1193">
        <v>30</v>
      </c>
      <c r="L1193">
        <v>15</v>
      </c>
      <c r="M1193">
        <v>0</v>
      </c>
      <c r="N1193">
        <v>0</v>
      </c>
      <c r="O1193">
        <v>0</v>
      </c>
      <c r="P1193">
        <v>18</v>
      </c>
      <c r="Q1193">
        <v>68</v>
      </c>
      <c r="R1193">
        <v>2</v>
      </c>
      <c r="S1193" s="18">
        <f t="shared" si="186"/>
        <v>9</v>
      </c>
      <c r="T1193" s="17">
        <f t="shared" si="187"/>
        <v>0</v>
      </c>
      <c r="U1193" s="17">
        <f t="shared" si="188"/>
        <v>0</v>
      </c>
      <c r="V1193" s="17">
        <f t="shared" si="189"/>
        <v>0</v>
      </c>
      <c r="W1193" s="17">
        <f t="shared" si="190"/>
        <v>2</v>
      </c>
      <c r="X1193" s="17">
        <f t="shared" si="191"/>
        <v>66</v>
      </c>
      <c r="Y1193" s="19">
        <f t="shared" si="192"/>
        <v>0</v>
      </c>
      <c r="Z1193">
        <v>3</v>
      </c>
      <c r="AA1193">
        <v>0</v>
      </c>
      <c r="AB1193">
        <v>0</v>
      </c>
      <c r="AC1193">
        <v>1067</v>
      </c>
      <c r="AD1193">
        <v>0</v>
      </c>
      <c r="AE1193">
        <v>0</v>
      </c>
      <c r="AF1193">
        <v>0</v>
      </c>
      <c r="AG1193">
        <v>17</v>
      </c>
      <c r="AH1193">
        <v>17</v>
      </c>
      <c r="AI1193">
        <v>0</v>
      </c>
      <c r="AJ1193">
        <v>0</v>
      </c>
      <c r="AK1193">
        <v>456</v>
      </c>
      <c r="AL1193">
        <v>456</v>
      </c>
      <c r="AM1193">
        <v>0</v>
      </c>
      <c r="AN1193">
        <v>0</v>
      </c>
      <c r="AO1193">
        <v>30</v>
      </c>
      <c r="AP1193">
        <v>9</v>
      </c>
      <c r="AQ1193">
        <v>30</v>
      </c>
      <c r="AR1193">
        <v>21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15</v>
      </c>
      <c r="BA1193">
        <v>15</v>
      </c>
      <c r="BB1193">
        <v>0</v>
      </c>
      <c r="BC1193">
        <v>0</v>
      </c>
      <c r="BD1193">
        <v>0</v>
      </c>
      <c r="BE1193">
        <f t="shared" si="193"/>
        <v>2133</v>
      </c>
      <c r="BF1193">
        <v>1588</v>
      </c>
      <c r="BG1193">
        <v>1588</v>
      </c>
      <c r="BH1193" t="s">
        <v>82</v>
      </c>
      <c r="BI1193" t="s">
        <v>97</v>
      </c>
      <c r="BJ1193">
        <v>1067</v>
      </c>
      <c r="BK1193">
        <v>518</v>
      </c>
      <c r="BL1193">
        <v>1588</v>
      </c>
      <c r="BM1193">
        <v>0</v>
      </c>
      <c r="BN1193">
        <v>0</v>
      </c>
      <c r="BO1193">
        <v>0</v>
      </c>
      <c r="BP1193">
        <v>536</v>
      </c>
      <c r="BQ1193">
        <v>536</v>
      </c>
      <c r="BR1193">
        <f t="shared" si="194"/>
        <v>-66</v>
      </c>
      <c r="BS1193">
        <f t="shared" si="195"/>
        <v>70</v>
      </c>
    </row>
    <row r="1194" spans="1:74" x14ac:dyDescent="0.25">
      <c r="A1194" s="5" t="s">
        <v>207</v>
      </c>
      <c r="B1194" s="5" t="s">
        <v>627</v>
      </c>
      <c r="C1194" s="5" t="s">
        <v>207</v>
      </c>
      <c r="D1194" s="1" t="s">
        <v>100</v>
      </c>
      <c r="E1194">
        <v>0</v>
      </c>
      <c r="F1194">
        <v>387</v>
      </c>
      <c r="G1194">
        <v>0</v>
      </c>
      <c r="H1194">
        <v>0</v>
      </c>
      <c r="I1194">
        <v>300</v>
      </c>
      <c r="J1194">
        <v>0</v>
      </c>
      <c r="K1194">
        <v>120</v>
      </c>
      <c r="L1194">
        <v>0</v>
      </c>
      <c r="M1194">
        <v>711</v>
      </c>
      <c r="N1194">
        <v>0</v>
      </c>
      <c r="O1194">
        <v>0</v>
      </c>
      <c r="P1194">
        <v>207</v>
      </c>
      <c r="Q1194">
        <v>168</v>
      </c>
      <c r="R1194">
        <v>102</v>
      </c>
      <c r="S1194" s="18">
        <f t="shared" si="186"/>
        <v>9</v>
      </c>
      <c r="T1194" s="17">
        <f t="shared" si="187"/>
        <v>79</v>
      </c>
      <c r="U1194" s="17">
        <f t="shared" si="188"/>
        <v>0</v>
      </c>
      <c r="V1194" s="17">
        <f t="shared" si="189"/>
        <v>0</v>
      </c>
      <c r="W1194" s="17">
        <f t="shared" si="190"/>
        <v>23</v>
      </c>
      <c r="X1194" s="17">
        <f t="shared" si="191"/>
        <v>66</v>
      </c>
      <c r="Y1194" s="19">
        <f t="shared" si="192"/>
        <v>0</v>
      </c>
      <c r="Z1194">
        <v>387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300</v>
      </c>
      <c r="AH1194">
        <v>300</v>
      </c>
      <c r="AI1194">
        <v>0</v>
      </c>
      <c r="AJ1194">
        <v>0</v>
      </c>
      <c r="AK1194">
        <v>0</v>
      </c>
      <c r="AL1194">
        <v>0</v>
      </c>
      <c r="AM1194">
        <v>120</v>
      </c>
      <c r="AN1194">
        <v>0</v>
      </c>
      <c r="AO1194">
        <v>0</v>
      </c>
      <c r="AP1194">
        <v>120</v>
      </c>
      <c r="AQ1194">
        <v>120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f t="shared" si="193"/>
        <v>960</v>
      </c>
      <c r="BF1194">
        <v>807</v>
      </c>
      <c r="BG1194">
        <v>807</v>
      </c>
      <c r="BH1194" t="s">
        <v>109</v>
      </c>
      <c r="BI1194" t="s">
        <v>676</v>
      </c>
      <c r="BJ1194">
        <v>0</v>
      </c>
      <c r="BK1194">
        <v>420</v>
      </c>
      <c r="BL1194">
        <v>807</v>
      </c>
      <c r="BM1194">
        <v>831</v>
      </c>
      <c r="BN1194">
        <v>0</v>
      </c>
      <c r="BO1194">
        <v>0</v>
      </c>
      <c r="BP1194">
        <v>507</v>
      </c>
      <c r="BQ1194">
        <v>1338</v>
      </c>
      <c r="BR1194">
        <f t="shared" si="194"/>
        <v>-66</v>
      </c>
      <c r="BS1194">
        <f t="shared" si="195"/>
        <v>270</v>
      </c>
    </row>
    <row r="1195" spans="1:74" x14ac:dyDescent="0.25">
      <c r="A1195" s="5" t="s">
        <v>875</v>
      </c>
      <c r="B1195" s="5" t="s">
        <v>61</v>
      </c>
      <c r="C1195" s="5" t="s">
        <v>207</v>
      </c>
      <c r="D1195" s="1" t="s">
        <v>349</v>
      </c>
      <c r="E1195">
        <v>0</v>
      </c>
      <c r="F1195">
        <v>390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66</v>
      </c>
      <c r="R1195">
        <v>0</v>
      </c>
      <c r="S1195" s="18" t="e">
        <f t="shared" si="186"/>
        <v>#DIV/0!</v>
      </c>
      <c r="T1195" s="17" t="e">
        <f t="shared" si="187"/>
        <v>#DIV/0!</v>
      </c>
      <c r="U1195" s="17" t="e">
        <f t="shared" si="188"/>
        <v>#DIV/0!</v>
      </c>
      <c r="V1195" s="17" t="e">
        <f t="shared" si="189"/>
        <v>#DIV/0!</v>
      </c>
      <c r="W1195" s="17" t="e">
        <f t="shared" si="190"/>
        <v>#DIV/0!</v>
      </c>
      <c r="X1195" s="17" t="e">
        <f t="shared" si="191"/>
        <v>#DIV/0!</v>
      </c>
      <c r="Y1195" s="19" t="e">
        <f t="shared" si="192"/>
        <v>#DIV/0!</v>
      </c>
      <c r="Z1195">
        <v>390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f t="shared" si="193"/>
        <v>0</v>
      </c>
      <c r="BF1195">
        <v>390</v>
      </c>
      <c r="BG1195">
        <v>390</v>
      </c>
      <c r="BH1195" t="s">
        <v>190</v>
      </c>
      <c r="BI1195" t="s">
        <v>942</v>
      </c>
      <c r="BJ1195">
        <v>0</v>
      </c>
      <c r="BK1195">
        <v>0</v>
      </c>
      <c r="BL1195">
        <v>390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f t="shared" si="194"/>
        <v>-66</v>
      </c>
      <c r="BS1195">
        <f t="shared" si="195"/>
        <v>66</v>
      </c>
    </row>
    <row r="1196" spans="1:74" x14ac:dyDescent="0.25">
      <c r="A1196" s="5" t="s">
        <v>1337</v>
      </c>
      <c r="B1196" s="5" t="s">
        <v>207</v>
      </c>
      <c r="C1196" s="5" t="s">
        <v>61</v>
      </c>
      <c r="D1196" s="1" t="s">
        <v>117</v>
      </c>
      <c r="E1196">
        <v>0</v>
      </c>
      <c r="F1196">
        <v>0</v>
      </c>
      <c r="G1196">
        <v>0</v>
      </c>
      <c r="H1196">
        <v>0</v>
      </c>
      <c r="I1196">
        <v>60</v>
      </c>
      <c r="J1196">
        <v>0</v>
      </c>
      <c r="K1196">
        <v>60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66</v>
      </c>
      <c r="R1196">
        <v>0</v>
      </c>
      <c r="S1196" s="18" t="e">
        <f t="shared" si="186"/>
        <v>#DIV/0!</v>
      </c>
      <c r="T1196" s="17" t="e">
        <f t="shared" si="187"/>
        <v>#DIV/0!</v>
      </c>
      <c r="U1196" s="17" t="e">
        <f t="shared" si="188"/>
        <v>#DIV/0!</v>
      </c>
      <c r="V1196" s="17" t="e">
        <f t="shared" si="189"/>
        <v>#DIV/0!</v>
      </c>
      <c r="W1196" s="17" t="e">
        <f t="shared" si="190"/>
        <v>#DIV/0!</v>
      </c>
      <c r="X1196" s="17" t="e">
        <f t="shared" si="191"/>
        <v>#DIV/0!</v>
      </c>
      <c r="Y1196" s="19" t="e">
        <f t="shared" si="192"/>
        <v>#DIV/0!</v>
      </c>
      <c r="Z1196">
        <v>35</v>
      </c>
      <c r="AA1196">
        <v>0</v>
      </c>
      <c r="AB1196">
        <v>0</v>
      </c>
      <c r="AC1196">
        <v>0</v>
      </c>
      <c r="AD1196">
        <v>60</v>
      </c>
      <c r="AE1196">
        <v>0</v>
      </c>
      <c r="AF1196">
        <v>0</v>
      </c>
      <c r="AG1196">
        <v>0</v>
      </c>
      <c r="AH1196">
        <v>60</v>
      </c>
      <c r="AI1196">
        <v>0</v>
      </c>
      <c r="AJ1196">
        <v>0</v>
      </c>
      <c r="AK1196">
        <v>0</v>
      </c>
      <c r="AL1196">
        <v>0</v>
      </c>
      <c r="AM1196">
        <v>60</v>
      </c>
      <c r="AN1196">
        <v>0</v>
      </c>
      <c r="AO1196">
        <v>0</v>
      </c>
      <c r="AP1196">
        <v>0</v>
      </c>
      <c r="AQ1196">
        <v>60</v>
      </c>
      <c r="AR1196">
        <v>60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f t="shared" si="193"/>
        <v>300</v>
      </c>
      <c r="BF1196">
        <v>155</v>
      </c>
      <c r="BG1196">
        <v>155</v>
      </c>
      <c r="BH1196" t="s">
        <v>109</v>
      </c>
      <c r="BI1196" t="s">
        <v>1396</v>
      </c>
      <c r="BJ1196">
        <v>0</v>
      </c>
      <c r="BK1196">
        <v>120</v>
      </c>
      <c r="BL1196">
        <v>155</v>
      </c>
      <c r="BM1196">
        <v>120</v>
      </c>
      <c r="BN1196">
        <v>0</v>
      </c>
      <c r="BO1196">
        <v>0</v>
      </c>
      <c r="BP1196">
        <v>0</v>
      </c>
      <c r="BQ1196">
        <v>120</v>
      </c>
      <c r="BR1196">
        <f t="shared" si="194"/>
        <v>-66</v>
      </c>
      <c r="BS1196">
        <f t="shared" si="195"/>
        <v>66</v>
      </c>
    </row>
    <row r="1197" spans="1:74" x14ac:dyDescent="0.25">
      <c r="A1197" s="5" t="s">
        <v>1451</v>
      </c>
      <c r="B1197" s="5" t="s">
        <v>207</v>
      </c>
      <c r="C1197" s="5" t="s">
        <v>61</v>
      </c>
      <c r="D1197" s="1" t="s">
        <v>86</v>
      </c>
      <c r="E1197">
        <v>0</v>
      </c>
      <c r="F1197">
        <v>465</v>
      </c>
      <c r="G1197">
        <v>0</v>
      </c>
      <c r="H1197">
        <v>0</v>
      </c>
      <c r="I1197">
        <v>404</v>
      </c>
      <c r="J1197">
        <v>300</v>
      </c>
      <c r="K1197">
        <v>1312</v>
      </c>
      <c r="L1197">
        <v>0</v>
      </c>
      <c r="M1197">
        <v>0</v>
      </c>
      <c r="N1197">
        <v>0</v>
      </c>
      <c r="O1197">
        <v>0</v>
      </c>
      <c r="P1197">
        <v>4185</v>
      </c>
      <c r="Q1197">
        <v>531</v>
      </c>
      <c r="R1197">
        <v>465</v>
      </c>
      <c r="S1197" s="18">
        <f t="shared" si="186"/>
        <v>9</v>
      </c>
      <c r="T1197" s="17">
        <f t="shared" si="187"/>
        <v>0</v>
      </c>
      <c r="U1197" s="17">
        <f t="shared" si="188"/>
        <v>0</v>
      </c>
      <c r="V1197" s="17">
        <f t="shared" si="189"/>
        <v>0</v>
      </c>
      <c r="W1197" s="17">
        <f t="shared" si="190"/>
        <v>465</v>
      </c>
      <c r="X1197" s="17">
        <f t="shared" si="191"/>
        <v>66</v>
      </c>
      <c r="Y1197" s="19">
        <f t="shared" si="192"/>
        <v>0</v>
      </c>
      <c r="Z1197">
        <v>465</v>
      </c>
      <c r="AA1197">
        <v>0</v>
      </c>
      <c r="AB1197">
        <v>165</v>
      </c>
      <c r="AC1197">
        <v>5100</v>
      </c>
      <c r="AD1197">
        <v>0</v>
      </c>
      <c r="AE1197">
        <v>0</v>
      </c>
      <c r="AF1197">
        <v>0</v>
      </c>
      <c r="AG1197">
        <v>404</v>
      </c>
      <c r="AH1197">
        <v>404</v>
      </c>
      <c r="AI1197">
        <v>0</v>
      </c>
      <c r="AJ1197">
        <v>0</v>
      </c>
      <c r="AK1197">
        <v>300</v>
      </c>
      <c r="AL1197">
        <v>300</v>
      </c>
      <c r="AM1197">
        <v>0</v>
      </c>
      <c r="AN1197">
        <v>0</v>
      </c>
      <c r="AO1197">
        <v>1312</v>
      </c>
      <c r="AP1197">
        <v>1162</v>
      </c>
      <c r="AQ1197">
        <v>1312</v>
      </c>
      <c r="AR1197">
        <v>150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f t="shared" si="193"/>
        <v>10444</v>
      </c>
      <c r="BF1197">
        <v>7746</v>
      </c>
      <c r="BG1197">
        <v>7746</v>
      </c>
      <c r="BH1197" t="s">
        <v>82</v>
      </c>
      <c r="BI1197" t="s">
        <v>220</v>
      </c>
      <c r="BJ1197">
        <v>5265</v>
      </c>
      <c r="BK1197">
        <v>2016</v>
      </c>
      <c r="BL1197">
        <v>7746</v>
      </c>
      <c r="BM1197">
        <v>0</v>
      </c>
      <c r="BN1197">
        <v>0</v>
      </c>
      <c r="BO1197">
        <v>0</v>
      </c>
      <c r="BP1197">
        <v>6201</v>
      </c>
      <c r="BQ1197">
        <v>6201</v>
      </c>
      <c r="BR1197">
        <f t="shared" si="194"/>
        <v>-66</v>
      </c>
      <c r="BS1197">
        <f t="shared" si="195"/>
        <v>996</v>
      </c>
    </row>
    <row r="1198" spans="1:74" x14ac:dyDescent="0.25">
      <c r="A1198" s="5" t="s">
        <v>1135</v>
      </c>
      <c r="B1198" s="5" t="s">
        <v>207</v>
      </c>
      <c r="C1198" s="5" t="s">
        <v>207</v>
      </c>
      <c r="D1198" s="1" t="s">
        <v>65</v>
      </c>
      <c r="E1198">
        <v>0</v>
      </c>
      <c r="F1198">
        <v>184</v>
      </c>
      <c r="G1198">
        <v>0</v>
      </c>
      <c r="H1198">
        <v>0</v>
      </c>
      <c r="I1198">
        <v>73</v>
      </c>
      <c r="J1198">
        <v>0</v>
      </c>
      <c r="K1198">
        <v>2850</v>
      </c>
      <c r="L1198">
        <v>0</v>
      </c>
      <c r="M1198">
        <v>0</v>
      </c>
      <c r="N1198">
        <v>0</v>
      </c>
      <c r="O1198">
        <v>0</v>
      </c>
      <c r="P1198">
        <v>378</v>
      </c>
      <c r="Q1198">
        <v>498</v>
      </c>
      <c r="R1198">
        <v>42</v>
      </c>
      <c r="S1198" s="18">
        <f t="shared" si="186"/>
        <v>9</v>
      </c>
      <c r="T1198" s="17">
        <f t="shared" si="187"/>
        <v>0</v>
      </c>
      <c r="U1198" s="17">
        <f t="shared" si="188"/>
        <v>0</v>
      </c>
      <c r="V1198" s="17">
        <f t="shared" si="189"/>
        <v>0</v>
      </c>
      <c r="W1198" s="17">
        <f t="shared" si="190"/>
        <v>42</v>
      </c>
      <c r="X1198" s="17">
        <f t="shared" si="191"/>
        <v>456</v>
      </c>
      <c r="Y1198" s="19">
        <f t="shared" si="192"/>
        <v>0</v>
      </c>
      <c r="Z1198">
        <v>184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73</v>
      </c>
      <c r="AH1198">
        <v>73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2850</v>
      </c>
      <c r="AP1198">
        <v>2675</v>
      </c>
      <c r="AQ1198">
        <v>2850</v>
      </c>
      <c r="AR1198">
        <v>175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f t="shared" si="193"/>
        <v>8696</v>
      </c>
      <c r="BF1198">
        <v>3107</v>
      </c>
      <c r="BG1198">
        <v>3107</v>
      </c>
      <c r="BH1198" t="s">
        <v>63</v>
      </c>
      <c r="BI1198" t="s">
        <v>1256</v>
      </c>
      <c r="BJ1198">
        <v>0</v>
      </c>
      <c r="BK1198">
        <v>2923</v>
      </c>
      <c r="BL1198">
        <v>3107</v>
      </c>
      <c r="BM1198">
        <v>0</v>
      </c>
      <c r="BN1198">
        <v>0</v>
      </c>
      <c r="BO1198">
        <v>0</v>
      </c>
      <c r="BP1198">
        <v>3301</v>
      </c>
      <c r="BQ1198">
        <v>3301</v>
      </c>
      <c r="BR1198">
        <f t="shared" si="194"/>
        <v>-456</v>
      </c>
      <c r="BS1198">
        <f t="shared" si="195"/>
        <v>540</v>
      </c>
      <c r="BU1198">
        <f>R1198*9</f>
        <v>378</v>
      </c>
      <c r="BV1198">
        <f>IF(BU1198&gt;BG1198, 1, 0)</f>
        <v>0</v>
      </c>
    </row>
    <row r="1199" spans="1:74" x14ac:dyDescent="0.25">
      <c r="A1199" s="5" t="s">
        <v>61</v>
      </c>
      <c r="B1199" s="5" t="s">
        <v>61</v>
      </c>
      <c r="C1199" s="5" t="s">
        <v>61</v>
      </c>
      <c r="D1199" s="1" t="s">
        <v>104</v>
      </c>
      <c r="E1199">
        <v>0</v>
      </c>
      <c r="F1199">
        <v>20</v>
      </c>
      <c r="G1199">
        <v>0</v>
      </c>
      <c r="H1199">
        <v>0</v>
      </c>
      <c r="I1199">
        <v>31</v>
      </c>
      <c r="J1199">
        <v>715</v>
      </c>
      <c r="K1199">
        <v>141</v>
      </c>
      <c r="L1199">
        <v>30</v>
      </c>
      <c r="M1199">
        <v>0</v>
      </c>
      <c r="N1199">
        <v>0</v>
      </c>
      <c r="O1199">
        <v>0</v>
      </c>
      <c r="P1199">
        <v>108</v>
      </c>
      <c r="Q1199">
        <v>79</v>
      </c>
      <c r="R1199">
        <v>12</v>
      </c>
      <c r="S1199" s="18">
        <f t="shared" si="186"/>
        <v>9</v>
      </c>
      <c r="T1199" s="17">
        <f t="shared" si="187"/>
        <v>0</v>
      </c>
      <c r="U1199" s="17">
        <f t="shared" si="188"/>
        <v>0</v>
      </c>
      <c r="V1199" s="17">
        <f t="shared" si="189"/>
        <v>0</v>
      </c>
      <c r="W1199" s="17">
        <f t="shared" si="190"/>
        <v>12</v>
      </c>
      <c r="X1199" s="17">
        <f t="shared" si="191"/>
        <v>67</v>
      </c>
      <c r="Y1199" s="19">
        <f t="shared" si="192"/>
        <v>0</v>
      </c>
      <c r="Z1199">
        <v>20</v>
      </c>
      <c r="AA1199">
        <v>0</v>
      </c>
      <c r="AB1199">
        <v>0</v>
      </c>
      <c r="AC1199">
        <v>836</v>
      </c>
      <c r="AD1199">
        <v>0</v>
      </c>
      <c r="AE1199">
        <v>0</v>
      </c>
      <c r="AF1199">
        <v>0</v>
      </c>
      <c r="AG1199">
        <v>31</v>
      </c>
      <c r="AH1199">
        <v>31</v>
      </c>
      <c r="AI1199">
        <v>0</v>
      </c>
      <c r="AJ1199">
        <v>0</v>
      </c>
      <c r="AK1199">
        <v>715</v>
      </c>
      <c r="AL1199">
        <v>715</v>
      </c>
      <c r="AM1199">
        <v>0</v>
      </c>
      <c r="AN1199">
        <v>0</v>
      </c>
      <c r="AO1199">
        <v>141</v>
      </c>
      <c r="AP1199">
        <v>120</v>
      </c>
      <c r="AQ1199">
        <v>141</v>
      </c>
      <c r="AR1199">
        <v>21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30</v>
      </c>
      <c r="BA1199">
        <v>30</v>
      </c>
      <c r="BB1199">
        <v>0</v>
      </c>
      <c r="BC1199">
        <v>0</v>
      </c>
      <c r="BD1199">
        <v>0</v>
      </c>
      <c r="BE1199">
        <f t="shared" si="193"/>
        <v>2811</v>
      </c>
      <c r="BF1199">
        <v>1773</v>
      </c>
      <c r="BG1199">
        <v>1773</v>
      </c>
      <c r="BH1199" t="s">
        <v>82</v>
      </c>
      <c r="BI1199" t="s">
        <v>105</v>
      </c>
      <c r="BJ1199">
        <v>836</v>
      </c>
      <c r="BK1199">
        <v>917</v>
      </c>
      <c r="BL1199">
        <v>1773</v>
      </c>
      <c r="BM1199">
        <v>0</v>
      </c>
      <c r="BN1199">
        <v>0</v>
      </c>
      <c r="BO1199">
        <v>0</v>
      </c>
      <c r="BP1199">
        <v>1025</v>
      </c>
      <c r="BQ1199">
        <v>1025</v>
      </c>
      <c r="BR1199">
        <f t="shared" si="194"/>
        <v>-67</v>
      </c>
      <c r="BS1199">
        <f t="shared" si="195"/>
        <v>91</v>
      </c>
    </row>
    <row r="1200" spans="1:74" x14ac:dyDescent="0.25">
      <c r="A1200" s="5" t="s">
        <v>61</v>
      </c>
      <c r="B1200" s="5" t="s">
        <v>207</v>
      </c>
      <c r="C1200" s="5" t="s">
        <v>207</v>
      </c>
      <c r="D1200" s="1" t="s">
        <v>127</v>
      </c>
      <c r="E1200">
        <v>0</v>
      </c>
      <c r="F1200">
        <v>25</v>
      </c>
      <c r="G1200">
        <v>0</v>
      </c>
      <c r="H1200">
        <v>0</v>
      </c>
      <c r="I1200">
        <v>55</v>
      </c>
      <c r="J1200">
        <v>0</v>
      </c>
      <c r="K1200">
        <v>0</v>
      </c>
      <c r="L1200">
        <v>0</v>
      </c>
      <c r="M1200">
        <v>225</v>
      </c>
      <c r="N1200">
        <v>0</v>
      </c>
      <c r="O1200">
        <v>0</v>
      </c>
      <c r="P1200">
        <v>0</v>
      </c>
      <c r="Q1200">
        <v>92</v>
      </c>
      <c r="R1200">
        <v>25</v>
      </c>
      <c r="S1200" s="18">
        <f t="shared" si="186"/>
        <v>9</v>
      </c>
      <c r="T1200" s="17">
        <f t="shared" si="187"/>
        <v>25</v>
      </c>
      <c r="U1200" s="17">
        <f t="shared" si="188"/>
        <v>0</v>
      </c>
      <c r="V1200" s="17">
        <f t="shared" si="189"/>
        <v>0</v>
      </c>
      <c r="W1200" s="17">
        <f t="shared" si="190"/>
        <v>0</v>
      </c>
      <c r="X1200" s="17">
        <f t="shared" si="191"/>
        <v>67</v>
      </c>
      <c r="Y1200" s="19">
        <f t="shared" si="192"/>
        <v>0</v>
      </c>
      <c r="Z1200">
        <v>25</v>
      </c>
      <c r="AA1200">
        <v>0</v>
      </c>
      <c r="AB1200">
        <v>0</v>
      </c>
      <c r="AC1200">
        <v>0</v>
      </c>
      <c r="AD1200">
        <v>55</v>
      </c>
      <c r="AE1200">
        <v>0</v>
      </c>
      <c r="AF1200">
        <v>0</v>
      </c>
      <c r="AG1200">
        <v>0</v>
      </c>
      <c r="AH1200">
        <v>55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f t="shared" si="193"/>
        <v>110</v>
      </c>
      <c r="BF1200">
        <v>80</v>
      </c>
      <c r="BG1200">
        <v>80</v>
      </c>
      <c r="BH1200" t="s">
        <v>109</v>
      </c>
      <c r="BI1200" t="s">
        <v>310</v>
      </c>
      <c r="BJ1200">
        <v>0</v>
      </c>
      <c r="BK1200">
        <v>55</v>
      </c>
      <c r="BL1200">
        <v>80</v>
      </c>
      <c r="BM1200">
        <v>280</v>
      </c>
      <c r="BN1200">
        <v>0</v>
      </c>
      <c r="BO1200">
        <v>0</v>
      </c>
      <c r="BP1200">
        <v>0</v>
      </c>
      <c r="BQ1200">
        <v>280</v>
      </c>
      <c r="BR1200">
        <f t="shared" si="194"/>
        <v>-67</v>
      </c>
      <c r="BS1200">
        <f t="shared" si="195"/>
        <v>117</v>
      </c>
    </row>
    <row r="1201" spans="1:74" x14ac:dyDescent="0.25">
      <c r="A1201" s="5" t="s">
        <v>207</v>
      </c>
      <c r="B1201" s="5" t="s">
        <v>359</v>
      </c>
      <c r="C1201" s="5" t="s">
        <v>61</v>
      </c>
      <c r="D1201" s="1" t="s">
        <v>139</v>
      </c>
      <c r="E1201">
        <v>0</v>
      </c>
      <c r="F1201">
        <v>0</v>
      </c>
      <c r="G1201">
        <v>0</v>
      </c>
      <c r="H1201">
        <v>0</v>
      </c>
      <c r="I1201">
        <v>24</v>
      </c>
      <c r="J1201">
        <v>800</v>
      </c>
      <c r="K1201">
        <v>80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67</v>
      </c>
      <c r="R1201">
        <v>0</v>
      </c>
      <c r="S1201" s="18" t="e">
        <f t="shared" si="186"/>
        <v>#DIV/0!</v>
      </c>
      <c r="T1201" s="17" t="e">
        <f t="shared" si="187"/>
        <v>#DIV/0!</v>
      </c>
      <c r="U1201" s="17" t="e">
        <f t="shared" si="188"/>
        <v>#DIV/0!</v>
      </c>
      <c r="V1201" s="17" t="e">
        <f t="shared" si="189"/>
        <v>#DIV/0!</v>
      </c>
      <c r="W1201" s="17" t="e">
        <f t="shared" si="190"/>
        <v>#DIV/0!</v>
      </c>
      <c r="X1201" s="17" t="e">
        <f t="shared" si="191"/>
        <v>#DIV/0!</v>
      </c>
      <c r="Y1201" s="19" t="e">
        <f t="shared" si="192"/>
        <v>#DIV/0!</v>
      </c>
      <c r="Z1201">
        <v>0</v>
      </c>
      <c r="AA1201">
        <v>0</v>
      </c>
      <c r="AB1201">
        <v>60</v>
      </c>
      <c r="AC1201">
        <v>950</v>
      </c>
      <c r="AD1201">
        <v>0</v>
      </c>
      <c r="AE1201">
        <v>0</v>
      </c>
      <c r="AF1201">
        <v>0</v>
      </c>
      <c r="AG1201">
        <v>24</v>
      </c>
      <c r="AH1201">
        <v>24</v>
      </c>
      <c r="AI1201">
        <v>0</v>
      </c>
      <c r="AJ1201">
        <v>0</v>
      </c>
      <c r="AK1201">
        <v>800</v>
      </c>
      <c r="AL1201">
        <v>800</v>
      </c>
      <c r="AM1201">
        <v>0</v>
      </c>
      <c r="AN1201">
        <v>0</v>
      </c>
      <c r="AO1201">
        <v>80</v>
      </c>
      <c r="AP1201">
        <v>0</v>
      </c>
      <c r="AQ1201">
        <v>80</v>
      </c>
      <c r="AR1201">
        <v>80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f t="shared" si="193"/>
        <v>2838</v>
      </c>
      <c r="BF1201">
        <v>1914</v>
      </c>
      <c r="BG1201">
        <v>1914</v>
      </c>
      <c r="BH1201" t="s">
        <v>82</v>
      </c>
      <c r="BI1201" t="s">
        <v>625</v>
      </c>
      <c r="BJ1201">
        <v>1010</v>
      </c>
      <c r="BK1201">
        <v>904</v>
      </c>
      <c r="BL1201">
        <v>1914</v>
      </c>
      <c r="BM1201">
        <v>0</v>
      </c>
      <c r="BN1201">
        <v>0</v>
      </c>
      <c r="BO1201">
        <v>0</v>
      </c>
      <c r="BP1201">
        <v>904</v>
      </c>
      <c r="BQ1201">
        <v>904</v>
      </c>
      <c r="BR1201">
        <f t="shared" si="194"/>
        <v>-67</v>
      </c>
      <c r="BS1201">
        <f t="shared" si="195"/>
        <v>67</v>
      </c>
    </row>
    <row r="1202" spans="1:74" x14ac:dyDescent="0.25">
      <c r="A1202" s="5" t="s">
        <v>1135</v>
      </c>
      <c r="B1202" s="5" t="s">
        <v>61</v>
      </c>
      <c r="C1202" s="5" t="s">
        <v>61</v>
      </c>
      <c r="D1202" s="1" t="s">
        <v>171</v>
      </c>
      <c r="E1202">
        <v>0</v>
      </c>
      <c r="F1202">
        <v>795</v>
      </c>
      <c r="G1202">
        <v>0</v>
      </c>
      <c r="H1202">
        <v>0</v>
      </c>
      <c r="I1202">
        <v>105</v>
      </c>
      <c r="J1202">
        <v>0</v>
      </c>
      <c r="K1202">
        <v>0</v>
      </c>
      <c r="L1202">
        <v>0</v>
      </c>
      <c r="M1202">
        <v>198</v>
      </c>
      <c r="N1202">
        <v>0</v>
      </c>
      <c r="O1202">
        <v>0</v>
      </c>
      <c r="P1202">
        <v>0</v>
      </c>
      <c r="Q1202">
        <v>90</v>
      </c>
      <c r="R1202">
        <v>22</v>
      </c>
      <c r="S1202" s="18">
        <f t="shared" si="186"/>
        <v>9</v>
      </c>
      <c r="T1202" s="17">
        <f t="shared" si="187"/>
        <v>22</v>
      </c>
      <c r="U1202" s="17">
        <f t="shared" si="188"/>
        <v>0</v>
      </c>
      <c r="V1202" s="17">
        <f t="shared" si="189"/>
        <v>0</v>
      </c>
      <c r="W1202" s="17">
        <f t="shared" si="190"/>
        <v>0</v>
      </c>
      <c r="X1202" s="17">
        <f t="shared" si="191"/>
        <v>68</v>
      </c>
      <c r="Y1202" s="19">
        <f t="shared" si="192"/>
        <v>0</v>
      </c>
      <c r="Z1202">
        <v>795</v>
      </c>
      <c r="AA1202">
        <v>0</v>
      </c>
      <c r="AB1202">
        <v>0</v>
      </c>
      <c r="AC1202">
        <v>170</v>
      </c>
      <c r="AD1202">
        <v>105</v>
      </c>
      <c r="AE1202">
        <v>0</v>
      </c>
      <c r="AF1202">
        <v>0</v>
      </c>
      <c r="AG1202">
        <v>0</v>
      </c>
      <c r="AH1202">
        <v>105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f t="shared" si="193"/>
        <v>380</v>
      </c>
      <c r="BF1202">
        <v>1070</v>
      </c>
      <c r="BG1202">
        <v>1070</v>
      </c>
      <c r="BH1202" t="s">
        <v>190</v>
      </c>
      <c r="BI1202" t="s">
        <v>1184</v>
      </c>
      <c r="BJ1202">
        <v>170</v>
      </c>
      <c r="BK1202">
        <v>105</v>
      </c>
      <c r="BL1202">
        <v>1070</v>
      </c>
      <c r="BM1202">
        <v>303</v>
      </c>
      <c r="BN1202">
        <v>0</v>
      </c>
      <c r="BO1202">
        <v>0</v>
      </c>
      <c r="BP1202">
        <v>0</v>
      </c>
      <c r="BQ1202">
        <v>303</v>
      </c>
      <c r="BR1202">
        <f t="shared" si="194"/>
        <v>-68</v>
      </c>
      <c r="BS1202">
        <f t="shared" si="195"/>
        <v>112</v>
      </c>
    </row>
    <row r="1203" spans="1:74" x14ac:dyDescent="0.25">
      <c r="A1203" s="5" t="s">
        <v>1946</v>
      </c>
      <c r="B1203" s="5" t="s">
        <v>61</v>
      </c>
      <c r="C1203" s="5" t="s">
        <v>61</v>
      </c>
      <c r="D1203" s="1" t="s">
        <v>155</v>
      </c>
      <c r="E1203">
        <v>24</v>
      </c>
      <c r="F1203">
        <v>0</v>
      </c>
      <c r="G1203">
        <v>0</v>
      </c>
      <c r="H1203">
        <v>0</v>
      </c>
      <c r="I1203">
        <v>200</v>
      </c>
      <c r="J1203">
        <v>450</v>
      </c>
      <c r="K1203">
        <v>176</v>
      </c>
      <c r="L1203">
        <v>130</v>
      </c>
      <c r="M1203">
        <v>0</v>
      </c>
      <c r="N1203">
        <v>0</v>
      </c>
      <c r="O1203">
        <v>0</v>
      </c>
      <c r="P1203">
        <v>0</v>
      </c>
      <c r="Q1203">
        <v>68</v>
      </c>
      <c r="R1203">
        <v>0</v>
      </c>
      <c r="S1203" s="18" t="e">
        <f t="shared" si="186"/>
        <v>#DIV/0!</v>
      </c>
      <c r="T1203" s="17" t="e">
        <f t="shared" si="187"/>
        <v>#DIV/0!</v>
      </c>
      <c r="U1203" s="17" t="e">
        <f t="shared" si="188"/>
        <v>#DIV/0!</v>
      </c>
      <c r="V1203" s="17" t="e">
        <f t="shared" si="189"/>
        <v>#DIV/0!</v>
      </c>
      <c r="W1203" s="17" t="e">
        <f t="shared" si="190"/>
        <v>#DIV/0!</v>
      </c>
      <c r="X1203" s="17" t="e">
        <f t="shared" si="191"/>
        <v>#DIV/0!</v>
      </c>
      <c r="Y1203" s="19" t="e">
        <f t="shared" si="192"/>
        <v>#DIV/0!</v>
      </c>
      <c r="Z1203">
        <v>0</v>
      </c>
      <c r="AA1203">
        <v>0</v>
      </c>
      <c r="AB1203">
        <v>0</v>
      </c>
      <c r="AC1203">
        <v>320</v>
      </c>
      <c r="AD1203">
        <v>0</v>
      </c>
      <c r="AE1203">
        <v>0</v>
      </c>
      <c r="AF1203">
        <v>0</v>
      </c>
      <c r="AG1203">
        <v>200</v>
      </c>
      <c r="AH1203">
        <v>200</v>
      </c>
      <c r="AI1203">
        <v>0</v>
      </c>
      <c r="AJ1203">
        <v>450</v>
      </c>
      <c r="AK1203">
        <v>0</v>
      </c>
      <c r="AL1203">
        <v>450</v>
      </c>
      <c r="AM1203">
        <v>0</v>
      </c>
      <c r="AN1203">
        <v>0</v>
      </c>
      <c r="AO1203">
        <v>176</v>
      </c>
      <c r="AP1203">
        <v>116</v>
      </c>
      <c r="AQ1203">
        <v>176</v>
      </c>
      <c r="AR1203">
        <v>60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130</v>
      </c>
      <c r="BA1203">
        <v>130</v>
      </c>
      <c r="BB1203">
        <v>0</v>
      </c>
      <c r="BC1203">
        <v>0</v>
      </c>
      <c r="BD1203">
        <v>0</v>
      </c>
      <c r="BE1203">
        <f t="shared" si="193"/>
        <v>2408</v>
      </c>
      <c r="BF1203">
        <v>1300</v>
      </c>
      <c r="BG1203">
        <v>1300</v>
      </c>
      <c r="BH1203" t="s">
        <v>190</v>
      </c>
      <c r="BI1203" t="s">
        <v>1756</v>
      </c>
      <c r="BJ1203">
        <v>344</v>
      </c>
      <c r="BK1203">
        <v>956</v>
      </c>
      <c r="BL1203">
        <v>1300</v>
      </c>
      <c r="BM1203">
        <v>0</v>
      </c>
      <c r="BN1203">
        <v>450</v>
      </c>
      <c r="BO1203">
        <v>0</v>
      </c>
      <c r="BP1203">
        <v>506</v>
      </c>
      <c r="BQ1203">
        <v>956</v>
      </c>
      <c r="BR1203">
        <f t="shared" si="194"/>
        <v>-68</v>
      </c>
      <c r="BS1203">
        <f t="shared" si="195"/>
        <v>68</v>
      </c>
    </row>
    <row r="1204" spans="1:74" x14ac:dyDescent="0.25">
      <c r="A1204" s="5" t="s">
        <v>61</v>
      </c>
      <c r="B1204" s="5" t="s">
        <v>359</v>
      </c>
      <c r="C1204" s="5" t="s">
        <v>61</v>
      </c>
      <c r="D1204" s="1" t="s">
        <v>139</v>
      </c>
      <c r="E1204">
        <v>0</v>
      </c>
      <c r="F1204">
        <v>585</v>
      </c>
      <c r="G1204">
        <v>0</v>
      </c>
      <c r="H1204">
        <v>0</v>
      </c>
      <c r="I1204">
        <v>208</v>
      </c>
      <c r="J1204">
        <v>0</v>
      </c>
      <c r="K1204">
        <v>0</v>
      </c>
      <c r="L1204">
        <v>0</v>
      </c>
      <c r="M1204">
        <v>2664</v>
      </c>
      <c r="N1204">
        <v>0</v>
      </c>
      <c r="O1204">
        <v>0</v>
      </c>
      <c r="P1204">
        <v>0</v>
      </c>
      <c r="Q1204">
        <v>365</v>
      </c>
      <c r="R1204">
        <v>296</v>
      </c>
      <c r="S1204" s="18">
        <f t="shared" si="186"/>
        <v>9</v>
      </c>
      <c r="T1204" s="17">
        <f t="shared" si="187"/>
        <v>296</v>
      </c>
      <c r="U1204" s="17">
        <f t="shared" si="188"/>
        <v>0</v>
      </c>
      <c r="V1204" s="17">
        <f t="shared" si="189"/>
        <v>0</v>
      </c>
      <c r="W1204" s="17">
        <f t="shared" si="190"/>
        <v>0</v>
      </c>
      <c r="X1204" s="17">
        <f t="shared" si="191"/>
        <v>69</v>
      </c>
      <c r="Y1204" s="19">
        <f t="shared" si="192"/>
        <v>0</v>
      </c>
      <c r="Z1204">
        <v>585</v>
      </c>
      <c r="AA1204">
        <v>0</v>
      </c>
      <c r="AB1204">
        <v>0</v>
      </c>
      <c r="AC1204">
        <v>0</v>
      </c>
      <c r="AD1204">
        <v>208</v>
      </c>
      <c r="AE1204">
        <v>0</v>
      </c>
      <c r="AF1204">
        <v>0</v>
      </c>
      <c r="AG1204">
        <v>0</v>
      </c>
      <c r="AH1204">
        <v>208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f t="shared" si="193"/>
        <v>416</v>
      </c>
      <c r="BF1204">
        <v>793</v>
      </c>
      <c r="BG1204">
        <v>793</v>
      </c>
      <c r="BH1204" t="s">
        <v>109</v>
      </c>
      <c r="BI1204" t="s">
        <v>397</v>
      </c>
      <c r="BJ1204">
        <v>0</v>
      </c>
      <c r="BK1204">
        <v>208</v>
      </c>
      <c r="BL1204">
        <v>793</v>
      </c>
      <c r="BM1204">
        <v>2872</v>
      </c>
      <c r="BN1204">
        <v>0</v>
      </c>
      <c r="BO1204">
        <v>0</v>
      </c>
      <c r="BP1204">
        <v>0</v>
      </c>
      <c r="BQ1204">
        <v>2872</v>
      </c>
      <c r="BR1204">
        <f t="shared" si="194"/>
        <v>-69</v>
      </c>
      <c r="BS1204">
        <f t="shared" si="195"/>
        <v>661</v>
      </c>
    </row>
    <row r="1205" spans="1:74" x14ac:dyDescent="0.25">
      <c r="A1205" s="5" t="s">
        <v>1451</v>
      </c>
      <c r="B1205" s="5" t="s">
        <v>207</v>
      </c>
      <c r="C1205" s="5" t="s">
        <v>61</v>
      </c>
      <c r="D1205" s="1" t="s">
        <v>92</v>
      </c>
      <c r="E1205">
        <v>0</v>
      </c>
      <c r="F1205">
        <v>0</v>
      </c>
      <c r="G1205">
        <v>0</v>
      </c>
      <c r="H1205">
        <v>0</v>
      </c>
      <c r="I1205">
        <v>21</v>
      </c>
      <c r="J1205">
        <v>780</v>
      </c>
      <c r="K1205">
        <v>50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69</v>
      </c>
      <c r="R1205">
        <v>0</v>
      </c>
      <c r="S1205" s="18" t="e">
        <f t="shared" si="186"/>
        <v>#DIV/0!</v>
      </c>
      <c r="T1205" s="17" t="e">
        <f t="shared" si="187"/>
        <v>#DIV/0!</v>
      </c>
      <c r="U1205" s="17" t="e">
        <f t="shared" si="188"/>
        <v>#DIV/0!</v>
      </c>
      <c r="V1205" s="17" t="e">
        <f t="shared" si="189"/>
        <v>#DIV/0!</v>
      </c>
      <c r="W1205" s="17" t="e">
        <f t="shared" si="190"/>
        <v>#DIV/0!</v>
      </c>
      <c r="X1205" s="17" t="e">
        <f t="shared" si="191"/>
        <v>#DIV/0!</v>
      </c>
      <c r="Y1205" s="19" t="e">
        <f t="shared" si="192"/>
        <v>#DIV/0!</v>
      </c>
      <c r="Z1205">
        <v>0</v>
      </c>
      <c r="AA1205">
        <v>0</v>
      </c>
      <c r="AB1205">
        <v>40</v>
      </c>
      <c r="AC1205">
        <v>750</v>
      </c>
      <c r="AD1205">
        <v>0</v>
      </c>
      <c r="AE1205">
        <v>0</v>
      </c>
      <c r="AF1205">
        <v>0</v>
      </c>
      <c r="AG1205">
        <v>21</v>
      </c>
      <c r="AH1205">
        <v>21</v>
      </c>
      <c r="AI1205">
        <v>0</v>
      </c>
      <c r="AJ1205">
        <v>0</v>
      </c>
      <c r="AK1205">
        <v>780</v>
      </c>
      <c r="AL1205">
        <v>780</v>
      </c>
      <c r="AM1205">
        <v>0</v>
      </c>
      <c r="AN1205">
        <v>0</v>
      </c>
      <c r="AO1205">
        <v>50</v>
      </c>
      <c r="AP1205">
        <v>50</v>
      </c>
      <c r="AQ1205">
        <v>50</v>
      </c>
      <c r="AR1205">
        <v>4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100</v>
      </c>
      <c r="BB1205">
        <v>0</v>
      </c>
      <c r="BC1205">
        <v>0</v>
      </c>
      <c r="BD1205">
        <v>0</v>
      </c>
      <c r="BE1205">
        <f t="shared" si="193"/>
        <v>2606</v>
      </c>
      <c r="BF1205">
        <v>1741</v>
      </c>
      <c r="BG1205">
        <v>1741</v>
      </c>
      <c r="BH1205" t="s">
        <v>82</v>
      </c>
      <c r="BI1205" t="s">
        <v>1544</v>
      </c>
      <c r="BJ1205">
        <v>790</v>
      </c>
      <c r="BK1205">
        <v>951</v>
      </c>
      <c r="BL1205">
        <v>1741</v>
      </c>
      <c r="BM1205">
        <v>0</v>
      </c>
      <c r="BN1205">
        <v>0</v>
      </c>
      <c r="BO1205">
        <v>0</v>
      </c>
      <c r="BP1205">
        <v>851</v>
      </c>
      <c r="BQ1205">
        <v>851</v>
      </c>
      <c r="BR1205">
        <f t="shared" si="194"/>
        <v>-69</v>
      </c>
      <c r="BS1205">
        <f t="shared" si="195"/>
        <v>69</v>
      </c>
    </row>
    <row r="1206" spans="1:74" x14ac:dyDescent="0.25">
      <c r="A1206" s="5" t="s">
        <v>1017</v>
      </c>
      <c r="B1206" s="5" t="s">
        <v>61</v>
      </c>
      <c r="C1206" s="5" t="s">
        <v>61</v>
      </c>
      <c r="D1206" s="1" t="s">
        <v>92</v>
      </c>
      <c r="E1206">
        <v>432</v>
      </c>
      <c r="F1206">
        <v>377</v>
      </c>
      <c r="G1206">
        <v>0</v>
      </c>
      <c r="H1206">
        <v>0</v>
      </c>
      <c r="I1206">
        <v>0</v>
      </c>
      <c r="J1206">
        <v>5212</v>
      </c>
      <c r="K1206">
        <v>1301</v>
      </c>
      <c r="L1206">
        <v>920</v>
      </c>
      <c r="M1206">
        <v>0</v>
      </c>
      <c r="N1206">
        <v>0</v>
      </c>
      <c r="O1206">
        <v>0</v>
      </c>
      <c r="P1206">
        <v>495</v>
      </c>
      <c r="Q1206">
        <v>125</v>
      </c>
      <c r="R1206">
        <v>55</v>
      </c>
      <c r="S1206" s="18">
        <f t="shared" si="186"/>
        <v>9</v>
      </c>
      <c r="T1206" s="17">
        <f t="shared" si="187"/>
        <v>0</v>
      </c>
      <c r="U1206" s="17">
        <f t="shared" si="188"/>
        <v>0</v>
      </c>
      <c r="V1206" s="17">
        <f t="shared" si="189"/>
        <v>0</v>
      </c>
      <c r="W1206" s="17">
        <f t="shared" si="190"/>
        <v>55</v>
      </c>
      <c r="X1206" s="17">
        <f t="shared" si="191"/>
        <v>70</v>
      </c>
      <c r="Y1206" s="19">
        <f t="shared" si="192"/>
        <v>0</v>
      </c>
      <c r="Z1206">
        <v>377</v>
      </c>
      <c r="AA1206">
        <v>0</v>
      </c>
      <c r="AB1206">
        <v>0</v>
      </c>
      <c r="AC1206">
        <v>2320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5212</v>
      </c>
      <c r="AL1206">
        <v>5212</v>
      </c>
      <c r="AM1206">
        <v>0</v>
      </c>
      <c r="AN1206">
        <v>0</v>
      </c>
      <c r="AO1206">
        <v>1301</v>
      </c>
      <c r="AP1206">
        <v>611</v>
      </c>
      <c r="AQ1206">
        <v>1301</v>
      </c>
      <c r="AR1206">
        <v>690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920</v>
      </c>
      <c r="BA1206">
        <v>920</v>
      </c>
      <c r="BB1206">
        <v>0</v>
      </c>
      <c r="BC1206">
        <v>0</v>
      </c>
      <c r="BD1206">
        <v>0</v>
      </c>
      <c r="BE1206">
        <f t="shared" si="193"/>
        <v>18487</v>
      </c>
      <c r="BF1206">
        <v>8242</v>
      </c>
      <c r="BG1206">
        <v>8242</v>
      </c>
      <c r="BH1206" t="s">
        <v>190</v>
      </c>
      <c r="BI1206" t="s">
        <v>1031</v>
      </c>
      <c r="BJ1206">
        <v>2752</v>
      </c>
      <c r="BK1206">
        <v>7433</v>
      </c>
      <c r="BL1206">
        <v>10562</v>
      </c>
      <c r="BM1206">
        <v>0</v>
      </c>
      <c r="BN1206">
        <v>0</v>
      </c>
      <c r="BO1206">
        <v>0</v>
      </c>
      <c r="BP1206">
        <v>7928</v>
      </c>
      <c r="BQ1206">
        <v>7928</v>
      </c>
      <c r="BR1206">
        <f t="shared" si="194"/>
        <v>-70</v>
      </c>
      <c r="BS1206">
        <f t="shared" si="195"/>
        <v>180</v>
      </c>
    </row>
    <row r="1207" spans="1:74" x14ac:dyDescent="0.25">
      <c r="A1207" s="5" t="s">
        <v>1017</v>
      </c>
      <c r="B1207" s="5" t="s">
        <v>207</v>
      </c>
      <c r="C1207" s="5" t="s">
        <v>61</v>
      </c>
      <c r="D1207" s="1" t="s">
        <v>90</v>
      </c>
      <c r="E1207">
        <v>0</v>
      </c>
      <c r="F1207">
        <v>213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71</v>
      </c>
      <c r="R1207">
        <v>0</v>
      </c>
      <c r="S1207" s="18" t="e">
        <f t="shared" si="186"/>
        <v>#DIV/0!</v>
      </c>
      <c r="T1207" s="17" t="e">
        <f t="shared" si="187"/>
        <v>#DIV/0!</v>
      </c>
      <c r="U1207" s="17" t="e">
        <f t="shared" si="188"/>
        <v>#DIV/0!</v>
      </c>
      <c r="V1207" s="17" t="e">
        <f t="shared" si="189"/>
        <v>#DIV/0!</v>
      </c>
      <c r="W1207" s="17" t="e">
        <f t="shared" si="190"/>
        <v>#DIV/0!</v>
      </c>
      <c r="X1207" s="17" t="e">
        <f t="shared" si="191"/>
        <v>#DIV/0!</v>
      </c>
      <c r="Y1207" s="19" t="e">
        <f t="shared" si="192"/>
        <v>#DIV/0!</v>
      </c>
      <c r="Z1207">
        <v>213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f t="shared" si="193"/>
        <v>0</v>
      </c>
      <c r="BF1207">
        <v>213</v>
      </c>
      <c r="BG1207">
        <v>213</v>
      </c>
      <c r="BH1207" t="s">
        <v>109</v>
      </c>
      <c r="BI1207" t="s">
        <v>1097</v>
      </c>
      <c r="BJ1207">
        <v>0</v>
      </c>
      <c r="BK1207">
        <v>0</v>
      </c>
      <c r="BL1207">
        <v>213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f t="shared" si="194"/>
        <v>-71</v>
      </c>
      <c r="BS1207">
        <f t="shared" si="195"/>
        <v>71</v>
      </c>
    </row>
    <row r="1208" spans="1:74" x14ac:dyDescent="0.25">
      <c r="A1208" s="5" t="s">
        <v>1451</v>
      </c>
      <c r="B1208" s="5" t="s">
        <v>207</v>
      </c>
      <c r="C1208" s="5" t="s">
        <v>207</v>
      </c>
      <c r="D1208" s="1" t="s">
        <v>98</v>
      </c>
      <c r="E1208">
        <v>0</v>
      </c>
      <c r="F1208">
        <v>0</v>
      </c>
      <c r="G1208">
        <v>0</v>
      </c>
      <c r="H1208">
        <v>0</v>
      </c>
      <c r="I1208">
        <v>134</v>
      </c>
      <c r="J1208">
        <v>1088</v>
      </c>
      <c r="K1208">
        <v>62</v>
      </c>
      <c r="L1208">
        <v>14</v>
      </c>
      <c r="M1208">
        <v>0</v>
      </c>
      <c r="N1208">
        <v>0</v>
      </c>
      <c r="O1208">
        <v>0</v>
      </c>
      <c r="P1208">
        <v>0</v>
      </c>
      <c r="Q1208">
        <v>71</v>
      </c>
      <c r="R1208">
        <v>0</v>
      </c>
      <c r="S1208" s="18" t="e">
        <f t="shared" si="186"/>
        <v>#DIV/0!</v>
      </c>
      <c r="T1208" s="17" t="e">
        <f t="shared" si="187"/>
        <v>#DIV/0!</v>
      </c>
      <c r="U1208" s="17" t="e">
        <f t="shared" si="188"/>
        <v>#DIV/0!</v>
      </c>
      <c r="V1208" s="17" t="e">
        <f t="shared" si="189"/>
        <v>#DIV/0!</v>
      </c>
      <c r="W1208" s="17" t="e">
        <f t="shared" si="190"/>
        <v>#DIV/0!</v>
      </c>
      <c r="X1208" s="17" t="e">
        <f t="shared" si="191"/>
        <v>#DIV/0!</v>
      </c>
      <c r="Y1208" s="19" t="e">
        <f t="shared" si="192"/>
        <v>#DIV/0!</v>
      </c>
      <c r="Z1208">
        <v>0</v>
      </c>
      <c r="AA1208">
        <v>0</v>
      </c>
      <c r="AB1208">
        <v>0</v>
      </c>
      <c r="AC1208">
        <v>170</v>
      </c>
      <c r="AD1208">
        <v>0</v>
      </c>
      <c r="AE1208">
        <v>0</v>
      </c>
      <c r="AF1208">
        <v>0</v>
      </c>
      <c r="AG1208">
        <v>134</v>
      </c>
      <c r="AH1208">
        <v>134</v>
      </c>
      <c r="AI1208">
        <v>0</v>
      </c>
      <c r="AJ1208">
        <v>0</v>
      </c>
      <c r="AK1208">
        <v>1088</v>
      </c>
      <c r="AL1208">
        <v>1088</v>
      </c>
      <c r="AM1208">
        <v>0</v>
      </c>
      <c r="AN1208">
        <v>0</v>
      </c>
      <c r="AO1208">
        <v>62</v>
      </c>
      <c r="AP1208">
        <v>43</v>
      </c>
      <c r="AQ1208">
        <v>62</v>
      </c>
      <c r="AR1208">
        <v>19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14</v>
      </c>
      <c r="BA1208">
        <v>14</v>
      </c>
      <c r="BB1208">
        <v>0</v>
      </c>
      <c r="BC1208">
        <v>0</v>
      </c>
      <c r="BD1208">
        <v>0</v>
      </c>
      <c r="BE1208">
        <f t="shared" si="193"/>
        <v>2828</v>
      </c>
      <c r="BF1208">
        <v>1468</v>
      </c>
      <c r="BG1208">
        <v>1468</v>
      </c>
      <c r="BH1208" t="s">
        <v>82</v>
      </c>
      <c r="BI1208" t="s">
        <v>1572</v>
      </c>
      <c r="BJ1208">
        <v>170</v>
      </c>
      <c r="BK1208">
        <v>1298</v>
      </c>
      <c r="BL1208">
        <v>1468</v>
      </c>
      <c r="BM1208">
        <v>0</v>
      </c>
      <c r="BN1208">
        <v>0</v>
      </c>
      <c r="BO1208">
        <v>0</v>
      </c>
      <c r="BP1208">
        <v>1298</v>
      </c>
      <c r="BQ1208">
        <v>1298</v>
      </c>
      <c r="BR1208">
        <f t="shared" si="194"/>
        <v>-71</v>
      </c>
      <c r="BS1208">
        <f t="shared" si="195"/>
        <v>71</v>
      </c>
    </row>
    <row r="1209" spans="1:74" x14ac:dyDescent="0.25">
      <c r="A1209" s="5" t="s">
        <v>1661</v>
      </c>
      <c r="B1209" s="5" t="s">
        <v>207</v>
      </c>
      <c r="C1209" s="5" t="s">
        <v>207</v>
      </c>
      <c r="D1209" s="1" t="s">
        <v>94</v>
      </c>
      <c r="E1209">
        <v>0</v>
      </c>
      <c r="F1209">
        <v>30</v>
      </c>
      <c r="G1209">
        <v>0</v>
      </c>
      <c r="H1209">
        <v>0</v>
      </c>
      <c r="I1209">
        <v>0</v>
      </c>
      <c r="J1209">
        <v>583</v>
      </c>
      <c r="K1209">
        <v>102</v>
      </c>
      <c r="L1209">
        <v>0</v>
      </c>
      <c r="M1209">
        <v>0</v>
      </c>
      <c r="N1209">
        <v>0</v>
      </c>
      <c r="O1209">
        <v>0</v>
      </c>
      <c r="P1209">
        <v>90</v>
      </c>
      <c r="Q1209">
        <v>81</v>
      </c>
      <c r="R1209">
        <v>10</v>
      </c>
      <c r="S1209" s="18">
        <f t="shared" si="186"/>
        <v>9</v>
      </c>
      <c r="T1209" s="17">
        <f t="shared" si="187"/>
        <v>0</v>
      </c>
      <c r="U1209" s="17">
        <f t="shared" si="188"/>
        <v>0</v>
      </c>
      <c r="V1209" s="17">
        <f t="shared" si="189"/>
        <v>0</v>
      </c>
      <c r="W1209" s="17">
        <f t="shared" si="190"/>
        <v>10</v>
      </c>
      <c r="X1209" s="17">
        <f t="shared" si="191"/>
        <v>71</v>
      </c>
      <c r="Y1209" s="19">
        <f t="shared" si="192"/>
        <v>0</v>
      </c>
      <c r="Z1209">
        <v>30</v>
      </c>
      <c r="AA1209">
        <v>0</v>
      </c>
      <c r="AB1209">
        <v>0</v>
      </c>
      <c r="AC1209">
        <v>695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583</v>
      </c>
      <c r="AL1209">
        <v>583</v>
      </c>
      <c r="AM1209">
        <v>0</v>
      </c>
      <c r="AN1209">
        <v>0</v>
      </c>
      <c r="AO1209">
        <v>102</v>
      </c>
      <c r="AP1209">
        <v>47</v>
      </c>
      <c r="AQ1209">
        <v>102</v>
      </c>
      <c r="AR1209">
        <v>55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f t="shared" si="193"/>
        <v>2167</v>
      </c>
      <c r="BF1209">
        <v>1410</v>
      </c>
      <c r="BG1209">
        <v>1410</v>
      </c>
      <c r="BH1209" t="s">
        <v>82</v>
      </c>
      <c r="BI1209" t="s">
        <v>1807</v>
      </c>
      <c r="BJ1209">
        <v>695</v>
      </c>
      <c r="BK1209">
        <v>685</v>
      </c>
      <c r="BL1209">
        <v>1410</v>
      </c>
      <c r="BM1209">
        <v>0</v>
      </c>
      <c r="BN1209">
        <v>0</v>
      </c>
      <c r="BO1209">
        <v>0</v>
      </c>
      <c r="BP1209">
        <v>775</v>
      </c>
      <c r="BQ1209">
        <v>775</v>
      </c>
      <c r="BR1209">
        <f t="shared" si="194"/>
        <v>-71</v>
      </c>
      <c r="BS1209">
        <f t="shared" si="195"/>
        <v>91</v>
      </c>
    </row>
    <row r="1210" spans="1:74" x14ac:dyDescent="0.25">
      <c r="A1210" s="5" t="s">
        <v>1946</v>
      </c>
      <c r="B1210" s="5" t="s">
        <v>61</v>
      </c>
      <c r="C1210" s="5" t="s">
        <v>61</v>
      </c>
      <c r="D1210" s="1" t="s">
        <v>165</v>
      </c>
      <c r="E1210">
        <v>26</v>
      </c>
      <c r="F1210">
        <v>0</v>
      </c>
      <c r="G1210">
        <v>0</v>
      </c>
      <c r="H1210">
        <v>0</v>
      </c>
      <c r="I1210">
        <v>15</v>
      </c>
      <c r="J1210">
        <v>509</v>
      </c>
      <c r="K1210">
        <v>157</v>
      </c>
      <c r="L1210">
        <v>77</v>
      </c>
      <c r="M1210">
        <v>0</v>
      </c>
      <c r="N1210">
        <v>0</v>
      </c>
      <c r="O1210">
        <v>0</v>
      </c>
      <c r="P1210">
        <v>0</v>
      </c>
      <c r="Q1210">
        <v>71</v>
      </c>
      <c r="R1210">
        <v>0</v>
      </c>
      <c r="S1210" s="18" t="e">
        <f t="shared" si="186"/>
        <v>#DIV/0!</v>
      </c>
      <c r="T1210" s="17" t="e">
        <f t="shared" si="187"/>
        <v>#DIV/0!</v>
      </c>
      <c r="U1210" s="17" t="e">
        <f t="shared" si="188"/>
        <v>#DIV/0!</v>
      </c>
      <c r="V1210" s="17" t="e">
        <f t="shared" si="189"/>
        <v>#DIV/0!</v>
      </c>
      <c r="W1210" s="17" t="e">
        <f t="shared" si="190"/>
        <v>#DIV/0!</v>
      </c>
      <c r="X1210" s="17" t="e">
        <f t="shared" si="191"/>
        <v>#DIV/0!</v>
      </c>
      <c r="Y1210" s="19" t="e">
        <f t="shared" si="192"/>
        <v>#DIV/0!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15</v>
      </c>
      <c r="AH1210">
        <v>15</v>
      </c>
      <c r="AI1210">
        <v>0</v>
      </c>
      <c r="AJ1210">
        <v>0</v>
      </c>
      <c r="AK1210">
        <v>509</v>
      </c>
      <c r="AL1210">
        <v>509</v>
      </c>
      <c r="AM1210">
        <v>0</v>
      </c>
      <c r="AN1210">
        <v>0</v>
      </c>
      <c r="AO1210">
        <v>157</v>
      </c>
      <c r="AP1210">
        <v>0</v>
      </c>
      <c r="AQ1210">
        <v>157</v>
      </c>
      <c r="AR1210">
        <v>157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77</v>
      </c>
      <c r="BA1210">
        <v>77</v>
      </c>
      <c r="BB1210">
        <v>0</v>
      </c>
      <c r="BC1210">
        <v>0</v>
      </c>
      <c r="BD1210">
        <v>0</v>
      </c>
      <c r="BE1210">
        <f t="shared" si="193"/>
        <v>1673</v>
      </c>
      <c r="BF1210">
        <v>784</v>
      </c>
      <c r="BG1210">
        <v>784</v>
      </c>
      <c r="BH1210" t="s">
        <v>190</v>
      </c>
      <c r="BI1210" t="s">
        <v>1994</v>
      </c>
      <c r="BJ1210">
        <v>26</v>
      </c>
      <c r="BK1210">
        <v>758</v>
      </c>
      <c r="BL1210">
        <v>784</v>
      </c>
      <c r="BM1210">
        <v>0</v>
      </c>
      <c r="BN1210">
        <v>0</v>
      </c>
      <c r="BO1210">
        <v>0</v>
      </c>
      <c r="BP1210">
        <v>758</v>
      </c>
      <c r="BQ1210">
        <v>758</v>
      </c>
      <c r="BR1210">
        <f t="shared" si="194"/>
        <v>-71</v>
      </c>
      <c r="BS1210">
        <f t="shared" si="195"/>
        <v>71</v>
      </c>
    </row>
    <row r="1211" spans="1:74" x14ac:dyDescent="0.25">
      <c r="A1211" s="5" t="s">
        <v>61</v>
      </c>
      <c r="B1211" s="5" t="s">
        <v>207</v>
      </c>
      <c r="C1211" s="5" t="s">
        <v>61</v>
      </c>
      <c r="D1211" s="1" t="s">
        <v>171</v>
      </c>
      <c r="E1211">
        <v>0</v>
      </c>
      <c r="F1211">
        <v>213</v>
      </c>
      <c r="G1211">
        <v>0</v>
      </c>
      <c r="H1211">
        <v>0</v>
      </c>
      <c r="I1211">
        <v>118</v>
      </c>
      <c r="J1211">
        <v>0</v>
      </c>
      <c r="K1211">
        <v>0</v>
      </c>
      <c r="L1211">
        <v>0</v>
      </c>
      <c r="M1211">
        <v>1917</v>
      </c>
      <c r="N1211">
        <v>0</v>
      </c>
      <c r="O1211">
        <v>0</v>
      </c>
      <c r="P1211">
        <v>0</v>
      </c>
      <c r="Q1211">
        <v>285</v>
      </c>
      <c r="R1211">
        <v>213</v>
      </c>
      <c r="S1211" s="18">
        <f t="shared" si="186"/>
        <v>9</v>
      </c>
      <c r="T1211" s="17">
        <f t="shared" si="187"/>
        <v>213</v>
      </c>
      <c r="U1211" s="17">
        <f t="shared" si="188"/>
        <v>0</v>
      </c>
      <c r="V1211" s="17">
        <f t="shared" si="189"/>
        <v>0</v>
      </c>
      <c r="W1211" s="17">
        <f t="shared" si="190"/>
        <v>0</v>
      </c>
      <c r="X1211" s="17">
        <f t="shared" si="191"/>
        <v>72</v>
      </c>
      <c r="Y1211" s="19">
        <f t="shared" si="192"/>
        <v>0</v>
      </c>
      <c r="Z1211">
        <v>213</v>
      </c>
      <c r="AA1211">
        <v>0</v>
      </c>
      <c r="AB1211">
        <v>0</v>
      </c>
      <c r="AC1211">
        <v>0</v>
      </c>
      <c r="AD1211">
        <v>118</v>
      </c>
      <c r="AE1211">
        <v>0</v>
      </c>
      <c r="AF1211">
        <v>0</v>
      </c>
      <c r="AG1211">
        <v>0</v>
      </c>
      <c r="AH1211">
        <v>118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f t="shared" si="193"/>
        <v>236</v>
      </c>
      <c r="BF1211">
        <v>331</v>
      </c>
      <c r="BG1211">
        <v>331</v>
      </c>
      <c r="BH1211" t="s">
        <v>109</v>
      </c>
      <c r="BI1211" t="s">
        <v>262</v>
      </c>
      <c r="BJ1211">
        <v>0</v>
      </c>
      <c r="BK1211">
        <v>118</v>
      </c>
      <c r="BL1211">
        <v>331</v>
      </c>
      <c r="BM1211">
        <v>2035</v>
      </c>
      <c r="BN1211">
        <v>0</v>
      </c>
      <c r="BO1211">
        <v>0</v>
      </c>
      <c r="BP1211">
        <v>0</v>
      </c>
      <c r="BQ1211">
        <v>2035</v>
      </c>
      <c r="BR1211">
        <f t="shared" si="194"/>
        <v>-72</v>
      </c>
      <c r="BS1211">
        <f t="shared" si="195"/>
        <v>498</v>
      </c>
    </row>
    <row r="1212" spans="1:74" x14ac:dyDescent="0.25">
      <c r="A1212" s="5" t="s">
        <v>1451</v>
      </c>
      <c r="B1212" s="5" t="s">
        <v>207</v>
      </c>
      <c r="C1212" s="5" t="s">
        <v>207</v>
      </c>
      <c r="D1212" s="1" t="s">
        <v>104</v>
      </c>
      <c r="E1212">
        <v>0</v>
      </c>
      <c r="F1212">
        <v>418</v>
      </c>
      <c r="G1212">
        <v>0</v>
      </c>
      <c r="H1212">
        <v>0</v>
      </c>
      <c r="I1212">
        <v>65</v>
      </c>
      <c r="J1212">
        <v>0</v>
      </c>
      <c r="K1212">
        <v>1317</v>
      </c>
      <c r="L1212">
        <v>0</v>
      </c>
      <c r="M1212">
        <v>0</v>
      </c>
      <c r="N1212">
        <v>0</v>
      </c>
      <c r="O1212">
        <v>0</v>
      </c>
      <c r="P1212">
        <v>1773</v>
      </c>
      <c r="Q1212">
        <v>269</v>
      </c>
      <c r="R1212">
        <v>197</v>
      </c>
      <c r="S1212" s="18">
        <f t="shared" si="186"/>
        <v>9</v>
      </c>
      <c r="T1212" s="17">
        <f t="shared" si="187"/>
        <v>0</v>
      </c>
      <c r="U1212" s="17">
        <f t="shared" si="188"/>
        <v>0</v>
      </c>
      <c r="V1212" s="17">
        <f t="shared" si="189"/>
        <v>0</v>
      </c>
      <c r="W1212" s="17">
        <f t="shared" si="190"/>
        <v>197</v>
      </c>
      <c r="X1212" s="17">
        <f t="shared" si="191"/>
        <v>72</v>
      </c>
      <c r="Y1212" s="19">
        <f t="shared" si="192"/>
        <v>0</v>
      </c>
      <c r="Z1212">
        <v>418</v>
      </c>
      <c r="AA1212">
        <v>0</v>
      </c>
      <c r="AB1212">
        <v>0</v>
      </c>
      <c r="AC1212">
        <v>145</v>
      </c>
      <c r="AD1212">
        <v>0</v>
      </c>
      <c r="AE1212">
        <v>0</v>
      </c>
      <c r="AF1212">
        <v>0</v>
      </c>
      <c r="AG1212">
        <v>65</v>
      </c>
      <c r="AH1212">
        <v>65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1317</v>
      </c>
      <c r="AP1212">
        <v>557</v>
      </c>
      <c r="AQ1212">
        <v>1317</v>
      </c>
      <c r="AR1212">
        <v>760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f t="shared" si="193"/>
        <v>4226</v>
      </c>
      <c r="BF1212">
        <v>1945</v>
      </c>
      <c r="BG1212">
        <v>1945</v>
      </c>
      <c r="BH1212" t="s">
        <v>82</v>
      </c>
      <c r="BI1212" t="s">
        <v>1264</v>
      </c>
      <c r="BJ1212">
        <v>145</v>
      </c>
      <c r="BK1212">
        <v>1382</v>
      </c>
      <c r="BL1212">
        <v>1945</v>
      </c>
      <c r="BM1212">
        <v>0</v>
      </c>
      <c r="BN1212">
        <v>0</v>
      </c>
      <c r="BO1212">
        <v>0</v>
      </c>
      <c r="BP1212">
        <v>3155</v>
      </c>
      <c r="BQ1212">
        <v>3155</v>
      </c>
      <c r="BR1212">
        <f t="shared" si="194"/>
        <v>-72</v>
      </c>
      <c r="BS1212">
        <f t="shared" si="195"/>
        <v>466</v>
      </c>
    </row>
    <row r="1213" spans="1:74" x14ac:dyDescent="0.25">
      <c r="A1213" s="5" t="s">
        <v>1661</v>
      </c>
      <c r="B1213" s="5" t="s">
        <v>61</v>
      </c>
      <c r="C1213" s="6" t="s">
        <v>61</v>
      </c>
      <c r="D1213" s="1" t="s">
        <v>86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840</v>
      </c>
      <c r="K1213">
        <v>150</v>
      </c>
      <c r="L1213">
        <v>42</v>
      </c>
      <c r="M1213">
        <v>0</v>
      </c>
      <c r="N1213">
        <v>0</v>
      </c>
      <c r="O1213">
        <v>0</v>
      </c>
      <c r="P1213">
        <v>0</v>
      </c>
      <c r="Q1213">
        <v>72</v>
      </c>
      <c r="R1213">
        <v>0</v>
      </c>
      <c r="S1213" s="18" t="e">
        <f t="shared" si="186"/>
        <v>#DIV/0!</v>
      </c>
      <c r="T1213" s="17" t="e">
        <f t="shared" si="187"/>
        <v>#DIV/0!</v>
      </c>
      <c r="U1213" s="17" t="e">
        <f t="shared" si="188"/>
        <v>#DIV/0!</v>
      </c>
      <c r="V1213" s="17" t="e">
        <f t="shared" si="189"/>
        <v>#DIV/0!</v>
      </c>
      <c r="W1213" s="17" t="e">
        <f t="shared" si="190"/>
        <v>#DIV/0!</v>
      </c>
      <c r="X1213" s="17" t="e">
        <f t="shared" si="191"/>
        <v>#DIV/0!</v>
      </c>
      <c r="Y1213" s="19" t="e">
        <f t="shared" si="192"/>
        <v>#DIV/0!</v>
      </c>
      <c r="Z1213">
        <v>0</v>
      </c>
      <c r="AA1213">
        <v>0</v>
      </c>
      <c r="AB1213">
        <v>0</v>
      </c>
      <c r="AC1213">
        <v>534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840</v>
      </c>
      <c r="AL1213">
        <v>840</v>
      </c>
      <c r="AM1213">
        <v>0</v>
      </c>
      <c r="AN1213">
        <v>0</v>
      </c>
      <c r="AO1213">
        <v>150</v>
      </c>
      <c r="AP1213">
        <v>72</v>
      </c>
      <c r="AQ1213">
        <v>150</v>
      </c>
      <c r="AR1213">
        <v>78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42</v>
      </c>
      <c r="BA1213">
        <v>42</v>
      </c>
      <c r="BB1213">
        <v>0</v>
      </c>
      <c r="BC1213">
        <v>0</v>
      </c>
      <c r="BD1213">
        <v>0</v>
      </c>
      <c r="BE1213">
        <f t="shared" si="193"/>
        <v>2748</v>
      </c>
      <c r="BF1213">
        <v>1566</v>
      </c>
      <c r="BG1213">
        <v>1566</v>
      </c>
      <c r="BH1213" t="s">
        <v>82</v>
      </c>
      <c r="BI1213" t="s">
        <v>1672</v>
      </c>
      <c r="BJ1213">
        <v>534</v>
      </c>
      <c r="BK1213">
        <v>1032</v>
      </c>
      <c r="BL1213">
        <v>1566</v>
      </c>
      <c r="BM1213">
        <v>0</v>
      </c>
      <c r="BN1213">
        <v>0</v>
      </c>
      <c r="BO1213">
        <v>0</v>
      </c>
      <c r="BP1213">
        <v>1032</v>
      </c>
      <c r="BQ1213">
        <v>1032</v>
      </c>
      <c r="BR1213">
        <f t="shared" si="194"/>
        <v>-72</v>
      </c>
      <c r="BS1213">
        <f t="shared" si="195"/>
        <v>72</v>
      </c>
    </row>
    <row r="1214" spans="1:74" x14ac:dyDescent="0.25">
      <c r="A1214" s="5" t="s">
        <v>1017</v>
      </c>
      <c r="B1214" s="5" t="s">
        <v>207</v>
      </c>
      <c r="C1214" s="7" t="s">
        <v>207</v>
      </c>
      <c r="D1214" s="1" t="s">
        <v>62</v>
      </c>
      <c r="E1214">
        <v>0</v>
      </c>
      <c r="F1214">
        <v>41</v>
      </c>
      <c r="G1214">
        <v>0</v>
      </c>
      <c r="H1214">
        <v>0</v>
      </c>
      <c r="I1214">
        <v>668</v>
      </c>
      <c r="J1214">
        <v>0</v>
      </c>
      <c r="K1214">
        <v>921</v>
      </c>
      <c r="L1214">
        <v>333</v>
      </c>
      <c r="M1214">
        <v>0</v>
      </c>
      <c r="N1214">
        <v>0</v>
      </c>
      <c r="O1214">
        <v>0</v>
      </c>
      <c r="P1214">
        <v>369</v>
      </c>
      <c r="Q1214">
        <v>320</v>
      </c>
      <c r="R1214">
        <v>41</v>
      </c>
      <c r="S1214" s="18">
        <f t="shared" si="186"/>
        <v>9</v>
      </c>
      <c r="T1214" s="17">
        <f t="shared" si="187"/>
        <v>0</v>
      </c>
      <c r="U1214" s="17">
        <f t="shared" si="188"/>
        <v>0</v>
      </c>
      <c r="V1214" s="17">
        <f t="shared" si="189"/>
        <v>0</v>
      </c>
      <c r="W1214" s="17">
        <f t="shared" si="190"/>
        <v>41</v>
      </c>
      <c r="X1214" s="17">
        <f t="shared" si="191"/>
        <v>279</v>
      </c>
      <c r="Y1214" s="19">
        <f t="shared" si="192"/>
        <v>0</v>
      </c>
      <c r="Z1214">
        <v>41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668</v>
      </c>
      <c r="AH1214">
        <v>668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921</v>
      </c>
      <c r="AP1214">
        <v>921</v>
      </c>
      <c r="AQ1214">
        <v>921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333</v>
      </c>
      <c r="BA1214">
        <v>333</v>
      </c>
      <c r="BB1214">
        <v>0</v>
      </c>
      <c r="BC1214">
        <v>0</v>
      </c>
      <c r="BD1214">
        <v>0</v>
      </c>
      <c r="BE1214">
        <f t="shared" si="193"/>
        <v>4765</v>
      </c>
      <c r="BF1214">
        <v>1963</v>
      </c>
      <c r="BG1214">
        <v>1963</v>
      </c>
      <c r="BH1214" t="s">
        <v>63</v>
      </c>
      <c r="BI1214" t="s">
        <v>1108</v>
      </c>
      <c r="BJ1214">
        <v>0</v>
      </c>
      <c r="BK1214">
        <v>1922</v>
      </c>
      <c r="BL1214">
        <v>1963</v>
      </c>
      <c r="BM1214">
        <v>0</v>
      </c>
      <c r="BN1214">
        <v>0</v>
      </c>
      <c r="BO1214">
        <v>0</v>
      </c>
      <c r="BP1214">
        <v>2291</v>
      </c>
      <c r="BQ1214">
        <v>2291</v>
      </c>
      <c r="BR1214">
        <f t="shared" si="194"/>
        <v>-279</v>
      </c>
      <c r="BS1214">
        <f t="shared" si="195"/>
        <v>361</v>
      </c>
      <c r="BU1214">
        <f>R1214*9</f>
        <v>369</v>
      </c>
      <c r="BV1214">
        <f>IF(BU1214&gt;BG1214, 1, 0)</f>
        <v>0</v>
      </c>
    </row>
    <row r="1215" spans="1:74" x14ac:dyDescent="0.25">
      <c r="A1215" s="5" t="s">
        <v>2090</v>
      </c>
      <c r="B1215" s="5" t="s">
        <v>61</v>
      </c>
      <c r="C1215" s="5" t="s">
        <v>61</v>
      </c>
      <c r="D1215" s="1" t="s">
        <v>157</v>
      </c>
      <c r="E1215">
        <v>0</v>
      </c>
      <c r="F1215">
        <v>380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1305</v>
      </c>
      <c r="N1215">
        <v>0</v>
      </c>
      <c r="O1215">
        <v>0</v>
      </c>
      <c r="P1215">
        <v>0</v>
      </c>
      <c r="Q1215">
        <v>217</v>
      </c>
      <c r="R1215">
        <v>145</v>
      </c>
      <c r="S1215" s="18">
        <f t="shared" si="186"/>
        <v>9</v>
      </c>
      <c r="T1215" s="17">
        <f t="shared" si="187"/>
        <v>145</v>
      </c>
      <c r="U1215" s="17">
        <f t="shared" si="188"/>
        <v>0</v>
      </c>
      <c r="V1215" s="17">
        <f t="shared" si="189"/>
        <v>0</v>
      </c>
      <c r="W1215" s="17">
        <f t="shared" si="190"/>
        <v>0</v>
      </c>
      <c r="X1215" s="17">
        <f t="shared" si="191"/>
        <v>72</v>
      </c>
      <c r="Y1215" s="19">
        <f t="shared" si="192"/>
        <v>0</v>
      </c>
      <c r="Z1215">
        <v>380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f t="shared" si="193"/>
        <v>0</v>
      </c>
      <c r="BF1215">
        <v>380</v>
      </c>
      <c r="BG1215">
        <v>380</v>
      </c>
      <c r="BH1215" t="s">
        <v>109</v>
      </c>
      <c r="BI1215" t="s">
        <v>2134</v>
      </c>
      <c r="BJ1215">
        <v>0</v>
      </c>
      <c r="BK1215">
        <v>0</v>
      </c>
      <c r="BL1215">
        <v>380</v>
      </c>
      <c r="BM1215">
        <v>1305</v>
      </c>
      <c r="BN1215">
        <v>0</v>
      </c>
      <c r="BO1215">
        <v>0</v>
      </c>
      <c r="BP1215">
        <v>0</v>
      </c>
      <c r="BQ1215">
        <v>1305</v>
      </c>
      <c r="BR1215">
        <f t="shared" si="194"/>
        <v>-72</v>
      </c>
      <c r="BS1215">
        <f t="shared" si="195"/>
        <v>362</v>
      </c>
    </row>
    <row r="1216" spans="1:74" x14ac:dyDescent="0.25">
      <c r="A1216" s="5" t="s">
        <v>61</v>
      </c>
      <c r="B1216" s="5" t="s">
        <v>61</v>
      </c>
      <c r="C1216" s="5" t="s">
        <v>61</v>
      </c>
      <c r="D1216" s="1" t="s">
        <v>175</v>
      </c>
      <c r="E1216">
        <v>0</v>
      </c>
      <c r="F1216">
        <v>190</v>
      </c>
      <c r="G1216">
        <v>0</v>
      </c>
      <c r="H1216">
        <v>0</v>
      </c>
      <c r="I1216">
        <v>168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1242</v>
      </c>
      <c r="Q1216">
        <v>211</v>
      </c>
      <c r="R1216">
        <v>138</v>
      </c>
      <c r="S1216" s="18">
        <f t="shared" si="186"/>
        <v>9</v>
      </c>
      <c r="T1216" s="17">
        <f t="shared" si="187"/>
        <v>0</v>
      </c>
      <c r="U1216" s="17">
        <f t="shared" si="188"/>
        <v>0</v>
      </c>
      <c r="V1216" s="17">
        <f t="shared" si="189"/>
        <v>0</v>
      </c>
      <c r="W1216" s="17">
        <f t="shared" si="190"/>
        <v>138</v>
      </c>
      <c r="X1216" s="17">
        <f t="shared" si="191"/>
        <v>73</v>
      </c>
      <c r="Y1216" s="19">
        <f t="shared" si="192"/>
        <v>0</v>
      </c>
      <c r="Z1216">
        <v>190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168</v>
      </c>
      <c r="AH1216">
        <v>168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f t="shared" si="193"/>
        <v>336</v>
      </c>
      <c r="BF1216">
        <v>358</v>
      </c>
      <c r="BG1216">
        <v>358</v>
      </c>
      <c r="BH1216" t="s">
        <v>109</v>
      </c>
      <c r="BI1216" t="s">
        <v>176</v>
      </c>
      <c r="BJ1216">
        <v>0</v>
      </c>
      <c r="BK1216">
        <v>168</v>
      </c>
      <c r="BL1216">
        <v>358</v>
      </c>
      <c r="BM1216">
        <v>0</v>
      </c>
      <c r="BN1216">
        <v>0</v>
      </c>
      <c r="BO1216">
        <v>0</v>
      </c>
      <c r="BP1216">
        <v>1410</v>
      </c>
      <c r="BQ1216">
        <v>1410</v>
      </c>
      <c r="BR1216">
        <f t="shared" si="194"/>
        <v>-73</v>
      </c>
      <c r="BS1216">
        <f t="shared" si="195"/>
        <v>349</v>
      </c>
    </row>
    <row r="1217" spans="1:74" x14ac:dyDescent="0.25">
      <c r="A1217" s="5" t="s">
        <v>207</v>
      </c>
      <c r="B1217" s="5" t="s">
        <v>61</v>
      </c>
      <c r="C1217" s="5" t="s">
        <v>61</v>
      </c>
      <c r="D1217" s="1" t="s">
        <v>77</v>
      </c>
      <c r="E1217">
        <v>0</v>
      </c>
      <c r="F1217">
        <v>232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2088</v>
      </c>
      <c r="N1217">
        <v>0</v>
      </c>
      <c r="O1217">
        <v>0</v>
      </c>
      <c r="P1217">
        <v>0</v>
      </c>
      <c r="Q1217">
        <v>305</v>
      </c>
      <c r="R1217">
        <v>232</v>
      </c>
      <c r="S1217" s="18">
        <f t="shared" si="186"/>
        <v>9</v>
      </c>
      <c r="T1217" s="17">
        <f t="shared" si="187"/>
        <v>232</v>
      </c>
      <c r="U1217" s="17">
        <f t="shared" si="188"/>
        <v>0</v>
      </c>
      <c r="V1217" s="17">
        <f t="shared" si="189"/>
        <v>0</v>
      </c>
      <c r="W1217" s="17">
        <f t="shared" si="190"/>
        <v>0</v>
      </c>
      <c r="X1217" s="17">
        <f t="shared" si="191"/>
        <v>73</v>
      </c>
      <c r="Y1217" s="19">
        <f t="shared" si="192"/>
        <v>0</v>
      </c>
      <c r="Z1217">
        <v>232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f t="shared" si="193"/>
        <v>0</v>
      </c>
      <c r="BF1217">
        <v>232</v>
      </c>
      <c r="BG1217">
        <v>232</v>
      </c>
      <c r="BH1217" t="s">
        <v>109</v>
      </c>
      <c r="BI1217" t="s">
        <v>433</v>
      </c>
      <c r="BJ1217">
        <v>0</v>
      </c>
      <c r="BK1217">
        <v>0</v>
      </c>
      <c r="BL1217">
        <v>232</v>
      </c>
      <c r="BM1217">
        <v>2088</v>
      </c>
      <c r="BN1217">
        <v>0</v>
      </c>
      <c r="BO1217">
        <v>0</v>
      </c>
      <c r="BP1217">
        <v>0</v>
      </c>
      <c r="BQ1217">
        <v>2088</v>
      </c>
      <c r="BR1217">
        <f t="shared" si="194"/>
        <v>-73</v>
      </c>
      <c r="BS1217">
        <f t="shared" si="195"/>
        <v>537</v>
      </c>
    </row>
    <row r="1218" spans="1:74" x14ac:dyDescent="0.25">
      <c r="A1218" s="6" t="s">
        <v>207</v>
      </c>
      <c r="B1218" s="6" t="s">
        <v>359</v>
      </c>
      <c r="C1218" s="6" t="s">
        <v>61</v>
      </c>
      <c r="D1218" s="1" t="s">
        <v>135</v>
      </c>
      <c r="E1218">
        <v>0</v>
      </c>
      <c r="F1218">
        <v>0</v>
      </c>
      <c r="G1218">
        <v>0</v>
      </c>
      <c r="H1218">
        <v>0</v>
      </c>
      <c r="I1218">
        <v>20</v>
      </c>
      <c r="J1218">
        <v>670</v>
      </c>
      <c r="K1218">
        <v>124</v>
      </c>
      <c r="L1218">
        <v>20</v>
      </c>
      <c r="M1218">
        <v>0</v>
      </c>
      <c r="N1218">
        <v>0</v>
      </c>
      <c r="O1218">
        <v>0</v>
      </c>
      <c r="P1218">
        <v>0</v>
      </c>
      <c r="Q1218">
        <v>73</v>
      </c>
      <c r="R1218">
        <v>0</v>
      </c>
      <c r="S1218" s="18" t="e">
        <f t="shared" ref="S1218:S1281" si="196">(M1218+N1218+O1218+P1218)/R1218</f>
        <v>#DIV/0!</v>
      </c>
      <c r="T1218" s="17" t="e">
        <f t="shared" ref="T1218:T1281" si="197">M1218/$S1218</f>
        <v>#DIV/0!</v>
      </c>
      <c r="U1218" s="17" t="e">
        <f t="shared" ref="U1218:U1281" si="198">N1218/$S1218</f>
        <v>#DIV/0!</v>
      </c>
      <c r="V1218" s="17" t="e">
        <f t="shared" ref="V1218:V1281" si="199">O1218/$S1218</f>
        <v>#DIV/0!</v>
      </c>
      <c r="W1218" s="17" t="e">
        <f t="shared" ref="W1218:W1281" si="200">P1218/$S1218</f>
        <v>#DIV/0!</v>
      </c>
      <c r="X1218" s="17" t="e">
        <f t="shared" ref="X1218:X1281" si="201">Q1218-T1218-U1218-W1218</f>
        <v>#DIV/0!</v>
      </c>
      <c r="Y1218" s="19" t="e">
        <f t="shared" ref="Y1218:Y1281" si="202">V1218/X1218</f>
        <v>#DIV/0!</v>
      </c>
      <c r="Z1218">
        <v>0</v>
      </c>
      <c r="AA1218">
        <v>4</v>
      </c>
      <c r="AB1218">
        <v>0</v>
      </c>
      <c r="AC1218">
        <v>410</v>
      </c>
      <c r="AD1218">
        <v>0</v>
      </c>
      <c r="AE1218">
        <v>0</v>
      </c>
      <c r="AF1218">
        <v>0</v>
      </c>
      <c r="AG1218">
        <v>20</v>
      </c>
      <c r="AH1218">
        <v>20</v>
      </c>
      <c r="AI1218">
        <v>0</v>
      </c>
      <c r="AJ1218">
        <v>0</v>
      </c>
      <c r="AK1218">
        <v>670</v>
      </c>
      <c r="AL1218">
        <v>670</v>
      </c>
      <c r="AM1218">
        <v>0</v>
      </c>
      <c r="AN1218">
        <v>0</v>
      </c>
      <c r="AO1218">
        <v>124</v>
      </c>
      <c r="AP1218">
        <v>80</v>
      </c>
      <c r="AQ1218">
        <v>124</v>
      </c>
      <c r="AR1218">
        <v>44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20</v>
      </c>
      <c r="BA1218">
        <v>20</v>
      </c>
      <c r="BB1218">
        <v>0</v>
      </c>
      <c r="BC1218">
        <v>0</v>
      </c>
      <c r="BD1218">
        <v>0</v>
      </c>
      <c r="BE1218">
        <f t="shared" ref="BE1218:BE1281" si="203">SUM(AC1218:BD1218)</f>
        <v>2202</v>
      </c>
      <c r="BF1218">
        <v>1248</v>
      </c>
      <c r="BG1218">
        <v>1248</v>
      </c>
      <c r="BH1218" t="s">
        <v>82</v>
      </c>
      <c r="BI1218" t="s">
        <v>623</v>
      </c>
      <c r="BJ1218">
        <v>414</v>
      </c>
      <c r="BK1218">
        <v>834</v>
      </c>
      <c r="BL1218">
        <v>1248</v>
      </c>
      <c r="BM1218">
        <v>0</v>
      </c>
      <c r="BN1218">
        <v>0</v>
      </c>
      <c r="BO1218">
        <v>0</v>
      </c>
      <c r="BP1218">
        <v>834</v>
      </c>
      <c r="BQ1218">
        <v>834</v>
      </c>
      <c r="BR1218">
        <f t="shared" ref="BR1218:BR1281" si="204">R1218-Q1218</f>
        <v>-73</v>
      </c>
      <c r="BS1218">
        <f t="shared" ref="BS1218:BS1281" si="205">R1218+Q1218</f>
        <v>73</v>
      </c>
    </row>
    <row r="1219" spans="1:74" x14ac:dyDescent="0.25">
      <c r="A1219" s="7" t="s">
        <v>1661</v>
      </c>
      <c r="B1219" s="7" t="s">
        <v>61</v>
      </c>
      <c r="C1219" s="7" t="s">
        <v>61</v>
      </c>
      <c r="D1219" s="1" t="s">
        <v>81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445</v>
      </c>
      <c r="K1219">
        <v>13</v>
      </c>
      <c r="L1219">
        <v>11</v>
      </c>
      <c r="M1219">
        <v>0</v>
      </c>
      <c r="N1219">
        <v>0</v>
      </c>
      <c r="O1219">
        <v>0</v>
      </c>
      <c r="P1219">
        <v>0</v>
      </c>
      <c r="Q1219">
        <v>73</v>
      </c>
      <c r="R1219">
        <v>0</v>
      </c>
      <c r="S1219" s="18" t="e">
        <f t="shared" si="196"/>
        <v>#DIV/0!</v>
      </c>
      <c r="T1219" s="17" t="e">
        <f t="shared" si="197"/>
        <v>#DIV/0!</v>
      </c>
      <c r="U1219" s="17" t="e">
        <f t="shared" si="198"/>
        <v>#DIV/0!</v>
      </c>
      <c r="V1219" s="17" t="e">
        <f t="shared" si="199"/>
        <v>#DIV/0!</v>
      </c>
      <c r="W1219" s="17" t="e">
        <f t="shared" si="200"/>
        <v>#DIV/0!</v>
      </c>
      <c r="X1219" s="17" t="e">
        <f t="shared" si="201"/>
        <v>#DIV/0!</v>
      </c>
      <c r="Y1219" s="19" t="e">
        <f t="shared" si="202"/>
        <v>#DIV/0!</v>
      </c>
      <c r="Z1219">
        <v>0</v>
      </c>
      <c r="AA1219">
        <v>0</v>
      </c>
      <c r="AB1219">
        <v>0</v>
      </c>
      <c r="AC1219">
        <v>475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445</v>
      </c>
      <c r="AL1219">
        <v>445</v>
      </c>
      <c r="AM1219">
        <v>0</v>
      </c>
      <c r="AN1219">
        <v>0</v>
      </c>
      <c r="AO1219">
        <v>13</v>
      </c>
      <c r="AP1219">
        <v>0</v>
      </c>
      <c r="AQ1219">
        <v>13</v>
      </c>
      <c r="AR1219">
        <v>13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11</v>
      </c>
      <c r="BA1219">
        <v>11</v>
      </c>
      <c r="BB1219">
        <v>0</v>
      </c>
      <c r="BC1219">
        <v>0</v>
      </c>
      <c r="BD1219">
        <v>0</v>
      </c>
      <c r="BE1219">
        <f t="shared" si="203"/>
        <v>1426</v>
      </c>
      <c r="BF1219">
        <v>944</v>
      </c>
      <c r="BG1219">
        <v>944</v>
      </c>
      <c r="BH1219" t="s">
        <v>82</v>
      </c>
      <c r="BI1219" t="s">
        <v>1670</v>
      </c>
      <c r="BJ1219">
        <v>475</v>
      </c>
      <c r="BK1219">
        <v>469</v>
      </c>
      <c r="BL1219">
        <v>944</v>
      </c>
      <c r="BM1219">
        <v>0</v>
      </c>
      <c r="BN1219">
        <v>0</v>
      </c>
      <c r="BO1219">
        <v>0</v>
      </c>
      <c r="BP1219">
        <v>469</v>
      </c>
      <c r="BQ1219">
        <v>469</v>
      </c>
      <c r="BR1219">
        <f t="shared" si="204"/>
        <v>-73</v>
      </c>
      <c r="BS1219">
        <f t="shared" si="205"/>
        <v>73</v>
      </c>
    </row>
    <row r="1220" spans="1:74" x14ac:dyDescent="0.25">
      <c r="A1220" s="5" t="s">
        <v>1661</v>
      </c>
      <c r="B1220" s="5" t="s">
        <v>61</v>
      </c>
      <c r="C1220" s="5" t="s">
        <v>61</v>
      </c>
      <c r="D1220" s="1" t="s">
        <v>123</v>
      </c>
      <c r="E1220">
        <v>0</v>
      </c>
      <c r="F1220">
        <v>276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1638</v>
      </c>
      <c r="Q1220">
        <v>255</v>
      </c>
      <c r="R1220">
        <v>182</v>
      </c>
      <c r="S1220" s="18">
        <f t="shared" si="196"/>
        <v>9</v>
      </c>
      <c r="T1220" s="17">
        <f t="shared" si="197"/>
        <v>0</v>
      </c>
      <c r="U1220" s="17">
        <f t="shared" si="198"/>
        <v>0</v>
      </c>
      <c r="V1220" s="17">
        <f t="shared" si="199"/>
        <v>0</v>
      </c>
      <c r="W1220" s="17">
        <f t="shared" si="200"/>
        <v>182</v>
      </c>
      <c r="X1220" s="17">
        <f t="shared" si="201"/>
        <v>73</v>
      </c>
      <c r="Y1220" s="19">
        <f t="shared" si="202"/>
        <v>0</v>
      </c>
      <c r="Z1220">
        <v>276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f t="shared" si="203"/>
        <v>0</v>
      </c>
      <c r="BF1220">
        <v>276</v>
      </c>
      <c r="BG1220">
        <v>276</v>
      </c>
      <c r="BH1220" t="s">
        <v>109</v>
      </c>
      <c r="BI1220" t="s">
        <v>1687</v>
      </c>
      <c r="BJ1220">
        <v>0</v>
      </c>
      <c r="BK1220">
        <v>0</v>
      </c>
      <c r="BL1220">
        <v>276</v>
      </c>
      <c r="BM1220">
        <v>0</v>
      </c>
      <c r="BN1220">
        <v>0</v>
      </c>
      <c r="BO1220">
        <v>0</v>
      </c>
      <c r="BP1220">
        <v>1638</v>
      </c>
      <c r="BQ1220">
        <v>1638</v>
      </c>
      <c r="BR1220">
        <f t="shared" si="204"/>
        <v>-73</v>
      </c>
      <c r="BS1220">
        <f t="shared" si="205"/>
        <v>437</v>
      </c>
    </row>
    <row r="1221" spans="1:74" x14ac:dyDescent="0.25">
      <c r="A1221" s="5" t="s">
        <v>1661</v>
      </c>
      <c r="B1221" s="5" t="s">
        <v>207</v>
      </c>
      <c r="C1221" s="5" t="s">
        <v>61</v>
      </c>
      <c r="D1221" s="1" t="s">
        <v>123</v>
      </c>
      <c r="E1221">
        <v>0</v>
      </c>
      <c r="F1221">
        <v>72</v>
      </c>
      <c r="G1221">
        <v>0</v>
      </c>
      <c r="H1221">
        <v>0</v>
      </c>
      <c r="I1221">
        <v>15</v>
      </c>
      <c r="J1221">
        <v>1700</v>
      </c>
      <c r="K1221">
        <v>781</v>
      </c>
      <c r="L1221">
        <v>14</v>
      </c>
      <c r="M1221">
        <v>0</v>
      </c>
      <c r="N1221">
        <v>0</v>
      </c>
      <c r="O1221">
        <v>0</v>
      </c>
      <c r="P1221">
        <v>279</v>
      </c>
      <c r="Q1221">
        <v>104</v>
      </c>
      <c r="R1221">
        <v>31</v>
      </c>
      <c r="S1221" s="18">
        <f t="shared" si="196"/>
        <v>9</v>
      </c>
      <c r="T1221" s="17">
        <f t="shared" si="197"/>
        <v>0</v>
      </c>
      <c r="U1221" s="17">
        <f t="shared" si="198"/>
        <v>0</v>
      </c>
      <c r="V1221" s="17">
        <f t="shared" si="199"/>
        <v>0</v>
      </c>
      <c r="W1221" s="17">
        <f t="shared" si="200"/>
        <v>31</v>
      </c>
      <c r="X1221" s="17">
        <f t="shared" si="201"/>
        <v>73</v>
      </c>
      <c r="Y1221" s="19">
        <f t="shared" si="202"/>
        <v>0</v>
      </c>
      <c r="Z1221">
        <v>72</v>
      </c>
      <c r="AA1221">
        <v>0</v>
      </c>
      <c r="AB1221">
        <v>0</v>
      </c>
      <c r="AC1221">
        <v>740</v>
      </c>
      <c r="AD1221">
        <v>0</v>
      </c>
      <c r="AE1221">
        <v>0</v>
      </c>
      <c r="AF1221">
        <v>0</v>
      </c>
      <c r="AG1221">
        <v>15</v>
      </c>
      <c r="AH1221">
        <v>15</v>
      </c>
      <c r="AI1221">
        <v>0</v>
      </c>
      <c r="AJ1221">
        <v>0</v>
      </c>
      <c r="AK1221">
        <v>1700</v>
      </c>
      <c r="AL1221">
        <v>1700</v>
      </c>
      <c r="AM1221">
        <v>0</v>
      </c>
      <c r="AN1221">
        <v>0</v>
      </c>
      <c r="AO1221">
        <v>781</v>
      </c>
      <c r="AP1221">
        <v>81</v>
      </c>
      <c r="AQ1221">
        <v>781</v>
      </c>
      <c r="AR1221">
        <v>700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14</v>
      </c>
      <c r="BA1221">
        <v>14</v>
      </c>
      <c r="BB1221">
        <v>0</v>
      </c>
      <c r="BC1221">
        <v>0</v>
      </c>
      <c r="BD1221">
        <v>0</v>
      </c>
      <c r="BE1221">
        <f t="shared" si="203"/>
        <v>6541</v>
      </c>
      <c r="BF1221">
        <v>3322</v>
      </c>
      <c r="BG1221">
        <v>3322</v>
      </c>
      <c r="BH1221" t="s">
        <v>82</v>
      </c>
      <c r="BI1221" t="s">
        <v>1785</v>
      </c>
      <c r="BJ1221">
        <v>740</v>
      </c>
      <c r="BK1221">
        <v>2510</v>
      </c>
      <c r="BL1221">
        <v>3322</v>
      </c>
      <c r="BM1221">
        <v>0</v>
      </c>
      <c r="BN1221">
        <v>0</v>
      </c>
      <c r="BO1221">
        <v>0</v>
      </c>
      <c r="BP1221">
        <v>2789</v>
      </c>
      <c r="BQ1221">
        <v>2789</v>
      </c>
      <c r="BR1221">
        <f t="shared" si="204"/>
        <v>-73</v>
      </c>
      <c r="BS1221">
        <f t="shared" si="205"/>
        <v>135</v>
      </c>
    </row>
    <row r="1222" spans="1:74" x14ac:dyDescent="0.25">
      <c r="A1222" s="5" t="s">
        <v>61</v>
      </c>
      <c r="B1222" s="5" t="s">
        <v>207</v>
      </c>
      <c r="C1222" s="5" t="s">
        <v>61</v>
      </c>
      <c r="D1222" s="1" t="s">
        <v>137</v>
      </c>
      <c r="E1222">
        <v>0</v>
      </c>
      <c r="F1222">
        <v>132</v>
      </c>
      <c r="G1222">
        <v>0</v>
      </c>
      <c r="H1222">
        <v>0</v>
      </c>
      <c r="I1222">
        <v>135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1188</v>
      </c>
      <c r="Q1222">
        <v>206</v>
      </c>
      <c r="R1222">
        <v>132</v>
      </c>
      <c r="S1222" s="18">
        <f t="shared" si="196"/>
        <v>9</v>
      </c>
      <c r="T1222" s="17">
        <f t="shared" si="197"/>
        <v>0</v>
      </c>
      <c r="U1222" s="17">
        <f t="shared" si="198"/>
        <v>0</v>
      </c>
      <c r="V1222" s="17">
        <f t="shared" si="199"/>
        <v>0</v>
      </c>
      <c r="W1222" s="17">
        <f t="shared" si="200"/>
        <v>132</v>
      </c>
      <c r="X1222" s="17">
        <f t="shared" si="201"/>
        <v>74</v>
      </c>
      <c r="Y1222" s="19">
        <f t="shared" si="202"/>
        <v>0</v>
      </c>
      <c r="Z1222">
        <v>132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135</v>
      </c>
      <c r="AH1222">
        <v>135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f t="shared" si="203"/>
        <v>270</v>
      </c>
      <c r="BF1222">
        <v>267</v>
      </c>
      <c r="BG1222">
        <v>267</v>
      </c>
      <c r="BH1222" t="s">
        <v>109</v>
      </c>
      <c r="BI1222" t="s">
        <v>245</v>
      </c>
      <c r="BJ1222">
        <v>0</v>
      </c>
      <c r="BK1222">
        <v>135</v>
      </c>
      <c r="BL1222">
        <v>267</v>
      </c>
      <c r="BM1222">
        <v>0</v>
      </c>
      <c r="BN1222">
        <v>0</v>
      </c>
      <c r="BO1222">
        <v>0</v>
      </c>
      <c r="BP1222">
        <v>1323</v>
      </c>
      <c r="BQ1222">
        <v>1323</v>
      </c>
      <c r="BR1222">
        <f t="shared" si="204"/>
        <v>-74</v>
      </c>
      <c r="BS1222">
        <f t="shared" si="205"/>
        <v>338</v>
      </c>
    </row>
    <row r="1223" spans="1:74" x14ac:dyDescent="0.25">
      <c r="A1223" s="5" t="s">
        <v>61</v>
      </c>
      <c r="B1223" s="5" t="s">
        <v>207</v>
      </c>
      <c r="C1223" s="5" t="s">
        <v>207</v>
      </c>
      <c r="D1223" s="1" t="s">
        <v>151</v>
      </c>
      <c r="E1223">
        <v>0</v>
      </c>
      <c r="F1223">
        <v>23</v>
      </c>
      <c r="G1223">
        <v>0</v>
      </c>
      <c r="H1223">
        <v>0</v>
      </c>
      <c r="I1223">
        <v>114</v>
      </c>
      <c r="J1223">
        <v>0</v>
      </c>
      <c r="K1223">
        <v>0</v>
      </c>
      <c r="L1223">
        <v>0</v>
      </c>
      <c r="M1223">
        <v>207</v>
      </c>
      <c r="N1223">
        <v>0</v>
      </c>
      <c r="O1223">
        <v>0</v>
      </c>
      <c r="P1223">
        <v>0</v>
      </c>
      <c r="Q1223">
        <v>97</v>
      </c>
      <c r="R1223">
        <v>23</v>
      </c>
      <c r="S1223" s="18">
        <f t="shared" si="196"/>
        <v>9</v>
      </c>
      <c r="T1223" s="17">
        <f t="shared" si="197"/>
        <v>23</v>
      </c>
      <c r="U1223" s="17">
        <f t="shared" si="198"/>
        <v>0</v>
      </c>
      <c r="V1223" s="17">
        <f t="shared" si="199"/>
        <v>0</v>
      </c>
      <c r="W1223" s="17">
        <f t="shared" si="200"/>
        <v>0</v>
      </c>
      <c r="X1223" s="17">
        <f t="shared" si="201"/>
        <v>74</v>
      </c>
      <c r="Y1223" s="19">
        <f t="shared" si="202"/>
        <v>0</v>
      </c>
      <c r="Z1223">
        <v>23</v>
      </c>
      <c r="AA1223">
        <v>0</v>
      </c>
      <c r="AB1223">
        <v>0</v>
      </c>
      <c r="AC1223">
        <v>0</v>
      </c>
      <c r="AD1223">
        <v>114</v>
      </c>
      <c r="AE1223">
        <v>0</v>
      </c>
      <c r="AF1223">
        <v>0</v>
      </c>
      <c r="AG1223">
        <v>0</v>
      </c>
      <c r="AH1223">
        <v>114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f t="shared" si="203"/>
        <v>228</v>
      </c>
      <c r="BF1223">
        <v>137</v>
      </c>
      <c r="BG1223">
        <v>137</v>
      </c>
      <c r="BH1223" t="s">
        <v>109</v>
      </c>
      <c r="BI1223" t="s">
        <v>322</v>
      </c>
      <c r="BJ1223">
        <v>0</v>
      </c>
      <c r="BK1223">
        <v>114</v>
      </c>
      <c r="BL1223">
        <v>137</v>
      </c>
      <c r="BM1223">
        <v>321</v>
      </c>
      <c r="BN1223">
        <v>0</v>
      </c>
      <c r="BO1223">
        <v>0</v>
      </c>
      <c r="BP1223">
        <v>0</v>
      </c>
      <c r="BQ1223">
        <v>321</v>
      </c>
      <c r="BR1223">
        <f t="shared" si="204"/>
        <v>-74</v>
      </c>
      <c r="BS1223">
        <f t="shared" si="205"/>
        <v>120</v>
      </c>
    </row>
    <row r="1224" spans="1:74" x14ac:dyDescent="0.25">
      <c r="A1224" s="5" t="s">
        <v>627</v>
      </c>
      <c r="B1224" s="5" t="s">
        <v>207</v>
      </c>
      <c r="C1224" s="5" t="s">
        <v>61</v>
      </c>
      <c r="D1224" s="1" t="s">
        <v>94</v>
      </c>
      <c r="E1224">
        <v>0</v>
      </c>
      <c r="F1224">
        <v>1</v>
      </c>
      <c r="G1224">
        <v>0</v>
      </c>
      <c r="H1224">
        <v>0</v>
      </c>
      <c r="I1224">
        <v>50</v>
      </c>
      <c r="J1224">
        <v>860</v>
      </c>
      <c r="K1224">
        <v>25</v>
      </c>
      <c r="L1224">
        <v>0</v>
      </c>
      <c r="M1224">
        <v>0</v>
      </c>
      <c r="N1224">
        <v>0</v>
      </c>
      <c r="O1224">
        <v>0</v>
      </c>
      <c r="P1224">
        <v>9</v>
      </c>
      <c r="Q1224">
        <v>75</v>
      </c>
      <c r="R1224">
        <v>1</v>
      </c>
      <c r="S1224" s="18">
        <f t="shared" si="196"/>
        <v>9</v>
      </c>
      <c r="T1224" s="17">
        <f t="shared" si="197"/>
        <v>0</v>
      </c>
      <c r="U1224" s="17">
        <f t="shared" si="198"/>
        <v>0</v>
      </c>
      <c r="V1224" s="17">
        <f t="shared" si="199"/>
        <v>0</v>
      </c>
      <c r="W1224" s="17">
        <f t="shared" si="200"/>
        <v>1</v>
      </c>
      <c r="X1224" s="17">
        <f t="shared" si="201"/>
        <v>74</v>
      </c>
      <c r="Y1224" s="19">
        <f t="shared" si="202"/>
        <v>0</v>
      </c>
      <c r="Z1224">
        <v>1</v>
      </c>
      <c r="AA1224">
        <v>0</v>
      </c>
      <c r="AB1224">
        <v>0</v>
      </c>
      <c r="AC1224">
        <v>240</v>
      </c>
      <c r="AD1224">
        <v>0</v>
      </c>
      <c r="AE1224">
        <v>0</v>
      </c>
      <c r="AF1224">
        <v>0</v>
      </c>
      <c r="AG1224">
        <v>50</v>
      </c>
      <c r="AH1224">
        <v>50</v>
      </c>
      <c r="AI1224">
        <v>0</v>
      </c>
      <c r="AJ1224">
        <v>0</v>
      </c>
      <c r="AK1224">
        <v>860</v>
      </c>
      <c r="AL1224">
        <v>860</v>
      </c>
      <c r="AM1224">
        <v>0</v>
      </c>
      <c r="AN1224">
        <v>0</v>
      </c>
      <c r="AO1224">
        <v>25</v>
      </c>
      <c r="AP1224">
        <v>25</v>
      </c>
      <c r="AQ1224">
        <v>25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f t="shared" si="203"/>
        <v>2135</v>
      </c>
      <c r="BF1224">
        <v>1201</v>
      </c>
      <c r="BG1224">
        <v>1201</v>
      </c>
      <c r="BH1224" t="s">
        <v>82</v>
      </c>
      <c r="BI1224" t="s">
        <v>845</v>
      </c>
      <c r="BJ1224">
        <v>240</v>
      </c>
      <c r="BK1224">
        <v>935</v>
      </c>
      <c r="BL1224">
        <v>1176</v>
      </c>
      <c r="BM1224">
        <v>0</v>
      </c>
      <c r="BN1224">
        <v>0</v>
      </c>
      <c r="BO1224">
        <v>0</v>
      </c>
      <c r="BP1224">
        <v>944</v>
      </c>
      <c r="BQ1224">
        <v>944</v>
      </c>
      <c r="BR1224">
        <f t="shared" si="204"/>
        <v>-74</v>
      </c>
      <c r="BS1224">
        <f t="shared" si="205"/>
        <v>76</v>
      </c>
    </row>
    <row r="1225" spans="1:74" x14ac:dyDescent="0.25">
      <c r="A1225" s="5" t="s">
        <v>1946</v>
      </c>
      <c r="B1225" s="5" t="s">
        <v>207</v>
      </c>
      <c r="C1225" s="5" t="s">
        <v>207</v>
      </c>
      <c r="D1225" s="1" t="s">
        <v>96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664</v>
      </c>
      <c r="K1225">
        <v>195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74</v>
      </c>
      <c r="R1225">
        <v>0</v>
      </c>
      <c r="S1225" s="18" t="e">
        <f t="shared" si="196"/>
        <v>#DIV/0!</v>
      </c>
      <c r="T1225" s="17" t="e">
        <f t="shared" si="197"/>
        <v>#DIV/0!</v>
      </c>
      <c r="U1225" s="17" t="e">
        <f t="shared" si="198"/>
        <v>#DIV/0!</v>
      </c>
      <c r="V1225" s="17" t="e">
        <f t="shared" si="199"/>
        <v>#DIV/0!</v>
      </c>
      <c r="W1225" s="17" t="e">
        <f t="shared" si="200"/>
        <v>#DIV/0!</v>
      </c>
      <c r="X1225" s="17" t="e">
        <f t="shared" si="201"/>
        <v>#DIV/0!</v>
      </c>
      <c r="Y1225" s="19" t="e">
        <f t="shared" si="202"/>
        <v>#DIV/0!</v>
      </c>
      <c r="Z1225">
        <v>0</v>
      </c>
      <c r="AA1225">
        <v>0</v>
      </c>
      <c r="AB1225">
        <v>0</v>
      </c>
      <c r="AC1225">
        <v>837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664</v>
      </c>
      <c r="AL1225">
        <v>664</v>
      </c>
      <c r="AM1225">
        <v>0</v>
      </c>
      <c r="AN1225">
        <v>0</v>
      </c>
      <c r="AO1225">
        <v>195</v>
      </c>
      <c r="AP1225">
        <v>105</v>
      </c>
      <c r="AQ1225">
        <v>195</v>
      </c>
      <c r="AR1225">
        <v>90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f t="shared" si="203"/>
        <v>2750</v>
      </c>
      <c r="BF1225">
        <v>1716</v>
      </c>
      <c r="BG1225">
        <v>1716</v>
      </c>
      <c r="BH1225" t="s">
        <v>82</v>
      </c>
      <c r="BI1225" t="s">
        <v>1572</v>
      </c>
      <c r="BJ1225">
        <v>857</v>
      </c>
      <c r="BK1225">
        <v>859</v>
      </c>
      <c r="BL1225">
        <v>1716</v>
      </c>
      <c r="BM1225">
        <v>0</v>
      </c>
      <c r="BN1225">
        <v>0</v>
      </c>
      <c r="BO1225">
        <v>0</v>
      </c>
      <c r="BP1225">
        <v>859</v>
      </c>
      <c r="BQ1225">
        <v>859</v>
      </c>
      <c r="BR1225">
        <f t="shared" si="204"/>
        <v>-74</v>
      </c>
      <c r="BS1225">
        <f t="shared" si="205"/>
        <v>74</v>
      </c>
    </row>
    <row r="1226" spans="1:74" x14ac:dyDescent="0.25">
      <c r="A1226" s="5" t="s">
        <v>2294</v>
      </c>
      <c r="B1226" s="5" t="s">
        <v>61</v>
      </c>
      <c r="C1226" s="5" t="s">
        <v>61</v>
      </c>
      <c r="D1226" s="1" t="s">
        <v>77</v>
      </c>
      <c r="E1226">
        <v>0</v>
      </c>
      <c r="F1226">
        <v>0</v>
      </c>
      <c r="G1226">
        <v>0</v>
      </c>
      <c r="H1226">
        <v>0</v>
      </c>
      <c r="I1226">
        <v>400</v>
      </c>
      <c r="J1226">
        <v>0</v>
      </c>
      <c r="K1226">
        <v>400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74</v>
      </c>
      <c r="R1226">
        <v>0</v>
      </c>
      <c r="S1226" s="18" t="e">
        <f t="shared" si="196"/>
        <v>#DIV/0!</v>
      </c>
      <c r="T1226" s="17" t="e">
        <f t="shared" si="197"/>
        <v>#DIV/0!</v>
      </c>
      <c r="U1226" s="17" t="e">
        <f t="shared" si="198"/>
        <v>#DIV/0!</v>
      </c>
      <c r="V1226" s="17" t="e">
        <f t="shared" si="199"/>
        <v>#DIV/0!</v>
      </c>
      <c r="W1226" s="17" t="e">
        <f t="shared" si="200"/>
        <v>#DIV/0!</v>
      </c>
      <c r="X1226" s="17" t="e">
        <f t="shared" si="201"/>
        <v>#DIV/0!</v>
      </c>
      <c r="Y1226" s="19" t="e">
        <f t="shared" si="202"/>
        <v>#DIV/0!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400</v>
      </c>
      <c r="AH1226">
        <v>400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400</v>
      </c>
      <c r="AP1226">
        <v>200</v>
      </c>
      <c r="AQ1226">
        <v>400</v>
      </c>
      <c r="AR1226">
        <v>200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f t="shared" si="203"/>
        <v>2000</v>
      </c>
      <c r="BF1226">
        <v>800</v>
      </c>
      <c r="BG1226">
        <v>800</v>
      </c>
      <c r="BH1226" t="s">
        <v>109</v>
      </c>
      <c r="BI1226" t="s">
        <v>2302</v>
      </c>
      <c r="BJ1226">
        <v>0</v>
      </c>
      <c r="BK1226">
        <v>800</v>
      </c>
      <c r="BL1226">
        <v>800</v>
      </c>
      <c r="BM1226">
        <v>0</v>
      </c>
      <c r="BN1226">
        <v>0</v>
      </c>
      <c r="BO1226">
        <v>0</v>
      </c>
      <c r="BP1226">
        <v>800</v>
      </c>
      <c r="BQ1226">
        <v>800</v>
      </c>
      <c r="BR1226">
        <f t="shared" si="204"/>
        <v>-74</v>
      </c>
      <c r="BS1226">
        <f t="shared" si="205"/>
        <v>74</v>
      </c>
    </row>
    <row r="1227" spans="1:74" x14ac:dyDescent="0.25">
      <c r="A1227" s="5" t="s">
        <v>61</v>
      </c>
      <c r="B1227" s="5" t="s">
        <v>207</v>
      </c>
      <c r="C1227" s="5" t="s">
        <v>61</v>
      </c>
      <c r="D1227" s="1" t="s">
        <v>141</v>
      </c>
      <c r="E1227">
        <v>0</v>
      </c>
      <c r="F1227">
        <v>264</v>
      </c>
      <c r="G1227">
        <v>0</v>
      </c>
      <c r="H1227">
        <v>0</v>
      </c>
      <c r="I1227">
        <v>159</v>
      </c>
      <c r="J1227">
        <v>0</v>
      </c>
      <c r="K1227">
        <v>0</v>
      </c>
      <c r="L1227">
        <v>0</v>
      </c>
      <c r="M1227">
        <v>1512</v>
      </c>
      <c r="N1227">
        <v>0</v>
      </c>
      <c r="O1227">
        <v>0</v>
      </c>
      <c r="P1227">
        <v>0</v>
      </c>
      <c r="Q1227">
        <v>243</v>
      </c>
      <c r="R1227">
        <v>168</v>
      </c>
      <c r="S1227" s="18">
        <f t="shared" si="196"/>
        <v>9</v>
      </c>
      <c r="T1227" s="17">
        <f t="shared" si="197"/>
        <v>168</v>
      </c>
      <c r="U1227" s="17">
        <f t="shared" si="198"/>
        <v>0</v>
      </c>
      <c r="V1227" s="17">
        <f t="shared" si="199"/>
        <v>0</v>
      </c>
      <c r="W1227" s="17">
        <f t="shared" si="200"/>
        <v>0</v>
      </c>
      <c r="X1227" s="17">
        <f t="shared" si="201"/>
        <v>75</v>
      </c>
      <c r="Y1227" s="19">
        <f t="shared" si="202"/>
        <v>0</v>
      </c>
      <c r="Z1227">
        <v>264</v>
      </c>
      <c r="AA1227">
        <v>0</v>
      </c>
      <c r="AB1227">
        <v>0</v>
      </c>
      <c r="AC1227">
        <v>0</v>
      </c>
      <c r="AD1227">
        <v>159</v>
      </c>
      <c r="AE1227">
        <v>0</v>
      </c>
      <c r="AF1227">
        <v>0</v>
      </c>
      <c r="AG1227">
        <v>0</v>
      </c>
      <c r="AH1227">
        <v>159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f t="shared" si="203"/>
        <v>318</v>
      </c>
      <c r="BF1227">
        <v>423</v>
      </c>
      <c r="BG1227">
        <v>423</v>
      </c>
      <c r="BH1227" t="s">
        <v>109</v>
      </c>
      <c r="BI1227" t="s">
        <v>247</v>
      </c>
      <c r="BJ1227">
        <v>0</v>
      </c>
      <c r="BK1227">
        <v>159</v>
      </c>
      <c r="BL1227">
        <v>423</v>
      </c>
      <c r="BM1227">
        <v>1671</v>
      </c>
      <c r="BN1227">
        <v>0</v>
      </c>
      <c r="BO1227">
        <v>0</v>
      </c>
      <c r="BP1227">
        <v>0</v>
      </c>
      <c r="BQ1227">
        <v>1671</v>
      </c>
      <c r="BR1227">
        <f t="shared" si="204"/>
        <v>-75</v>
      </c>
      <c r="BS1227">
        <f t="shared" si="205"/>
        <v>411</v>
      </c>
    </row>
    <row r="1228" spans="1:74" x14ac:dyDescent="0.25">
      <c r="A1228" s="5" t="s">
        <v>207</v>
      </c>
      <c r="B1228" s="5" t="s">
        <v>61</v>
      </c>
      <c r="C1228" s="5" t="s">
        <v>61</v>
      </c>
      <c r="D1228" s="1" t="s">
        <v>108</v>
      </c>
      <c r="E1228">
        <v>519</v>
      </c>
      <c r="F1228">
        <v>0</v>
      </c>
      <c r="G1228">
        <v>0</v>
      </c>
      <c r="H1228">
        <v>0</v>
      </c>
      <c r="I1228">
        <v>160</v>
      </c>
      <c r="J1228">
        <v>3550</v>
      </c>
      <c r="K1228">
        <v>72</v>
      </c>
      <c r="L1228">
        <v>580</v>
      </c>
      <c r="M1228">
        <v>0</v>
      </c>
      <c r="N1228">
        <v>0</v>
      </c>
      <c r="O1228">
        <v>0</v>
      </c>
      <c r="P1228">
        <v>0</v>
      </c>
      <c r="Q1228">
        <v>75</v>
      </c>
      <c r="R1228">
        <v>0</v>
      </c>
      <c r="S1228" s="18" t="e">
        <f t="shared" si="196"/>
        <v>#DIV/0!</v>
      </c>
      <c r="T1228" s="17" t="e">
        <f t="shared" si="197"/>
        <v>#DIV/0!</v>
      </c>
      <c r="U1228" s="17" t="e">
        <f t="shared" si="198"/>
        <v>#DIV/0!</v>
      </c>
      <c r="V1228" s="17" t="e">
        <f t="shared" si="199"/>
        <v>#DIV/0!</v>
      </c>
      <c r="W1228" s="17" t="e">
        <f t="shared" si="200"/>
        <v>#DIV/0!</v>
      </c>
      <c r="X1228" s="17" t="e">
        <f t="shared" si="201"/>
        <v>#DIV/0!</v>
      </c>
      <c r="Y1228" s="19" t="e">
        <f t="shared" si="202"/>
        <v>#DIV/0!</v>
      </c>
      <c r="Z1228">
        <v>0</v>
      </c>
      <c r="AA1228">
        <v>4</v>
      </c>
      <c r="AB1228">
        <v>0</v>
      </c>
      <c r="AC1228">
        <v>500</v>
      </c>
      <c r="AD1228">
        <v>0</v>
      </c>
      <c r="AE1228">
        <v>0</v>
      </c>
      <c r="AF1228">
        <v>0</v>
      </c>
      <c r="AG1228">
        <v>160</v>
      </c>
      <c r="AH1228">
        <v>160</v>
      </c>
      <c r="AI1228">
        <v>0</v>
      </c>
      <c r="AJ1228">
        <v>0</v>
      </c>
      <c r="AK1228">
        <v>3550</v>
      </c>
      <c r="AL1228">
        <v>3550</v>
      </c>
      <c r="AM1228">
        <v>0</v>
      </c>
      <c r="AN1228">
        <v>0</v>
      </c>
      <c r="AO1228">
        <v>72</v>
      </c>
      <c r="AP1228">
        <v>72</v>
      </c>
      <c r="AQ1228">
        <v>72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580</v>
      </c>
      <c r="BA1228">
        <v>580</v>
      </c>
      <c r="BB1228">
        <v>0</v>
      </c>
      <c r="BC1228">
        <v>0</v>
      </c>
      <c r="BD1228">
        <v>0</v>
      </c>
      <c r="BE1228">
        <f t="shared" si="203"/>
        <v>9296</v>
      </c>
      <c r="BF1228">
        <v>5385</v>
      </c>
      <c r="BG1228">
        <v>5385</v>
      </c>
      <c r="BH1228" t="s">
        <v>199</v>
      </c>
      <c r="BI1228" t="s">
        <v>448</v>
      </c>
      <c r="BJ1228">
        <v>1023</v>
      </c>
      <c r="BK1228">
        <v>4362</v>
      </c>
      <c r="BL1228">
        <v>5385</v>
      </c>
      <c r="BM1228">
        <v>0</v>
      </c>
      <c r="BN1228">
        <v>0</v>
      </c>
      <c r="BO1228">
        <v>0</v>
      </c>
      <c r="BP1228">
        <v>4362</v>
      </c>
      <c r="BQ1228">
        <v>4362</v>
      </c>
      <c r="BR1228">
        <f t="shared" si="204"/>
        <v>-75</v>
      </c>
      <c r="BS1228">
        <f t="shared" si="205"/>
        <v>75</v>
      </c>
    </row>
    <row r="1229" spans="1:74" x14ac:dyDescent="0.25">
      <c r="A1229" s="5" t="s">
        <v>207</v>
      </c>
      <c r="B1229" s="5" t="s">
        <v>359</v>
      </c>
      <c r="C1229" s="5" t="s">
        <v>61</v>
      </c>
      <c r="D1229" s="1" t="s">
        <v>141</v>
      </c>
      <c r="E1229">
        <v>0</v>
      </c>
      <c r="F1229">
        <v>60</v>
      </c>
      <c r="G1229">
        <v>0</v>
      </c>
      <c r="H1229">
        <v>0</v>
      </c>
      <c r="I1229">
        <v>0</v>
      </c>
      <c r="J1229">
        <v>0</v>
      </c>
      <c r="K1229">
        <v>320</v>
      </c>
      <c r="L1229">
        <v>60</v>
      </c>
      <c r="M1229">
        <v>135</v>
      </c>
      <c r="N1229">
        <v>0</v>
      </c>
      <c r="O1229">
        <v>0</v>
      </c>
      <c r="P1229">
        <v>0</v>
      </c>
      <c r="Q1229">
        <v>90</v>
      </c>
      <c r="R1229">
        <v>15</v>
      </c>
      <c r="S1229" s="18">
        <f t="shared" si="196"/>
        <v>9</v>
      </c>
      <c r="T1229" s="17">
        <f t="shared" si="197"/>
        <v>15</v>
      </c>
      <c r="U1229" s="17">
        <f t="shared" si="198"/>
        <v>0</v>
      </c>
      <c r="V1229" s="17">
        <f t="shared" si="199"/>
        <v>0</v>
      </c>
      <c r="W1229" s="17">
        <f t="shared" si="200"/>
        <v>0</v>
      </c>
      <c r="X1229" s="17">
        <f t="shared" si="201"/>
        <v>75</v>
      </c>
      <c r="Y1229" s="19">
        <f t="shared" si="202"/>
        <v>0</v>
      </c>
      <c r="Z1229">
        <v>60</v>
      </c>
      <c r="AA1229">
        <v>0</v>
      </c>
      <c r="AB1229">
        <v>0</v>
      </c>
      <c r="AC1229">
        <v>2136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320</v>
      </c>
      <c r="AN1229">
        <v>0</v>
      </c>
      <c r="AO1229">
        <v>0</v>
      </c>
      <c r="AP1229">
        <v>0</v>
      </c>
      <c r="AQ1229">
        <v>320</v>
      </c>
      <c r="AR1229">
        <v>320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60</v>
      </c>
      <c r="AY1229">
        <v>0</v>
      </c>
      <c r="AZ1229">
        <v>0</v>
      </c>
      <c r="BA1229">
        <v>60</v>
      </c>
      <c r="BB1229">
        <v>0</v>
      </c>
      <c r="BC1229">
        <v>0</v>
      </c>
      <c r="BD1229">
        <v>0</v>
      </c>
      <c r="BE1229">
        <f t="shared" si="203"/>
        <v>3216</v>
      </c>
      <c r="BF1229">
        <v>2576</v>
      </c>
      <c r="BG1229">
        <v>2576</v>
      </c>
      <c r="BH1229" t="s">
        <v>82</v>
      </c>
      <c r="BI1229" t="s">
        <v>626</v>
      </c>
      <c r="BJ1229">
        <v>2136</v>
      </c>
      <c r="BK1229">
        <v>380</v>
      </c>
      <c r="BL1229">
        <v>2576</v>
      </c>
      <c r="BM1229">
        <v>515</v>
      </c>
      <c r="BN1229">
        <v>0</v>
      </c>
      <c r="BO1229">
        <v>0</v>
      </c>
      <c r="BP1229">
        <v>0</v>
      </c>
      <c r="BQ1229">
        <v>515</v>
      </c>
      <c r="BR1229">
        <f t="shared" si="204"/>
        <v>-75</v>
      </c>
      <c r="BS1229">
        <f t="shared" si="205"/>
        <v>105</v>
      </c>
    </row>
    <row r="1230" spans="1:74" x14ac:dyDescent="0.25">
      <c r="A1230" s="5" t="s">
        <v>359</v>
      </c>
      <c r="B1230" s="5" t="s">
        <v>359</v>
      </c>
      <c r="C1230" s="5" t="s">
        <v>61</v>
      </c>
      <c r="D1230" s="1" t="s">
        <v>102</v>
      </c>
      <c r="E1230">
        <v>8</v>
      </c>
      <c r="F1230">
        <v>1</v>
      </c>
      <c r="G1230">
        <v>0</v>
      </c>
      <c r="H1230">
        <v>0</v>
      </c>
      <c r="I1230">
        <v>512</v>
      </c>
      <c r="J1230">
        <v>1264</v>
      </c>
      <c r="K1230">
        <v>142</v>
      </c>
      <c r="L1230">
        <v>34</v>
      </c>
      <c r="M1230">
        <v>0</v>
      </c>
      <c r="N1230">
        <v>0</v>
      </c>
      <c r="O1230">
        <v>0</v>
      </c>
      <c r="P1230">
        <v>9</v>
      </c>
      <c r="Q1230">
        <v>77</v>
      </c>
      <c r="R1230">
        <v>1</v>
      </c>
      <c r="S1230" s="18">
        <f t="shared" si="196"/>
        <v>9</v>
      </c>
      <c r="T1230" s="17">
        <f t="shared" si="197"/>
        <v>0</v>
      </c>
      <c r="U1230" s="17">
        <f t="shared" si="198"/>
        <v>0</v>
      </c>
      <c r="V1230" s="17">
        <f t="shared" si="199"/>
        <v>0</v>
      </c>
      <c r="W1230" s="17">
        <f t="shared" si="200"/>
        <v>1</v>
      </c>
      <c r="X1230" s="17">
        <f t="shared" si="201"/>
        <v>76</v>
      </c>
      <c r="Y1230" s="19">
        <f t="shared" si="202"/>
        <v>0</v>
      </c>
      <c r="Z1230">
        <v>1</v>
      </c>
      <c r="AA1230">
        <v>28</v>
      </c>
      <c r="AB1230">
        <v>0</v>
      </c>
      <c r="AC1230">
        <v>2200</v>
      </c>
      <c r="AD1230">
        <v>0</v>
      </c>
      <c r="AE1230">
        <v>485</v>
      </c>
      <c r="AF1230">
        <v>0</v>
      </c>
      <c r="AG1230">
        <v>27</v>
      </c>
      <c r="AH1230">
        <v>512</v>
      </c>
      <c r="AI1230">
        <v>0</v>
      </c>
      <c r="AJ1230">
        <v>1264</v>
      </c>
      <c r="AK1230">
        <v>0</v>
      </c>
      <c r="AL1230">
        <v>1264</v>
      </c>
      <c r="AM1230">
        <v>0</v>
      </c>
      <c r="AN1230">
        <v>15</v>
      </c>
      <c r="AO1230">
        <v>127</v>
      </c>
      <c r="AP1230">
        <v>95</v>
      </c>
      <c r="AQ1230">
        <v>142</v>
      </c>
      <c r="AR1230">
        <v>47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34</v>
      </c>
      <c r="AZ1230">
        <v>0</v>
      </c>
      <c r="BA1230">
        <v>34</v>
      </c>
      <c r="BB1230">
        <v>0</v>
      </c>
      <c r="BC1230">
        <v>0</v>
      </c>
      <c r="BD1230">
        <v>0</v>
      </c>
      <c r="BE1230">
        <f t="shared" si="203"/>
        <v>6246</v>
      </c>
      <c r="BF1230">
        <v>4189</v>
      </c>
      <c r="BG1230">
        <v>4189</v>
      </c>
      <c r="BH1230" t="s">
        <v>82</v>
      </c>
      <c r="BI1230" t="s">
        <v>775</v>
      </c>
      <c r="BJ1230">
        <v>2236</v>
      </c>
      <c r="BK1230">
        <v>1952</v>
      </c>
      <c r="BL1230">
        <v>4189</v>
      </c>
      <c r="BM1230">
        <v>0</v>
      </c>
      <c r="BN1230">
        <v>1798</v>
      </c>
      <c r="BO1230">
        <v>0</v>
      </c>
      <c r="BP1230">
        <v>163</v>
      </c>
      <c r="BQ1230">
        <v>1961</v>
      </c>
      <c r="BR1230">
        <f t="shared" si="204"/>
        <v>-76</v>
      </c>
      <c r="BS1230">
        <f t="shared" si="205"/>
        <v>78</v>
      </c>
    </row>
    <row r="1231" spans="1:74" x14ac:dyDescent="0.25">
      <c r="A1231" s="5" t="s">
        <v>1337</v>
      </c>
      <c r="B1231" s="5" t="s">
        <v>359</v>
      </c>
      <c r="C1231" s="5" t="s">
        <v>61</v>
      </c>
      <c r="D1231" s="1" t="s">
        <v>127</v>
      </c>
      <c r="E1231">
        <v>690</v>
      </c>
      <c r="F1231">
        <v>0</v>
      </c>
      <c r="G1231">
        <v>0</v>
      </c>
      <c r="H1231">
        <v>0</v>
      </c>
      <c r="I1231">
        <v>48</v>
      </c>
      <c r="J1231">
        <v>4506</v>
      </c>
      <c r="K1231">
        <v>171</v>
      </c>
      <c r="L1231">
        <v>1077</v>
      </c>
      <c r="M1231">
        <v>0</v>
      </c>
      <c r="N1231">
        <v>0</v>
      </c>
      <c r="O1231">
        <v>0</v>
      </c>
      <c r="P1231">
        <v>0</v>
      </c>
      <c r="Q1231">
        <v>76</v>
      </c>
      <c r="R1231">
        <v>0</v>
      </c>
      <c r="S1231" s="18" t="e">
        <f t="shared" si="196"/>
        <v>#DIV/0!</v>
      </c>
      <c r="T1231" s="17" t="e">
        <f t="shared" si="197"/>
        <v>#DIV/0!</v>
      </c>
      <c r="U1231" s="17" t="e">
        <f t="shared" si="198"/>
        <v>#DIV/0!</v>
      </c>
      <c r="V1231" s="17" t="e">
        <f t="shared" si="199"/>
        <v>#DIV/0!</v>
      </c>
      <c r="W1231" s="17" t="e">
        <f t="shared" si="200"/>
        <v>#DIV/0!</v>
      </c>
      <c r="X1231" s="17" t="e">
        <f t="shared" si="201"/>
        <v>#DIV/0!</v>
      </c>
      <c r="Y1231" s="19" t="e">
        <f t="shared" si="202"/>
        <v>#DIV/0!</v>
      </c>
      <c r="Z1231">
        <v>0</v>
      </c>
      <c r="AA1231">
        <v>4</v>
      </c>
      <c r="AB1231">
        <v>0</v>
      </c>
      <c r="AC1231">
        <v>1616</v>
      </c>
      <c r="AD1231">
        <v>0</v>
      </c>
      <c r="AE1231">
        <v>0</v>
      </c>
      <c r="AF1231">
        <v>0</v>
      </c>
      <c r="AG1231">
        <v>48</v>
      </c>
      <c r="AH1231">
        <v>48</v>
      </c>
      <c r="AI1231">
        <v>0</v>
      </c>
      <c r="AJ1231">
        <v>0</v>
      </c>
      <c r="AK1231">
        <v>4506</v>
      </c>
      <c r="AL1231">
        <v>4506</v>
      </c>
      <c r="AM1231">
        <v>0</v>
      </c>
      <c r="AN1231">
        <v>0</v>
      </c>
      <c r="AO1231">
        <v>171</v>
      </c>
      <c r="AP1231">
        <v>72</v>
      </c>
      <c r="AQ1231">
        <v>171</v>
      </c>
      <c r="AR1231">
        <v>99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1077</v>
      </c>
      <c r="BA1231">
        <v>1077</v>
      </c>
      <c r="BB1231">
        <v>0</v>
      </c>
      <c r="BC1231">
        <v>0</v>
      </c>
      <c r="BD1231">
        <v>0</v>
      </c>
      <c r="BE1231">
        <f t="shared" si="203"/>
        <v>13391</v>
      </c>
      <c r="BF1231">
        <v>8112</v>
      </c>
      <c r="BG1231">
        <v>8112</v>
      </c>
      <c r="BH1231" t="s">
        <v>199</v>
      </c>
      <c r="BI1231" t="s">
        <v>1442</v>
      </c>
      <c r="BJ1231">
        <v>2310</v>
      </c>
      <c r="BK1231">
        <v>5802</v>
      </c>
      <c r="BL1231">
        <v>8112</v>
      </c>
      <c r="BM1231">
        <v>0</v>
      </c>
      <c r="BN1231">
        <v>0</v>
      </c>
      <c r="BO1231">
        <v>0</v>
      </c>
      <c r="BP1231">
        <v>5802</v>
      </c>
      <c r="BQ1231">
        <v>5802</v>
      </c>
      <c r="BR1231">
        <f t="shared" si="204"/>
        <v>-76</v>
      </c>
      <c r="BS1231">
        <f t="shared" si="205"/>
        <v>76</v>
      </c>
    </row>
    <row r="1232" spans="1:74" x14ac:dyDescent="0.25">
      <c r="A1232" s="5" t="s">
        <v>1017</v>
      </c>
      <c r="B1232" s="5" t="s">
        <v>61</v>
      </c>
      <c r="C1232" s="5" t="s">
        <v>61</v>
      </c>
      <c r="D1232" s="1" t="s">
        <v>73</v>
      </c>
      <c r="E1232">
        <v>0</v>
      </c>
      <c r="F1232">
        <v>188</v>
      </c>
      <c r="G1232">
        <v>0</v>
      </c>
      <c r="H1232">
        <v>0</v>
      </c>
      <c r="I1232">
        <v>0</v>
      </c>
      <c r="J1232">
        <v>570</v>
      </c>
      <c r="K1232">
        <v>0</v>
      </c>
      <c r="L1232">
        <v>0</v>
      </c>
      <c r="M1232">
        <v>324</v>
      </c>
      <c r="N1232">
        <v>0</v>
      </c>
      <c r="O1232">
        <v>0</v>
      </c>
      <c r="P1232">
        <v>0</v>
      </c>
      <c r="Q1232">
        <v>334</v>
      </c>
      <c r="R1232">
        <v>36</v>
      </c>
      <c r="S1232" s="18">
        <f t="shared" si="196"/>
        <v>9</v>
      </c>
      <c r="T1232" s="17">
        <f t="shared" si="197"/>
        <v>36</v>
      </c>
      <c r="U1232" s="17">
        <f t="shared" si="198"/>
        <v>0</v>
      </c>
      <c r="V1232" s="17">
        <f t="shared" si="199"/>
        <v>0</v>
      </c>
      <c r="W1232" s="17">
        <f t="shared" si="200"/>
        <v>0</v>
      </c>
      <c r="X1232" s="17">
        <f t="shared" si="201"/>
        <v>298</v>
      </c>
      <c r="Y1232" s="19">
        <f t="shared" si="202"/>
        <v>0</v>
      </c>
      <c r="Z1232">
        <v>188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570</v>
      </c>
      <c r="AL1232">
        <v>570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f t="shared" si="203"/>
        <v>1140</v>
      </c>
      <c r="BF1232">
        <v>758</v>
      </c>
      <c r="BG1232">
        <v>758</v>
      </c>
      <c r="BH1232" t="s">
        <v>63</v>
      </c>
      <c r="BI1232" t="s">
        <v>1022</v>
      </c>
      <c r="BJ1232">
        <v>0</v>
      </c>
      <c r="BK1232">
        <v>570</v>
      </c>
      <c r="BL1232">
        <v>758</v>
      </c>
      <c r="BM1232">
        <v>324</v>
      </c>
      <c r="BN1232">
        <v>0</v>
      </c>
      <c r="BO1232">
        <v>0</v>
      </c>
      <c r="BP1232">
        <v>570</v>
      </c>
      <c r="BQ1232">
        <v>894</v>
      </c>
      <c r="BR1232">
        <f t="shared" si="204"/>
        <v>-298</v>
      </c>
      <c r="BS1232">
        <f t="shared" si="205"/>
        <v>370</v>
      </c>
      <c r="BU1232">
        <f>R1232*9</f>
        <v>324</v>
      </c>
      <c r="BV1232">
        <f>IF(BU1232&gt;BG1232, 1, 0)</f>
        <v>0</v>
      </c>
    </row>
    <row r="1233" spans="1:74" x14ac:dyDescent="0.25">
      <c r="A1233" s="5" t="s">
        <v>627</v>
      </c>
      <c r="B1233" s="5" t="s">
        <v>359</v>
      </c>
      <c r="C1233" s="5" t="s">
        <v>61</v>
      </c>
      <c r="D1233" s="1" t="s">
        <v>71</v>
      </c>
      <c r="E1233">
        <v>0</v>
      </c>
      <c r="F1233">
        <v>135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198</v>
      </c>
      <c r="N1233">
        <v>0</v>
      </c>
      <c r="O1233">
        <v>0</v>
      </c>
      <c r="P1233">
        <v>0</v>
      </c>
      <c r="Q1233">
        <v>22</v>
      </c>
      <c r="R1233">
        <v>22</v>
      </c>
      <c r="S1233" s="18">
        <f t="shared" si="196"/>
        <v>9</v>
      </c>
      <c r="T1233" s="17">
        <f t="shared" si="197"/>
        <v>22</v>
      </c>
      <c r="U1233" s="17">
        <f t="shared" si="198"/>
        <v>0</v>
      </c>
      <c r="V1233" s="17">
        <f t="shared" si="199"/>
        <v>0</v>
      </c>
      <c r="W1233" s="17">
        <f t="shared" si="200"/>
        <v>0</v>
      </c>
      <c r="X1233" s="17">
        <f t="shared" si="201"/>
        <v>0</v>
      </c>
      <c r="Y1233" s="19" t="e">
        <f t="shared" si="202"/>
        <v>#DIV/0!</v>
      </c>
      <c r="Z1233">
        <v>135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f t="shared" si="203"/>
        <v>0</v>
      </c>
      <c r="BF1233">
        <v>135</v>
      </c>
      <c r="BG1233">
        <v>135</v>
      </c>
      <c r="BH1233" t="s">
        <v>63</v>
      </c>
      <c r="BI1233" t="s">
        <v>850</v>
      </c>
      <c r="BJ1233">
        <v>0</v>
      </c>
      <c r="BK1233">
        <v>0</v>
      </c>
      <c r="BL1233">
        <v>135</v>
      </c>
      <c r="BM1233">
        <v>198</v>
      </c>
      <c r="BN1233">
        <v>0</v>
      </c>
      <c r="BO1233">
        <v>0</v>
      </c>
      <c r="BP1233">
        <v>0</v>
      </c>
      <c r="BQ1233">
        <v>198</v>
      </c>
      <c r="BR1233">
        <f t="shared" si="204"/>
        <v>0</v>
      </c>
      <c r="BS1233">
        <f t="shared" si="205"/>
        <v>44</v>
      </c>
      <c r="BU1233">
        <f>R1233*9</f>
        <v>198</v>
      </c>
      <c r="BV1233">
        <f>IF(BU1233&gt;BG1233, 1, 0)</f>
        <v>1</v>
      </c>
    </row>
    <row r="1234" spans="1:74" x14ac:dyDescent="0.25">
      <c r="A1234" s="5" t="s">
        <v>2294</v>
      </c>
      <c r="B1234" s="5" t="s">
        <v>207</v>
      </c>
      <c r="C1234" s="5" t="s">
        <v>61</v>
      </c>
      <c r="D1234" s="1" t="s">
        <v>104</v>
      </c>
      <c r="E1234">
        <v>10</v>
      </c>
      <c r="F1234">
        <v>3</v>
      </c>
      <c r="G1234">
        <v>0</v>
      </c>
      <c r="H1234">
        <v>0</v>
      </c>
      <c r="I1234">
        <v>97</v>
      </c>
      <c r="J1234">
        <v>460</v>
      </c>
      <c r="K1234">
        <v>18</v>
      </c>
      <c r="L1234">
        <v>27</v>
      </c>
      <c r="M1234">
        <v>0</v>
      </c>
      <c r="N1234">
        <v>0</v>
      </c>
      <c r="O1234">
        <v>0</v>
      </c>
      <c r="P1234">
        <v>27</v>
      </c>
      <c r="Q1234">
        <v>79</v>
      </c>
      <c r="R1234">
        <v>3</v>
      </c>
      <c r="S1234" s="18">
        <f t="shared" si="196"/>
        <v>9</v>
      </c>
      <c r="T1234" s="17">
        <f t="shared" si="197"/>
        <v>0</v>
      </c>
      <c r="U1234" s="17">
        <f t="shared" si="198"/>
        <v>0</v>
      </c>
      <c r="V1234" s="17">
        <f t="shared" si="199"/>
        <v>0</v>
      </c>
      <c r="W1234" s="17">
        <f t="shared" si="200"/>
        <v>3</v>
      </c>
      <c r="X1234" s="17">
        <f t="shared" si="201"/>
        <v>76</v>
      </c>
      <c r="Y1234" s="19">
        <f t="shared" si="202"/>
        <v>0</v>
      </c>
      <c r="Z1234">
        <v>3</v>
      </c>
      <c r="AA1234">
        <v>6</v>
      </c>
      <c r="AB1234">
        <v>0</v>
      </c>
      <c r="AC1234">
        <v>313</v>
      </c>
      <c r="AD1234">
        <v>0</v>
      </c>
      <c r="AE1234">
        <v>0</v>
      </c>
      <c r="AF1234">
        <v>0</v>
      </c>
      <c r="AG1234">
        <v>97</v>
      </c>
      <c r="AH1234">
        <v>97</v>
      </c>
      <c r="AI1234">
        <v>0</v>
      </c>
      <c r="AJ1234">
        <v>0</v>
      </c>
      <c r="AK1234">
        <v>460</v>
      </c>
      <c r="AL1234">
        <v>460</v>
      </c>
      <c r="AM1234">
        <v>0</v>
      </c>
      <c r="AN1234">
        <v>0</v>
      </c>
      <c r="AO1234">
        <v>18</v>
      </c>
      <c r="AP1234">
        <v>7</v>
      </c>
      <c r="AQ1234">
        <v>18</v>
      </c>
      <c r="AR1234">
        <v>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27</v>
      </c>
      <c r="BA1234">
        <v>27</v>
      </c>
      <c r="BB1234">
        <v>0</v>
      </c>
      <c r="BC1234">
        <v>0</v>
      </c>
      <c r="BD1234">
        <v>0</v>
      </c>
      <c r="BE1234">
        <f t="shared" si="203"/>
        <v>1535</v>
      </c>
      <c r="BF1234">
        <v>934</v>
      </c>
      <c r="BG1234">
        <v>934</v>
      </c>
      <c r="BH1234" t="s">
        <v>82</v>
      </c>
      <c r="BI1234" t="s">
        <v>2342</v>
      </c>
      <c r="BJ1234">
        <v>329</v>
      </c>
      <c r="BK1234">
        <v>602</v>
      </c>
      <c r="BL1234">
        <v>934</v>
      </c>
      <c r="BM1234">
        <v>0</v>
      </c>
      <c r="BN1234">
        <v>0</v>
      </c>
      <c r="BO1234">
        <v>0</v>
      </c>
      <c r="BP1234">
        <v>629</v>
      </c>
      <c r="BQ1234">
        <v>629</v>
      </c>
      <c r="BR1234">
        <f t="shared" si="204"/>
        <v>-76</v>
      </c>
      <c r="BS1234">
        <f t="shared" si="205"/>
        <v>82</v>
      </c>
    </row>
    <row r="1235" spans="1:74" x14ac:dyDescent="0.25">
      <c r="A1235" s="5" t="s">
        <v>207</v>
      </c>
      <c r="B1235" s="5" t="s">
        <v>359</v>
      </c>
      <c r="C1235" s="5" t="s">
        <v>61</v>
      </c>
      <c r="D1235" s="1" t="s">
        <v>121</v>
      </c>
      <c r="E1235">
        <v>0</v>
      </c>
      <c r="F1235">
        <v>0</v>
      </c>
      <c r="G1235">
        <v>0</v>
      </c>
      <c r="H1235">
        <v>0</v>
      </c>
      <c r="I1235">
        <v>73</v>
      </c>
      <c r="J1235">
        <v>1600</v>
      </c>
      <c r="K1235">
        <v>570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77</v>
      </c>
      <c r="R1235">
        <v>0</v>
      </c>
      <c r="S1235" s="18" t="e">
        <f t="shared" si="196"/>
        <v>#DIV/0!</v>
      </c>
      <c r="T1235" s="17" t="e">
        <f t="shared" si="197"/>
        <v>#DIV/0!</v>
      </c>
      <c r="U1235" s="17" t="e">
        <f t="shared" si="198"/>
        <v>#DIV/0!</v>
      </c>
      <c r="V1235" s="17" t="e">
        <f t="shared" si="199"/>
        <v>#DIV/0!</v>
      </c>
      <c r="W1235" s="17" t="e">
        <f t="shared" si="200"/>
        <v>#DIV/0!</v>
      </c>
      <c r="X1235" s="17" t="e">
        <f t="shared" si="201"/>
        <v>#DIV/0!</v>
      </c>
      <c r="Y1235" s="19" t="e">
        <f t="shared" si="202"/>
        <v>#DIV/0!</v>
      </c>
      <c r="Z1235">
        <v>0</v>
      </c>
      <c r="AA1235">
        <v>5</v>
      </c>
      <c r="AB1235">
        <v>0</v>
      </c>
      <c r="AC1235">
        <v>877</v>
      </c>
      <c r="AD1235">
        <v>0</v>
      </c>
      <c r="AE1235">
        <v>0</v>
      </c>
      <c r="AF1235">
        <v>0</v>
      </c>
      <c r="AG1235">
        <v>73</v>
      </c>
      <c r="AH1235">
        <v>73</v>
      </c>
      <c r="AI1235">
        <v>0</v>
      </c>
      <c r="AJ1235">
        <v>0</v>
      </c>
      <c r="AK1235">
        <v>1600</v>
      </c>
      <c r="AL1235">
        <v>1600</v>
      </c>
      <c r="AM1235">
        <v>0</v>
      </c>
      <c r="AN1235">
        <v>0</v>
      </c>
      <c r="AO1235">
        <v>570</v>
      </c>
      <c r="AP1235">
        <v>0</v>
      </c>
      <c r="AQ1235">
        <v>570</v>
      </c>
      <c r="AR1235">
        <v>570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f t="shared" si="203"/>
        <v>5933</v>
      </c>
      <c r="BF1235">
        <v>3125</v>
      </c>
      <c r="BG1235">
        <v>3125</v>
      </c>
      <c r="BH1235" t="s">
        <v>190</v>
      </c>
      <c r="BI1235" t="s">
        <v>618</v>
      </c>
      <c r="BJ1235">
        <v>882</v>
      </c>
      <c r="BK1235">
        <v>2243</v>
      </c>
      <c r="BL1235">
        <v>3125</v>
      </c>
      <c r="BM1235">
        <v>0</v>
      </c>
      <c r="BN1235">
        <v>0</v>
      </c>
      <c r="BO1235">
        <v>0</v>
      </c>
      <c r="BP1235">
        <v>2243</v>
      </c>
      <c r="BQ1235">
        <v>2243</v>
      </c>
      <c r="BR1235">
        <f t="shared" si="204"/>
        <v>-77</v>
      </c>
      <c r="BS1235">
        <f t="shared" si="205"/>
        <v>77</v>
      </c>
    </row>
    <row r="1236" spans="1:74" x14ac:dyDescent="0.25">
      <c r="A1236" s="5" t="s">
        <v>1337</v>
      </c>
      <c r="B1236" s="5" t="s">
        <v>61</v>
      </c>
      <c r="C1236" s="5" t="s">
        <v>61</v>
      </c>
      <c r="D1236" s="1" t="s">
        <v>67</v>
      </c>
      <c r="E1236">
        <v>0</v>
      </c>
      <c r="F1236">
        <v>22</v>
      </c>
      <c r="G1236">
        <v>0</v>
      </c>
      <c r="H1236">
        <v>0</v>
      </c>
      <c r="I1236">
        <v>679</v>
      </c>
      <c r="J1236">
        <v>0</v>
      </c>
      <c r="K1236">
        <v>0</v>
      </c>
      <c r="L1236">
        <v>25</v>
      </c>
      <c r="M1236">
        <v>0</v>
      </c>
      <c r="N1236">
        <v>0</v>
      </c>
      <c r="O1236">
        <v>0</v>
      </c>
      <c r="P1236">
        <v>198</v>
      </c>
      <c r="Q1236">
        <v>22</v>
      </c>
      <c r="R1236">
        <v>22</v>
      </c>
      <c r="S1236" s="18">
        <f t="shared" si="196"/>
        <v>9</v>
      </c>
      <c r="T1236" s="17">
        <f t="shared" si="197"/>
        <v>0</v>
      </c>
      <c r="U1236" s="17">
        <f t="shared" si="198"/>
        <v>0</v>
      </c>
      <c r="V1236" s="17">
        <f t="shared" si="199"/>
        <v>0</v>
      </c>
      <c r="W1236" s="17">
        <f t="shared" si="200"/>
        <v>22</v>
      </c>
      <c r="X1236" s="17">
        <f t="shared" si="201"/>
        <v>0</v>
      </c>
      <c r="Y1236" s="19" t="e">
        <f t="shared" si="202"/>
        <v>#DIV/0!</v>
      </c>
      <c r="Z1236">
        <v>22</v>
      </c>
      <c r="AA1236">
        <v>0</v>
      </c>
      <c r="AB1236">
        <v>0</v>
      </c>
      <c r="AC1236">
        <v>0</v>
      </c>
      <c r="AD1236">
        <v>0</v>
      </c>
      <c r="AE1236">
        <v>679</v>
      </c>
      <c r="AF1236">
        <v>0</v>
      </c>
      <c r="AG1236">
        <v>0</v>
      </c>
      <c r="AH1236">
        <v>679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25</v>
      </c>
      <c r="AZ1236">
        <v>0</v>
      </c>
      <c r="BA1236">
        <v>25</v>
      </c>
      <c r="BB1236">
        <v>0</v>
      </c>
      <c r="BC1236">
        <v>0</v>
      </c>
      <c r="BD1236">
        <v>0</v>
      </c>
      <c r="BE1236">
        <f t="shared" si="203"/>
        <v>1408</v>
      </c>
      <c r="BF1236">
        <v>726</v>
      </c>
      <c r="BG1236">
        <v>726</v>
      </c>
      <c r="BH1236" t="s">
        <v>63</v>
      </c>
      <c r="BI1236" t="s">
        <v>1340</v>
      </c>
      <c r="BJ1236">
        <v>0</v>
      </c>
      <c r="BK1236">
        <v>704</v>
      </c>
      <c r="BL1236">
        <v>726</v>
      </c>
      <c r="BM1236">
        <v>0</v>
      </c>
      <c r="BN1236">
        <v>704</v>
      </c>
      <c r="BO1236">
        <v>0</v>
      </c>
      <c r="BP1236">
        <v>198</v>
      </c>
      <c r="BQ1236">
        <v>902</v>
      </c>
      <c r="BR1236">
        <f t="shared" si="204"/>
        <v>0</v>
      </c>
      <c r="BS1236">
        <f t="shared" si="205"/>
        <v>44</v>
      </c>
      <c r="BU1236">
        <f>R1236*9</f>
        <v>198</v>
      </c>
      <c r="BV1236">
        <f>IF(BU1236&gt;BG1236, 1, 0)</f>
        <v>0</v>
      </c>
    </row>
    <row r="1237" spans="1:74" x14ac:dyDescent="0.25">
      <c r="A1237" s="5" t="s">
        <v>1451</v>
      </c>
      <c r="B1237" s="5" t="s">
        <v>207</v>
      </c>
      <c r="C1237" s="5" t="s">
        <v>61</v>
      </c>
      <c r="D1237" s="1" t="s">
        <v>127</v>
      </c>
      <c r="E1237">
        <v>0</v>
      </c>
      <c r="F1237">
        <v>3040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2673</v>
      </c>
      <c r="N1237">
        <v>0</v>
      </c>
      <c r="O1237">
        <v>0</v>
      </c>
      <c r="P1237">
        <v>0</v>
      </c>
      <c r="Q1237">
        <v>374</v>
      </c>
      <c r="R1237">
        <v>297</v>
      </c>
      <c r="S1237" s="18">
        <f t="shared" si="196"/>
        <v>9</v>
      </c>
      <c r="T1237" s="17">
        <f t="shared" si="197"/>
        <v>297</v>
      </c>
      <c r="U1237" s="17">
        <f t="shared" si="198"/>
        <v>0</v>
      </c>
      <c r="V1237" s="17">
        <f t="shared" si="199"/>
        <v>0</v>
      </c>
      <c r="W1237" s="17">
        <f t="shared" si="200"/>
        <v>0</v>
      </c>
      <c r="X1237" s="17">
        <f t="shared" si="201"/>
        <v>77</v>
      </c>
      <c r="Y1237" s="19">
        <f t="shared" si="202"/>
        <v>0</v>
      </c>
      <c r="Z1237">
        <v>3040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f t="shared" si="203"/>
        <v>0</v>
      </c>
      <c r="BF1237">
        <v>3040</v>
      </c>
      <c r="BG1237">
        <v>3040</v>
      </c>
      <c r="BH1237" t="s">
        <v>109</v>
      </c>
      <c r="BI1237" t="s">
        <v>1558</v>
      </c>
      <c r="BJ1237">
        <v>0</v>
      </c>
      <c r="BK1237">
        <v>0</v>
      </c>
      <c r="BL1237">
        <v>3040</v>
      </c>
      <c r="BM1237">
        <v>2673</v>
      </c>
      <c r="BN1237">
        <v>0</v>
      </c>
      <c r="BO1237">
        <v>0</v>
      </c>
      <c r="BP1237">
        <v>0</v>
      </c>
      <c r="BQ1237">
        <v>2673</v>
      </c>
      <c r="BR1237">
        <f t="shared" si="204"/>
        <v>-77</v>
      </c>
      <c r="BS1237">
        <f t="shared" si="205"/>
        <v>671</v>
      </c>
    </row>
    <row r="1238" spans="1:74" x14ac:dyDescent="0.25">
      <c r="A1238" s="5" t="s">
        <v>1661</v>
      </c>
      <c r="B1238" s="5" t="s">
        <v>359</v>
      </c>
      <c r="C1238" s="5" t="s">
        <v>359</v>
      </c>
      <c r="D1238" s="1" t="s">
        <v>108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1625</v>
      </c>
      <c r="K1238">
        <v>24</v>
      </c>
      <c r="L1238">
        <v>130</v>
      </c>
      <c r="M1238">
        <v>0</v>
      </c>
      <c r="N1238">
        <v>0</v>
      </c>
      <c r="O1238">
        <v>0</v>
      </c>
      <c r="P1238">
        <v>0</v>
      </c>
      <c r="Q1238">
        <v>77</v>
      </c>
      <c r="R1238">
        <v>0</v>
      </c>
      <c r="S1238" s="18" t="e">
        <f t="shared" si="196"/>
        <v>#DIV/0!</v>
      </c>
      <c r="T1238" s="17" t="e">
        <f t="shared" si="197"/>
        <v>#DIV/0!</v>
      </c>
      <c r="U1238" s="17" t="e">
        <f t="shared" si="198"/>
        <v>#DIV/0!</v>
      </c>
      <c r="V1238" s="17" t="e">
        <f t="shared" si="199"/>
        <v>#DIV/0!</v>
      </c>
      <c r="W1238" s="17" t="e">
        <f t="shared" si="200"/>
        <v>#DIV/0!</v>
      </c>
      <c r="X1238" s="17" t="e">
        <f t="shared" si="201"/>
        <v>#DIV/0!</v>
      </c>
      <c r="Y1238" s="19" t="e">
        <f t="shared" si="202"/>
        <v>#DIV/0!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1625</v>
      </c>
      <c r="AL1238">
        <v>1625</v>
      </c>
      <c r="AM1238">
        <v>0</v>
      </c>
      <c r="AN1238">
        <v>0</v>
      </c>
      <c r="AO1238">
        <v>24</v>
      </c>
      <c r="AP1238">
        <v>0</v>
      </c>
      <c r="AQ1238">
        <v>24</v>
      </c>
      <c r="AR1238">
        <v>24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130</v>
      </c>
      <c r="BA1238">
        <v>130</v>
      </c>
      <c r="BB1238">
        <v>0</v>
      </c>
      <c r="BC1238">
        <v>0</v>
      </c>
      <c r="BD1238">
        <v>0</v>
      </c>
      <c r="BE1238">
        <f t="shared" si="203"/>
        <v>3582</v>
      </c>
      <c r="BF1238">
        <v>1779</v>
      </c>
      <c r="BG1238">
        <v>1779</v>
      </c>
      <c r="BH1238" t="s">
        <v>199</v>
      </c>
      <c r="BI1238" t="s">
        <v>1938</v>
      </c>
      <c r="BJ1238">
        <v>0</v>
      </c>
      <c r="BK1238">
        <v>1779</v>
      </c>
      <c r="BL1238">
        <v>1779</v>
      </c>
      <c r="BM1238">
        <v>0</v>
      </c>
      <c r="BN1238">
        <v>0</v>
      </c>
      <c r="BO1238">
        <v>0</v>
      </c>
      <c r="BP1238">
        <v>1779</v>
      </c>
      <c r="BQ1238">
        <v>1779</v>
      </c>
      <c r="BR1238">
        <f t="shared" si="204"/>
        <v>-77</v>
      </c>
      <c r="BS1238">
        <f t="shared" si="205"/>
        <v>77</v>
      </c>
    </row>
    <row r="1239" spans="1:74" x14ac:dyDescent="0.25">
      <c r="A1239" s="5" t="s">
        <v>2090</v>
      </c>
      <c r="B1239" s="5" t="s">
        <v>207</v>
      </c>
      <c r="C1239" s="5" t="s">
        <v>61</v>
      </c>
      <c r="D1239" s="1" t="s">
        <v>177</v>
      </c>
      <c r="E1239">
        <v>0</v>
      </c>
      <c r="F1239">
        <v>128</v>
      </c>
      <c r="G1239">
        <v>0</v>
      </c>
      <c r="H1239">
        <v>0</v>
      </c>
      <c r="I1239">
        <v>63</v>
      </c>
      <c r="J1239">
        <v>716</v>
      </c>
      <c r="K1239">
        <v>281</v>
      </c>
      <c r="L1239">
        <v>50</v>
      </c>
      <c r="M1239">
        <v>0</v>
      </c>
      <c r="N1239">
        <v>0</v>
      </c>
      <c r="O1239">
        <v>0</v>
      </c>
      <c r="P1239">
        <v>819</v>
      </c>
      <c r="Q1239">
        <v>168</v>
      </c>
      <c r="R1239">
        <v>91</v>
      </c>
      <c r="S1239" s="18">
        <f t="shared" si="196"/>
        <v>9</v>
      </c>
      <c r="T1239" s="17">
        <f t="shared" si="197"/>
        <v>0</v>
      </c>
      <c r="U1239" s="17">
        <f t="shared" si="198"/>
        <v>0</v>
      </c>
      <c r="V1239" s="17">
        <f t="shared" si="199"/>
        <v>0</v>
      </c>
      <c r="W1239" s="17">
        <f t="shared" si="200"/>
        <v>91</v>
      </c>
      <c r="X1239" s="17">
        <f t="shared" si="201"/>
        <v>77</v>
      </c>
      <c r="Y1239" s="19">
        <f t="shared" si="202"/>
        <v>0</v>
      </c>
      <c r="Z1239">
        <v>128</v>
      </c>
      <c r="AA1239">
        <v>0</v>
      </c>
      <c r="AB1239">
        <v>0</v>
      </c>
      <c r="AC1239">
        <v>147</v>
      </c>
      <c r="AD1239">
        <v>13</v>
      </c>
      <c r="AE1239">
        <v>0</v>
      </c>
      <c r="AF1239">
        <v>0</v>
      </c>
      <c r="AG1239">
        <v>50</v>
      </c>
      <c r="AH1239">
        <v>63</v>
      </c>
      <c r="AI1239">
        <v>0</v>
      </c>
      <c r="AJ1239">
        <v>0</v>
      </c>
      <c r="AK1239">
        <v>716</v>
      </c>
      <c r="AL1239">
        <v>716</v>
      </c>
      <c r="AM1239">
        <v>147</v>
      </c>
      <c r="AN1239">
        <v>0</v>
      </c>
      <c r="AO1239">
        <v>134</v>
      </c>
      <c r="AP1239">
        <v>219</v>
      </c>
      <c r="AQ1239">
        <v>281</v>
      </c>
      <c r="AR1239">
        <v>62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50</v>
      </c>
      <c r="BA1239">
        <v>50</v>
      </c>
      <c r="BB1239">
        <v>0</v>
      </c>
      <c r="BC1239">
        <v>0</v>
      </c>
      <c r="BD1239">
        <v>0</v>
      </c>
      <c r="BE1239">
        <f t="shared" si="203"/>
        <v>2648</v>
      </c>
      <c r="BF1239">
        <v>1385</v>
      </c>
      <c r="BG1239">
        <v>1385</v>
      </c>
      <c r="BH1239" t="s">
        <v>190</v>
      </c>
      <c r="BI1239" t="s">
        <v>2267</v>
      </c>
      <c r="BJ1239">
        <v>147</v>
      </c>
      <c r="BK1239">
        <v>1110</v>
      </c>
      <c r="BL1239">
        <v>1385</v>
      </c>
      <c r="BM1239">
        <v>160</v>
      </c>
      <c r="BN1239">
        <v>0</v>
      </c>
      <c r="BO1239">
        <v>0</v>
      </c>
      <c r="BP1239">
        <v>1769</v>
      </c>
      <c r="BQ1239">
        <v>1929</v>
      </c>
      <c r="BR1239">
        <f t="shared" si="204"/>
        <v>-77</v>
      </c>
      <c r="BS1239">
        <f t="shared" si="205"/>
        <v>259</v>
      </c>
    </row>
    <row r="1240" spans="1:74" x14ac:dyDescent="0.25">
      <c r="A1240" s="5" t="s">
        <v>61</v>
      </c>
      <c r="B1240" s="5" t="s">
        <v>61</v>
      </c>
      <c r="C1240" s="5" t="s">
        <v>61</v>
      </c>
      <c r="D1240" s="1" t="s">
        <v>94</v>
      </c>
      <c r="E1240">
        <v>0</v>
      </c>
      <c r="F1240">
        <v>55</v>
      </c>
      <c r="G1240">
        <v>0</v>
      </c>
      <c r="H1240">
        <v>0</v>
      </c>
      <c r="I1240">
        <v>95</v>
      </c>
      <c r="J1240">
        <v>1262</v>
      </c>
      <c r="K1240">
        <v>110</v>
      </c>
      <c r="L1240">
        <v>15</v>
      </c>
      <c r="M1240">
        <v>0</v>
      </c>
      <c r="N1240">
        <v>0</v>
      </c>
      <c r="O1240">
        <v>0</v>
      </c>
      <c r="P1240">
        <v>342</v>
      </c>
      <c r="Q1240">
        <v>116</v>
      </c>
      <c r="R1240">
        <v>38</v>
      </c>
      <c r="S1240" s="18">
        <f t="shared" si="196"/>
        <v>9</v>
      </c>
      <c r="T1240" s="17">
        <f t="shared" si="197"/>
        <v>0</v>
      </c>
      <c r="U1240" s="17">
        <f t="shared" si="198"/>
        <v>0</v>
      </c>
      <c r="V1240" s="17">
        <f t="shared" si="199"/>
        <v>0</v>
      </c>
      <c r="W1240" s="17">
        <f t="shared" si="200"/>
        <v>38</v>
      </c>
      <c r="X1240" s="17">
        <f t="shared" si="201"/>
        <v>78</v>
      </c>
      <c r="Y1240" s="19">
        <f t="shared" si="202"/>
        <v>0</v>
      </c>
      <c r="Z1240">
        <v>55</v>
      </c>
      <c r="AA1240">
        <v>6</v>
      </c>
      <c r="AB1240">
        <v>0</v>
      </c>
      <c r="AC1240">
        <v>2707</v>
      </c>
      <c r="AD1240">
        <v>0</v>
      </c>
      <c r="AE1240">
        <v>0</v>
      </c>
      <c r="AF1240">
        <v>0</v>
      </c>
      <c r="AG1240">
        <v>95</v>
      </c>
      <c r="AH1240">
        <v>95</v>
      </c>
      <c r="AI1240">
        <v>0</v>
      </c>
      <c r="AJ1240">
        <v>0</v>
      </c>
      <c r="AK1240">
        <v>1262</v>
      </c>
      <c r="AL1240">
        <v>1262</v>
      </c>
      <c r="AM1240">
        <v>0</v>
      </c>
      <c r="AN1240">
        <v>0</v>
      </c>
      <c r="AO1240">
        <v>110</v>
      </c>
      <c r="AP1240">
        <v>39</v>
      </c>
      <c r="AQ1240">
        <v>110</v>
      </c>
      <c r="AR1240">
        <v>71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15</v>
      </c>
      <c r="BA1240">
        <v>15</v>
      </c>
      <c r="BB1240">
        <v>0</v>
      </c>
      <c r="BC1240">
        <v>0</v>
      </c>
      <c r="BD1240">
        <v>0</v>
      </c>
      <c r="BE1240">
        <f t="shared" si="203"/>
        <v>5781</v>
      </c>
      <c r="BF1240">
        <v>4250</v>
      </c>
      <c r="BG1240">
        <v>4250</v>
      </c>
      <c r="BH1240" t="s">
        <v>82</v>
      </c>
      <c r="BI1240" t="s">
        <v>95</v>
      </c>
      <c r="BJ1240">
        <v>2713</v>
      </c>
      <c r="BK1240">
        <v>1482</v>
      </c>
      <c r="BL1240">
        <v>4250</v>
      </c>
      <c r="BM1240">
        <v>0</v>
      </c>
      <c r="BN1240">
        <v>0</v>
      </c>
      <c r="BO1240">
        <v>0</v>
      </c>
      <c r="BP1240">
        <v>1824</v>
      </c>
      <c r="BQ1240">
        <v>1824</v>
      </c>
      <c r="BR1240">
        <f t="shared" si="204"/>
        <v>-78</v>
      </c>
      <c r="BS1240">
        <f t="shared" si="205"/>
        <v>154</v>
      </c>
    </row>
    <row r="1241" spans="1:74" x14ac:dyDescent="0.25">
      <c r="A1241" s="5" t="s">
        <v>61</v>
      </c>
      <c r="B1241" s="5" t="s">
        <v>207</v>
      </c>
      <c r="C1241" s="5" t="s">
        <v>61</v>
      </c>
      <c r="D1241" s="1" t="s">
        <v>90</v>
      </c>
      <c r="E1241">
        <v>0</v>
      </c>
      <c r="F1241">
        <v>0</v>
      </c>
      <c r="G1241">
        <v>0</v>
      </c>
      <c r="H1241">
        <v>0</v>
      </c>
      <c r="I1241">
        <v>14</v>
      </c>
      <c r="J1241">
        <v>200</v>
      </c>
      <c r="K1241">
        <v>260</v>
      </c>
      <c r="L1241">
        <v>32</v>
      </c>
      <c r="M1241">
        <v>0</v>
      </c>
      <c r="N1241">
        <v>0</v>
      </c>
      <c r="O1241">
        <v>0</v>
      </c>
      <c r="P1241">
        <v>0</v>
      </c>
      <c r="Q1241">
        <v>78</v>
      </c>
      <c r="R1241">
        <v>0</v>
      </c>
      <c r="S1241" s="18" t="e">
        <f t="shared" si="196"/>
        <v>#DIV/0!</v>
      </c>
      <c r="T1241" s="17" t="e">
        <f t="shared" si="197"/>
        <v>#DIV/0!</v>
      </c>
      <c r="U1241" s="17" t="e">
        <f t="shared" si="198"/>
        <v>#DIV/0!</v>
      </c>
      <c r="V1241" s="17" t="e">
        <f t="shared" si="199"/>
        <v>#DIV/0!</v>
      </c>
      <c r="W1241" s="17" t="e">
        <f t="shared" si="200"/>
        <v>#DIV/0!</v>
      </c>
      <c r="X1241" s="17" t="e">
        <f t="shared" si="201"/>
        <v>#DIV/0!</v>
      </c>
      <c r="Y1241" s="19" t="e">
        <f t="shared" si="202"/>
        <v>#DIV/0!</v>
      </c>
      <c r="Z1241">
        <v>0</v>
      </c>
      <c r="AA1241">
        <v>0</v>
      </c>
      <c r="AB1241">
        <v>0</v>
      </c>
      <c r="AC1241">
        <v>278</v>
      </c>
      <c r="AD1241">
        <v>0</v>
      </c>
      <c r="AE1241">
        <v>0</v>
      </c>
      <c r="AF1241">
        <v>0</v>
      </c>
      <c r="AG1241">
        <v>14</v>
      </c>
      <c r="AH1241">
        <v>14</v>
      </c>
      <c r="AI1241">
        <v>0</v>
      </c>
      <c r="AJ1241">
        <v>0</v>
      </c>
      <c r="AK1241">
        <v>200</v>
      </c>
      <c r="AL1241">
        <v>200</v>
      </c>
      <c r="AM1241">
        <v>0</v>
      </c>
      <c r="AN1241">
        <v>0</v>
      </c>
      <c r="AO1241">
        <v>260</v>
      </c>
      <c r="AP1241">
        <v>222</v>
      </c>
      <c r="AQ1241">
        <v>260</v>
      </c>
      <c r="AR1241">
        <v>38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32</v>
      </c>
      <c r="BA1241">
        <v>32</v>
      </c>
      <c r="BB1241">
        <v>0</v>
      </c>
      <c r="BC1241">
        <v>0</v>
      </c>
      <c r="BD1241">
        <v>0</v>
      </c>
      <c r="BE1241">
        <f t="shared" si="203"/>
        <v>1550</v>
      </c>
      <c r="BF1241">
        <v>784</v>
      </c>
      <c r="BG1241">
        <v>784</v>
      </c>
      <c r="BH1241" t="s">
        <v>82</v>
      </c>
      <c r="BI1241" t="s">
        <v>221</v>
      </c>
      <c r="BJ1241">
        <v>278</v>
      </c>
      <c r="BK1241">
        <v>506</v>
      </c>
      <c r="BL1241">
        <v>784</v>
      </c>
      <c r="BM1241">
        <v>0</v>
      </c>
      <c r="BN1241">
        <v>0</v>
      </c>
      <c r="BO1241">
        <v>0</v>
      </c>
      <c r="BP1241">
        <v>506</v>
      </c>
      <c r="BQ1241">
        <v>506</v>
      </c>
      <c r="BR1241">
        <f t="shared" si="204"/>
        <v>-78</v>
      </c>
      <c r="BS1241">
        <f t="shared" si="205"/>
        <v>78</v>
      </c>
    </row>
    <row r="1242" spans="1:74" x14ac:dyDescent="0.25">
      <c r="A1242" s="5" t="s">
        <v>61</v>
      </c>
      <c r="B1242" s="5" t="s">
        <v>207</v>
      </c>
      <c r="C1242" s="5" t="s">
        <v>207</v>
      </c>
      <c r="D1242" s="1" t="s">
        <v>139</v>
      </c>
      <c r="E1242">
        <v>0</v>
      </c>
      <c r="F1242">
        <v>0</v>
      </c>
      <c r="G1242">
        <v>0</v>
      </c>
      <c r="H1242">
        <v>0</v>
      </c>
      <c r="I1242">
        <v>350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78</v>
      </c>
      <c r="R1242">
        <v>0</v>
      </c>
      <c r="S1242" s="18" t="e">
        <f t="shared" si="196"/>
        <v>#DIV/0!</v>
      </c>
      <c r="T1242" s="17" t="e">
        <f t="shared" si="197"/>
        <v>#DIV/0!</v>
      </c>
      <c r="U1242" s="17" t="e">
        <f t="shared" si="198"/>
        <v>#DIV/0!</v>
      </c>
      <c r="V1242" s="17" t="e">
        <f t="shared" si="199"/>
        <v>#DIV/0!</v>
      </c>
      <c r="W1242" s="17" t="e">
        <f t="shared" si="200"/>
        <v>#DIV/0!</v>
      </c>
      <c r="X1242" s="17" t="e">
        <f t="shared" si="201"/>
        <v>#DIV/0!</v>
      </c>
      <c r="Y1242" s="19" t="e">
        <f t="shared" si="202"/>
        <v>#DIV/0!</v>
      </c>
      <c r="Z1242">
        <v>0</v>
      </c>
      <c r="AA1242">
        <v>0</v>
      </c>
      <c r="AB1242">
        <v>0</v>
      </c>
      <c r="AC1242">
        <v>0</v>
      </c>
      <c r="AD1242">
        <v>350</v>
      </c>
      <c r="AE1242">
        <v>0</v>
      </c>
      <c r="AF1242">
        <v>0</v>
      </c>
      <c r="AG1242">
        <v>0</v>
      </c>
      <c r="AH1242">
        <v>350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f t="shared" si="203"/>
        <v>700</v>
      </c>
      <c r="BF1242">
        <v>350</v>
      </c>
      <c r="BG1242">
        <v>350</v>
      </c>
      <c r="BH1242" t="s">
        <v>109</v>
      </c>
      <c r="BI1242" t="s">
        <v>316</v>
      </c>
      <c r="BJ1242">
        <v>0</v>
      </c>
      <c r="BK1242">
        <v>350</v>
      </c>
      <c r="BL1242">
        <v>350</v>
      </c>
      <c r="BM1242">
        <v>350</v>
      </c>
      <c r="BN1242">
        <v>0</v>
      </c>
      <c r="BO1242">
        <v>0</v>
      </c>
      <c r="BP1242">
        <v>0</v>
      </c>
      <c r="BQ1242">
        <v>350</v>
      </c>
      <c r="BR1242">
        <f t="shared" si="204"/>
        <v>-78</v>
      </c>
      <c r="BS1242">
        <f t="shared" si="205"/>
        <v>78</v>
      </c>
    </row>
    <row r="1243" spans="1:74" x14ac:dyDescent="0.25">
      <c r="A1243" s="5" t="s">
        <v>1451</v>
      </c>
      <c r="B1243" s="5" t="s">
        <v>207</v>
      </c>
      <c r="C1243" s="5" t="s">
        <v>207</v>
      </c>
      <c r="D1243" s="1" t="s">
        <v>117</v>
      </c>
      <c r="E1243">
        <v>0</v>
      </c>
      <c r="F1243">
        <v>260</v>
      </c>
      <c r="G1243">
        <v>0</v>
      </c>
      <c r="H1243">
        <v>0</v>
      </c>
      <c r="I1243">
        <v>30</v>
      </c>
      <c r="J1243">
        <v>408</v>
      </c>
      <c r="K1243">
        <v>643</v>
      </c>
      <c r="L1243">
        <v>30</v>
      </c>
      <c r="M1243">
        <v>0</v>
      </c>
      <c r="N1243">
        <v>0</v>
      </c>
      <c r="O1243">
        <v>0</v>
      </c>
      <c r="P1243">
        <v>378</v>
      </c>
      <c r="Q1243">
        <v>120</v>
      </c>
      <c r="R1243">
        <v>42</v>
      </c>
      <c r="S1243" s="18">
        <f t="shared" si="196"/>
        <v>9</v>
      </c>
      <c r="T1243" s="17">
        <f t="shared" si="197"/>
        <v>0</v>
      </c>
      <c r="U1243" s="17">
        <f t="shared" si="198"/>
        <v>0</v>
      </c>
      <c r="V1243" s="17">
        <f t="shared" si="199"/>
        <v>0</v>
      </c>
      <c r="W1243" s="17">
        <f t="shared" si="200"/>
        <v>42</v>
      </c>
      <c r="X1243" s="17">
        <f t="shared" si="201"/>
        <v>78</v>
      </c>
      <c r="Y1243" s="19">
        <f t="shared" si="202"/>
        <v>0</v>
      </c>
      <c r="Z1243">
        <v>260</v>
      </c>
      <c r="AA1243">
        <v>0</v>
      </c>
      <c r="AB1243">
        <v>0</v>
      </c>
      <c r="AC1243">
        <v>400</v>
      </c>
      <c r="AD1243">
        <v>0</v>
      </c>
      <c r="AE1243">
        <v>0</v>
      </c>
      <c r="AF1243">
        <v>0</v>
      </c>
      <c r="AG1243">
        <v>30</v>
      </c>
      <c r="AH1243">
        <v>30</v>
      </c>
      <c r="AI1243">
        <v>0</v>
      </c>
      <c r="AJ1243">
        <v>0</v>
      </c>
      <c r="AK1243">
        <v>408</v>
      </c>
      <c r="AL1243">
        <v>408</v>
      </c>
      <c r="AM1243">
        <v>0</v>
      </c>
      <c r="AN1243">
        <v>0</v>
      </c>
      <c r="AO1243">
        <v>643</v>
      </c>
      <c r="AP1243">
        <v>215</v>
      </c>
      <c r="AQ1243">
        <v>643</v>
      </c>
      <c r="AR1243">
        <v>428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30</v>
      </c>
      <c r="BA1243">
        <v>30</v>
      </c>
      <c r="BB1243">
        <v>0</v>
      </c>
      <c r="BC1243">
        <v>0</v>
      </c>
      <c r="BD1243">
        <v>0</v>
      </c>
      <c r="BE1243">
        <f t="shared" si="203"/>
        <v>3265</v>
      </c>
      <c r="BF1243">
        <v>1771</v>
      </c>
      <c r="BG1243">
        <v>1771</v>
      </c>
      <c r="BH1243" t="s">
        <v>82</v>
      </c>
      <c r="BI1243" t="s">
        <v>296</v>
      </c>
      <c r="BJ1243">
        <v>400</v>
      </c>
      <c r="BK1243">
        <v>1111</v>
      </c>
      <c r="BL1243">
        <v>1771</v>
      </c>
      <c r="BM1243">
        <v>0</v>
      </c>
      <c r="BN1243">
        <v>0</v>
      </c>
      <c r="BO1243">
        <v>0</v>
      </c>
      <c r="BP1243">
        <v>1489</v>
      </c>
      <c r="BQ1243">
        <v>1489</v>
      </c>
      <c r="BR1243">
        <f t="shared" si="204"/>
        <v>-78</v>
      </c>
      <c r="BS1243">
        <f t="shared" si="205"/>
        <v>162</v>
      </c>
    </row>
    <row r="1244" spans="1:74" x14ac:dyDescent="0.25">
      <c r="A1244" s="5" t="s">
        <v>207</v>
      </c>
      <c r="B1244" s="5" t="s">
        <v>359</v>
      </c>
      <c r="C1244" s="5" t="s">
        <v>61</v>
      </c>
      <c r="D1244" s="1" t="s">
        <v>81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660</v>
      </c>
      <c r="K1244">
        <v>316</v>
      </c>
      <c r="L1244">
        <v>15</v>
      </c>
      <c r="M1244">
        <v>0</v>
      </c>
      <c r="N1244">
        <v>0</v>
      </c>
      <c r="O1244">
        <v>0</v>
      </c>
      <c r="P1244">
        <v>0</v>
      </c>
      <c r="Q1244">
        <v>79</v>
      </c>
      <c r="R1244">
        <v>0</v>
      </c>
      <c r="S1244" s="18" t="e">
        <f t="shared" si="196"/>
        <v>#DIV/0!</v>
      </c>
      <c r="T1244" s="17" t="e">
        <f t="shared" si="197"/>
        <v>#DIV/0!</v>
      </c>
      <c r="U1244" s="17" t="e">
        <f t="shared" si="198"/>
        <v>#DIV/0!</v>
      </c>
      <c r="V1244" s="17" t="e">
        <f t="shared" si="199"/>
        <v>#DIV/0!</v>
      </c>
      <c r="W1244" s="17" t="e">
        <f t="shared" si="200"/>
        <v>#DIV/0!</v>
      </c>
      <c r="X1244" s="17" t="e">
        <f t="shared" si="201"/>
        <v>#DIV/0!</v>
      </c>
      <c r="Y1244" s="19" t="e">
        <f t="shared" si="202"/>
        <v>#DIV/0!</v>
      </c>
      <c r="Z1244">
        <v>0</v>
      </c>
      <c r="AA1244">
        <v>0</v>
      </c>
      <c r="AB1244">
        <v>0</v>
      </c>
      <c r="AC1244">
        <v>476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660</v>
      </c>
      <c r="AL1244">
        <v>660</v>
      </c>
      <c r="AM1244">
        <v>0</v>
      </c>
      <c r="AN1244">
        <v>0</v>
      </c>
      <c r="AO1244">
        <v>316</v>
      </c>
      <c r="AP1244">
        <v>150</v>
      </c>
      <c r="AQ1244">
        <v>316</v>
      </c>
      <c r="AR1244">
        <v>166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15</v>
      </c>
      <c r="BA1244">
        <v>15</v>
      </c>
      <c r="BB1244">
        <v>0</v>
      </c>
      <c r="BC1244">
        <v>0</v>
      </c>
      <c r="BD1244">
        <v>0</v>
      </c>
      <c r="BE1244">
        <f t="shared" si="203"/>
        <v>2774</v>
      </c>
      <c r="BF1244">
        <v>1467</v>
      </c>
      <c r="BG1244">
        <v>1467</v>
      </c>
      <c r="BH1244" t="s">
        <v>82</v>
      </c>
      <c r="BI1244" t="s">
        <v>603</v>
      </c>
      <c r="BJ1244">
        <v>476</v>
      </c>
      <c r="BK1244">
        <v>991</v>
      </c>
      <c r="BL1244">
        <v>1467</v>
      </c>
      <c r="BM1244">
        <v>0</v>
      </c>
      <c r="BN1244">
        <v>0</v>
      </c>
      <c r="BO1244">
        <v>0</v>
      </c>
      <c r="BP1244">
        <v>991</v>
      </c>
      <c r="BQ1244">
        <v>991</v>
      </c>
      <c r="BR1244">
        <f t="shared" si="204"/>
        <v>-79</v>
      </c>
      <c r="BS1244">
        <f t="shared" si="205"/>
        <v>79</v>
      </c>
    </row>
    <row r="1245" spans="1:74" x14ac:dyDescent="0.25">
      <c r="A1245" s="5" t="s">
        <v>1946</v>
      </c>
      <c r="B1245" s="5" t="s">
        <v>207</v>
      </c>
      <c r="C1245" s="5" t="s">
        <v>207</v>
      </c>
      <c r="D1245" s="1" t="s">
        <v>111</v>
      </c>
      <c r="E1245">
        <v>0</v>
      </c>
      <c r="F1245">
        <v>0</v>
      </c>
      <c r="G1245">
        <v>0</v>
      </c>
      <c r="H1245">
        <v>0</v>
      </c>
      <c r="I1245">
        <v>85</v>
      </c>
      <c r="J1245">
        <v>1193</v>
      </c>
      <c r="K1245">
        <v>25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79</v>
      </c>
      <c r="R1245">
        <v>0</v>
      </c>
      <c r="S1245" s="18" t="e">
        <f t="shared" si="196"/>
        <v>#DIV/0!</v>
      </c>
      <c r="T1245" s="17" t="e">
        <f t="shared" si="197"/>
        <v>#DIV/0!</v>
      </c>
      <c r="U1245" s="17" t="e">
        <f t="shared" si="198"/>
        <v>#DIV/0!</v>
      </c>
      <c r="V1245" s="17" t="e">
        <f t="shared" si="199"/>
        <v>#DIV/0!</v>
      </c>
      <c r="W1245" s="17" t="e">
        <f t="shared" si="200"/>
        <v>#DIV/0!</v>
      </c>
      <c r="X1245" s="17" t="e">
        <f t="shared" si="201"/>
        <v>#DIV/0!</v>
      </c>
      <c r="Y1245" s="19" t="e">
        <f t="shared" si="202"/>
        <v>#DIV/0!</v>
      </c>
      <c r="Z1245">
        <v>0</v>
      </c>
      <c r="AA1245">
        <v>0</v>
      </c>
      <c r="AB1245">
        <v>0</v>
      </c>
      <c r="AC1245">
        <v>929</v>
      </c>
      <c r="AD1245">
        <v>0</v>
      </c>
      <c r="AE1245">
        <v>0</v>
      </c>
      <c r="AF1245">
        <v>0</v>
      </c>
      <c r="AG1245">
        <v>85</v>
      </c>
      <c r="AH1245">
        <v>85</v>
      </c>
      <c r="AI1245">
        <v>0</v>
      </c>
      <c r="AJ1245">
        <v>0</v>
      </c>
      <c r="AK1245">
        <v>1193</v>
      </c>
      <c r="AL1245">
        <v>1193</v>
      </c>
      <c r="AM1245">
        <v>0</v>
      </c>
      <c r="AN1245">
        <v>0</v>
      </c>
      <c r="AO1245">
        <v>25</v>
      </c>
      <c r="AP1245">
        <v>5</v>
      </c>
      <c r="AQ1245">
        <v>25</v>
      </c>
      <c r="AR1245">
        <v>20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f t="shared" si="203"/>
        <v>3560</v>
      </c>
      <c r="BF1245">
        <v>2232</v>
      </c>
      <c r="BG1245">
        <v>2232</v>
      </c>
      <c r="BH1245" t="s">
        <v>82</v>
      </c>
      <c r="BI1245" t="s">
        <v>2060</v>
      </c>
      <c r="BJ1245">
        <v>929</v>
      </c>
      <c r="BK1245">
        <v>1303</v>
      </c>
      <c r="BL1245">
        <v>2232</v>
      </c>
      <c r="BM1245">
        <v>0</v>
      </c>
      <c r="BN1245">
        <v>0</v>
      </c>
      <c r="BO1245">
        <v>0</v>
      </c>
      <c r="BP1245">
        <v>1303</v>
      </c>
      <c r="BQ1245">
        <v>1303</v>
      </c>
      <c r="BR1245">
        <f t="shared" si="204"/>
        <v>-79</v>
      </c>
      <c r="BS1245">
        <f t="shared" si="205"/>
        <v>79</v>
      </c>
    </row>
    <row r="1246" spans="1:74" x14ac:dyDescent="0.25">
      <c r="A1246" s="5" t="s">
        <v>2090</v>
      </c>
      <c r="B1246" s="5" t="s">
        <v>207</v>
      </c>
      <c r="C1246" s="5" t="s">
        <v>61</v>
      </c>
      <c r="D1246" s="1" t="s">
        <v>149</v>
      </c>
      <c r="E1246">
        <v>0</v>
      </c>
      <c r="F1246">
        <v>3095</v>
      </c>
      <c r="G1246">
        <v>0</v>
      </c>
      <c r="H1246">
        <v>0</v>
      </c>
      <c r="I1246">
        <v>350</v>
      </c>
      <c r="J1246">
        <v>0</v>
      </c>
      <c r="K1246">
        <v>0</v>
      </c>
      <c r="L1246">
        <v>0</v>
      </c>
      <c r="M1246">
        <v>3879</v>
      </c>
      <c r="N1246">
        <v>0</v>
      </c>
      <c r="O1246">
        <v>0</v>
      </c>
      <c r="P1246">
        <v>2079</v>
      </c>
      <c r="Q1246">
        <v>741</v>
      </c>
      <c r="R1246">
        <v>662</v>
      </c>
      <c r="S1246" s="18">
        <f t="shared" si="196"/>
        <v>9</v>
      </c>
      <c r="T1246" s="17">
        <f t="shared" si="197"/>
        <v>431</v>
      </c>
      <c r="U1246" s="17">
        <f t="shared" si="198"/>
        <v>0</v>
      </c>
      <c r="V1246" s="17">
        <f t="shared" si="199"/>
        <v>0</v>
      </c>
      <c r="W1246" s="17">
        <f t="shared" si="200"/>
        <v>231</v>
      </c>
      <c r="X1246" s="17">
        <f t="shared" si="201"/>
        <v>79</v>
      </c>
      <c r="Y1246" s="19">
        <f t="shared" si="202"/>
        <v>0</v>
      </c>
      <c r="Z1246">
        <v>3095</v>
      </c>
      <c r="AA1246">
        <v>0</v>
      </c>
      <c r="AB1246">
        <v>0</v>
      </c>
      <c r="AC1246">
        <v>0</v>
      </c>
      <c r="AD1246">
        <v>350</v>
      </c>
      <c r="AE1246">
        <v>0</v>
      </c>
      <c r="AF1246">
        <v>0</v>
      </c>
      <c r="AG1246">
        <v>0</v>
      </c>
      <c r="AH1246">
        <v>350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f t="shared" si="203"/>
        <v>700</v>
      </c>
      <c r="BF1246">
        <v>3445</v>
      </c>
      <c r="BG1246">
        <v>3445</v>
      </c>
      <c r="BH1246" t="s">
        <v>109</v>
      </c>
      <c r="BI1246" t="s">
        <v>2253</v>
      </c>
      <c r="BJ1246">
        <v>0</v>
      </c>
      <c r="BK1246">
        <v>350</v>
      </c>
      <c r="BL1246">
        <v>3445</v>
      </c>
      <c r="BM1246">
        <v>4229</v>
      </c>
      <c r="BN1246">
        <v>0</v>
      </c>
      <c r="BO1246">
        <v>0</v>
      </c>
      <c r="BP1246">
        <v>2079</v>
      </c>
      <c r="BQ1246">
        <v>6308</v>
      </c>
      <c r="BR1246">
        <f t="shared" si="204"/>
        <v>-79</v>
      </c>
      <c r="BS1246">
        <f t="shared" si="205"/>
        <v>1403</v>
      </c>
    </row>
    <row r="1247" spans="1:74" x14ac:dyDescent="0.25">
      <c r="A1247" s="5" t="s">
        <v>207</v>
      </c>
      <c r="B1247" s="5" t="s">
        <v>207</v>
      </c>
      <c r="C1247" s="5" t="s">
        <v>61</v>
      </c>
      <c r="D1247" s="1" t="s">
        <v>65</v>
      </c>
      <c r="E1247">
        <v>0</v>
      </c>
      <c r="F1247">
        <v>33</v>
      </c>
      <c r="G1247">
        <v>0</v>
      </c>
      <c r="H1247">
        <v>0</v>
      </c>
      <c r="I1247">
        <v>454</v>
      </c>
      <c r="J1247">
        <v>196</v>
      </c>
      <c r="K1247">
        <v>162</v>
      </c>
      <c r="L1247">
        <v>50</v>
      </c>
      <c r="M1247">
        <v>0</v>
      </c>
      <c r="N1247">
        <v>0</v>
      </c>
      <c r="O1247">
        <v>0</v>
      </c>
      <c r="P1247">
        <v>198</v>
      </c>
      <c r="Q1247">
        <v>44</v>
      </c>
      <c r="R1247">
        <v>22</v>
      </c>
      <c r="S1247" s="18">
        <f t="shared" si="196"/>
        <v>9</v>
      </c>
      <c r="T1247" s="17">
        <f t="shared" si="197"/>
        <v>0</v>
      </c>
      <c r="U1247" s="17">
        <f t="shared" si="198"/>
        <v>0</v>
      </c>
      <c r="V1247" s="17">
        <f t="shared" si="199"/>
        <v>0</v>
      </c>
      <c r="W1247" s="17">
        <f t="shared" si="200"/>
        <v>22</v>
      </c>
      <c r="X1247" s="17">
        <f t="shared" si="201"/>
        <v>22</v>
      </c>
      <c r="Y1247" s="19">
        <f t="shared" si="202"/>
        <v>0</v>
      </c>
      <c r="Z1247">
        <v>33</v>
      </c>
      <c r="AA1247">
        <v>0</v>
      </c>
      <c r="AB1247">
        <v>0</v>
      </c>
      <c r="AC1247">
        <v>28</v>
      </c>
      <c r="AD1247">
        <v>454</v>
      </c>
      <c r="AE1247">
        <v>0</v>
      </c>
      <c r="AF1247">
        <v>0</v>
      </c>
      <c r="AG1247">
        <v>0</v>
      </c>
      <c r="AH1247">
        <v>454</v>
      </c>
      <c r="AI1247">
        <v>0</v>
      </c>
      <c r="AJ1247">
        <v>0</v>
      </c>
      <c r="AK1247">
        <v>196</v>
      </c>
      <c r="AL1247">
        <v>196</v>
      </c>
      <c r="AM1247">
        <v>0</v>
      </c>
      <c r="AN1247">
        <v>0</v>
      </c>
      <c r="AO1247">
        <v>162</v>
      </c>
      <c r="AP1247">
        <v>0</v>
      </c>
      <c r="AQ1247">
        <v>162</v>
      </c>
      <c r="AR1247">
        <v>162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50</v>
      </c>
      <c r="AY1247">
        <v>0</v>
      </c>
      <c r="AZ1247">
        <v>0</v>
      </c>
      <c r="BA1247">
        <v>50</v>
      </c>
      <c r="BB1247">
        <v>0</v>
      </c>
      <c r="BC1247">
        <v>0</v>
      </c>
      <c r="BD1247">
        <v>0</v>
      </c>
      <c r="BE1247">
        <f t="shared" si="203"/>
        <v>1914</v>
      </c>
      <c r="BF1247">
        <v>923</v>
      </c>
      <c r="BG1247">
        <v>923</v>
      </c>
      <c r="BH1247" t="s">
        <v>63</v>
      </c>
      <c r="BI1247" t="s">
        <v>540</v>
      </c>
      <c r="BJ1247">
        <v>28</v>
      </c>
      <c r="BK1247">
        <v>862</v>
      </c>
      <c r="BL1247">
        <v>923</v>
      </c>
      <c r="BM1247">
        <v>504</v>
      </c>
      <c r="BN1247">
        <v>0</v>
      </c>
      <c r="BO1247">
        <v>0</v>
      </c>
      <c r="BP1247">
        <v>556</v>
      </c>
      <c r="BQ1247">
        <v>1060</v>
      </c>
      <c r="BR1247">
        <f t="shared" si="204"/>
        <v>-22</v>
      </c>
      <c r="BS1247">
        <f t="shared" si="205"/>
        <v>66</v>
      </c>
      <c r="BU1247">
        <f>R1247*9</f>
        <v>198</v>
      </c>
      <c r="BV1247">
        <f>IF(BU1247&gt;BG1247, 1, 0)</f>
        <v>0</v>
      </c>
    </row>
    <row r="1248" spans="1:74" x14ac:dyDescent="0.25">
      <c r="A1248" s="5" t="s">
        <v>61</v>
      </c>
      <c r="B1248" s="5" t="s">
        <v>359</v>
      </c>
      <c r="C1248" s="5" t="s">
        <v>61</v>
      </c>
      <c r="D1248" s="1" t="s">
        <v>65</v>
      </c>
      <c r="E1248">
        <v>0</v>
      </c>
      <c r="F1248">
        <v>20</v>
      </c>
      <c r="G1248">
        <v>0</v>
      </c>
      <c r="H1248">
        <v>0</v>
      </c>
      <c r="I1248">
        <v>600</v>
      </c>
      <c r="J1248">
        <v>700</v>
      </c>
      <c r="K1248">
        <v>35</v>
      </c>
      <c r="L1248">
        <v>35</v>
      </c>
      <c r="M1248">
        <v>0</v>
      </c>
      <c r="N1248">
        <v>0</v>
      </c>
      <c r="O1248">
        <v>0</v>
      </c>
      <c r="P1248">
        <v>180</v>
      </c>
      <c r="Q1248">
        <v>251</v>
      </c>
      <c r="R1248">
        <v>20</v>
      </c>
      <c r="S1248" s="18">
        <f t="shared" si="196"/>
        <v>9</v>
      </c>
      <c r="T1248" s="17">
        <f t="shared" si="197"/>
        <v>0</v>
      </c>
      <c r="U1248" s="17">
        <f t="shared" si="198"/>
        <v>0</v>
      </c>
      <c r="V1248" s="17">
        <f t="shared" si="199"/>
        <v>0</v>
      </c>
      <c r="W1248" s="17">
        <f t="shared" si="200"/>
        <v>20</v>
      </c>
      <c r="X1248" s="17">
        <f t="shared" si="201"/>
        <v>231</v>
      </c>
      <c r="Y1248" s="19">
        <f t="shared" si="202"/>
        <v>0</v>
      </c>
      <c r="Z1248">
        <v>20</v>
      </c>
      <c r="AA1248">
        <v>0</v>
      </c>
      <c r="AB1248">
        <v>0</v>
      </c>
      <c r="AC1248">
        <v>15</v>
      </c>
      <c r="AD1248">
        <v>0</v>
      </c>
      <c r="AE1248">
        <v>0</v>
      </c>
      <c r="AF1248">
        <v>0</v>
      </c>
      <c r="AG1248">
        <v>600</v>
      </c>
      <c r="AH1248">
        <v>600</v>
      </c>
      <c r="AI1248">
        <v>0</v>
      </c>
      <c r="AJ1248">
        <v>0</v>
      </c>
      <c r="AK1248">
        <v>700</v>
      </c>
      <c r="AL1248">
        <v>700</v>
      </c>
      <c r="AM1248">
        <v>0</v>
      </c>
      <c r="AN1248">
        <v>0</v>
      </c>
      <c r="AO1248">
        <v>35</v>
      </c>
      <c r="AP1248">
        <v>30</v>
      </c>
      <c r="AQ1248">
        <v>35</v>
      </c>
      <c r="AR1248">
        <v>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35</v>
      </c>
      <c r="BA1248">
        <v>35</v>
      </c>
      <c r="BB1248">
        <v>0</v>
      </c>
      <c r="BC1248">
        <v>0</v>
      </c>
      <c r="BD1248">
        <v>0</v>
      </c>
      <c r="BE1248">
        <f t="shared" si="203"/>
        <v>2790</v>
      </c>
      <c r="BF1248">
        <v>1405</v>
      </c>
      <c r="BG1248">
        <v>1405</v>
      </c>
      <c r="BH1248" t="s">
        <v>63</v>
      </c>
      <c r="BI1248" t="s">
        <v>361</v>
      </c>
      <c r="BJ1248">
        <v>15</v>
      </c>
      <c r="BK1248">
        <v>1370</v>
      </c>
      <c r="BL1248">
        <v>1405</v>
      </c>
      <c r="BM1248">
        <v>0</v>
      </c>
      <c r="BN1248">
        <v>0</v>
      </c>
      <c r="BO1248">
        <v>0</v>
      </c>
      <c r="BP1248">
        <v>1550</v>
      </c>
      <c r="BQ1248">
        <v>1550</v>
      </c>
      <c r="BR1248">
        <f t="shared" si="204"/>
        <v>-231</v>
      </c>
      <c r="BS1248">
        <f t="shared" si="205"/>
        <v>271</v>
      </c>
      <c r="BU1248">
        <f>R1248*9</f>
        <v>180</v>
      </c>
      <c r="BV1248">
        <f>IF(BU1248&gt;BG1248, 1, 0)</f>
        <v>0</v>
      </c>
    </row>
    <row r="1249" spans="1:74" x14ac:dyDescent="0.25">
      <c r="A1249" s="5" t="s">
        <v>1337</v>
      </c>
      <c r="B1249" s="5" t="s">
        <v>61</v>
      </c>
      <c r="C1249" s="5" t="s">
        <v>61</v>
      </c>
      <c r="D1249" s="1" t="s">
        <v>69</v>
      </c>
      <c r="E1249">
        <v>14</v>
      </c>
      <c r="F1249">
        <v>1150</v>
      </c>
      <c r="G1249">
        <v>0</v>
      </c>
      <c r="H1249">
        <v>0</v>
      </c>
      <c r="I1249">
        <v>600</v>
      </c>
      <c r="J1249">
        <v>0</v>
      </c>
      <c r="K1249">
        <v>0</v>
      </c>
      <c r="L1249">
        <v>30</v>
      </c>
      <c r="M1249">
        <v>0</v>
      </c>
      <c r="N1249">
        <v>0</v>
      </c>
      <c r="O1249">
        <v>0</v>
      </c>
      <c r="P1249">
        <v>144</v>
      </c>
      <c r="Q1249">
        <v>260</v>
      </c>
      <c r="R1249">
        <v>16</v>
      </c>
      <c r="S1249" s="18">
        <f t="shared" si="196"/>
        <v>9</v>
      </c>
      <c r="T1249" s="17">
        <f t="shared" si="197"/>
        <v>0</v>
      </c>
      <c r="U1249" s="17">
        <f t="shared" si="198"/>
        <v>0</v>
      </c>
      <c r="V1249" s="17">
        <f t="shared" si="199"/>
        <v>0</v>
      </c>
      <c r="W1249" s="17">
        <f t="shared" si="200"/>
        <v>16</v>
      </c>
      <c r="X1249" s="17">
        <f t="shared" si="201"/>
        <v>244</v>
      </c>
      <c r="Y1249" s="19">
        <f t="shared" si="202"/>
        <v>0</v>
      </c>
      <c r="Z1249">
        <v>1150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600</v>
      </c>
      <c r="AH1249">
        <v>600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30</v>
      </c>
      <c r="BA1249">
        <v>30</v>
      </c>
      <c r="BB1249">
        <v>0</v>
      </c>
      <c r="BC1249">
        <v>0</v>
      </c>
      <c r="BD1249">
        <v>0</v>
      </c>
      <c r="BE1249">
        <f t="shared" si="203"/>
        <v>1260</v>
      </c>
      <c r="BF1249">
        <v>1794</v>
      </c>
      <c r="BG1249">
        <v>1794</v>
      </c>
      <c r="BH1249" t="s">
        <v>63</v>
      </c>
      <c r="BI1249" t="s">
        <v>1341</v>
      </c>
      <c r="BJ1249">
        <v>14</v>
      </c>
      <c r="BK1249">
        <v>630</v>
      </c>
      <c r="BL1249">
        <v>1794</v>
      </c>
      <c r="BM1249">
        <v>0</v>
      </c>
      <c r="BN1249">
        <v>0</v>
      </c>
      <c r="BO1249">
        <v>0</v>
      </c>
      <c r="BP1249">
        <v>774</v>
      </c>
      <c r="BQ1249">
        <v>774</v>
      </c>
      <c r="BR1249">
        <f t="shared" si="204"/>
        <v>-244</v>
      </c>
      <c r="BS1249">
        <f t="shared" si="205"/>
        <v>276</v>
      </c>
      <c r="BU1249">
        <f>R1249*9</f>
        <v>144</v>
      </c>
      <c r="BV1249">
        <f>IF(BU1249&gt;BG1249, 1, 0)</f>
        <v>0</v>
      </c>
    </row>
    <row r="1250" spans="1:74" x14ac:dyDescent="0.25">
      <c r="A1250" s="5" t="s">
        <v>207</v>
      </c>
      <c r="B1250" s="5" t="s">
        <v>61</v>
      </c>
      <c r="C1250" s="5" t="s">
        <v>207</v>
      </c>
      <c r="D1250" s="1" t="s">
        <v>106</v>
      </c>
      <c r="E1250">
        <v>0</v>
      </c>
      <c r="F1250">
        <v>0</v>
      </c>
      <c r="G1250">
        <v>0</v>
      </c>
      <c r="H1250">
        <v>0</v>
      </c>
      <c r="I1250">
        <v>76</v>
      </c>
      <c r="J1250">
        <v>1353</v>
      </c>
      <c r="K1250">
        <v>217</v>
      </c>
      <c r="L1250">
        <v>65</v>
      </c>
      <c r="M1250">
        <v>0</v>
      </c>
      <c r="N1250">
        <v>0</v>
      </c>
      <c r="O1250">
        <v>0</v>
      </c>
      <c r="P1250">
        <v>0</v>
      </c>
      <c r="Q1250">
        <v>81</v>
      </c>
      <c r="R1250">
        <v>0</v>
      </c>
      <c r="S1250" s="18" t="e">
        <f t="shared" si="196"/>
        <v>#DIV/0!</v>
      </c>
      <c r="T1250" s="17" t="e">
        <f t="shared" si="197"/>
        <v>#DIV/0!</v>
      </c>
      <c r="U1250" s="17" t="e">
        <f t="shared" si="198"/>
        <v>#DIV/0!</v>
      </c>
      <c r="V1250" s="17" t="e">
        <f t="shared" si="199"/>
        <v>#DIV/0!</v>
      </c>
      <c r="W1250" s="17" t="e">
        <f t="shared" si="200"/>
        <v>#DIV/0!</v>
      </c>
      <c r="X1250" s="17" t="e">
        <f t="shared" si="201"/>
        <v>#DIV/0!</v>
      </c>
      <c r="Y1250" s="19" t="e">
        <f t="shared" si="202"/>
        <v>#DIV/0!</v>
      </c>
      <c r="Z1250">
        <v>0</v>
      </c>
      <c r="AA1250">
        <v>0</v>
      </c>
      <c r="AB1250">
        <v>0</v>
      </c>
      <c r="AC1250">
        <v>480</v>
      </c>
      <c r="AD1250">
        <v>0</v>
      </c>
      <c r="AE1250">
        <v>0</v>
      </c>
      <c r="AF1250">
        <v>0</v>
      </c>
      <c r="AG1250">
        <v>76</v>
      </c>
      <c r="AH1250">
        <v>76</v>
      </c>
      <c r="AI1250">
        <v>0</v>
      </c>
      <c r="AJ1250">
        <v>0</v>
      </c>
      <c r="AK1250">
        <v>1353</v>
      </c>
      <c r="AL1250">
        <v>1353</v>
      </c>
      <c r="AM1250">
        <v>0</v>
      </c>
      <c r="AN1250">
        <v>0</v>
      </c>
      <c r="AO1250">
        <v>217</v>
      </c>
      <c r="AP1250">
        <v>0</v>
      </c>
      <c r="AQ1250">
        <v>217</v>
      </c>
      <c r="AR1250">
        <v>217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65</v>
      </c>
      <c r="BA1250">
        <v>65</v>
      </c>
      <c r="BB1250">
        <v>0</v>
      </c>
      <c r="BC1250">
        <v>0</v>
      </c>
      <c r="BD1250">
        <v>0</v>
      </c>
      <c r="BE1250">
        <f t="shared" si="203"/>
        <v>4119</v>
      </c>
      <c r="BF1250">
        <v>2191</v>
      </c>
      <c r="BG1250">
        <v>2191</v>
      </c>
      <c r="BH1250" t="s">
        <v>190</v>
      </c>
      <c r="BI1250" t="s">
        <v>483</v>
      </c>
      <c r="BJ1250">
        <v>480</v>
      </c>
      <c r="BK1250">
        <v>1711</v>
      </c>
      <c r="BL1250">
        <v>2191</v>
      </c>
      <c r="BM1250">
        <v>0</v>
      </c>
      <c r="BN1250">
        <v>0</v>
      </c>
      <c r="BO1250">
        <v>0</v>
      </c>
      <c r="BP1250">
        <v>1711</v>
      </c>
      <c r="BQ1250">
        <v>1711</v>
      </c>
      <c r="BR1250">
        <f t="shared" si="204"/>
        <v>-81</v>
      </c>
      <c r="BS1250">
        <f t="shared" si="205"/>
        <v>81</v>
      </c>
    </row>
    <row r="1251" spans="1:74" x14ac:dyDescent="0.25">
      <c r="A1251" s="5" t="s">
        <v>207</v>
      </c>
      <c r="B1251" s="5" t="s">
        <v>627</v>
      </c>
      <c r="C1251" s="5" t="s">
        <v>207</v>
      </c>
      <c r="D1251" s="1" t="s">
        <v>86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365</v>
      </c>
      <c r="K1251">
        <v>338</v>
      </c>
      <c r="L1251">
        <v>25</v>
      </c>
      <c r="M1251">
        <v>0</v>
      </c>
      <c r="N1251">
        <v>0</v>
      </c>
      <c r="O1251">
        <v>0</v>
      </c>
      <c r="P1251">
        <v>0</v>
      </c>
      <c r="Q1251">
        <v>81</v>
      </c>
      <c r="R1251">
        <v>0</v>
      </c>
      <c r="S1251" s="18" t="e">
        <f t="shared" si="196"/>
        <v>#DIV/0!</v>
      </c>
      <c r="T1251" s="17" t="e">
        <f t="shared" si="197"/>
        <v>#DIV/0!</v>
      </c>
      <c r="U1251" s="17" t="e">
        <f t="shared" si="198"/>
        <v>#DIV/0!</v>
      </c>
      <c r="V1251" s="17" t="e">
        <f t="shared" si="199"/>
        <v>#DIV/0!</v>
      </c>
      <c r="W1251" s="17" t="e">
        <f t="shared" si="200"/>
        <v>#DIV/0!</v>
      </c>
      <c r="X1251" s="17" t="e">
        <f t="shared" si="201"/>
        <v>#DIV/0!</v>
      </c>
      <c r="Y1251" s="19" t="e">
        <f t="shared" si="202"/>
        <v>#DIV/0!</v>
      </c>
      <c r="Z1251">
        <v>0</v>
      </c>
      <c r="AA1251">
        <v>0</v>
      </c>
      <c r="AB1251">
        <v>0</v>
      </c>
      <c r="AC1251">
        <v>650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365</v>
      </c>
      <c r="AL1251">
        <v>365</v>
      </c>
      <c r="AM1251">
        <v>0</v>
      </c>
      <c r="AN1251">
        <v>0</v>
      </c>
      <c r="AO1251">
        <v>338</v>
      </c>
      <c r="AP1251">
        <v>338</v>
      </c>
      <c r="AQ1251">
        <v>338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25</v>
      </c>
      <c r="BA1251">
        <v>25</v>
      </c>
      <c r="BB1251">
        <v>0</v>
      </c>
      <c r="BC1251">
        <v>0</v>
      </c>
      <c r="BD1251">
        <v>0</v>
      </c>
      <c r="BE1251">
        <f t="shared" si="203"/>
        <v>2444</v>
      </c>
      <c r="BF1251">
        <v>1378</v>
      </c>
      <c r="BG1251">
        <v>1378</v>
      </c>
      <c r="BH1251" t="s">
        <v>82</v>
      </c>
      <c r="BI1251" t="s">
        <v>670</v>
      </c>
      <c r="BJ1251">
        <v>650</v>
      </c>
      <c r="BK1251">
        <v>728</v>
      </c>
      <c r="BL1251">
        <v>1378</v>
      </c>
      <c r="BM1251">
        <v>0</v>
      </c>
      <c r="BN1251">
        <v>0</v>
      </c>
      <c r="BO1251">
        <v>0</v>
      </c>
      <c r="BP1251">
        <v>728</v>
      </c>
      <c r="BQ1251">
        <v>728</v>
      </c>
      <c r="BR1251">
        <f t="shared" si="204"/>
        <v>-81</v>
      </c>
      <c r="BS1251">
        <f t="shared" si="205"/>
        <v>81</v>
      </c>
    </row>
    <row r="1252" spans="1:74" x14ac:dyDescent="0.25">
      <c r="A1252" s="5" t="s">
        <v>1017</v>
      </c>
      <c r="B1252" s="5" t="s">
        <v>207</v>
      </c>
      <c r="C1252" s="5" t="s">
        <v>61</v>
      </c>
      <c r="D1252" s="1" t="s">
        <v>111</v>
      </c>
      <c r="E1252">
        <v>0</v>
      </c>
      <c r="F1252">
        <v>0</v>
      </c>
      <c r="G1252">
        <v>0</v>
      </c>
      <c r="H1252">
        <v>0</v>
      </c>
      <c r="I1252">
        <v>17</v>
      </c>
      <c r="J1252">
        <v>2120</v>
      </c>
      <c r="K1252">
        <v>263</v>
      </c>
      <c r="L1252">
        <v>35</v>
      </c>
      <c r="M1252">
        <v>0</v>
      </c>
      <c r="N1252">
        <v>0</v>
      </c>
      <c r="O1252">
        <v>0</v>
      </c>
      <c r="P1252">
        <v>0</v>
      </c>
      <c r="Q1252">
        <v>81</v>
      </c>
      <c r="R1252">
        <v>0</v>
      </c>
      <c r="S1252" s="18" t="e">
        <f t="shared" si="196"/>
        <v>#DIV/0!</v>
      </c>
      <c r="T1252" s="17" t="e">
        <f t="shared" si="197"/>
        <v>#DIV/0!</v>
      </c>
      <c r="U1252" s="17" t="e">
        <f t="shared" si="198"/>
        <v>#DIV/0!</v>
      </c>
      <c r="V1252" s="17" t="e">
        <f t="shared" si="199"/>
        <v>#DIV/0!</v>
      </c>
      <c r="W1252" s="17" t="e">
        <f t="shared" si="200"/>
        <v>#DIV/0!</v>
      </c>
      <c r="X1252" s="17" t="e">
        <f t="shared" si="201"/>
        <v>#DIV/0!</v>
      </c>
      <c r="Y1252" s="19" t="e">
        <f t="shared" si="202"/>
        <v>#DIV/0!</v>
      </c>
      <c r="Z1252">
        <v>0</v>
      </c>
      <c r="AA1252">
        <v>0</v>
      </c>
      <c r="AB1252">
        <v>224</v>
      </c>
      <c r="AC1252">
        <v>850</v>
      </c>
      <c r="AD1252">
        <v>0</v>
      </c>
      <c r="AE1252">
        <v>0</v>
      </c>
      <c r="AF1252">
        <v>0</v>
      </c>
      <c r="AG1252">
        <v>17</v>
      </c>
      <c r="AH1252">
        <v>17</v>
      </c>
      <c r="AI1252">
        <v>0</v>
      </c>
      <c r="AJ1252">
        <v>0</v>
      </c>
      <c r="AK1252">
        <v>2120</v>
      </c>
      <c r="AL1252">
        <v>2120</v>
      </c>
      <c r="AM1252">
        <v>0</v>
      </c>
      <c r="AN1252">
        <v>0</v>
      </c>
      <c r="AO1252">
        <v>263</v>
      </c>
      <c r="AP1252">
        <v>212</v>
      </c>
      <c r="AQ1252">
        <v>263</v>
      </c>
      <c r="AR1252">
        <v>51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35</v>
      </c>
      <c r="BA1252">
        <v>35</v>
      </c>
      <c r="BB1252">
        <v>0</v>
      </c>
      <c r="BC1252">
        <v>0</v>
      </c>
      <c r="BD1252">
        <v>0</v>
      </c>
      <c r="BE1252">
        <f t="shared" si="203"/>
        <v>5983</v>
      </c>
      <c r="BF1252">
        <v>3509</v>
      </c>
      <c r="BG1252">
        <v>3509</v>
      </c>
      <c r="BH1252" t="s">
        <v>82</v>
      </c>
      <c r="BI1252" t="s">
        <v>726</v>
      </c>
      <c r="BJ1252">
        <v>1074</v>
      </c>
      <c r="BK1252">
        <v>2435</v>
      </c>
      <c r="BL1252">
        <v>3509</v>
      </c>
      <c r="BM1252">
        <v>0</v>
      </c>
      <c r="BN1252">
        <v>0</v>
      </c>
      <c r="BO1252">
        <v>0</v>
      </c>
      <c r="BP1252">
        <v>2435</v>
      </c>
      <c r="BQ1252">
        <v>2435</v>
      </c>
      <c r="BR1252">
        <f t="shared" si="204"/>
        <v>-81</v>
      </c>
      <c r="BS1252">
        <f t="shared" si="205"/>
        <v>81</v>
      </c>
    </row>
    <row r="1253" spans="1:74" x14ac:dyDescent="0.25">
      <c r="A1253" s="5" t="s">
        <v>1451</v>
      </c>
      <c r="B1253" s="5" t="s">
        <v>207</v>
      </c>
      <c r="C1253" s="5" t="s">
        <v>207</v>
      </c>
      <c r="D1253" s="1" t="s">
        <v>102</v>
      </c>
      <c r="E1253">
        <v>0</v>
      </c>
      <c r="F1253">
        <v>82</v>
      </c>
      <c r="G1253">
        <v>0</v>
      </c>
      <c r="H1253">
        <v>0</v>
      </c>
      <c r="I1253">
        <v>420</v>
      </c>
      <c r="J1253">
        <v>1609</v>
      </c>
      <c r="K1253">
        <v>2783</v>
      </c>
      <c r="L1253">
        <v>10</v>
      </c>
      <c r="M1253">
        <v>0</v>
      </c>
      <c r="N1253">
        <v>0</v>
      </c>
      <c r="O1253">
        <v>0</v>
      </c>
      <c r="P1253">
        <v>3213</v>
      </c>
      <c r="Q1253">
        <v>438</v>
      </c>
      <c r="R1253">
        <v>357</v>
      </c>
      <c r="S1253" s="18">
        <f t="shared" si="196"/>
        <v>9</v>
      </c>
      <c r="T1253" s="17">
        <f t="shared" si="197"/>
        <v>0</v>
      </c>
      <c r="U1253" s="17">
        <f t="shared" si="198"/>
        <v>0</v>
      </c>
      <c r="V1253" s="17">
        <f t="shared" si="199"/>
        <v>0</v>
      </c>
      <c r="W1253" s="17">
        <f t="shared" si="200"/>
        <v>357</v>
      </c>
      <c r="X1253" s="17">
        <f t="shared" si="201"/>
        <v>81</v>
      </c>
      <c r="Y1253" s="19">
        <f t="shared" si="202"/>
        <v>0</v>
      </c>
      <c r="Z1253">
        <v>82</v>
      </c>
      <c r="AA1253">
        <v>0</v>
      </c>
      <c r="AB1253">
        <v>0</v>
      </c>
      <c r="AC1253">
        <v>325</v>
      </c>
      <c r="AD1253">
        <v>0</v>
      </c>
      <c r="AE1253">
        <v>0</v>
      </c>
      <c r="AF1253">
        <v>0</v>
      </c>
      <c r="AG1253">
        <v>420</v>
      </c>
      <c r="AH1253">
        <v>420</v>
      </c>
      <c r="AI1253">
        <v>0</v>
      </c>
      <c r="AJ1253">
        <v>0</v>
      </c>
      <c r="AK1253">
        <v>1609</v>
      </c>
      <c r="AL1253">
        <v>1609</v>
      </c>
      <c r="AM1253">
        <v>0</v>
      </c>
      <c r="AN1253">
        <v>0</v>
      </c>
      <c r="AO1253">
        <v>2783</v>
      </c>
      <c r="AP1253">
        <v>2443</v>
      </c>
      <c r="AQ1253">
        <v>2783</v>
      </c>
      <c r="AR1253">
        <v>340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10</v>
      </c>
      <c r="BA1253">
        <v>10</v>
      </c>
      <c r="BB1253">
        <v>0</v>
      </c>
      <c r="BC1253">
        <v>0</v>
      </c>
      <c r="BD1253">
        <v>0</v>
      </c>
      <c r="BE1253">
        <f t="shared" si="203"/>
        <v>12752</v>
      </c>
      <c r="BF1253">
        <v>7640</v>
      </c>
      <c r="BG1253">
        <v>7640</v>
      </c>
      <c r="BH1253" t="s">
        <v>82</v>
      </c>
      <c r="BI1253" t="s">
        <v>1574</v>
      </c>
      <c r="BJ1253">
        <v>325</v>
      </c>
      <c r="BK1253">
        <v>4822</v>
      </c>
      <c r="BL1253">
        <v>5229</v>
      </c>
      <c r="BM1253">
        <v>0</v>
      </c>
      <c r="BN1253">
        <v>0</v>
      </c>
      <c r="BO1253">
        <v>0</v>
      </c>
      <c r="BP1253">
        <v>8035</v>
      </c>
      <c r="BQ1253">
        <v>8035</v>
      </c>
      <c r="BR1253">
        <f t="shared" si="204"/>
        <v>-81</v>
      </c>
      <c r="BS1253">
        <f t="shared" si="205"/>
        <v>795</v>
      </c>
    </row>
    <row r="1254" spans="1:74" x14ac:dyDescent="0.25">
      <c r="A1254" s="5" t="s">
        <v>1661</v>
      </c>
      <c r="B1254" s="5" t="s">
        <v>61</v>
      </c>
      <c r="C1254" s="5" t="s">
        <v>359</v>
      </c>
      <c r="D1254" s="1" t="s">
        <v>137</v>
      </c>
      <c r="E1254">
        <v>0</v>
      </c>
      <c r="F1254">
        <v>1592</v>
      </c>
      <c r="G1254">
        <v>0</v>
      </c>
      <c r="H1254">
        <v>0</v>
      </c>
      <c r="I1254">
        <v>35</v>
      </c>
      <c r="J1254">
        <v>1038</v>
      </c>
      <c r="K1254">
        <v>78</v>
      </c>
      <c r="L1254">
        <v>20</v>
      </c>
      <c r="M1254">
        <v>0</v>
      </c>
      <c r="N1254">
        <v>0</v>
      </c>
      <c r="O1254">
        <v>0</v>
      </c>
      <c r="P1254">
        <v>1026</v>
      </c>
      <c r="Q1254">
        <v>195</v>
      </c>
      <c r="R1254">
        <v>114</v>
      </c>
      <c r="S1254" s="18">
        <f t="shared" si="196"/>
        <v>9</v>
      </c>
      <c r="T1254" s="17">
        <f t="shared" si="197"/>
        <v>0</v>
      </c>
      <c r="U1254" s="17">
        <f t="shared" si="198"/>
        <v>0</v>
      </c>
      <c r="V1254" s="17">
        <f t="shared" si="199"/>
        <v>0</v>
      </c>
      <c r="W1254" s="17">
        <f t="shared" si="200"/>
        <v>114</v>
      </c>
      <c r="X1254" s="17">
        <f t="shared" si="201"/>
        <v>81</v>
      </c>
      <c r="Y1254" s="19">
        <f t="shared" si="202"/>
        <v>0</v>
      </c>
      <c r="Z1254">
        <v>1592</v>
      </c>
      <c r="AA1254">
        <v>0</v>
      </c>
      <c r="AB1254">
        <v>0</v>
      </c>
      <c r="AC1254">
        <v>1371</v>
      </c>
      <c r="AD1254">
        <v>0</v>
      </c>
      <c r="AE1254">
        <v>0</v>
      </c>
      <c r="AF1254">
        <v>0</v>
      </c>
      <c r="AG1254">
        <v>35</v>
      </c>
      <c r="AH1254">
        <v>35</v>
      </c>
      <c r="AI1254">
        <v>0</v>
      </c>
      <c r="AJ1254">
        <v>0</v>
      </c>
      <c r="AK1254">
        <v>1038</v>
      </c>
      <c r="AL1254">
        <v>1038</v>
      </c>
      <c r="AM1254">
        <v>0</v>
      </c>
      <c r="AN1254">
        <v>0</v>
      </c>
      <c r="AO1254">
        <v>78</v>
      </c>
      <c r="AP1254">
        <v>18</v>
      </c>
      <c r="AQ1254">
        <v>78</v>
      </c>
      <c r="AR1254">
        <v>60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20</v>
      </c>
      <c r="BA1254">
        <v>20</v>
      </c>
      <c r="BB1254">
        <v>0</v>
      </c>
      <c r="BC1254">
        <v>0</v>
      </c>
      <c r="BD1254">
        <v>0</v>
      </c>
      <c r="BE1254">
        <f t="shared" si="203"/>
        <v>3791</v>
      </c>
      <c r="BF1254">
        <v>4134</v>
      </c>
      <c r="BG1254">
        <v>4134</v>
      </c>
      <c r="BH1254" t="s">
        <v>82</v>
      </c>
      <c r="BI1254" t="s">
        <v>1745</v>
      </c>
      <c r="BJ1254">
        <v>1371</v>
      </c>
      <c r="BK1254">
        <v>1171</v>
      </c>
      <c r="BL1254">
        <v>4134</v>
      </c>
      <c r="BM1254">
        <v>0</v>
      </c>
      <c r="BN1254">
        <v>0</v>
      </c>
      <c r="BO1254">
        <v>0</v>
      </c>
      <c r="BP1254">
        <v>2197</v>
      </c>
      <c r="BQ1254">
        <v>2197</v>
      </c>
      <c r="BR1254">
        <f t="shared" si="204"/>
        <v>-81</v>
      </c>
      <c r="BS1254">
        <f t="shared" si="205"/>
        <v>309</v>
      </c>
    </row>
    <row r="1255" spans="1:74" x14ac:dyDescent="0.25">
      <c r="A1255" s="5" t="s">
        <v>207</v>
      </c>
      <c r="B1255" s="5" t="s">
        <v>359</v>
      </c>
      <c r="C1255" s="5" t="s">
        <v>61</v>
      </c>
      <c r="D1255" s="1" t="s">
        <v>67</v>
      </c>
      <c r="E1255">
        <v>0</v>
      </c>
      <c r="F1255">
        <v>15</v>
      </c>
      <c r="G1255">
        <v>0</v>
      </c>
      <c r="H1255">
        <v>0</v>
      </c>
      <c r="I1255">
        <v>1168</v>
      </c>
      <c r="J1255">
        <v>0</v>
      </c>
      <c r="K1255">
        <v>2436</v>
      </c>
      <c r="L1255">
        <v>0</v>
      </c>
      <c r="M1255">
        <v>135</v>
      </c>
      <c r="N1255">
        <v>0</v>
      </c>
      <c r="O1255">
        <v>0</v>
      </c>
      <c r="P1255">
        <v>0</v>
      </c>
      <c r="Q1255">
        <v>315</v>
      </c>
      <c r="R1255">
        <v>15</v>
      </c>
      <c r="S1255" s="18">
        <f t="shared" si="196"/>
        <v>9</v>
      </c>
      <c r="T1255" s="17">
        <f t="shared" si="197"/>
        <v>15</v>
      </c>
      <c r="U1255" s="17">
        <f t="shared" si="198"/>
        <v>0</v>
      </c>
      <c r="V1255" s="17">
        <f t="shared" si="199"/>
        <v>0</v>
      </c>
      <c r="W1255" s="17">
        <f t="shared" si="200"/>
        <v>0</v>
      </c>
      <c r="X1255" s="17">
        <f t="shared" si="201"/>
        <v>300</v>
      </c>
      <c r="Y1255" s="19">
        <f t="shared" si="202"/>
        <v>0</v>
      </c>
      <c r="Z1255">
        <v>15</v>
      </c>
      <c r="AA1255">
        <v>0</v>
      </c>
      <c r="AB1255">
        <v>0</v>
      </c>
      <c r="AC1255">
        <v>2400</v>
      </c>
      <c r="AD1255">
        <v>0</v>
      </c>
      <c r="AE1255">
        <v>0</v>
      </c>
      <c r="AF1255">
        <v>0</v>
      </c>
      <c r="AG1255">
        <v>1168</v>
      </c>
      <c r="AH1255">
        <v>1168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2436</v>
      </c>
      <c r="AP1255">
        <v>2436</v>
      </c>
      <c r="AQ1255">
        <v>2436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f t="shared" si="203"/>
        <v>12044</v>
      </c>
      <c r="BF1255">
        <v>6019</v>
      </c>
      <c r="BG1255">
        <v>6019</v>
      </c>
      <c r="BH1255" t="s">
        <v>63</v>
      </c>
      <c r="BI1255" t="s">
        <v>596</v>
      </c>
      <c r="BJ1255">
        <v>2400</v>
      </c>
      <c r="BK1255">
        <v>3604</v>
      </c>
      <c r="BL1255">
        <v>6019</v>
      </c>
      <c r="BM1255">
        <v>135</v>
      </c>
      <c r="BN1255">
        <v>0</v>
      </c>
      <c r="BO1255">
        <v>0</v>
      </c>
      <c r="BP1255">
        <v>3604</v>
      </c>
      <c r="BQ1255">
        <v>3739</v>
      </c>
      <c r="BR1255">
        <f t="shared" si="204"/>
        <v>-300</v>
      </c>
      <c r="BS1255">
        <f t="shared" si="205"/>
        <v>330</v>
      </c>
      <c r="BU1255">
        <f>R1255*9</f>
        <v>135</v>
      </c>
      <c r="BV1255">
        <f>IF(BU1255&gt;BG1255, 1, 0)</f>
        <v>0</v>
      </c>
    </row>
    <row r="1256" spans="1:74" x14ac:dyDescent="0.25">
      <c r="A1256" s="5" t="s">
        <v>61</v>
      </c>
      <c r="B1256" s="6" t="s">
        <v>61</v>
      </c>
      <c r="C1256" s="6" t="s">
        <v>61</v>
      </c>
      <c r="D1256" s="1" t="s">
        <v>185</v>
      </c>
      <c r="E1256">
        <v>0</v>
      </c>
      <c r="F1256">
        <v>30</v>
      </c>
      <c r="G1256">
        <v>0</v>
      </c>
      <c r="H1256">
        <v>0</v>
      </c>
      <c r="I1256">
        <v>162</v>
      </c>
      <c r="J1256">
        <v>0</v>
      </c>
      <c r="K1256">
        <v>0</v>
      </c>
      <c r="L1256">
        <v>0</v>
      </c>
      <c r="M1256">
        <v>135</v>
      </c>
      <c r="N1256">
        <v>0</v>
      </c>
      <c r="O1256">
        <v>0</v>
      </c>
      <c r="P1256">
        <v>0</v>
      </c>
      <c r="Q1256">
        <v>97</v>
      </c>
      <c r="R1256">
        <v>15</v>
      </c>
      <c r="S1256" s="18">
        <f t="shared" si="196"/>
        <v>9</v>
      </c>
      <c r="T1256" s="17">
        <f t="shared" si="197"/>
        <v>15</v>
      </c>
      <c r="U1256" s="17">
        <f t="shared" si="198"/>
        <v>0</v>
      </c>
      <c r="V1256" s="17">
        <f t="shared" si="199"/>
        <v>0</v>
      </c>
      <c r="W1256" s="17">
        <f t="shared" si="200"/>
        <v>0</v>
      </c>
      <c r="X1256" s="17">
        <f t="shared" si="201"/>
        <v>82</v>
      </c>
      <c r="Y1256" s="19">
        <f t="shared" si="202"/>
        <v>0</v>
      </c>
      <c r="Z1256">
        <v>30</v>
      </c>
      <c r="AA1256">
        <v>0</v>
      </c>
      <c r="AB1256">
        <v>0</v>
      </c>
      <c r="AC1256">
        <v>0</v>
      </c>
      <c r="AD1256">
        <v>162</v>
      </c>
      <c r="AE1256">
        <v>0</v>
      </c>
      <c r="AF1256">
        <v>0</v>
      </c>
      <c r="AG1256">
        <v>0</v>
      </c>
      <c r="AH1256">
        <v>162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f t="shared" si="203"/>
        <v>324</v>
      </c>
      <c r="BF1256">
        <v>192</v>
      </c>
      <c r="BG1256">
        <v>192</v>
      </c>
      <c r="BH1256" t="s">
        <v>109</v>
      </c>
      <c r="BI1256" t="s">
        <v>186</v>
      </c>
      <c r="BJ1256">
        <v>0</v>
      </c>
      <c r="BK1256">
        <v>162</v>
      </c>
      <c r="BL1256">
        <v>192</v>
      </c>
      <c r="BM1256">
        <v>297</v>
      </c>
      <c r="BN1256">
        <v>0</v>
      </c>
      <c r="BO1256">
        <v>0</v>
      </c>
      <c r="BP1256">
        <v>0</v>
      </c>
      <c r="BQ1256">
        <v>297</v>
      </c>
      <c r="BR1256">
        <f t="shared" si="204"/>
        <v>-82</v>
      </c>
      <c r="BS1256">
        <f t="shared" si="205"/>
        <v>112</v>
      </c>
    </row>
    <row r="1257" spans="1:74" x14ac:dyDescent="0.25">
      <c r="A1257" s="5" t="s">
        <v>61</v>
      </c>
      <c r="B1257" s="7" t="s">
        <v>207</v>
      </c>
      <c r="C1257" s="7" t="s">
        <v>61</v>
      </c>
      <c r="D1257" s="1" t="s">
        <v>159</v>
      </c>
      <c r="E1257">
        <v>0</v>
      </c>
      <c r="F1257">
        <v>30</v>
      </c>
      <c r="G1257">
        <v>0</v>
      </c>
      <c r="H1257">
        <v>0</v>
      </c>
      <c r="I1257">
        <v>88</v>
      </c>
      <c r="J1257">
        <v>0</v>
      </c>
      <c r="K1257">
        <v>0</v>
      </c>
      <c r="L1257">
        <v>0</v>
      </c>
      <c r="M1257">
        <v>270</v>
      </c>
      <c r="N1257">
        <v>0</v>
      </c>
      <c r="O1257">
        <v>0</v>
      </c>
      <c r="P1257">
        <v>0</v>
      </c>
      <c r="Q1257">
        <v>112</v>
      </c>
      <c r="R1257">
        <v>30</v>
      </c>
      <c r="S1257" s="18">
        <f t="shared" si="196"/>
        <v>9</v>
      </c>
      <c r="T1257" s="17">
        <f t="shared" si="197"/>
        <v>30</v>
      </c>
      <c r="U1257" s="17">
        <f t="shared" si="198"/>
        <v>0</v>
      </c>
      <c r="V1257" s="17">
        <f t="shared" si="199"/>
        <v>0</v>
      </c>
      <c r="W1257" s="17">
        <f t="shared" si="200"/>
        <v>0</v>
      </c>
      <c r="X1257" s="17">
        <f t="shared" si="201"/>
        <v>82</v>
      </c>
      <c r="Y1257" s="19">
        <f t="shared" si="202"/>
        <v>0</v>
      </c>
      <c r="Z1257">
        <v>30</v>
      </c>
      <c r="AA1257">
        <v>0</v>
      </c>
      <c r="AB1257">
        <v>0</v>
      </c>
      <c r="AC1257">
        <v>0</v>
      </c>
      <c r="AD1257">
        <v>88</v>
      </c>
      <c r="AE1257">
        <v>0</v>
      </c>
      <c r="AF1257">
        <v>0</v>
      </c>
      <c r="AG1257">
        <v>0</v>
      </c>
      <c r="AH1257">
        <v>88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f t="shared" si="203"/>
        <v>176</v>
      </c>
      <c r="BF1257">
        <v>118</v>
      </c>
      <c r="BG1257">
        <v>118</v>
      </c>
      <c r="BH1257" t="s">
        <v>109</v>
      </c>
      <c r="BI1257" t="s">
        <v>256</v>
      </c>
      <c r="BJ1257">
        <v>0</v>
      </c>
      <c r="BK1257">
        <v>88</v>
      </c>
      <c r="BL1257">
        <v>118</v>
      </c>
      <c r="BM1257">
        <v>358</v>
      </c>
      <c r="BN1257">
        <v>0</v>
      </c>
      <c r="BO1257">
        <v>0</v>
      </c>
      <c r="BP1257">
        <v>0</v>
      </c>
      <c r="BQ1257">
        <v>358</v>
      </c>
      <c r="BR1257">
        <f t="shared" si="204"/>
        <v>-82</v>
      </c>
      <c r="BS1257">
        <f t="shared" si="205"/>
        <v>142</v>
      </c>
    </row>
    <row r="1258" spans="1:74" x14ac:dyDescent="0.25">
      <c r="A1258" s="5" t="s">
        <v>1661</v>
      </c>
      <c r="B1258" s="5" t="s">
        <v>61</v>
      </c>
      <c r="C1258" s="5" t="s">
        <v>207</v>
      </c>
      <c r="D1258" s="1" t="s">
        <v>90</v>
      </c>
      <c r="E1258">
        <v>0</v>
      </c>
      <c r="F1258">
        <v>4237</v>
      </c>
      <c r="G1258">
        <v>0</v>
      </c>
      <c r="H1258">
        <v>0</v>
      </c>
      <c r="I1258">
        <v>121</v>
      </c>
      <c r="J1258">
        <v>12112</v>
      </c>
      <c r="K1258">
        <v>91</v>
      </c>
      <c r="L1258">
        <v>710</v>
      </c>
      <c r="M1258">
        <v>0</v>
      </c>
      <c r="N1258">
        <v>0</v>
      </c>
      <c r="O1258">
        <v>0</v>
      </c>
      <c r="P1258">
        <v>15075</v>
      </c>
      <c r="Q1258">
        <v>1757</v>
      </c>
      <c r="R1258">
        <v>1675</v>
      </c>
      <c r="S1258" s="18">
        <f t="shared" si="196"/>
        <v>9</v>
      </c>
      <c r="T1258" s="17">
        <f t="shared" si="197"/>
        <v>0</v>
      </c>
      <c r="U1258" s="17">
        <f t="shared" si="198"/>
        <v>0</v>
      </c>
      <c r="V1258" s="17">
        <f t="shared" si="199"/>
        <v>0</v>
      </c>
      <c r="W1258" s="17">
        <f t="shared" si="200"/>
        <v>1675</v>
      </c>
      <c r="X1258" s="17">
        <f t="shared" si="201"/>
        <v>82</v>
      </c>
      <c r="Y1258" s="19">
        <f t="shared" si="202"/>
        <v>0</v>
      </c>
      <c r="Z1258">
        <v>4237</v>
      </c>
      <c r="AA1258">
        <v>0</v>
      </c>
      <c r="AB1258">
        <v>0</v>
      </c>
      <c r="AC1258">
        <v>0</v>
      </c>
      <c r="AD1258">
        <v>0</v>
      </c>
      <c r="AE1258">
        <v>121</v>
      </c>
      <c r="AF1258">
        <v>0</v>
      </c>
      <c r="AG1258">
        <v>0</v>
      </c>
      <c r="AH1258">
        <v>121</v>
      </c>
      <c r="AI1258">
        <v>0</v>
      </c>
      <c r="AJ1258">
        <v>12112</v>
      </c>
      <c r="AK1258">
        <v>0</v>
      </c>
      <c r="AL1258">
        <v>12112</v>
      </c>
      <c r="AM1258">
        <v>0</v>
      </c>
      <c r="AN1258">
        <v>91</v>
      </c>
      <c r="AO1258">
        <v>0</v>
      </c>
      <c r="AP1258">
        <v>91</v>
      </c>
      <c r="AQ1258">
        <v>91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710</v>
      </c>
      <c r="AZ1258">
        <v>0</v>
      </c>
      <c r="BA1258">
        <v>710</v>
      </c>
      <c r="BB1258">
        <v>0</v>
      </c>
      <c r="BC1258">
        <v>0</v>
      </c>
      <c r="BD1258">
        <v>0</v>
      </c>
      <c r="BE1258">
        <f t="shared" si="203"/>
        <v>26159</v>
      </c>
      <c r="BF1258">
        <v>17271</v>
      </c>
      <c r="BG1258">
        <v>17271</v>
      </c>
      <c r="BH1258" t="s">
        <v>199</v>
      </c>
      <c r="BI1258" t="s">
        <v>1711</v>
      </c>
      <c r="BJ1258">
        <v>0</v>
      </c>
      <c r="BK1258">
        <v>13034</v>
      </c>
      <c r="BL1258">
        <v>17271</v>
      </c>
      <c r="BM1258">
        <v>0</v>
      </c>
      <c r="BN1258">
        <v>13034</v>
      </c>
      <c r="BO1258">
        <v>0</v>
      </c>
      <c r="BP1258">
        <v>15075</v>
      </c>
      <c r="BQ1258">
        <v>28109</v>
      </c>
      <c r="BR1258">
        <f t="shared" si="204"/>
        <v>-82</v>
      </c>
      <c r="BS1258">
        <f t="shared" si="205"/>
        <v>3432</v>
      </c>
    </row>
    <row r="1259" spans="1:74" x14ac:dyDescent="0.25">
      <c r="A1259" s="5" t="s">
        <v>1661</v>
      </c>
      <c r="B1259" s="5" t="s">
        <v>61</v>
      </c>
      <c r="C1259" s="5" t="s">
        <v>359</v>
      </c>
      <c r="D1259" s="1" t="s">
        <v>77</v>
      </c>
      <c r="E1259">
        <v>0</v>
      </c>
      <c r="F1259">
        <v>33</v>
      </c>
      <c r="G1259">
        <v>0</v>
      </c>
      <c r="H1259">
        <v>0</v>
      </c>
      <c r="I1259">
        <v>0</v>
      </c>
      <c r="J1259">
        <v>3406</v>
      </c>
      <c r="K1259">
        <v>1267</v>
      </c>
      <c r="L1259">
        <v>153</v>
      </c>
      <c r="M1259">
        <v>0</v>
      </c>
      <c r="N1259">
        <v>0</v>
      </c>
      <c r="O1259">
        <v>0</v>
      </c>
      <c r="P1259">
        <v>126</v>
      </c>
      <c r="Q1259">
        <v>217</v>
      </c>
      <c r="R1259">
        <v>14</v>
      </c>
      <c r="S1259" s="18">
        <f t="shared" si="196"/>
        <v>9</v>
      </c>
      <c r="T1259" s="17">
        <f t="shared" si="197"/>
        <v>0</v>
      </c>
      <c r="U1259" s="17">
        <f t="shared" si="198"/>
        <v>0</v>
      </c>
      <c r="V1259" s="17">
        <f t="shared" si="199"/>
        <v>0</v>
      </c>
      <c r="W1259" s="17">
        <f t="shared" si="200"/>
        <v>14</v>
      </c>
      <c r="X1259" s="17">
        <f t="shared" si="201"/>
        <v>203</v>
      </c>
      <c r="Y1259" s="19">
        <f t="shared" si="202"/>
        <v>0</v>
      </c>
      <c r="Z1259">
        <v>33</v>
      </c>
      <c r="AA1259">
        <v>0</v>
      </c>
      <c r="AB1259">
        <v>0</v>
      </c>
      <c r="AC1259">
        <v>1774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3406</v>
      </c>
      <c r="AK1259">
        <v>0</v>
      </c>
      <c r="AL1259">
        <v>3406</v>
      </c>
      <c r="AM1259">
        <v>0</v>
      </c>
      <c r="AN1259">
        <v>1267</v>
      </c>
      <c r="AO1259">
        <v>0</v>
      </c>
      <c r="AP1259">
        <v>500</v>
      </c>
      <c r="AQ1259">
        <v>1267</v>
      </c>
      <c r="AR1259">
        <v>767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153</v>
      </c>
      <c r="AZ1259">
        <v>0</v>
      </c>
      <c r="BA1259">
        <v>153</v>
      </c>
      <c r="BB1259">
        <v>0</v>
      </c>
      <c r="BC1259">
        <v>0</v>
      </c>
      <c r="BD1259">
        <v>0</v>
      </c>
      <c r="BE1259">
        <f t="shared" si="203"/>
        <v>12693</v>
      </c>
      <c r="BF1259">
        <v>6633</v>
      </c>
      <c r="BG1259">
        <v>6633</v>
      </c>
      <c r="BH1259" t="s">
        <v>63</v>
      </c>
      <c r="BI1259" t="s">
        <v>1719</v>
      </c>
      <c r="BJ1259">
        <v>1774</v>
      </c>
      <c r="BK1259">
        <v>4826</v>
      </c>
      <c r="BL1259">
        <v>6633</v>
      </c>
      <c r="BM1259">
        <v>0</v>
      </c>
      <c r="BN1259">
        <v>4826</v>
      </c>
      <c r="BO1259">
        <v>0</v>
      </c>
      <c r="BP1259">
        <v>126</v>
      </c>
      <c r="BQ1259">
        <v>4952</v>
      </c>
      <c r="BR1259">
        <f t="shared" si="204"/>
        <v>-203</v>
      </c>
      <c r="BS1259">
        <f t="shared" si="205"/>
        <v>231</v>
      </c>
      <c r="BU1259">
        <f>R1259*9</f>
        <v>126</v>
      </c>
      <c r="BV1259">
        <f>IF(BU1259&gt;BG1259, 1, 0)</f>
        <v>0</v>
      </c>
    </row>
    <row r="1260" spans="1:74" x14ac:dyDescent="0.25">
      <c r="A1260" s="5" t="s">
        <v>2294</v>
      </c>
      <c r="B1260" s="5" t="s">
        <v>61</v>
      </c>
      <c r="C1260" s="5" t="s">
        <v>61</v>
      </c>
      <c r="D1260" s="1" t="s">
        <v>121</v>
      </c>
      <c r="E1260">
        <v>0</v>
      </c>
      <c r="F1260">
        <v>0</v>
      </c>
      <c r="G1260">
        <v>0</v>
      </c>
      <c r="H1260">
        <v>0</v>
      </c>
      <c r="I1260">
        <v>249</v>
      </c>
      <c r="J1260">
        <v>447</v>
      </c>
      <c r="K1260">
        <v>189</v>
      </c>
      <c r="L1260">
        <v>30</v>
      </c>
      <c r="M1260">
        <v>0</v>
      </c>
      <c r="N1260">
        <v>0</v>
      </c>
      <c r="O1260">
        <v>0</v>
      </c>
      <c r="P1260">
        <v>0</v>
      </c>
      <c r="Q1260">
        <v>82</v>
      </c>
      <c r="R1260">
        <v>0</v>
      </c>
      <c r="S1260" s="18" t="e">
        <f t="shared" si="196"/>
        <v>#DIV/0!</v>
      </c>
      <c r="T1260" s="17" t="e">
        <f t="shared" si="197"/>
        <v>#DIV/0!</v>
      </c>
      <c r="U1260" s="17" t="e">
        <f t="shared" si="198"/>
        <v>#DIV/0!</v>
      </c>
      <c r="V1260" s="17" t="e">
        <f t="shared" si="199"/>
        <v>#DIV/0!</v>
      </c>
      <c r="W1260" s="17" t="e">
        <f t="shared" si="200"/>
        <v>#DIV/0!</v>
      </c>
      <c r="X1260" s="17" t="e">
        <f t="shared" si="201"/>
        <v>#DIV/0!</v>
      </c>
      <c r="Y1260" s="19" t="e">
        <f t="shared" si="202"/>
        <v>#DIV/0!</v>
      </c>
      <c r="Z1260">
        <v>0</v>
      </c>
      <c r="AA1260">
        <v>3</v>
      </c>
      <c r="AB1260">
        <v>0</v>
      </c>
      <c r="AC1260">
        <v>384</v>
      </c>
      <c r="AD1260">
        <v>0</v>
      </c>
      <c r="AE1260">
        <v>0</v>
      </c>
      <c r="AF1260">
        <v>0</v>
      </c>
      <c r="AG1260">
        <v>249</v>
      </c>
      <c r="AH1260">
        <v>249</v>
      </c>
      <c r="AI1260">
        <v>0</v>
      </c>
      <c r="AJ1260">
        <v>0</v>
      </c>
      <c r="AK1260">
        <v>447</v>
      </c>
      <c r="AL1260">
        <v>447</v>
      </c>
      <c r="AM1260">
        <v>0</v>
      </c>
      <c r="AN1260">
        <v>0</v>
      </c>
      <c r="AO1260">
        <v>189</v>
      </c>
      <c r="AP1260">
        <v>169</v>
      </c>
      <c r="AQ1260">
        <v>189</v>
      </c>
      <c r="AR1260">
        <v>20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30</v>
      </c>
      <c r="BA1260">
        <v>30</v>
      </c>
      <c r="BB1260">
        <v>0</v>
      </c>
      <c r="BC1260">
        <v>0</v>
      </c>
      <c r="BD1260">
        <v>0</v>
      </c>
      <c r="BE1260">
        <f t="shared" si="203"/>
        <v>2403</v>
      </c>
      <c r="BF1260">
        <v>1302</v>
      </c>
      <c r="BG1260">
        <v>1302</v>
      </c>
      <c r="BH1260" t="s">
        <v>82</v>
      </c>
      <c r="BI1260" t="s">
        <v>2321</v>
      </c>
      <c r="BJ1260">
        <v>387</v>
      </c>
      <c r="BK1260">
        <v>915</v>
      </c>
      <c r="BL1260">
        <v>1302</v>
      </c>
      <c r="BM1260">
        <v>0</v>
      </c>
      <c r="BN1260">
        <v>0</v>
      </c>
      <c r="BO1260">
        <v>0</v>
      </c>
      <c r="BP1260">
        <v>915</v>
      </c>
      <c r="BQ1260">
        <v>915</v>
      </c>
      <c r="BR1260">
        <f t="shared" si="204"/>
        <v>-82</v>
      </c>
      <c r="BS1260">
        <f t="shared" si="205"/>
        <v>82</v>
      </c>
    </row>
    <row r="1261" spans="1:74" x14ac:dyDescent="0.25">
      <c r="A1261" s="5" t="s">
        <v>359</v>
      </c>
      <c r="B1261" s="5" t="s">
        <v>61</v>
      </c>
      <c r="C1261" s="5" t="s">
        <v>61</v>
      </c>
      <c r="D1261" s="1" t="s">
        <v>69</v>
      </c>
      <c r="E1261">
        <v>0</v>
      </c>
      <c r="F1261">
        <v>8</v>
      </c>
      <c r="G1261">
        <v>0</v>
      </c>
      <c r="H1261">
        <v>0</v>
      </c>
      <c r="I1261">
        <v>87</v>
      </c>
      <c r="J1261">
        <v>0</v>
      </c>
      <c r="K1261">
        <v>15</v>
      </c>
      <c r="L1261">
        <v>0</v>
      </c>
      <c r="M1261">
        <v>0</v>
      </c>
      <c r="N1261">
        <v>0</v>
      </c>
      <c r="O1261">
        <v>0</v>
      </c>
      <c r="P1261">
        <v>45</v>
      </c>
      <c r="Q1261">
        <v>35</v>
      </c>
      <c r="R1261">
        <v>5</v>
      </c>
      <c r="S1261" s="18">
        <f t="shared" si="196"/>
        <v>9</v>
      </c>
      <c r="T1261" s="17">
        <f t="shared" si="197"/>
        <v>0</v>
      </c>
      <c r="U1261" s="17">
        <f t="shared" si="198"/>
        <v>0</v>
      </c>
      <c r="V1261" s="17">
        <f t="shared" si="199"/>
        <v>0</v>
      </c>
      <c r="W1261" s="17">
        <f t="shared" si="200"/>
        <v>5</v>
      </c>
      <c r="X1261" s="17">
        <f t="shared" si="201"/>
        <v>30</v>
      </c>
      <c r="Y1261" s="19">
        <f t="shared" si="202"/>
        <v>0</v>
      </c>
      <c r="Z1261">
        <v>8</v>
      </c>
      <c r="AA1261">
        <v>0</v>
      </c>
      <c r="AB1261">
        <v>0</v>
      </c>
      <c r="AC1261">
        <v>15</v>
      </c>
      <c r="AD1261">
        <v>0</v>
      </c>
      <c r="AE1261">
        <v>0</v>
      </c>
      <c r="AF1261">
        <v>0</v>
      </c>
      <c r="AG1261">
        <v>87</v>
      </c>
      <c r="AH1261">
        <v>87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15</v>
      </c>
      <c r="AP1261">
        <v>15</v>
      </c>
      <c r="AQ1261">
        <v>15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f t="shared" si="203"/>
        <v>234</v>
      </c>
      <c r="BF1261">
        <v>125</v>
      </c>
      <c r="BG1261">
        <v>125</v>
      </c>
      <c r="BH1261" t="s">
        <v>63</v>
      </c>
      <c r="BI1261" t="s">
        <v>700</v>
      </c>
      <c r="BJ1261">
        <v>15</v>
      </c>
      <c r="BK1261">
        <v>102</v>
      </c>
      <c r="BL1261">
        <v>125</v>
      </c>
      <c r="BM1261">
        <v>0</v>
      </c>
      <c r="BN1261">
        <v>0</v>
      </c>
      <c r="BO1261">
        <v>0</v>
      </c>
      <c r="BP1261">
        <v>147</v>
      </c>
      <c r="BQ1261">
        <v>147</v>
      </c>
      <c r="BR1261">
        <f t="shared" si="204"/>
        <v>-30</v>
      </c>
      <c r="BS1261">
        <f t="shared" si="205"/>
        <v>40</v>
      </c>
      <c r="BU1261">
        <f>R1261*9</f>
        <v>45</v>
      </c>
      <c r="BV1261">
        <f>IF(BU1261&gt;BG1261, 1, 0)</f>
        <v>0</v>
      </c>
    </row>
    <row r="1262" spans="1:74" x14ac:dyDescent="0.25">
      <c r="A1262" s="5" t="s">
        <v>359</v>
      </c>
      <c r="B1262" s="5" t="s">
        <v>61</v>
      </c>
      <c r="C1262" s="5" t="s">
        <v>61</v>
      </c>
      <c r="D1262" s="1" t="s">
        <v>88</v>
      </c>
      <c r="E1262">
        <v>0</v>
      </c>
      <c r="F1262">
        <v>0</v>
      </c>
      <c r="G1262">
        <v>0</v>
      </c>
      <c r="H1262">
        <v>0</v>
      </c>
      <c r="I1262">
        <v>425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83</v>
      </c>
      <c r="R1262">
        <v>0</v>
      </c>
      <c r="S1262" s="18" t="e">
        <f t="shared" si="196"/>
        <v>#DIV/0!</v>
      </c>
      <c r="T1262" s="17" t="e">
        <f t="shared" si="197"/>
        <v>#DIV/0!</v>
      </c>
      <c r="U1262" s="17" t="e">
        <f t="shared" si="198"/>
        <v>#DIV/0!</v>
      </c>
      <c r="V1262" s="17" t="e">
        <f t="shared" si="199"/>
        <v>#DIV/0!</v>
      </c>
      <c r="W1262" s="17" t="e">
        <f t="shared" si="200"/>
        <v>#DIV/0!</v>
      </c>
      <c r="X1262" s="17" t="e">
        <f t="shared" si="201"/>
        <v>#DIV/0!</v>
      </c>
      <c r="Y1262" s="19" t="e">
        <f t="shared" si="202"/>
        <v>#DIV/0!</v>
      </c>
      <c r="Z1262">
        <v>0</v>
      </c>
      <c r="AA1262">
        <v>0</v>
      </c>
      <c r="AB1262">
        <v>0</v>
      </c>
      <c r="AC1262">
        <v>0</v>
      </c>
      <c r="AD1262">
        <v>425</v>
      </c>
      <c r="AE1262">
        <v>0</v>
      </c>
      <c r="AF1262">
        <v>0</v>
      </c>
      <c r="AG1262">
        <v>0</v>
      </c>
      <c r="AH1262">
        <v>425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f t="shared" si="203"/>
        <v>850</v>
      </c>
      <c r="BF1262">
        <v>425</v>
      </c>
      <c r="BG1262">
        <v>425</v>
      </c>
      <c r="BH1262" t="s">
        <v>109</v>
      </c>
      <c r="BI1262" t="s">
        <v>708</v>
      </c>
      <c r="BJ1262">
        <v>0</v>
      </c>
      <c r="BK1262">
        <v>425</v>
      </c>
      <c r="BL1262">
        <v>425</v>
      </c>
      <c r="BM1262">
        <v>425</v>
      </c>
      <c r="BN1262">
        <v>0</v>
      </c>
      <c r="BO1262">
        <v>0</v>
      </c>
      <c r="BP1262">
        <v>0</v>
      </c>
      <c r="BQ1262">
        <v>425</v>
      </c>
      <c r="BR1262">
        <f t="shared" si="204"/>
        <v>-83</v>
      </c>
      <c r="BS1262">
        <f t="shared" si="205"/>
        <v>83</v>
      </c>
    </row>
    <row r="1263" spans="1:74" x14ac:dyDescent="0.25">
      <c r="A1263" s="5" t="s">
        <v>1337</v>
      </c>
      <c r="B1263" s="5" t="s">
        <v>61</v>
      </c>
      <c r="C1263" s="5" t="s">
        <v>61</v>
      </c>
      <c r="D1263" s="1" t="s">
        <v>65</v>
      </c>
      <c r="E1263">
        <v>0</v>
      </c>
      <c r="F1263">
        <v>8</v>
      </c>
      <c r="G1263">
        <v>0</v>
      </c>
      <c r="H1263">
        <v>0</v>
      </c>
      <c r="I1263">
        <v>130</v>
      </c>
      <c r="J1263">
        <v>1635</v>
      </c>
      <c r="K1263">
        <v>190</v>
      </c>
      <c r="L1263">
        <v>9</v>
      </c>
      <c r="M1263">
        <v>0</v>
      </c>
      <c r="N1263">
        <v>0</v>
      </c>
      <c r="O1263">
        <v>0</v>
      </c>
      <c r="P1263">
        <v>36</v>
      </c>
      <c r="Q1263">
        <v>119</v>
      </c>
      <c r="R1263">
        <v>4</v>
      </c>
      <c r="S1263" s="18">
        <f t="shared" si="196"/>
        <v>9</v>
      </c>
      <c r="T1263" s="17">
        <f t="shared" si="197"/>
        <v>0</v>
      </c>
      <c r="U1263" s="17">
        <f t="shared" si="198"/>
        <v>0</v>
      </c>
      <c r="V1263" s="17">
        <f t="shared" si="199"/>
        <v>0</v>
      </c>
      <c r="W1263" s="17">
        <f t="shared" si="200"/>
        <v>4</v>
      </c>
      <c r="X1263" s="17">
        <f t="shared" si="201"/>
        <v>115</v>
      </c>
      <c r="Y1263" s="19">
        <f t="shared" si="202"/>
        <v>0</v>
      </c>
      <c r="Z1263">
        <v>8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130</v>
      </c>
      <c r="AH1263">
        <v>130</v>
      </c>
      <c r="AI1263">
        <v>0</v>
      </c>
      <c r="AJ1263">
        <v>0</v>
      </c>
      <c r="AK1263">
        <v>1635</v>
      </c>
      <c r="AL1263">
        <v>1635</v>
      </c>
      <c r="AM1263">
        <v>0</v>
      </c>
      <c r="AN1263">
        <v>0</v>
      </c>
      <c r="AO1263">
        <v>190</v>
      </c>
      <c r="AP1263">
        <v>21</v>
      </c>
      <c r="AQ1263">
        <v>190</v>
      </c>
      <c r="AR1263">
        <v>169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9</v>
      </c>
      <c r="BA1263">
        <v>9</v>
      </c>
      <c r="BB1263">
        <v>0</v>
      </c>
      <c r="BC1263">
        <v>0</v>
      </c>
      <c r="BD1263">
        <v>0</v>
      </c>
      <c r="BE1263">
        <f t="shared" si="203"/>
        <v>4118</v>
      </c>
      <c r="BF1263">
        <v>1972</v>
      </c>
      <c r="BG1263">
        <v>1972</v>
      </c>
      <c r="BH1263" t="s">
        <v>63</v>
      </c>
      <c r="BI1263" t="s">
        <v>1339</v>
      </c>
      <c r="BJ1263">
        <v>0</v>
      </c>
      <c r="BK1263">
        <v>1964</v>
      </c>
      <c r="BL1263">
        <v>1972</v>
      </c>
      <c r="BM1263">
        <v>0</v>
      </c>
      <c r="BN1263">
        <v>0</v>
      </c>
      <c r="BO1263">
        <v>0</v>
      </c>
      <c r="BP1263">
        <v>2000</v>
      </c>
      <c r="BQ1263">
        <v>2000</v>
      </c>
      <c r="BR1263">
        <f t="shared" si="204"/>
        <v>-115</v>
      </c>
      <c r="BS1263">
        <f t="shared" si="205"/>
        <v>123</v>
      </c>
      <c r="BU1263">
        <f>R1263*9</f>
        <v>36</v>
      </c>
      <c r="BV1263">
        <f>IF(BU1263&gt;BG1263, 1, 0)</f>
        <v>0</v>
      </c>
    </row>
    <row r="1264" spans="1:74" x14ac:dyDescent="0.25">
      <c r="A1264" s="5" t="s">
        <v>61</v>
      </c>
      <c r="B1264" s="5" t="s">
        <v>207</v>
      </c>
      <c r="C1264" s="5" t="s">
        <v>207</v>
      </c>
      <c r="D1264" s="1" t="s">
        <v>62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2738</v>
      </c>
      <c r="K1264">
        <v>853</v>
      </c>
      <c r="L1264">
        <v>114</v>
      </c>
      <c r="M1264">
        <v>0</v>
      </c>
      <c r="N1264">
        <v>0</v>
      </c>
      <c r="O1264">
        <v>0</v>
      </c>
      <c r="P1264">
        <v>9</v>
      </c>
      <c r="Q1264">
        <v>194</v>
      </c>
      <c r="R1264">
        <v>1</v>
      </c>
      <c r="S1264" s="18">
        <f t="shared" si="196"/>
        <v>9</v>
      </c>
      <c r="T1264" s="17">
        <f t="shared" si="197"/>
        <v>0</v>
      </c>
      <c r="U1264" s="17">
        <f t="shared" si="198"/>
        <v>0</v>
      </c>
      <c r="V1264" s="17">
        <f t="shared" si="199"/>
        <v>0</v>
      </c>
      <c r="W1264" s="17">
        <f t="shared" si="200"/>
        <v>1</v>
      </c>
      <c r="X1264" s="17">
        <f t="shared" si="201"/>
        <v>193</v>
      </c>
      <c r="Y1264" s="19">
        <f t="shared" si="202"/>
        <v>0</v>
      </c>
      <c r="Z1264">
        <v>1</v>
      </c>
      <c r="AA1264">
        <v>0</v>
      </c>
      <c r="AB1264">
        <v>0</v>
      </c>
      <c r="AC1264">
        <v>10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2738</v>
      </c>
      <c r="AL1264">
        <v>2738</v>
      </c>
      <c r="AM1264">
        <v>0</v>
      </c>
      <c r="AN1264">
        <v>0</v>
      </c>
      <c r="AO1264">
        <v>853</v>
      </c>
      <c r="AP1264">
        <v>523</v>
      </c>
      <c r="AQ1264">
        <v>853</v>
      </c>
      <c r="AR1264">
        <v>330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114</v>
      </c>
      <c r="BA1264">
        <v>114</v>
      </c>
      <c r="BB1264">
        <v>0</v>
      </c>
      <c r="BC1264">
        <v>0</v>
      </c>
      <c r="BD1264">
        <v>0</v>
      </c>
      <c r="BE1264">
        <f t="shared" si="203"/>
        <v>8273</v>
      </c>
      <c r="BF1264">
        <v>3716</v>
      </c>
      <c r="BG1264">
        <v>3716</v>
      </c>
      <c r="BH1264" t="s">
        <v>63</v>
      </c>
      <c r="BI1264" t="s">
        <v>279</v>
      </c>
      <c r="BJ1264">
        <v>10</v>
      </c>
      <c r="BK1264">
        <v>3705</v>
      </c>
      <c r="BL1264">
        <v>3716</v>
      </c>
      <c r="BM1264">
        <v>0</v>
      </c>
      <c r="BN1264">
        <v>0</v>
      </c>
      <c r="BO1264">
        <v>0</v>
      </c>
      <c r="BP1264">
        <v>3714</v>
      </c>
      <c r="BQ1264">
        <v>3714</v>
      </c>
      <c r="BR1264">
        <f t="shared" si="204"/>
        <v>-193</v>
      </c>
      <c r="BS1264">
        <f t="shared" si="205"/>
        <v>195</v>
      </c>
      <c r="BU1264">
        <f>R1264*9</f>
        <v>9</v>
      </c>
      <c r="BV1264">
        <f>IF(BU1264&gt;BG1264, 1, 0)</f>
        <v>0</v>
      </c>
    </row>
    <row r="1265" spans="1:74" x14ac:dyDescent="0.25">
      <c r="A1265" s="5" t="s">
        <v>1661</v>
      </c>
      <c r="B1265" s="5" t="s">
        <v>359</v>
      </c>
      <c r="C1265" s="5" t="s">
        <v>359</v>
      </c>
      <c r="D1265" s="1" t="s">
        <v>119</v>
      </c>
      <c r="E1265">
        <v>0</v>
      </c>
      <c r="F1265">
        <v>0</v>
      </c>
      <c r="G1265">
        <v>0</v>
      </c>
      <c r="H1265">
        <v>0</v>
      </c>
      <c r="I1265">
        <v>49</v>
      </c>
      <c r="J1265">
        <v>2096</v>
      </c>
      <c r="K1265">
        <v>25</v>
      </c>
      <c r="L1265">
        <v>31</v>
      </c>
      <c r="M1265">
        <v>0</v>
      </c>
      <c r="N1265">
        <v>0</v>
      </c>
      <c r="O1265">
        <v>0</v>
      </c>
      <c r="P1265">
        <v>0</v>
      </c>
      <c r="Q1265">
        <v>83</v>
      </c>
      <c r="R1265">
        <v>0</v>
      </c>
      <c r="S1265" s="18" t="e">
        <f t="shared" si="196"/>
        <v>#DIV/0!</v>
      </c>
      <c r="T1265" s="17" t="e">
        <f t="shared" si="197"/>
        <v>#DIV/0!</v>
      </c>
      <c r="U1265" s="17" t="e">
        <f t="shared" si="198"/>
        <v>#DIV/0!</v>
      </c>
      <c r="V1265" s="17" t="e">
        <f t="shared" si="199"/>
        <v>#DIV/0!</v>
      </c>
      <c r="W1265" s="17" t="e">
        <f t="shared" si="200"/>
        <v>#DIV/0!</v>
      </c>
      <c r="X1265" s="17" t="e">
        <f t="shared" si="201"/>
        <v>#DIV/0!</v>
      </c>
      <c r="Y1265" s="19" t="e">
        <f t="shared" si="202"/>
        <v>#DIV/0!</v>
      </c>
      <c r="Z1265">
        <v>0</v>
      </c>
      <c r="AA1265">
        <v>0</v>
      </c>
      <c r="AB1265">
        <v>0</v>
      </c>
      <c r="AC1265">
        <v>1108</v>
      </c>
      <c r="AD1265">
        <v>0</v>
      </c>
      <c r="AE1265">
        <v>0</v>
      </c>
      <c r="AF1265">
        <v>0</v>
      </c>
      <c r="AG1265">
        <v>49</v>
      </c>
      <c r="AH1265">
        <v>49</v>
      </c>
      <c r="AI1265">
        <v>0</v>
      </c>
      <c r="AJ1265">
        <v>0</v>
      </c>
      <c r="AK1265">
        <v>2096</v>
      </c>
      <c r="AL1265">
        <v>2096</v>
      </c>
      <c r="AM1265">
        <v>0</v>
      </c>
      <c r="AN1265">
        <v>0</v>
      </c>
      <c r="AO1265">
        <v>25</v>
      </c>
      <c r="AP1265">
        <v>0</v>
      </c>
      <c r="AQ1265">
        <v>25</v>
      </c>
      <c r="AR1265">
        <v>25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31</v>
      </c>
      <c r="BA1265">
        <v>31</v>
      </c>
      <c r="BB1265">
        <v>0</v>
      </c>
      <c r="BC1265">
        <v>0</v>
      </c>
      <c r="BD1265">
        <v>0</v>
      </c>
      <c r="BE1265">
        <f t="shared" si="203"/>
        <v>5535</v>
      </c>
      <c r="BF1265">
        <v>3309</v>
      </c>
      <c r="BG1265">
        <v>3309</v>
      </c>
      <c r="BH1265" t="s">
        <v>82</v>
      </c>
      <c r="BI1265" t="s">
        <v>1942</v>
      </c>
      <c r="BJ1265">
        <v>1108</v>
      </c>
      <c r="BK1265">
        <v>2201</v>
      </c>
      <c r="BL1265">
        <v>3309</v>
      </c>
      <c r="BM1265">
        <v>0</v>
      </c>
      <c r="BN1265">
        <v>0</v>
      </c>
      <c r="BO1265">
        <v>0</v>
      </c>
      <c r="BP1265">
        <v>2201</v>
      </c>
      <c r="BQ1265">
        <v>2201</v>
      </c>
      <c r="BR1265">
        <f t="shared" si="204"/>
        <v>-83</v>
      </c>
      <c r="BS1265">
        <f t="shared" si="205"/>
        <v>83</v>
      </c>
    </row>
    <row r="1266" spans="1:74" x14ac:dyDescent="0.25">
      <c r="A1266" s="5" t="s">
        <v>2090</v>
      </c>
      <c r="B1266" s="5" t="s">
        <v>207</v>
      </c>
      <c r="C1266" s="5" t="s">
        <v>61</v>
      </c>
      <c r="D1266" s="1" t="s">
        <v>181</v>
      </c>
      <c r="E1266">
        <v>0</v>
      </c>
      <c r="F1266">
        <v>0</v>
      </c>
      <c r="G1266">
        <v>0</v>
      </c>
      <c r="H1266">
        <v>0</v>
      </c>
      <c r="I1266">
        <v>61</v>
      </c>
      <c r="J1266">
        <v>793</v>
      </c>
      <c r="K1266">
        <v>204</v>
      </c>
      <c r="L1266">
        <v>125</v>
      </c>
      <c r="M1266">
        <v>0</v>
      </c>
      <c r="N1266">
        <v>0</v>
      </c>
      <c r="O1266">
        <v>0</v>
      </c>
      <c r="P1266">
        <v>0</v>
      </c>
      <c r="Q1266">
        <v>83</v>
      </c>
      <c r="R1266">
        <v>0</v>
      </c>
      <c r="S1266" s="18" t="e">
        <f t="shared" si="196"/>
        <v>#DIV/0!</v>
      </c>
      <c r="T1266" s="17" t="e">
        <f t="shared" si="197"/>
        <v>#DIV/0!</v>
      </c>
      <c r="U1266" s="17" t="e">
        <f t="shared" si="198"/>
        <v>#DIV/0!</v>
      </c>
      <c r="V1266" s="17" t="e">
        <f t="shared" si="199"/>
        <v>#DIV/0!</v>
      </c>
      <c r="W1266" s="17" t="e">
        <f t="shared" si="200"/>
        <v>#DIV/0!</v>
      </c>
      <c r="X1266" s="17" t="e">
        <f t="shared" si="201"/>
        <v>#DIV/0!</v>
      </c>
      <c r="Y1266" s="19" t="e">
        <f t="shared" si="202"/>
        <v>#DIV/0!</v>
      </c>
      <c r="Z1266">
        <v>0</v>
      </c>
      <c r="AA1266">
        <v>0</v>
      </c>
      <c r="AB1266">
        <v>0</v>
      </c>
      <c r="AC1266">
        <v>385</v>
      </c>
      <c r="AD1266">
        <v>0</v>
      </c>
      <c r="AE1266">
        <v>0</v>
      </c>
      <c r="AF1266">
        <v>0</v>
      </c>
      <c r="AG1266">
        <v>61</v>
      </c>
      <c r="AH1266">
        <v>61</v>
      </c>
      <c r="AI1266">
        <v>0</v>
      </c>
      <c r="AJ1266">
        <v>0</v>
      </c>
      <c r="AK1266">
        <v>793</v>
      </c>
      <c r="AL1266">
        <v>793</v>
      </c>
      <c r="AM1266">
        <v>0</v>
      </c>
      <c r="AN1266">
        <v>0</v>
      </c>
      <c r="AO1266">
        <v>204</v>
      </c>
      <c r="AP1266">
        <v>103</v>
      </c>
      <c r="AQ1266">
        <v>204</v>
      </c>
      <c r="AR1266">
        <v>101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125</v>
      </c>
      <c r="BA1266">
        <v>125</v>
      </c>
      <c r="BB1266">
        <v>0</v>
      </c>
      <c r="BC1266">
        <v>0</v>
      </c>
      <c r="BD1266">
        <v>0</v>
      </c>
      <c r="BE1266">
        <f t="shared" si="203"/>
        <v>2955</v>
      </c>
      <c r="BF1266">
        <v>1568</v>
      </c>
      <c r="BG1266">
        <v>1568</v>
      </c>
      <c r="BH1266" t="s">
        <v>190</v>
      </c>
      <c r="BI1266" t="s">
        <v>2269</v>
      </c>
      <c r="BJ1266">
        <v>385</v>
      </c>
      <c r="BK1266">
        <v>1183</v>
      </c>
      <c r="BL1266">
        <v>1568</v>
      </c>
      <c r="BM1266">
        <v>0</v>
      </c>
      <c r="BN1266">
        <v>0</v>
      </c>
      <c r="BO1266">
        <v>0</v>
      </c>
      <c r="BP1266">
        <v>1183</v>
      </c>
      <c r="BQ1266">
        <v>1183</v>
      </c>
      <c r="BR1266">
        <f t="shared" si="204"/>
        <v>-83</v>
      </c>
      <c r="BS1266">
        <f t="shared" si="205"/>
        <v>83</v>
      </c>
    </row>
    <row r="1267" spans="1:74" x14ac:dyDescent="0.25">
      <c r="A1267" s="5" t="s">
        <v>61</v>
      </c>
      <c r="B1267" s="5" t="s">
        <v>207</v>
      </c>
      <c r="C1267" s="5" t="s">
        <v>61</v>
      </c>
      <c r="D1267" s="1" t="s">
        <v>119</v>
      </c>
      <c r="E1267">
        <v>0</v>
      </c>
      <c r="F1267">
        <v>137</v>
      </c>
      <c r="G1267">
        <v>0</v>
      </c>
      <c r="H1267">
        <v>0</v>
      </c>
      <c r="I1267">
        <v>244</v>
      </c>
      <c r="J1267">
        <v>0</v>
      </c>
      <c r="K1267">
        <v>331</v>
      </c>
      <c r="L1267">
        <v>0</v>
      </c>
      <c r="M1267">
        <v>1233</v>
      </c>
      <c r="N1267">
        <v>0</v>
      </c>
      <c r="O1267">
        <v>0</v>
      </c>
      <c r="P1267">
        <v>0</v>
      </c>
      <c r="Q1267">
        <v>221</v>
      </c>
      <c r="R1267">
        <v>137</v>
      </c>
      <c r="S1267" s="18">
        <f t="shared" si="196"/>
        <v>9</v>
      </c>
      <c r="T1267" s="17">
        <f t="shared" si="197"/>
        <v>137</v>
      </c>
      <c r="U1267" s="17">
        <f t="shared" si="198"/>
        <v>0</v>
      </c>
      <c r="V1267" s="17">
        <f t="shared" si="199"/>
        <v>0</v>
      </c>
      <c r="W1267" s="17">
        <f t="shared" si="200"/>
        <v>0</v>
      </c>
      <c r="X1267" s="17">
        <f t="shared" si="201"/>
        <v>84</v>
      </c>
      <c r="Y1267" s="19">
        <f t="shared" si="202"/>
        <v>0</v>
      </c>
      <c r="Z1267">
        <v>137</v>
      </c>
      <c r="AA1267">
        <v>0</v>
      </c>
      <c r="AB1267">
        <v>0</v>
      </c>
      <c r="AC1267">
        <v>0</v>
      </c>
      <c r="AD1267">
        <v>244</v>
      </c>
      <c r="AE1267">
        <v>0</v>
      </c>
      <c r="AF1267">
        <v>0</v>
      </c>
      <c r="AG1267">
        <v>0</v>
      </c>
      <c r="AH1267">
        <v>244</v>
      </c>
      <c r="AI1267">
        <v>0</v>
      </c>
      <c r="AJ1267">
        <v>0</v>
      </c>
      <c r="AK1267">
        <v>0</v>
      </c>
      <c r="AL1267">
        <v>0</v>
      </c>
      <c r="AM1267">
        <v>331</v>
      </c>
      <c r="AN1267">
        <v>0</v>
      </c>
      <c r="AO1267">
        <v>0</v>
      </c>
      <c r="AP1267">
        <v>117</v>
      </c>
      <c r="AQ1267">
        <v>331</v>
      </c>
      <c r="AR1267">
        <v>214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f t="shared" si="203"/>
        <v>1481</v>
      </c>
      <c r="BF1267">
        <v>712</v>
      </c>
      <c r="BG1267">
        <v>712</v>
      </c>
      <c r="BH1267" t="s">
        <v>109</v>
      </c>
      <c r="BI1267" t="s">
        <v>236</v>
      </c>
      <c r="BJ1267">
        <v>0</v>
      </c>
      <c r="BK1267">
        <v>575</v>
      </c>
      <c r="BL1267">
        <v>712</v>
      </c>
      <c r="BM1267">
        <v>1808</v>
      </c>
      <c r="BN1267">
        <v>0</v>
      </c>
      <c r="BO1267">
        <v>0</v>
      </c>
      <c r="BP1267">
        <v>0</v>
      </c>
      <c r="BQ1267">
        <v>1808</v>
      </c>
      <c r="BR1267">
        <f t="shared" si="204"/>
        <v>-84</v>
      </c>
      <c r="BS1267">
        <f t="shared" si="205"/>
        <v>358</v>
      </c>
    </row>
    <row r="1268" spans="1:74" x14ac:dyDescent="0.25">
      <c r="A1268" s="5" t="s">
        <v>61</v>
      </c>
      <c r="B1268" s="5" t="s">
        <v>359</v>
      </c>
      <c r="C1268" s="5" t="s">
        <v>61</v>
      </c>
      <c r="D1268" s="1" t="s">
        <v>98</v>
      </c>
      <c r="E1268">
        <v>0</v>
      </c>
      <c r="F1268">
        <v>620</v>
      </c>
      <c r="G1268">
        <v>0</v>
      </c>
      <c r="H1268">
        <v>0</v>
      </c>
      <c r="I1268">
        <v>250</v>
      </c>
      <c r="J1268">
        <v>0</v>
      </c>
      <c r="K1268">
        <v>0</v>
      </c>
      <c r="L1268">
        <v>0</v>
      </c>
      <c r="M1268">
        <v>2907</v>
      </c>
      <c r="N1268">
        <v>0</v>
      </c>
      <c r="O1268">
        <v>0</v>
      </c>
      <c r="P1268">
        <v>0</v>
      </c>
      <c r="Q1268">
        <v>407</v>
      </c>
      <c r="R1268">
        <v>323</v>
      </c>
      <c r="S1268" s="18">
        <f t="shared" si="196"/>
        <v>9</v>
      </c>
      <c r="T1268" s="17">
        <f t="shared" si="197"/>
        <v>323</v>
      </c>
      <c r="U1268" s="17">
        <f t="shared" si="198"/>
        <v>0</v>
      </c>
      <c r="V1268" s="17">
        <f t="shared" si="199"/>
        <v>0</v>
      </c>
      <c r="W1268" s="17">
        <f t="shared" si="200"/>
        <v>0</v>
      </c>
      <c r="X1268" s="17">
        <f t="shared" si="201"/>
        <v>84</v>
      </c>
      <c r="Y1268" s="19">
        <f t="shared" si="202"/>
        <v>0</v>
      </c>
      <c r="Z1268">
        <v>620</v>
      </c>
      <c r="AA1268">
        <v>0</v>
      </c>
      <c r="AB1268">
        <v>0</v>
      </c>
      <c r="AC1268">
        <v>0</v>
      </c>
      <c r="AD1268">
        <v>250</v>
      </c>
      <c r="AE1268">
        <v>0</v>
      </c>
      <c r="AF1268">
        <v>0</v>
      </c>
      <c r="AG1268">
        <v>0</v>
      </c>
      <c r="AH1268">
        <v>250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f t="shared" si="203"/>
        <v>500</v>
      </c>
      <c r="BF1268">
        <v>870</v>
      </c>
      <c r="BG1268">
        <v>870</v>
      </c>
      <c r="BH1268" t="s">
        <v>109</v>
      </c>
      <c r="BI1268" t="s">
        <v>377</v>
      </c>
      <c r="BJ1268">
        <v>0</v>
      </c>
      <c r="BK1268">
        <v>250</v>
      </c>
      <c r="BL1268">
        <v>870</v>
      </c>
      <c r="BM1268">
        <v>3157</v>
      </c>
      <c r="BN1268">
        <v>0</v>
      </c>
      <c r="BO1268">
        <v>0</v>
      </c>
      <c r="BP1268">
        <v>0</v>
      </c>
      <c r="BQ1268">
        <v>3157</v>
      </c>
      <c r="BR1268">
        <f t="shared" si="204"/>
        <v>-84</v>
      </c>
      <c r="BS1268">
        <f t="shared" si="205"/>
        <v>730</v>
      </c>
    </row>
    <row r="1269" spans="1:74" x14ac:dyDescent="0.25">
      <c r="A1269" s="5" t="s">
        <v>61</v>
      </c>
      <c r="B1269" s="5" t="s">
        <v>61</v>
      </c>
      <c r="C1269" s="5" t="s">
        <v>61</v>
      </c>
      <c r="D1269" s="1" t="s">
        <v>69</v>
      </c>
      <c r="E1269">
        <v>0</v>
      </c>
      <c r="F1269">
        <v>1</v>
      </c>
      <c r="G1269">
        <v>0</v>
      </c>
      <c r="H1269">
        <v>0</v>
      </c>
      <c r="I1269">
        <v>2457</v>
      </c>
      <c r="J1269">
        <v>333</v>
      </c>
      <c r="K1269">
        <v>166</v>
      </c>
      <c r="L1269">
        <v>55</v>
      </c>
      <c r="M1269">
        <v>0</v>
      </c>
      <c r="N1269">
        <v>0</v>
      </c>
      <c r="O1269">
        <v>0</v>
      </c>
      <c r="P1269">
        <v>9</v>
      </c>
      <c r="Q1269">
        <v>302</v>
      </c>
      <c r="R1269">
        <v>1</v>
      </c>
      <c r="S1269" s="18">
        <f t="shared" si="196"/>
        <v>9</v>
      </c>
      <c r="T1269" s="17">
        <f t="shared" si="197"/>
        <v>0</v>
      </c>
      <c r="U1269" s="17">
        <f t="shared" si="198"/>
        <v>0</v>
      </c>
      <c r="V1269" s="17">
        <f t="shared" si="199"/>
        <v>0</v>
      </c>
      <c r="W1269" s="17">
        <f t="shared" si="200"/>
        <v>1</v>
      </c>
      <c r="X1269" s="17">
        <f t="shared" si="201"/>
        <v>301</v>
      </c>
      <c r="Y1269" s="19">
        <f t="shared" si="202"/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2522</v>
      </c>
      <c r="AH1269">
        <v>2522</v>
      </c>
      <c r="AI1269">
        <v>0</v>
      </c>
      <c r="AJ1269">
        <v>0</v>
      </c>
      <c r="AK1269">
        <v>333</v>
      </c>
      <c r="AL1269">
        <v>333</v>
      </c>
      <c r="AM1269">
        <v>0</v>
      </c>
      <c r="AN1269">
        <v>0</v>
      </c>
      <c r="AO1269">
        <v>166</v>
      </c>
      <c r="AP1269">
        <v>25</v>
      </c>
      <c r="AQ1269">
        <v>166</v>
      </c>
      <c r="AR1269">
        <v>141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55</v>
      </c>
      <c r="BA1269">
        <v>55</v>
      </c>
      <c r="BB1269">
        <v>0</v>
      </c>
      <c r="BC1269">
        <v>0</v>
      </c>
      <c r="BD1269">
        <v>0</v>
      </c>
      <c r="BE1269">
        <f t="shared" si="203"/>
        <v>6318</v>
      </c>
      <c r="BF1269">
        <v>3097</v>
      </c>
      <c r="BG1269">
        <v>3097</v>
      </c>
      <c r="BH1269" t="s">
        <v>63</v>
      </c>
      <c r="BI1269" t="s">
        <v>70</v>
      </c>
      <c r="BJ1269">
        <v>0</v>
      </c>
      <c r="BK1269">
        <v>3076</v>
      </c>
      <c r="BL1269">
        <v>3077</v>
      </c>
      <c r="BM1269">
        <v>0</v>
      </c>
      <c r="BN1269">
        <v>0</v>
      </c>
      <c r="BO1269">
        <v>0</v>
      </c>
      <c r="BP1269">
        <v>3085</v>
      </c>
      <c r="BQ1269">
        <v>3085</v>
      </c>
      <c r="BR1269">
        <f t="shared" si="204"/>
        <v>-301</v>
      </c>
      <c r="BS1269">
        <f t="shared" si="205"/>
        <v>303</v>
      </c>
      <c r="BU1269">
        <f>R1269*9</f>
        <v>9</v>
      </c>
      <c r="BV1269">
        <f>IF(BU1269&gt;BG1269, 1, 0)</f>
        <v>0</v>
      </c>
    </row>
    <row r="1270" spans="1:74" x14ac:dyDescent="0.25">
      <c r="A1270" s="5" t="s">
        <v>1661</v>
      </c>
      <c r="B1270" s="5" t="s">
        <v>207</v>
      </c>
      <c r="C1270" s="5" t="s">
        <v>207</v>
      </c>
      <c r="D1270" s="1" t="s">
        <v>151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904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84</v>
      </c>
      <c r="R1270">
        <v>0</v>
      </c>
      <c r="S1270" s="18" t="e">
        <f t="shared" si="196"/>
        <v>#DIV/0!</v>
      </c>
      <c r="T1270" s="17" t="e">
        <f t="shared" si="197"/>
        <v>#DIV/0!</v>
      </c>
      <c r="U1270" s="17" t="e">
        <f t="shared" si="198"/>
        <v>#DIV/0!</v>
      </c>
      <c r="V1270" s="17" t="e">
        <f t="shared" si="199"/>
        <v>#DIV/0!</v>
      </c>
      <c r="W1270" s="17" t="e">
        <f t="shared" si="200"/>
        <v>#DIV/0!</v>
      </c>
      <c r="X1270" s="17" t="e">
        <f t="shared" si="201"/>
        <v>#DIV/0!</v>
      </c>
      <c r="Y1270" s="19" t="e">
        <f t="shared" si="202"/>
        <v>#DIV/0!</v>
      </c>
      <c r="Z1270">
        <v>0</v>
      </c>
      <c r="AA1270">
        <v>0</v>
      </c>
      <c r="AB1270">
        <v>0</v>
      </c>
      <c r="AC1270">
        <v>430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904</v>
      </c>
      <c r="AL1270">
        <v>904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f t="shared" si="203"/>
        <v>2238</v>
      </c>
      <c r="BF1270">
        <v>1334</v>
      </c>
      <c r="BG1270">
        <v>1334</v>
      </c>
      <c r="BH1270" t="s">
        <v>190</v>
      </c>
      <c r="BI1270" t="s">
        <v>1833</v>
      </c>
      <c r="BJ1270">
        <v>430</v>
      </c>
      <c r="BK1270">
        <v>904</v>
      </c>
      <c r="BL1270">
        <v>1334</v>
      </c>
      <c r="BM1270">
        <v>0</v>
      </c>
      <c r="BN1270">
        <v>0</v>
      </c>
      <c r="BO1270">
        <v>0</v>
      </c>
      <c r="BP1270">
        <v>904</v>
      </c>
      <c r="BQ1270">
        <v>904</v>
      </c>
      <c r="BR1270">
        <f t="shared" si="204"/>
        <v>-84</v>
      </c>
      <c r="BS1270">
        <f t="shared" si="205"/>
        <v>84</v>
      </c>
    </row>
    <row r="1271" spans="1:74" x14ac:dyDescent="0.25">
      <c r="A1271" s="5" t="s">
        <v>1661</v>
      </c>
      <c r="B1271" s="5" t="s">
        <v>359</v>
      </c>
      <c r="C1271" s="5" t="s">
        <v>207</v>
      </c>
      <c r="D1271" s="1" t="s">
        <v>119</v>
      </c>
      <c r="E1271">
        <v>0</v>
      </c>
      <c r="F1271">
        <v>99</v>
      </c>
      <c r="G1271">
        <v>0</v>
      </c>
      <c r="H1271">
        <v>0</v>
      </c>
      <c r="I1271">
        <v>6</v>
      </c>
      <c r="J1271">
        <v>394</v>
      </c>
      <c r="K1271">
        <v>416</v>
      </c>
      <c r="L1271">
        <v>0</v>
      </c>
      <c r="M1271">
        <v>0</v>
      </c>
      <c r="N1271">
        <v>0</v>
      </c>
      <c r="O1271">
        <v>0</v>
      </c>
      <c r="P1271">
        <v>477</v>
      </c>
      <c r="Q1271">
        <v>137</v>
      </c>
      <c r="R1271">
        <v>53</v>
      </c>
      <c r="S1271" s="18">
        <f t="shared" si="196"/>
        <v>9</v>
      </c>
      <c r="T1271" s="17">
        <f t="shared" si="197"/>
        <v>0</v>
      </c>
      <c r="U1271" s="17">
        <f t="shared" si="198"/>
        <v>0</v>
      </c>
      <c r="V1271" s="17">
        <f t="shared" si="199"/>
        <v>0</v>
      </c>
      <c r="W1271" s="17">
        <f t="shared" si="200"/>
        <v>53</v>
      </c>
      <c r="X1271" s="17">
        <f t="shared" si="201"/>
        <v>84</v>
      </c>
      <c r="Y1271" s="19">
        <f t="shared" si="202"/>
        <v>0</v>
      </c>
      <c r="Z1271">
        <v>99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6</v>
      </c>
      <c r="AH1271">
        <v>6</v>
      </c>
      <c r="AI1271">
        <v>0</v>
      </c>
      <c r="AJ1271">
        <v>0</v>
      </c>
      <c r="AK1271">
        <v>394</v>
      </c>
      <c r="AL1271">
        <v>394</v>
      </c>
      <c r="AM1271">
        <v>0</v>
      </c>
      <c r="AN1271">
        <v>0</v>
      </c>
      <c r="AO1271">
        <v>416</v>
      </c>
      <c r="AP1271">
        <v>212</v>
      </c>
      <c r="AQ1271">
        <v>416</v>
      </c>
      <c r="AR1271">
        <v>204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f t="shared" si="203"/>
        <v>2048</v>
      </c>
      <c r="BF1271">
        <v>1699</v>
      </c>
      <c r="BG1271">
        <v>1699</v>
      </c>
      <c r="BH1271" t="s">
        <v>82</v>
      </c>
      <c r="BI1271" t="s">
        <v>1908</v>
      </c>
      <c r="BJ1271">
        <v>0</v>
      </c>
      <c r="BK1271">
        <v>816</v>
      </c>
      <c r="BL1271">
        <v>915</v>
      </c>
      <c r="BM1271">
        <v>0</v>
      </c>
      <c r="BN1271">
        <v>0</v>
      </c>
      <c r="BO1271">
        <v>0</v>
      </c>
      <c r="BP1271">
        <v>1293</v>
      </c>
      <c r="BQ1271">
        <v>1293</v>
      </c>
      <c r="BR1271">
        <f t="shared" si="204"/>
        <v>-84</v>
      </c>
      <c r="BS1271">
        <f t="shared" si="205"/>
        <v>190</v>
      </c>
    </row>
    <row r="1272" spans="1:74" x14ac:dyDescent="0.25">
      <c r="A1272" s="5" t="s">
        <v>61</v>
      </c>
      <c r="B1272" s="5" t="s">
        <v>359</v>
      </c>
      <c r="C1272" s="5" t="s">
        <v>61</v>
      </c>
      <c r="D1272" s="1" t="s">
        <v>69</v>
      </c>
      <c r="E1272">
        <v>0</v>
      </c>
      <c r="F1272">
        <v>0</v>
      </c>
      <c r="G1272">
        <v>0</v>
      </c>
      <c r="H1272">
        <v>0</v>
      </c>
      <c r="I1272">
        <v>400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s="18" t="e">
        <f t="shared" si="196"/>
        <v>#DIV/0!</v>
      </c>
      <c r="T1272" s="17" t="e">
        <f t="shared" si="197"/>
        <v>#DIV/0!</v>
      </c>
      <c r="U1272" s="17" t="e">
        <f t="shared" si="198"/>
        <v>#DIV/0!</v>
      </c>
      <c r="V1272" s="17" t="e">
        <f t="shared" si="199"/>
        <v>#DIV/0!</v>
      </c>
      <c r="W1272" s="17" t="e">
        <f t="shared" si="200"/>
        <v>#DIV/0!</v>
      </c>
      <c r="X1272" s="17" t="e">
        <f t="shared" si="201"/>
        <v>#DIV/0!</v>
      </c>
      <c r="Y1272" s="19" t="e">
        <f t="shared" si="202"/>
        <v>#DIV/0!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400</v>
      </c>
      <c r="AH1272">
        <v>400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f t="shared" si="203"/>
        <v>800</v>
      </c>
      <c r="BF1272">
        <v>400</v>
      </c>
      <c r="BG1272">
        <v>400</v>
      </c>
      <c r="BH1272" t="s">
        <v>63</v>
      </c>
      <c r="BI1272" t="s">
        <v>363</v>
      </c>
      <c r="BJ1272">
        <v>0</v>
      </c>
      <c r="BK1272">
        <v>400</v>
      </c>
      <c r="BL1272">
        <v>400</v>
      </c>
      <c r="BM1272">
        <v>0</v>
      </c>
      <c r="BN1272">
        <v>0</v>
      </c>
      <c r="BO1272">
        <v>0</v>
      </c>
      <c r="BP1272">
        <v>400</v>
      </c>
      <c r="BQ1272">
        <v>400</v>
      </c>
      <c r="BR1272">
        <f t="shared" si="204"/>
        <v>0</v>
      </c>
      <c r="BS1272">
        <f t="shared" si="205"/>
        <v>0</v>
      </c>
      <c r="BU1272">
        <f>R1272*9</f>
        <v>0</v>
      </c>
      <c r="BV1272">
        <f>IF(BU1272&gt;BG1272, 1, 0)</f>
        <v>0</v>
      </c>
    </row>
    <row r="1273" spans="1:74" x14ac:dyDescent="0.25">
      <c r="A1273" s="5" t="s">
        <v>2294</v>
      </c>
      <c r="B1273" s="5" t="s">
        <v>61</v>
      </c>
      <c r="C1273" s="5" t="s">
        <v>61</v>
      </c>
      <c r="D1273" s="1" t="s">
        <v>117</v>
      </c>
      <c r="E1273">
        <v>120</v>
      </c>
      <c r="F1273">
        <v>3</v>
      </c>
      <c r="G1273">
        <v>0</v>
      </c>
      <c r="H1273">
        <v>0</v>
      </c>
      <c r="I1273">
        <v>260</v>
      </c>
      <c r="J1273">
        <v>0</v>
      </c>
      <c r="K1273">
        <v>1298</v>
      </c>
      <c r="L1273">
        <v>141</v>
      </c>
      <c r="M1273">
        <v>0</v>
      </c>
      <c r="N1273">
        <v>0</v>
      </c>
      <c r="O1273">
        <v>0</v>
      </c>
      <c r="P1273">
        <v>27</v>
      </c>
      <c r="Q1273">
        <v>87</v>
      </c>
      <c r="R1273">
        <v>3</v>
      </c>
      <c r="S1273" s="18">
        <f t="shared" si="196"/>
        <v>9</v>
      </c>
      <c r="T1273" s="17">
        <f t="shared" si="197"/>
        <v>0</v>
      </c>
      <c r="U1273" s="17">
        <f t="shared" si="198"/>
        <v>0</v>
      </c>
      <c r="V1273" s="17">
        <f t="shared" si="199"/>
        <v>0</v>
      </c>
      <c r="W1273" s="17">
        <f t="shared" si="200"/>
        <v>3</v>
      </c>
      <c r="X1273" s="17">
        <f t="shared" si="201"/>
        <v>84</v>
      </c>
      <c r="Y1273" s="19">
        <f t="shared" si="202"/>
        <v>0</v>
      </c>
      <c r="Z1273">
        <v>3</v>
      </c>
      <c r="AA1273">
        <v>0</v>
      </c>
      <c r="AB1273">
        <v>0</v>
      </c>
      <c r="AC1273">
        <v>1398</v>
      </c>
      <c r="AD1273">
        <v>0</v>
      </c>
      <c r="AE1273">
        <v>0</v>
      </c>
      <c r="AF1273">
        <v>0</v>
      </c>
      <c r="AG1273">
        <v>260</v>
      </c>
      <c r="AH1273">
        <v>260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1298</v>
      </c>
      <c r="AP1273">
        <v>728</v>
      </c>
      <c r="AQ1273">
        <v>1298</v>
      </c>
      <c r="AR1273">
        <v>570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141</v>
      </c>
      <c r="BA1273">
        <v>141</v>
      </c>
      <c r="BB1273">
        <v>0</v>
      </c>
      <c r="BC1273">
        <v>0</v>
      </c>
      <c r="BD1273">
        <v>0</v>
      </c>
      <c r="BE1273">
        <f t="shared" si="203"/>
        <v>6094</v>
      </c>
      <c r="BF1273">
        <v>3220</v>
      </c>
      <c r="BG1273">
        <v>3220</v>
      </c>
      <c r="BH1273" t="s">
        <v>82</v>
      </c>
      <c r="BI1273" t="s">
        <v>2319</v>
      </c>
      <c r="BJ1273">
        <v>1518</v>
      </c>
      <c r="BK1273">
        <v>1699</v>
      </c>
      <c r="BL1273">
        <v>3220</v>
      </c>
      <c r="BM1273">
        <v>0</v>
      </c>
      <c r="BN1273">
        <v>0</v>
      </c>
      <c r="BO1273">
        <v>0</v>
      </c>
      <c r="BP1273">
        <v>1726</v>
      </c>
      <c r="BQ1273">
        <v>1726</v>
      </c>
      <c r="BR1273">
        <f t="shared" si="204"/>
        <v>-84</v>
      </c>
      <c r="BS1273">
        <f t="shared" si="205"/>
        <v>90</v>
      </c>
    </row>
    <row r="1274" spans="1:74" x14ac:dyDescent="0.25">
      <c r="A1274" s="5" t="s">
        <v>1337</v>
      </c>
      <c r="B1274" s="5" t="s">
        <v>61</v>
      </c>
      <c r="C1274" s="5" t="s">
        <v>61</v>
      </c>
      <c r="D1274" s="1" t="s">
        <v>123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3430</v>
      </c>
      <c r="K1274">
        <v>200</v>
      </c>
      <c r="L1274">
        <v>154</v>
      </c>
      <c r="M1274">
        <v>0</v>
      </c>
      <c r="N1274">
        <v>0</v>
      </c>
      <c r="O1274">
        <v>0</v>
      </c>
      <c r="P1274">
        <v>0</v>
      </c>
      <c r="Q1274">
        <v>85</v>
      </c>
      <c r="R1274">
        <v>0</v>
      </c>
      <c r="S1274" s="18" t="e">
        <f t="shared" si="196"/>
        <v>#DIV/0!</v>
      </c>
      <c r="T1274" s="17" t="e">
        <f t="shared" si="197"/>
        <v>#DIV/0!</v>
      </c>
      <c r="U1274" s="17" t="e">
        <f t="shared" si="198"/>
        <v>#DIV/0!</v>
      </c>
      <c r="V1274" s="17" t="e">
        <f t="shared" si="199"/>
        <v>#DIV/0!</v>
      </c>
      <c r="W1274" s="17" t="e">
        <f t="shared" si="200"/>
        <v>#DIV/0!</v>
      </c>
      <c r="X1274" s="17" t="e">
        <f t="shared" si="201"/>
        <v>#DIV/0!</v>
      </c>
      <c r="Y1274" s="19" t="e">
        <f t="shared" si="202"/>
        <v>#DIV/0!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3430</v>
      </c>
      <c r="AL1274">
        <v>3430</v>
      </c>
      <c r="AM1274">
        <v>0</v>
      </c>
      <c r="AN1274">
        <v>0</v>
      </c>
      <c r="AO1274">
        <v>200</v>
      </c>
      <c r="AP1274">
        <v>101</v>
      </c>
      <c r="AQ1274">
        <v>200</v>
      </c>
      <c r="AR1274">
        <v>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154</v>
      </c>
      <c r="BA1274">
        <v>154</v>
      </c>
      <c r="BB1274">
        <v>0</v>
      </c>
      <c r="BC1274">
        <v>0</v>
      </c>
      <c r="BD1274">
        <v>0</v>
      </c>
      <c r="BE1274">
        <f t="shared" si="203"/>
        <v>7768</v>
      </c>
      <c r="BF1274">
        <v>3784</v>
      </c>
      <c r="BG1274">
        <v>3784</v>
      </c>
      <c r="BH1274" t="s">
        <v>199</v>
      </c>
      <c r="BI1274" t="s">
        <v>422</v>
      </c>
      <c r="BJ1274">
        <v>0</v>
      </c>
      <c r="BK1274">
        <v>3784</v>
      </c>
      <c r="BL1274">
        <v>3784</v>
      </c>
      <c r="BM1274">
        <v>0</v>
      </c>
      <c r="BN1274">
        <v>0</v>
      </c>
      <c r="BO1274">
        <v>0</v>
      </c>
      <c r="BP1274">
        <v>3784</v>
      </c>
      <c r="BQ1274">
        <v>3784</v>
      </c>
      <c r="BR1274">
        <f t="shared" si="204"/>
        <v>-85</v>
      </c>
      <c r="BS1274">
        <f t="shared" si="205"/>
        <v>85</v>
      </c>
    </row>
    <row r="1275" spans="1:74" x14ac:dyDescent="0.25">
      <c r="A1275" s="5" t="s">
        <v>1337</v>
      </c>
      <c r="B1275" s="5" t="s">
        <v>207</v>
      </c>
      <c r="C1275" s="5" t="s">
        <v>61</v>
      </c>
      <c r="D1275" s="1" t="s">
        <v>135</v>
      </c>
      <c r="E1275">
        <v>0</v>
      </c>
      <c r="F1275">
        <v>85</v>
      </c>
      <c r="G1275">
        <v>0</v>
      </c>
      <c r="H1275">
        <v>0</v>
      </c>
      <c r="I1275">
        <v>510</v>
      </c>
      <c r="J1275">
        <v>0</v>
      </c>
      <c r="K1275">
        <v>1237</v>
      </c>
      <c r="L1275">
        <v>26</v>
      </c>
      <c r="M1275">
        <v>0</v>
      </c>
      <c r="N1275">
        <v>0</v>
      </c>
      <c r="O1275">
        <v>0</v>
      </c>
      <c r="P1275">
        <v>0</v>
      </c>
      <c r="Q1275">
        <v>85</v>
      </c>
      <c r="R1275">
        <v>0</v>
      </c>
      <c r="S1275" s="18" t="e">
        <f t="shared" si="196"/>
        <v>#DIV/0!</v>
      </c>
      <c r="T1275" s="17" t="e">
        <f t="shared" si="197"/>
        <v>#DIV/0!</v>
      </c>
      <c r="U1275" s="17" t="e">
        <f t="shared" si="198"/>
        <v>#DIV/0!</v>
      </c>
      <c r="V1275" s="17" t="e">
        <f t="shared" si="199"/>
        <v>#DIV/0!</v>
      </c>
      <c r="W1275" s="17" t="e">
        <f t="shared" si="200"/>
        <v>#DIV/0!</v>
      </c>
      <c r="X1275" s="17" t="e">
        <f t="shared" si="201"/>
        <v>#DIV/0!</v>
      </c>
      <c r="Y1275" s="19" t="e">
        <f t="shared" si="202"/>
        <v>#DIV/0!</v>
      </c>
      <c r="Z1275">
        <v>85</v>
      </c>
      <c r="AA1275">
        <v>0</v>
      </c>
      <c r="AB1275">
        <v>0</v>
      </c>
      <c r="AC1275">
        <v>478</v>
      </c>
      <c r="AD1275">
        <v>0</v>
      </c>
      <c r="AE1275">
        <v>0</v>
      </c>
      <c r="AF1275">
        <v>0</v>
      </c>
      <c r="AG1275">
        <v>510</v>
      </c>
      <c r="AH1275">
        <v>510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1237</v>
      </c>
      <c r="AP1275">
        <v>1077</v>
      </c>
      <c r="AQ1275">
        <v>1237</v>
      </c>
      <c r="AR1275">
        <v>160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26</v>
      </c>
      <c r="BA1275">
        <v>26</v>
      </c>
      <c r="BB1275">
        <v>0</v>
      </c>
      <c r="BC1275">
        <v>0</v>
      </c>
      <c r="BD1275">
        <v>0</v>
      </c>
      <c r="BE1275">
        <f t="shared" si="203"/>
        <v>5261</v>
      </c>
      <c r="BF1275">
        <v>2336</v>
      </c>
      <c r="BG1275">
        <v>2336</v>
      </c>
      <c r="BH1275" t="s">
        <v>82</v>
      </c>
      <c r="BI1275" t="s">
        <v>1404</v>
      </c>
      <c r="BJ1275">
        <v>478</v>
      </c>
      <c r="BK1275">
        <v>1773</v>
      </c>
      <c r="BL1275">
        <v>2336</v>
      </c>
      <c r="BM1275">
        <v>0</v>
      </c>
      <c r="BN1275">
        <v>0</v>
      </c>
      <c r="BO1275">
        <v>0</v>
      </c>
      <c r="BP1275">
        <v>1773</v>
      </c>
      <c r="BQ1275">
        <v>1773</v>
      </c>
      <c r="BR1275">
        <f t="shared" si="204"/>
        <v>-85</v>
      </c>
      <c r="BS1275">
        <f t="shared" si="205"/>
        <v>85</v>
      </c>
    </row>
    <row r="1276" spans="1:74" x14ac:dyDescent="0.25">
      <c r="A1276" s="5" t="s">
        <v>1451</v>
      </c>
      <c r="B1276" s="5" t="s">
        <v>207</v>
      </c>
      <c r="C1276" s="5" t="s">
        <v>61</v>
      </c>
      <c r="D1276" s="1" t="s">
        <v>81</v>
      </c>
      <c r="E1276">
        <v>0</v>
      </c>
      <c r="F1276">
        <v>1633</v>
      </c>
      <c r="G1276">
        <v>0</v>
      </c>
      <c r="H1276">
        <v>0</v>
      </c>
      <c r="I1276">
        <v>100</v>
      </c>
      <c r="J1276">
        <v>0</v>
      </c>
      <c r="K1276">
        <v>450</v>
      </c>
      <c r="L1276">
        <v>0</v>
      </c>
      <c r="M1276">
        <v>0</v>
      </c>
      <c r="N1276">
        <v>0</v>
      </c>
      <c r="O1276">
        <v>0</v>
      </c>
      <c r="P1276">
        <v>2547</v>
      </c>
      <c r="Q1276">
        <v>368</v>
      </c>
      <c r="R1276">
        <v>283</v>
      </c>
      <c r="S1276" s="18">
        <f t="shared" si="196"/>
        <v>9</v>
      </c>
      <c r="T1276" s="17">
        <f t="shared" si="197"/>
        <v>0</v>
      </c>
      <c r="U1276" s="17">
        <f t="shared" si="198"/>
        <v>0</v>
      </c>
      <c r="V1276" s="17">
        <f t="shared" si="199"/>
        <v>0</v>
      </c>
      <c r="W1276" s="17">
        <f t="shared" si="200"/>
        <v>283</v>
      </c>
      <c r="X1276" s="17">
        <f t="shared" si="201"/>
        <v>85</v>
      </c>
      <c r="Y1276" s="19">
        <f t="shared" si="202"/>
        <v>0</v>
      </c>
      <c r="Z1276">
        <v>1633</v>
      </c>
      <c r="AA1276">
        <v>0</v>
      </c>
      <c r="AB1276">
        <v>0</v>
      </c>
      <c r="AC1276">
        <v>1350</v>
      </c>
      <c r="AD1276">
        <v>0</v>
      </c>
      <c r="AE1276">
        <v>0</v>
      </c>
      <c r="AF1276">
        <v>0</v>
      </c>
      <c r="AG1276">
        <v>100</v>
      </c>
      <c r="AH1276">
        <v>100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450</v>
      </c>
      <c r="AP1276">
        <v>200</v>
      </c>
      <c r="AQ1276">
        <v>450</v>
      </c>
      <c r="AR1276">
        <v>250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f t="shared" si="203"/>
        <v>2900</v>
      </c>
      <c r="BF1276">
        <v>3533</v>
      </c>
      <c r="BG1276">
        <v>3533</v>
      </c>
      <c r="BH1276" t="s">
        <v>82</v>
      </c>
      <c r="BI1276" t="s">
        <v>1541</v>
      </c>
      <c r="BJ1276">
        <v>1350</v>
      </c>
      <c r="BK1276">
        <v>550</v>
      </c>
      <c r="BL1276">
        <v>3533</v>
      </c>
      <c r="BM1276">
        <v>0</v>
      </c>
      <c r="BN1276">
        <v>0</v>
      </c>
      <c r="BO1276">
        <v>0</v>
      </c>
      <c r="BP1276">
        <v>3097</v>
      </c>
      <c r="BQ1276">
        <v>3097</v>
      </c>
      <c r="BR1276">
        <f t="shared" si="204"/>
        <v>-85</v>
      </c>
      <c r="BS1276">
        <f t="shared" si="205"/>
        <v>651</v>
      </c>
    </row>
    <row r="1277" spans="1:74" x14ac:dyDescent="0.25">
      <c r="A1277" s="5" t="s">
        <v>1661</v>
      </c>
      <c r="B1277" s="5" t="s">
        <v>61</v>
      </c>
      <c r="C1277" s="5" t="s">
        <v>61</v>
      </c>
      <c r="D1277" s="1" t="s">
        <v>117</v>
      </c>
      <c r="E1277">
        <v>0</v>
      </c>
      <c r="F1277">
        <v>1206</v>
      </c>
      <c r="G1277">
        <v>0</v>
      </c>
      <c r="H1277">
        <v>0</v>
      </c>
      <c r="I1277">
        <v>58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2727</v>
      </c>
      <c r="Q1277">
        <v>389</v>
      </c>
      <c r="R1277">
        <v>303</v>
      </c>
      <c r="S1277" s="18">
        <f t="shared" si="196"/>
        <v>9</v>
      </c>
      <c r="T1277" s="17">
        <f t="shared" si="197"/>
        <v>0</v>
      </c>
      <c r="U1277" s="17">
        <f t="shared" si="198"/>
        <v>0</v>
      </c>
      <c r="V1277" s="17">
        <f t="shared" si="199"/>
        <v>0</v>
      </c>
      <c r="W1277" s="17">
        <f t="shared" si="200"/>
        <v>303</v>
      </c>
      <c r="X1277" s="17">
        <f t="shared" si="201"/>
        <v>86</v>
      </c>
      <c r="Y1277" s="19">
        <f t="shared" si="202"/>
        <v>0</v>
      </c>
      <c r="Z1277">
        <v>1206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58</v>
      </c>
      <c r="AH1277">
        <v>58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f t="shared" si="203"/>
        <v>116</v>
      </c>
      <c r="BF1277">
        <v>1264</v>
      </c>
      <c r="BG1277">
        <v>1264</v>
      </c>
      <c r="BH1277" t="s">
        <v>109</v>
      </c>
      <c r="BI1277" t="s">
        <v>1684</v>
      </c>
      <c r="BJ1277">
        <v>0</v>
      </c>
      <c r="BK1277">
        <v>58</v>
      </c>
      <c r="BL1277">
        <v>1264</v>
      </c>
      <c r="BM1277">
        <v>0</v>
      </c>
      <c r="BN1277">
        <v>0</v>
      </c>
      <c r="BO1277">
        <v>0</v>
      </c>
      <c r="BP1277">
        <v>2785</v>
      </c>
      <c r="BQ1277">
        <v>2785</v>
      </c>
      <c r="BR1277">
        <f t="shared" si="204"/>
        <v>-86</v>
      </c>
      <c r="BS1277">
        <f t="shared" si="205"/>
        <v>692</v>
      </c>
    </row>
    <row r="1278" spans="1:74" x14ac:dyDescent="0.25">
      <c r="A1278" s="5" t="s">
        <v>207</v>
      </c>
      <c r="B1278" s="5" t="s">
        <v>61</v>
      </c>
      <c r="C1278" s="5" t="s">
        <v>61</v>
      </c>
      <c r="D1278" s="1" t="s">
        <v>119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150</v>
      </c>
      <c r="K1278">
        <v>106</v>
      </c>
      <c r="L1278">
        <v>20</v>
      </c>
      <c r="M1278">
        <v>0</v>
      </c>
      <c r="N1278">
        <v>0</v>
      </c>
      <c r="O1278">
        <v>0</v>
      </c>
      <c r="P1278">
        <v>0</v>
      </c>
      <c r="Q1278">
        <v>87</v>
      </c>
      <c r="R1278">
        <v>0</v>
      </c>
      <c r="S1278" s="18" t="e">
        <f t="shared" si="196"/>
        <v>#DIV/0!</v>
      </c>
      <c r="T1278" s="17" t="e">
        <f t="shared" si="197"/>
        <v>#DIV/0!</v>
      </c>
      <c r="U1278" s="17" t="e">
        <f t="shared" si="198"/>
        <v>#DIV/0!</v>
      </c>
      <c r="V1278" s="17" t="e">
        <f t="shared" si="199"/>
        <v>#DIV/0!</v>
      </c>
      <c r="W1278" s="17" t="e">
        <f t="shared" si="200"/>
        <v>#DIV/0!</v>
      </c>
      <c r="X1278" s="17" t="e">
        <f t="shared" si="201"/>
        <v>#DIV/0!</v>
      </c>
      <c r="Y1278" s="19" t="e">
        <f t="shared" si="202"/>
        <v>#DIV/0!</v>
      </c>
      <c r="Z1278">
        <v>0</v>
      </c>
      <c r="AA1278">
        <v>0</v>
      </c>
      <c r="AB1278">
        <v>0</v>
      </c>
      <c r="AC1278">
        <v>672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150</v>
      </c>
      <c r="AL1278">
        <v>150</v>
      </c>
      <c r="AM1278">
        <v>0</v>
      </c>
      <c r="AN1278">
        <v>0</v>
      </c>
      <c r="AO1278">
        <v>106</v>
      </c>
      <c r="AP1278">
        <v>85</v>
      </c>
      <c r="AQ1278">
        <v>106</v>
      </c>
      <c r="AR1278">
        <v>21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20</v>
      </c>
      <c r="BA1278">
        <v>20</v>
      </c>
      <c r="BB1278">
        <v>0</v>
      </c>
      <c r="BC1278">
        <v>0</v>
      </c>
      <c r="BD1278">
        <v>0</v>
      </c>
      <c r="BE1278">
        <f t="shared" si="203"/>
        <v>1330</v>
      </c>
      <c r="BF1278">
        <v>948</v>
      </c>
      <c r="BG1278">
        <v>948</v>
      </c>
      <c r="BH1278" t="s">
        <v>82</v>
      </c>
      <c r="BI1278" t="s">
        <v>453</v>
      </c>
      <c r="BJ1278">
        <v>672</v>
      </c>
      <c r="BK1278">
        <v>276</v>
      </c>
      <c r="BL1278">
        <v>948</v>
      </c>
      <c r="BM1278">
        <v>0</v>
      </c>
      <c r="BN1278">
        <v>0</v>
      </c>
      <c r="BO1278">
        <v>0</v>
      </c>
      <c r="BP1278">
        <v>276</v>
      </c>
      <c r="BQ1278">
        <v>276</v>
      </c>
      <c r="BR1278">
        <f t="shared" si="204"/>
        <v>-87</v>
      </c>
      <c r="BS1278">
        <f t="shared" si="205"/>
        <v>87</v>
      </c>
    </row>
    <row r="1279" spans="1:74" x14ac:dyDescent="0.25">
      <c r="A1279" s="5" t="s">
        <v>207</v>
      </c>
      <c r="B1279" s="5" t="s">
        <v>61</v>
      </c>
      <c r="C1279" s="5" t="s">
        <v>61</v>
      </c>
      <c r="D1279" s="1" t="s">
        <v>67</v>
      </c>
      <c r="E1279">
        <v>0</v>
      </c>
      <c r="F1279">
        <v>0</v>
      </c>
      <c r="G1279">
        <v>0</v>
      </c>
      <c r="H1279">
        <v>0</v>
      </c>
      <c r="I1279">
        <v>515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s="18" t="e">
        <f t="shared" si="196"/>
        <v>#DIV/0!</v>
      </c>
      <c r="T1279" s="17" t="e">
        <f t="shared" si="197"/>
        <v>#DIV/0!</v>
      </c>
      <c r="U1279" s="17" t="e">
        <f t="shared" si="198"/>
        <v>#DIV/0!</v>
      </c>
      <c r="V1279" s="17" t="e">
        <f t="shared" si="199"/>
        <v>#DIV/0!</v>
      </c>
      <c r="W1279" s="17" t="e">
        <f t="shared" si="200"/>
        <v>#DIV/0!</v>
      </c>
      <c r="X1279" s="17" t="e">
        <f t="shared" si="201"/>
        <v>#DIV/0!</v>
      </c>
      <c r="Y1279" s="19" t="e">
        <f t="shared" si="202"/>
        <v>#DIV/0!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515</v>
      </c>
      <c r="AF1279">
        <v>0</v>
      </c>
      <c r="AG1279">
        <v>0</v>
      </c>
      <c r="AH1279">
        <v>515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f t="shared" si="203"/>
        <v>1030</v>
      </c>
      <c r="BF1279">
        <v>515</v>
      </c>
      <c r="BG1279">
        <v>515</v>
      </c>
      <c r="BH1279" t="s">
        <v>63</v>
      </c>
      <c r="BI1279" t="s">
        <v>428</v>
      </c>
      <c r="BJ1279">
        <v>0</v>
      </c>
      <c r="BK1279">
        <v>515</v>
      </c>
      <c r="BL1279">
        <v>515</v>
      </c>
      <c r="BM1279">
        <v>0</v>
      </c>
      <c r="BN1279">
        <v>515</v>
      </c>
      <c r="BO1279">
        <v>0</v>
      </c>
      <c r="BP1279">
        <v>0</v>
      </c>
      <c r="BQ1279">
        <v>515</v>
      </c>
      <c r="BR1279">
        <f t="shared" si="204"/>
        <v>0</v>
      </c>
      <c r="BS1279">
        <f t="shared" si="205"/>
        <v>0</v>
      </c>
      <c r="BU1279">
        <f>R1279*9</f>
        <v>0</v>
      </c>
      <c r="BV1279">
        <f>IF(BU1279&gt;BG1279, 1, 0)</f>
        <v>0</v>
      </c>
    </row>
    <row r="1280" spans="1:74" x14ac:dyDescent="0.25">
      <c r="A1280" s="5" t="s">
        <v>1946</v>
      </c>
      <c r="B1280" s="5" t="s">
        <v>207</v>
      </c>
      <c r="C1280" s="5" t="s">
        <v>207</v>
      </c>
      <c r="D1280" s="1" t="s">
        <v>90</v>
      </c>
      <c r="E1280">
        <v>0</v>
      </c>
      <c r="F1280">
        <v>625</v>
      </c>
      <c r="G1280">
        <v>0</v>
      </c>
      <c r="H1280">
        <v>0</v>
      </c>
      <c r="I1280">
        <v>0</v>
      </c>
      <c r="J1280">
        <v>0</v>
      </c>
      <c r="K1280">
        <v>425</v>
      </c>
      <c r="L1280">
        <v>90</v>
      </c>
      <c r="M1280">
        <v>0</v>
      </c>
      <c r="N1280">
        <v>0</v>
      </c>
      <c r="O1280">
        <v>0</v>
      </c>
      <c r="P1280">
        <v>2043</v>
      </c>
      <c r="Q1280">
        <v>335</v>
      </c>
      <c r="R1280">
        <v>248</v>
      </c>
      <c r="S1280" s="18">
        <f t="shared" si="196"/>
        <v>8.237903225806452</v>
      </c>
      <c r="T1280" s="17">
        <f t="shared" si="197"/>
        <v>0</v>
      </c>
      <c r="U1280" s="17">
        <f t="shared" si="198"/>
        <v>0</v>
      </c>
      <c r="V1280" s="17">
        <f t="shared" si="199"/>
        <v>0</v>
      </c>
      <c r="W1280" s="17">
        <f t="shared" si="200"/>
        <v>248</v>
      </c>
      <c r="X1280" s="17">
        <f t="shared" si="201"/>
        <v>87</v>
      </c>
      <c r="Y1280" s="19">
        <f t="shared" si="202"/>
        <v>0</v>
      </c>
      <c r="Z1280">
        <v>625</v>
      </c>
      <c r="AA1280">
        <v>0</v>
      </c>
      <c r="AB1280">
        <v>0</v>
      </c>
      <c r="AC1280">
        <v>903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425</v>
      </c>
      <c r="AP1280">
        <v>425</v>
      </c>
      <c r="AQ1280">
        <v>425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90</v>
      </c>
      <c r="BA1280">
        <v>90</v>
      </c>
      <c r="BB1280">
        <v>0</v>
      </c>
      <c r="BC1280">
        <v>0</v>
      </c>
      <c r="BD1280">
        <v>0</v>
      </c>
      <c r="BE1280">
        <f t="shared" si="203"/>
        <v>2358</v>
      </c>
      <c r="BF1280">
        <v>2043</v>
      </c>
      <c r="BG1280">
        <v>2043</v>
      </c>
      <c r="BH1280" t="s">
        <v>82</v>
      </c>
      <c r="BI1280" t="s">
        <v>1480</v>
      </c>
      <c r="BJ1280">
        <v>903</v>
      </c>
      <c r="BK1280">
        <v>515</v>
      </c>
      <c r="BL1280">
        <v>2043</v>
      </c>
      <c r="BM1280">
        <v>0</v>
      </c>
      <c r="BN1280">
        <v>0</v>
      </c>
      <c r="BO1280">
        <v>0</v>
      </c>
      <c r="BP1280">
        <v>2558</v>
      </c>
      <c r="BQ1280">
        <v>2558</v>
      </c>
      <c r="BR1280">
        <f t="shared" si="204"/>
        <v>-87</v>
      </c>
      <c r="BS1280">
        <f t="shared" si="205"/>
        <v>583</v>
      </c>
    </row>
    <row r="1281" spans="1:74" x14ac:dyDescent="0.25">
      <c r="A1281" s="5" t="s">
        <v>359</v>
      </c>
      <c r="B1281" s="5" t="s">
        <v>61</v>
      </c>
      <c r="C1281" s="5" t="s">
        <v>61</v>
      </c>
      <c r="D1281" s="1" t="s">
        <v>79</v>
      </c>
      <c r="E1281">
        <v>0</v>
      </c>
      <c r="F1281">
        <v>0</v>
      </c>
      <c r="G1281">
        <v>0</v>
      </c>
      <c r="H1281">
        <v>0</v>
      </c>
      <c r="I1281">
        <v>1100</v>
      </c>
      <c r="J1281">
        <v>0</v>
      </c>
      <c r="K1281">
        <v>333</v>
      </c>
      <c r="L1281">
        <v>35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s="18" t="e">
        <f t="shared" si="196"/>
        <v>#DIV/0!</v>
      </c>
      <c r="T1281" s="17" t="e">
        <f t="shared" si="197"/>
        <v>#DIV/0!</v>
      </c>
      <c r="U1281" s="17" t="e">
        <f t="shared" si="198"/>
        <v>#DIV/0!</v>
      </c>
      <c r="V1281" s="17" t="e">
        <f t="shared" si="199"/>
        <v>#DIV/0!</v>
      </c>
      <c r="W1281" s="17" t="e">
        <f t="shared" si="200"/>
        <v>#DIV/0!</v>
      </c>
      <c r="X1281" s="17" t="e">
        <f t="shared" si="201"/>
        <v>#DIV/0!</v>
      </c>
      <c r="Y1281" s="19" t="e">
        <f t="shared" si="202"/>
        <v>#DIV/0!</v>
      </c>
      <c r="Z1281">
        <v>0</v>
      </c>
      <c r="AA1281">
        <v>0</v>
      </c>
      <c r="AB1281">
        <v>0</v>
      </c>
      <c r="AC1281">
        <v>493</v>
      </c>
      <c r="AD1281">
        <v>0</v>
      </c>
      <c r="AE1281">
        <v>0</v>
      </c>
      <c r="AF1281">
        <v>0</v>
      </c>
      <c r="AG1281">
        <v>1100</v>
      </c>
      <c r="AH1281">
        <v>1100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333</v>
      </c>
      <c r="AP1281">
        <v>323</v>
      </c>
      <c r="AQ1281">
        <v>333</v>
      </c>
      <c r="AR1281">
        <v>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35</v>
      </c>
      <c r="BA1281">
        <v>35</v>
      </c>
      <c r="BB1281">
        <v>0</v>
      </c>
      <c r="BC1281">
        <v>0</v>
      </c>
      <c r="BD1281">
        <v>0</v>
      </c>
      <c r="BE1281">
        <f t="shared" si="203"/>
        <v>3762</v>
      </c>
      <c r="BF1281">
        <v>1961</v>
      </c>
      <c r="BG1281">
        <v>1961</v>
      </c>
      <c r="BH1281" t="s">
        <v>63</v>
      </c>
      <c r="BI1281" t="s">
        <v>704</v>
      </c>
      <c r="BJ1281">
        <v>493</v>
      </c>
      <c r="BK1281">
        <v>1468</v>
      </c>
      <c r="BL1281">
        <v>1961</v>
      </c>
      <c r="BM1281">
        <v>0</v>
      </c>
      <c r="BN1281">
        <v>0</v>
      </c>
      <c r="BO1281">
        <v>0</v>
      </c>
      <c r="BP1281">
        <v>1468</v>
      </c>
      <c r="BQ1281">
        <v>1468</v>
      </c>
      <c r="BR1281">
        <f t="shared" si="204"/>
        <v>0</v>
      </c>
      <c r="BS1281">
        <f t="shared" si="205"/>
        <v>0</v>
      </c>
      <c r="BU1281">
        <f>R1281*9</f>
        <v>0</v>
      </c>
      <c r="BV1281">
        <f>IF(BU1281&gt;BG1281, 1, 0)</f>
        <v>0</v>
      </c>
    </row>
    <row r="1282" spans="1:74" x14ac:dyDescent="0.25">
      <c r="A1282" s="5" t="s">
        <v>61</v>
      </c>
      <c r="B1282" s="5" t="s">
        <v>359</v>
      </c>
      <c r="C1282" s="5" t="s">
        <v>61</v>
      </c>
      <c r="D1282" s="1" t="s">
        <v>137</v>
      </c>
      <c r="E1282">
        <v>0</v>
      </c>
      <c r="F1282">
        <v>525</v>
      </c>
      <c r="G1282">
        <v>0</v>
      </c>
      <c r="H1282">
        <v>0</v>
      </c>
      <c r="I1282">
        <v>178</v>
      </c>
      <c r="J1282">
        <v>0</v>
      </c>
      <c r="K1282">
        <v>0</v>
      </c>
      <c r="L1282">
        <v>0</v>
      </c>
      <c r="M1282">
        <v>1350</v>
      </c>
      <c r="N1282">
        <v>0</v>
      </c>
      <c r="O1282">
        <v>0</v>
      </c>
      <c r="P1282">
        <v>0</v>
      </c>
      <c r="Q1282">
        <v>238</v>
      </c>
      <c r="R1282">
        <v>150</v>
      </c>
      <c r="S1282" s="18">
        <f t="shared" ref="S1282:S1345" si="206">(M1282+N1282+O1282+P1282)/R1282</f>
        <v>9</v>
      </c>
      <c r="T1282" s="17">
        <f t="shared" ref="T1282:T1345" si="207">M1282/$S1282</f>
        <v>150</v>
      </c>
      <c r="U1282" s="17">
        <f t="shared" ref="U1282:U1345" si="208">N1282/$S1282</f>
        <v>0</v>
      </c>
      <c r="V1282" s="17">
        <f t="shared" ref="V1282:V1345" si="209">O1282/$S1282</f>
        <v>0</v>
      </c>
      <c r="W1282" s="17">
        <f t="shared" ref="W1282:W1345" si="210">P1282/$S1282</f>
        <v>0</v>
      </c>
      <c r="X1282" s="17">
        <f t="shared" ref="X1282:X1345" si="211">Q1282-T1282-U1282-W1282</f>
        <v>88</v>
      </c>
      <c r="Y1282" s="19">
        <f t="shared" ref="Y1282:Y1345" si="212">V1282/X1282</f>
        <v>0</v>
      </c>
      <c r="Z1282">
        <v>525</v>
      </c>
      <c r="AA1282">
        <v>0</v>
      </c>
      <c r="AB1282">
        <v>0</v>
      </c>
      <c r="AC1282">
        <v>0</v>
      </c>
      <c r="AD1282">
        <v>178</v>
      </c>
      <c r="AE1282">
        <v>0</v>
      </c>
      <c r="AF1282">
        <v>0</v>
      </c>
      <c r="AG1282">
        <v>0</v>
      </c>
      <c r="AH1282">
        <v>178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f t="shared" ref="BE1282:BE1345" si="213">SUM(AC1282:BD1282)</f>
        <v>356</v>
      </c>
      <c r="BF1282">
        <v>703</v>
      </c>
      <c r="BG1282">
        <v>703</v>
      </c>
      <c r="BH1282" t="s">
        <v>109</v>
      </c>
      <c r="BI1282" t="s">
        <v>396</v>
      </c>
      <c r="BJ1282">
        <v>0</v>
      </c>
      <c r="BK1282">
        <v>178</v>
      </c>
      <c r="BL1282">
        <v>703</v>
      </c>
      <c r="BM1282">
        <v>1528</v>
      </c>
      <c r="BN1282">
        <v>0</v>
      </c>
      <c r="BO1282">
        <v>0</v>
      </c>
      <c r="BP1282">
        <v>0</v>
      </c>
      <c r="BQ1282">
        <v>1528</v>
      </c>
      <c r="BR1282">
        <f t="shared" ref="BR1282:BR1345" si="214">R1282-Q1282</f>
        <v>-88</v>
      </c>
      <c r="BS1282">
        <f t="shared" ref="BS1282:BS1345" si="215">R1282+Q1282</f>
        <v>388</v>
      </c>
    </row>
    <row r="1283" spans="1:74" x14ac:dyDescent="0.25">
      <c r="A1283" s="5" t="s">
        <v>875</v>
      </c>
      <c r="B1283" s="5" t="s">
        <v>61</v>
      </c>
      <c r="C1283" s="5" t="s">
        <v>207</v>
      </c>
      <c r="D1283" s="1" t="s">
        <v>92</v>
      </c>
      <c r="E1283">
        <v>0</v>
      </c>
      <c r="F1283">
        <v>128</v>
      </c>
      <c r="G1283">
        <v>0</v>
      </c>
      <c r="H1283">
        <v>0</v>
      </c>
      <c r="I1283">
        <v>21</v>
      </c>
      <c r="J1283">
        <v>993</v>
      </c>
      <c r="K1283">
        <v>80</v>
      </c>
      <c r="L1283">
        <v>20</v>
      </c>
      <c r="M1283">
        <v>0</v>
      </c>
      <c r="N1283">
        <v>0</v>
      </c>
      <c r="O1283">
        <v>0</v>
      </c>
      <c r="P1283">
        <v>288</v>
      </c>
      <c r="Q1283">
        <v>120</v>
      </c>
      <c r="R1283">
        <v>32</v>
      </c>
      <c r="S1283" s="18">
        <f t="shared" si="206"/>
        <v>9</v>
      </c>
      <c r="T1283" s="17">
        <f t="shared" si="207"/>
        <v>0</v>
      </c>
      <c r="U1283" s="17">
        <f t="shared" si="208"/>
        <v>0</v>
      </c>
      <c r="V1283" s="17">
        <f t="shared" si="209"/>
        <v>0</v>
      </c>
      <c r="W1283" s="17">
        <f t="shared" si="210"/>
        <v>32</v>
      </c>
      <c r="X1283" s="17">
        <f t="shared" si="211"/>
        <v>88</v>
      </c>
      <c r="Y1283" s="19">
        <f t="shared" si="212"/>
        <v>0</v>
      </c>
      <c r="Z1283">
        <v>128</v>
      </c>
      <c r="AA1283">
        <v>0</v>
      </c>
      <c r="AB1283">
        <v>0</v>
      </c>
      <c r="AC1283">
        <v>490</v>
      </c>
      <c r="AD1283">
        <v>0</v>
      </c>
      <c r="AE1283">
        <v>0</v>
      </c>
      <c r="AF1283">
        <v>0</v>
      </c>
      <c r="AG1283">
        <v>21</v>
      </c>
      <c r="AH1283">
        <v>21</v>
      </c>
      <c r="AI1283">
        <v>0</v>
      </c>
      <c r="AJ1283">
        <v>0</v>
      </c>
      <c r="AK1283">
        <v>993</v>
      </c>
      <c r="AL1283">
        <v>993</v>
      </c>
      <c r="AM1283">
        <v>0</v>
      </c>
      <c r="AN1283">
        <v>0</v>
      </c>
      <c r="AO1283">
        <v>80</v>
      </c>
      <c r="AP1283">
        <v>0</v>
      </c>
      <c r="AQ1283">
        <v>80</v>
      </c>
      <c r="AR1283">
        <v>80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20</v>
      </c>
      <c r="BA1283">
        <v>20</v>
      </c>
      <c r="BB1283">
        <v>0</v>
      </c>
      <c r="BC1283">
        <v>0</v>
      </c>
      <c r="BD1283">
        <v>0</v>
      </c>
      <c r="BE1283">
        <f t="shared" si="213"/>
        <v>2798</v>
      </c>
      <c r="BF1283">
        <v>1732</v>
      </c>
      <c r="BG1283">
        <v>1732</v>
      </c>
      <c r="BH1283" t="s">
        <v>82</v>
      </c>
      <c r="BI1283" t="s">
        <v>889</v>
      </c>
      <c r="BJ1283">
        <v>490</v>
      </c>
      <c r="BK1283">
        <v>1114</v>
      </c>
      <c r="BL1283">
        <v>1732</v>
      </c>
      <c r="BM1283">
        <v>0</v>
      </c>
      <c r="BN1283">
        <v>0</v>
      </c>
      <c r="BO1283">
        <v>0</v>
      </c>
      <c r="BP1283">
        <v>1402</v>
      </c>
      <c r="BQ1283">
        <v>1402</v>
      </c>
      <c r="BR1283">
        <f t="shared" si="214"/>
        <v>-88</v>
      </c>
      <c r="BS1283">
        <f t="shared" si="215"/>
        <v>152</v>
      </c>
    </row>
    <row r="1284" spans="1:74" x14ac:dyDescent="0.25">
      <c r="A1284" s="5" t="s">
        <v>1135</v>
      </c>
      <c r="B1284" s="5" t="s">
        <v>61</v>
      </c>
      <c r="C1284" s="5" t="s">
        <v>61</v>
      </c>
      <c r="D1284" s="1" t="s">
        <v>121</v>
      </c>
      <c r="E1284">
        <v>0</v>
      </c>
      <c r="F1284">
        <v>0</v>
      </c>
      <c r="G1284">
        <v>0</v>
      </c>
      <c r="H1284">
        <v>0</v>
      </c>
      <c r="I1284">
        <v>259</v>
      </c>
      <c r="J1284">
        <v>781</v>
      </c>
      <c r="K1284">
        <v>90</v>
      </c>
      <c r="L1284">
        <v>36</v>
      </c>
      <c r="M1284">
        <v>0</v>
      </c>
      <c r="N1284">
        <v>0</v>
      </c>
      <c r="O1284">
        <v>0</v>
      </c>
      <c r="P1284">
        <v>0</v>
      </c>
      <c r="Q1284">
        <v>88</v>
      </c>
      <c r="R1284">
        <v>0</v>
      </c>
      <c r="S1284" s="18" t="e">
        <f t="shared" si="206"/>
        <v>#DIV/0!</v>
      </c>
      <c r="T1284" s="17" t="e">
        <f t="shared" si="207"/>
        <v>#DIV/0!</v>
      </c>
      <c r="U1284" s="17" t="e">
        <f t="shared" si="208"/>
        <v>#DIV/0!</v>
      </c>
      <c r="V1284" s="17" t="e">
        <f t="shared" si="209"/>
        <v>#DIV/0!</v>
      </c>
      <c r="W1284" s="17" t="e">
        <f t="shared" si="210"/>
        <v>#DIV/0!</v>
      </c>
      <c r="X1284" s="17" t="e">
        <f t="shared" si="211"/>
        <v>#DIV/0!</v>
      </c>
      <c r="Y1284" s="19" t="e">
        <f t="shared" si="212"/>
        <v>#DIV/0!</v>
      </c>
      <c r="Z1284">
        <v>0</v>
      </c>
      <c r="AA1284">
        <v>0</v>
      </c>
      <c r="AB1284">
        <v>153</v>
      </c>
      <c r="AC1284">
        <v>1270</v>
      </c>
      <c r="AD1284">
        <v>0</v>
      </c>
      <c r="AE1284">
        <v>0</v>
      </c>
      <c r="AF1284">
        <v>0</v>
      </c>
      <c r="AG1284">
        <v>259</v>
      </c>
      <c r="AH1284">
        <v>259</v>
      </c>
      <c r="AI1284">
        <v>0</v>
      </c>
      <c r="AJ1284">
        <v>0</v>
      </c>
      <c r="AK1284">
        <v>781</v>
      </c>
      <c r="AL1284">
        <v>781</v>
      </c>
      <c r="AM1284">
        <v>0</v>
      </c>
      <c r="AN1284">
        <v>0</v>
      </c>
      <c r="AO1284">
        <v>90</v>
      </c>
      <c r="AP1284">
        <v>13</v>
      </c>
      <c r="AQ1284">
        <v>90</v>
      </c>
      <c r="AR1284">
        <v>77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36</v>
      </c>
      <c r="BA1284">
        <v>36</v>
      </c>
      <c r="BB1284">
        <v>0</v>
      </c>
      <c r="BC1284">
        <v>0</v>
      </c>
      <c r="BD1284">
        <v>0</v>
      </c>
      <c r="BE1284">
        <f t="shared" si="213"/>
        <v>3692</v>
      </c>
      <c r="BF1284">
        <v>2589</v>
      </c>
      <c r="BG1284">
        <v>2589</v>
      </c>
      <c r="BH1284" t="s">
        <v>82</v>
      </c>
      <c r="BI1284" t="s">
        <v>1159</v>
      </c>
      <c r="BJ1284">
        <v>1423</v>
      </c>
      <c r="BK1284">
        <v>1166</v>
      </c>
      <c r="BL1284">
        <v>2589</v>
      </c>
      <c r="BM1284">
        <v>0</v>
      </c>
      <c r="BN1284">
        <v>0</v>
      </c>
      <c r="BO1284">
        <v>0</v>
      </c>
      <c r="BP1284">
        <v>1166</v>
      </c>
      <c r="BQ1284">
        <v>1166</v>
      </c>
      <c r="BR1284">
        <f t="shared" si="214"/>
        <v>-88</v>
      </c>
      <c r="BS1284">
        <f t="shared" si="215"/>
        <v>88</v>
      </c>
    </row>
    <row r="1285" spans="1:74" x14ac:dyDescent="0.25">
      <c r="A1285" s="5" t="s">
        <v>1661</v>
      </c>
      <c r="B1285" s="5" t="s">
        <v>359</v>
      </c>
      <c r="C1285" s="5" t="s">
        <v>207</v>
      </c>
      <c r="D1285" s="1" t="s">
        <v>135</v>
      </c>
      <c r="E1285">
        <v>0</v>
      </c>
      <c r="F1285">
        <v>0</v>
      </c>
      <c r="G1285">
        <v>0</v>
      </c>
      <c r="H1285">
        <v>0</v>
      </c>
      <c r="I1285">
        <v>125</v>
      </c>
      <c r="J1285">
        <v>240</v>
      </c>
      <c r="K1285">
        <v>118</v>
      </c>
      <c r="L1285">
        <v>14</v>
      </c>
      <c r="M1285">
        <v>0</v>
      </c>
      <c r="N1285">
        <v>0</v>
      </c>
      <c r="O1285">
        <v>0</v>
      </c>
      <c r="P1285">
        <v>0</v>
      </c>
      <c r="Q1285">
        <v>88</v>
      </c>
      <c r="R1285">
        <v>0</v>
      </c>
      <c r="S1285" s="18" t="e">
        <f t="shared" si="206"/>
        <v>#DIV/0!</v>
      </c>
      <c r="T1285" s="17" t="e">
        <f t="shared" si="207"/>
        <v>#DIV/0!</v>
      </c>
      <c r="U1285" s="17" t="e">
        <f t="shared" si="208"/>
        <v>#DIV/0!</v>
      </c>
      <c r="V1285" s="17" t="e">
        <f t="shared" si="209"/>
        <v>#DIV/0!</v>
      </c>
      <c r="W1285" s="17" t="e">
        <f t="shared" si="210"/>
        <v>#DIV/0!</v>
      </c>
      <c r="X1285" s="17" t="e">
        <f t="shared" si="211"/>
        <v>#DIV/0!</v>
      </c>
      <c r="Y1285" s="19" t="e">
        <f t="shared" si="212"/>
        <v>#DIV/0!</v>
      </c>
      <c r="Z1285">
        <v>0</v>
      </c>
      <c r="AA1285">
        <v>0</v>
      </c>
      <c r="AB1285">
        <v>0</v>
      </c>
      <c r="AC1285">
        <v>993</v>
      </c>
      <c r="AD1285">
        <v>0</v>
      </c>
      <c r="AE1285">
        <v>0</v>
      </c>
      <c r="AF1285">
        <v>0</v>
      </c>
      <c r="AG1285">
        <v>125</v>
      </c>
      <c r="AH1285">
        <v>125</v>
      </c>
      <c r="AI1285">
        <v>0</v>
      </c>
      <c r="AJ1285">
        <v>0</v>
      </c>
      <c r="AK1285">
        <v>240</v>
      </c>
      <c r="AL1285">
        <v>240</v>
      </c>
      <c r="AM1285">
        <v>0</v>
      </c>
      <c r="AN1285">
        <v>0</v>
      </c>
      <c r="AO1285">
        <v>118</v>
      </c>
      <c r="AP1285">
        <v>24</v>
      </c>
      <c r="AQ1285">
        <v>118</v>
      </c>
      <c r="AR1285">
        <v>94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14</v>
      </c>
      <c r="BA1285">
        <v>14</v>
      </c>
      <c r="BB1285">
        <v>0</v>
      </c>
      <c r="BC1285">
        <v>0</v>
      </c>
      <c r="BD1285">
        <v>0</v>
      </c>
      <c r="BE1285">
        <f t="shared" si="213"/>
        <v>2105</v>
      </c>
      <c r="BF1285">
        <v>1490</v>
      </c>
      <c r="BG1285">
        <v>1490</v>
      </c>
      <c r="BH1285" t="s">
        <v>82</v>
      </c>
      <c r="BI1285" t="s">
        <v>1915</v>
      </c>
      <c r="BJ1285">
        <v>993</v>
      </c>
      <c r="BK1285">
        <v>497</v>
      </c>
      <c r="BL1285">
        <v>1490</v>
      </c>
      <c r="BM1285">
        <v>0</v>
      </c>
      <c r="BN1285">
        <v>0</v>
      </c>
      <c r="BO1285">
        <v>0</v>
      </c>
      <c r="BP1285">
        <v>497</v>
      </c>
      <c r="BQ1285">
        <v>497</v>
      </c>
      <c r="BR1285">
        <f t="shared" si="214"/>
        <v>-88</v>
      </c>
      <c r="BS1285">
        <f t="shared" si="215"/>
        <v>88</v>
      </c>
    </row>
    <row r="1286" spans="1:74" x14ac:dyDescent="0.25">
      <c r="A1286" s="5" t="s">
        <v>2090</v>
      </c>
      <c r="B1286" s="5" t="s">
        <v>61</v>
      </c>
      <c r="C1286" s="5" t="s">
        <v>61</v>
      </c>
      <c r="D1286" s="1" t="s">
        <v>353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88</v>
      </c>
      <c r="R1286">
        <v>0</v>
      </c>
      <c r="S1286" s="18" t="e">
        <f t="shared" si="206"/>
        <v>#DIV/0!</v>
      </c>
      <c r="T1286" s="17" t="e">
        <f t="shared" si="207"/>
        <v>#DIV/0!</v>
      </c>
      <c r="U1286" s="17" t="e">
        <f t="shared" si="208"/>
        <v>#DIV/0!</v>
      </c>
      <c r="V1286" s="17" t="e">
        <f t="shared" si="209"/>
        <v>#DIV/0!</v>
      </c>
      <c r="W1286" s="17" t="e">
        <f t="shared" si="210"/>
        <v>#DIV/0!</v>
      </c>
      <c r="X1286" s="17" t="e">
        <f t="shared" si="211"/>
        <v>#DIV/0!</v>
      </c>
      <c r="Y1286" s="19" t="e">
        <f t="shared" si="212"/>
        <v>#DIV/0!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f t="shared" si="213"/>
        <v>0</v>
      </c>
      <c r="BH1286" t="s">
        <v>190</v>
      </c>
      <c r="BI1286" t="s">
        <v>2160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f t="shared" si="214"/>
        <v>-88</v>
      </c>
      <c r="BS1286">
        <f t="shared" si="215"/>
        <v>88</v>
      </c>
    </row>
    <row r="1287" spans="1:74" x14ac:dyDescent="0.25">
      <c r="A1287" s="5" t="s">
        <v>61</v>
      </c>
      <c r="B1287" s="5" t="s">
        <v>61</v>
      </c>
      <c r="C1287" s="5" t="s">
        <v>61</v>
      </c>
      <c r="D1287" s="1" t="s">
        <v>98</v>
      </c>
      <c r="E1287">
        <v>0</v>
      </c>
      <c r="F1287">
        <v>25</v>
      </c>
      <c r="G1287">
        <v>0</v>
      </c>
      <c r="H1287">
        <v>0</v>
      </c>
      <c r="I1287">
        <v>69</v>
      </c>
      <c r="J1287">
        <v>1300</v>
      </c>
      <c r="K1287">
        <v>159</v>
      </c>
      <c r="L1287">
        <v>20</v>
      </c>
      <c r="M1287">
        <v>0</v>
      </c>
      <c r="N1287">
        <v>0</v>
      </c>
      <c r="O1287">
        <v>0</v>
      </c>
      <c r="P1287">
        <v>99</v>
      </c>
      <c r="Q1287">
        <v>100</v>
      </c>
      <c r="R1287">
        <v>11</v>
      </c>
      <c r="S1287" s="18">
        <f t="shared" si="206"/>
        <v>9</v>
      </c>
      <c r="T1287" s="17">
        <f t="shared" si="207"/>
        <v>0</v>
      </c>
      <c r="U1287" s="17">
        <f t="shared" si="208"/>
        <v>0</v>
      </c>
      <c r="V1287" s="17">
        <f t="shared" si="209"/>
        <v>0</v>
      </c>
      <c r="W1287" s="17">
        <f t="shared" si="210"/>
        <v>11</v>
      </c>
      <c r="X1287" s="17">
        <f t="shared" si="211"/>
        <v>89</v>
      </c>
      <c r="Y1287" s="19">
        <f t="shared" si="212"/>
        <v>0</v>
      </c>
      <c r="Z1287">
        <v>25</v>
      </c>
      <c r="AA1287">
        <v>0</v>
      </c>
      <c r="AB1287">
        <v>0</v>
      </c>
      <c r="AC1287">
        <v>410</v>
      </c>
      <c r="AD1287">
        <v>0</v>
      </c>
      <c r="AE1287">
        <v>0</v>
      </c>
      <c r="AF1287">
        <v>0</v>
      </c>
      <c r="AG1287">
        <v>69</v>
      </c>
      <c r="AH1287">
        <v>69</v>
      </c>
      <c r="AI1287">
        <v>0</v>
      </c>
      <c r="AJ1287">
        <v>0</v>
      </c>
      <c r="AK1287">
        <v>1300</v>
      </c>
      <c r="AL1287">
        <v>1300</v>
      </c>
      <c r="AM1287">
        <v>0</v>
      </c>
      <c r="AN1287">
        <v>0</v>
      </c>
      <c r="AO1287">
        <v>159</v>
      </c>
      <c r="AP1287">
        <v>120</v>
      </c>
      <c r="AQ1287">
        <v>159</v>
      </c>
      <c r="AR1287">
        <v>39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20</v>
      </c>
      <c r="BA1287">
        <v>20</v>
      </c>
      <c r="BB1287">
        <v>0</v>
      </c>
      <c r="BC1287">
        <v>0</v>
      </c>
      <c r="BD1287">
        <v>0</v>
      </c>
      <c r="BE1287">
        <f t="shared" si="213"/>
        <v>3665</v>
      </c>
      <c r="BF1287">
        <v>1983</v>
      </c>
      <c r="BG1287">
        <v>1983</v>
      </c>
      <c r="BH1287" t="s">
        <v>82</v>
      </c>
      <c r="BI1287" t="s">
        <v>99</v>
      </c>
      <c r="BJ1287">
        <v>410</v>
      </c>
      <c r="BK1287">
        <v>1548</v>
      </c>
      <c r="BL1287">
        <v>1983</v>
      </c>
      <c r="BM1287">
        <v>0</v>
      </c>
      <c r="BN1287">
        <v>0</v>
      </c>
      <c r="BO1287">
        <v>0</v>
      </c>
      <c r="BP1287">
        <v>1647</v>
      </c>
      <c r="BQ1287">
        <v>1647</v>
      </c>
      <c r="BR1287">
        <f t="shared" si="214"/>
        <v>-89</v>
      </c>
      <c r="BS1287">
        <f t="shared" si="215"/>
        <v>111</v>
      </c>
    </row>
    <row r="1288" spans="1:74" x14ac:dyDescent="0.25">
      <c r="A1288" s="5" t="s">
        <v>61</v>
      </c>
      <c r="B1288" s="5" t="s">
        <v>207</v>
      </c>
      <c r="C1288" s="5" t="s">
        <v>61</v>
      </c>
      <c r="D1288" s="1" t="s">
        <v>131</v>
      </c>
      <c r="E1288">
        <v>0</v>
      </c>
      <c r="F1288">
        <v>145</v>
      </c>
      <c r="G1288">
        <v>0</v>
      </c>
      <c r="H1288">
        <v>0</v>
      </c>
      <c r="I1288">
        <v>118</v>
      </c>
      <c r="J1288">
        <v>0</v>
      </c>
      <c r="K1288">
        <v>0</v>
      </c>
      <c r="L1288">
        <v>0</v>
      </c>
      <c r="M1288">
        <v>1305</v>
      </c>
      <c r="N1288">
        <v>0</v>
      </c>
      <c r="O1288">
        <v>0</v>
      </c>
      <c r="P1288">
        <v>0</v>
      </c>
      <c r="Q1288">
        <v>234</v>
      </c>
      <c r="R1288">
        <v>145</v>
      </c>
      <c r="S1288" s="18">
        <f t="shared" si="206"/>
        <v>9</v>
      </c>
      <c r="T1288" s="17">
        <f t="shared" si="207"/>
        <v>145</v>
      </c>
      <c r="U1288" s="17">
        <f t="shared" si="208"/>
        <v>0</v>
      </c>
      <c r="V1288" s="17">
        <f t="shared" si="209"/>
        <v>0</v>
      </c>
      <c r="W1288" s="17">
        <f t="shared" si="210"/>
        <v>0</v>
      </c>
      <c r="X1288" s="17">
        <f t="shared" si="211"/>
        <v>89</v>
      </c>
      <c r="Y1288" s="19">
        <f t="shared" si="212"/>
        <v>0</v>
      </c>
      <c r="Z1288">
        <v>145</v>
      </c>
      <c r="AA1288">
        <v>0</v>
      </c>
      <c r="AB1288">
        <v>0</v>
      </c>
      <c r="AC1288">
        <v>0</v>
      </c>
      <c r="AD1288">
        <v>118</v>
      </c>
      <c r="AE1288">
        <v>0</v>
      </c>
      <c r="AF1288">
        <v>0</v>
      </c>
      <c r="AG1288">
        <v>0</v>
      </c>
      <c r="AH1288">
        <v>118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f t="shared" si="213"/>
        <v>236</v>
      </c>
      <c r="BF1288">
        <v>263</v>
      </c>
      <c r="BG1288">
        <v>263</v>
      </c>
      <c r="BH1288" t="s">
        <v>109</v>
      </c>
      <c r="BI1288" t="s">
        <v>242</v>
      </c>
      <c r="BJ1288">
        <v>0</v>
      </c>
      <c r="BK1288">
        <v>118</v>
      </c>
      <c r="BL1288">
        <v>263</v>
      </c>
      <c r="BM1288">
        <v>1423</v>
      </c>
      <c r="BN1288">
        <v>0</v>
      </c>
      <c r="BO1288">
        <v>0</v>
      </c>
      <c r="BP1288">
        <v>0</v>
      </c>
      <c r="BQ1288">
        <v>1423</v>
      </c>
      <c r="BR1288">
        <f t="shared" si="214"/>
        <v>-89</v>
      </c>
      <c r="BS1288">
        <f t="shared" si="215"/>
        <v>379</v>
      </c>
    </row>
    <row r="1289" spans="1:74" x14ac:dyDescent="0.25">
      <c r="A1289" s="5" t="s">
        <v>61</v>
      </c>
      <c r="B1289" s="5" t="s">
        <v>207</v>
      </c>
      <c r="C1289" s="5" t="s">
        <v>61</v>
      </c>
      <c r="D1289" s="1" t="s">
        <v>181</v>
      </c>
      <c r="E1289">
        <v>0</v>
      </c>
      <c r="F1289">
        <v>262</v>
      </c>
      <c r="G1289">
        <v>0</v>
      </c>
      <c r="H1289">
        <v>0</v>
      </c>
      <c r="I1289">
        <v>195</v>
      </c>
      <c r="J1289">
        <v>0</v>
      </c>
      <c r="K1289">
        <v>0</v>
      </c>
      <c r="L1289">
        <v>0</v>
      </c>
      <c r="M1289">
        <v>2358</v>
      </c>
      <c r="N1289">
        <v>0</v>
      </c>
      <c r="O1289">
        <v>0</v>
      </c>
      <c r="P1289">
        <v>0</v>
      </c>
      <c r="Q1289">
        <v>351</v>
      </c>
      <c r="R1289">
        <v>262</v>
      </c>
      <c r="S1289" s="18">
        <f t="shared" si="206"/>
        <v>9</v>
      </c>
      <c r="T1289" s="17">
        <f t="shared" si="207"/>
        <v>262</v>
      </c>
      <c r="U1289" s="17">
        <f t="shared" si="208"/>
        <v>0</v>
      </c>
      <c r="V1289" s="17">
        <f t="shared" si="209"/>
        <v>0</v>
      </c>
      <c r="W1289" s="17">
        <f t="shared" si="210"/>
        <v>0</v>
      </c>
      <c r="X1289" s="17">
        <f t="shared" si="211"/>
        <v>89</v>
      </c>
      <c r="Y1289" s="19">
        <f t="shared" si="212"/>
        <v>0</v>
      </c>
      <c r="Z1289">
        <v>262</v>
      </c>
      <c r="AA1289">
        <v>0</v>
      </c>
      <c r="AB1289">
        <v>0</v>
      </c>
      <c r="AC1289">
        <v>0</v>
      </c>
      <c r="AD1289">
        <v>195</v>
      </c>
      <c r="AE1289">
        <v>0</v>
      </c>
      <c r="AF1289">
        <v>0</v>
      </c>
      <c r="AG1289">
        <v>0</v>
      </c>
      <c r="AH1289">
        <v>195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f t="shared" si="213"/>
        <v>390</v>
      </c>
      <c r="BF1289">
        <v>457</v>
      </c>
      <c r="BG1289">
        <v>457</v>
      </c>
      <c r="BH1289" t="s">
        <v>109</v>
      </c>
      <c r="BI1289" t="s">
        <v>267</v>
      </c>
      <c r="BJ1289">
        <v>0</v>
      </c>
      <c r="BK1289">
        <v>195</v>
      </c>
      <c r="BL1289">
        <v>457</v>
      </c>
      <c r="BM1289">
        <v>2553</v>
      </c>
      <c r="BN1289">
        <v>0</v>
      </c>
      <c r="BO1289">
        <v>0</v>
      </c>
      <c r="BP1289">
        <v>0</v>
      </c>
      <c r="BQ1289">
        <v>2553</v>
      </c>
      <c r="BR1289">
        <f t="shared" si="214"/>
        <v>-89</v>
      </c>
      <c r="BS1289">
        <f t="shared" si="215"/>
        <v>613</v>
      </c>
    </row>
    <row r="1290" spans="1:74" x14ac:dyDescent="0.25">
      <c r="A1290" s="5" t="s">
        <v>207</v>
      </c>
      <c r="B1290" s="5" t="s">
        <v>61</v>
      </c>
      <c r="C1290" s="5" t="s">
        <v>207</v>
      </c>
      <c r="D1290" s="1" t="s">
        <v>117</v>
      </c>
      <c r="E1290">
        <v>0</v>
      </c>
      <c r="F1290">
        <v>0</v>
      </c>
      <c r="G1290">
        <v>0</v>
      </c>
      <c r="H1290">
        <v>0</v>
      </c>
      <c r="I1290">
        <v>429</v>
      </c>
      <c r="J1290">
        <v>1880</v>
      </c>
      <c r="K1290">
        <v>164</v>
      </c>
      <c r="L1290">
        <v>32</v>
      </c>
      <c r="M1290">
        <v>0</v>
      </c>
      <c r="N1290">
        <v>0</v>
      </c>
      <c r="O1290">
        <v>0</v>
      </c>
      <c r="P1290">
        <v>0</v>
      </c>
      <c r="Q1290">
        <v>90</v>
      </c>
      <c r="R1290">
        <v>0</v>
      </c>
      <c r="S1290" s="18" t="e">
        <f t="shared" si="206"/>
        <v>#DIV/0!</v>
      </c>
      <c r="T1290" s="17" t="e">
        <f t="shared" si="207"/>
        <v>#DIV/0!</v>
      </c>
      <c r="U1290" s="17" t="e">
        <f t="shared" si="208"/>
        <v>#DIV/0!</v>
      </c>
      <c r="V1290" s="17" t="e">
        <f t="shared" si="209"/>
        <v>#DIV/0!</v>
      </c>
      <c r="W1290" s="17" t="e">
        <f t="shared" si="210"/>
        <v>#DIV/0!</v>
      </c>
      <c r="X1290" s="17" t="e">
        <f t="shared" si="211"/>
        <v>#DIV/0!</v>
      </c>
      <c r="Y1290" s="19" t="e">
        <f t="shared" si="212"/>
        <v>#DIV/0!</v>
      </c>
      <c r="Z1290">
        <v>0</v>
      </c>
      <c r="AA1290">
        <v>0</v>
      </c>
      <c r="AB1290">
        <v>25</v>
      </c>
      <c r="AC1290">
        <v>1000</v>
      </c>
      <c r="AD1290">
        <v>0</v>
      </c>
      <c r="AE1290">
        <v>0</v>
      </c>
      <c r="AF1290">
        <v>0</v>
      </c>
      <c r="AG1290">
        <v>429</v>
      </c>
      <c r="AH1290">
        <v>429</v>
      </c>
      <c r="AI1290">
        <v>0</v>
      </c>
      <c r="AJ1290">
        <v>0</v>
      </c>
      <c r="AK1290">
        <v>1880</v>
      </c>
      <c r="AL1290">
        <v>1880</v>
      </c>
      <c r="AM1290">
        <v>0</v>
      </c>
      <c r="AN1290">
        <v>0</v>
      </c>
      <c r="AO1290">
        <v>164</v>
      </c>
      <c r="AP1290">
        <v>82</v>
      </c>
      <c r="AQ1290">
        <v>164</v>
      </c>
      <c r="AR1290">
        <v>82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32</v>
      </c>
      <c r="BA1290">
        <v>32</v>
      </c>
      <c r="BB1290">
        <v>0</v>
      </c>
      <c r="BC1290">
        <v>0</v>
      </c>
      <c r="BD1290">
        <v>0</v>
      </c>
      <c r="BE1290">
        <f t="shared" si="213"/>
        <v>6174</v>
      </c>
      <c r="BF1290">
        <v>3530</v>
      </c>
      <c r="BG1290">
        <v>3530</v>
      </c>
      <c r="BH1290" t="s">
        <v>82</v>
      </c>
      <c r="BI1290" t="s">
        <v>488</v>
      </c>
      <c r="BJ1290">
        <v>1025</v>
      </c>
      <c r="BK1290">
        <v>2505</v>
      </c>
      <c r="BL1290">
        <v>3530</v>
      </c>
      <c r="BM1290">
        <v>0</v>
      </c>
      <c r="BN1290">
        <v>0</v>
      </c>
      <c r="BO1290">
        <v>0</v>
      </c>
      <c r="BP1290">
        <v>2505</v>
      </c>
      <c r="BQ1290">
        <v>2505</v>
      </c>
      <c r="BR1290">
        <f t="shared" si="214"/>
        <v>-90</v>
      </c>
      <c r="BS1290">
        <f t="shared" si="215"/>
        <v>90</v>
      </c>
    </row>
    <row r="1291" spans="1:74" x14ac:dyDescent="0.25">
      <c r="A1291" s="5" t="s">
        <v>1135</v>
      </c>
      <c r="B1291" s="5" t="s">
        <v>61</v>
      </c>
      <c r="C1291" s="5" t="s">
        <v>61</v>
      </c>
      <c r="D1291" s="1" t="s">
        <v>62</v>
      </c>
      <c r="E1291">
        <v>0</v>
      </c>
      <c r="F1291">
        <v>0</v>
      </c>
      <c r="G1291">
        <v>0</v>
      </c>
      <c r="H1291">
        <v>0</v>
      </c>
      <c r="I1291">
        <v>335</v>
      </c>
      <c r="J1291">
        <v>0</v>
      </c>
      <c r="K1291">
        <v>646</v>
      </c>
      <c r="L1291">
        <v>40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s="18" t="e">
        <f t="shared" si="206"/>
        <v>#DIV/0!</v>
      </c>
      <c r="T1291" s="17" t="e">
        <f t="shared" si="207"/>
        <v>#DIV/0!</v>
      </c>
      <c r="U1291" s="17" t="e">
        <f t="shared" si="208"/>
        <v>#DIV/0!</v>
      </c>
      <c r="V1291" s="17" t="e">
        <f t="shared" si="209"/>
        <v>#DIV/0!</v>
      </c>
      <c r="W1291" s="17" t="e">
        <f t="shared" si="210"/>
        <v>#DIV/0!</v>
      </c>
      <c r="X1291" s="17" t="e">
        <f t="shared" si="211"/>
        <v>#DIV/0!</v>
      </c>
      <c r="Y1291" s="19" t="e">
        <f t="shared" si="212"/>
        <v>#DIV/0!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335</v>
      </c>
      <c r="AH1291">
        <v>335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646</v>
      </c>
      <c r="AP1291">
        <v>646</v>
      </c>
      <c r="AQ1291">
        <v>646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40</v>
      </c>
      <c r="BA1291">
        <v>40</v>
      </c>
      <c r="BB1291">
        <v>0</v>
      </c>
      <c r="BC1291">
        <v>0</v>
      </c>
      <c r="BD1291">
        <v>0</v>
      </c>
      <c r="BE1291">
        <f t="shared" si="213"/>
        <v>2688</v>
      </c>
      <c r="BF1291">
        <v>1021</v>
      </c>
      <c r="BG1291">
        <v>1021</v>
      </c>
      <c r="BH1291" t="s">
        <v>63</v>
      </c>
      <c r="BI1291" t="s">
        <v>1018</v>
      </c>
      <c r="BJ1291">
        <v>0</v>
      </c>
      <c r="BK1291">
        <v>1021</v>
      </c>
      <c r="BL1291">
        <v>1021</v>
      </c>
      <c r="BM1291">
        <v>0</v>
      </c>
      <c r="BN1291">
        <v>0</v>
      </c>
      <c r="BO1291">
        <v>0</v>
      </c>
      <c r="BP1291">
        <v>1021</v>
      </c>
      <c r="BQ1291">
        <v>1021</v>
      </c>
      <c r="BR1291">
        <f t="shared" si="214"/>
        <v>0</v>
      </c>
      <c r="BS1291">
        <f t="shared" si="215"/>
        <v>0</v>
      </c>
      <c r="BU1291">
        <f>R1291*9</f>
        <v>0</v>
      </c>
      <c r="BV1291">
        <f>IF(BU1291&gt;BG1291, 1, 0)</f>
        <v>0</v>
      </c>
    </row>
    <row r="1292" spans="1:74" x14ac:dyDescent="0.25">
      <c r="A1292" s="5" t="s">
        <v>1451</v>
      </c>
      <c r="B1292" s="5" t="s">
        <v>61</v>
      </c>
      <c r="C1292" s="5" t="s">
        <v>61</v>
      </c>
      <c r="D1292" s="1" t="s">
        <v>104</v>
      </c>
      <c r="E1292">
        <v>0</v>
      </c>
      <c r="F1292">
        <v>234</v>
      </c>
      <c r="G1292">
        <v>0</v>
      </c>
      <c r="H1292">
        <v>0</v>
      </c>
      <c r="I1292">
        <v>0</v>
      </c>
      <c r="J1292">
        <v>930</v>
      </c>
      <c r="K1292">
        <v>75</v>
      </c>
      <c r="L1292">
        <v>0</v>
      </c>
      <c r="M1292">
        <v>0</v>
      </c>
      <c r="N1292">
        <v>0</v>
      </c>
      <c r="O1292">
        <v>0</v>
      </c>
      <c r="P1292">
        <v>630</v>
      </c>
      <c r="Q1292">
        <v>160</v>
      </c>
      <c r="R1292">
        <v>70</v>
      </c>
      <c r="S1292" s="18">
        <f t="shared" si="206"/>
        <v>9</v>
      </c>
      <c r="T1292" s="17">
        <f t="shared" si="207"/>
        <v>0</v>
      </c>
      <c r="U1292" s="17">
        <f t="shared" si="208"/>
        <v>0</v>
      </c>
      <c r="V1292" s="17">
        <f t="shared" si="209"/>
        <v>0</v>
      </c>
      <c r="W1292" s="17">
        <f t="shared" si="210"/>
        <v>70</v>
      </c>
      <c r="X1292" s="17">
        <f t="shared" si="211"/>
        <v>90</v>
      </c>
      <c r="Y1292" s="19">
        <f t="shared" si="212"/>
        <v>0</v>
      </c>
      <c r="Z1292">
        <v>234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930</v>
      </c>
      <c r="AL1292">
        <v>930</v>
      </c>
      <c r="AM1292">
        <v>0</v>
      </c>
      <c r="AN1292">
        <v>0</v>
      </c>
      <c r="AO1292">
        <v>75</v>
      </c>
      <c r="AP1292">
        <v>0</v>
      </c>
      <c r="AQ1292">
        <v>75</v>
      </c>
      <c r="AR1292">
        <v>75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f t="shared" si="213"/>
        <v>2085</v>
      </c>
      <c r="BF1292">
        <v>1239</v>
      </c>
      <c r="BG1292">
        <v>1239</v>
      </c>
      <c r="BH1292" t="s">
        <v>190</v>
      </c>
      <c r="BI1292" t="s">
        <v>1468</v>
      </c>
      <c r="BJ1292">
        <v>0</v>
      </c>
      <c r="BK1292">
        <v>1005</v>
      </c>
      <c r="BL1292">
        <v>1239</v>
      </c>
      <c r="BM1292">
        <v>0</v>
      </c>
      <c r="BN1292">
        <v>0</v>
      </c>
      <c r="BO1292">
        <v>0</v>
      </c>
      <c r="BP1292">
        <v>1635</v>
      </c>
      <c r="BQ1292">
        <v>1635</v>
      </c>
      <c r="BR1292">
        <f t="shared" si="214"/>
        <v>-90</v>
      </c>
      <c r="BS1292">
        <f t="shared" si="215"/>
        <v>230</v>
      </c>
    </row>
    <row r="1293" spans="1:74" x14ac:dyDescent="0.25">
      <c r="A1293" s="5" t="s">
        <v>2090</v>
      </c>
      <c r="B1293" s="5" t="s">
        <v>207</v>
      </c>
      <c r="C1293" s="5" t="s">
        <v>61</v>
      </c>
      <c r="D1293" s="1" t="s">
        <v>175</v>
      </c>
      <c r="E1293">
        <v>0</v>
      </c>
      <c r="F1293">
        <v>0</v>
      </c>
      <c r="G1293">
        <v>0</v>
      </c>
      <c r="H1293">
        <v>0</v>
      </c>
      <c r="I1293">
        <v>122</v>
      </c>
      <c r="J1293">
        <v>702</v>
      </c>
      <c r="K1293">
        <v>148</v>
      </c>
      <c r="L1293">
        <v>171</v>
      </c>
      <c r="M1293">
        <v>0</v>
      </c>
      <c r="N1293">
        <v>0</v>
      </c>
      <c r="O1293">
        <v>0</v>
      </c>
      <c r="P1293">
        <v>0</v>
      </c>
      <c r="Q1293">
        <v>90</v>
      </c>
      <c r="R1293">
        <v>0</v>
      </c>
      <c r="S1293" s="18" t="e">
        <f t="shared" si="206"/>
        <v>#DIV/0!</v>
      </c>
      <c r="T1293" s="17" t="e">
        <f t="shared" si="207"/>
        <v>#DIV/0!</v>
      </c>
      <c r="U1293" s="17" t="e">
        <f t="shared" si="208"/>
        <v>#DIV/0!</v>
      </c>
      <c r="V1293" s="17" t="e">
        <f t="shared" si="209"/>
        <v>#DIV/0!</v>
      </c>
      <c r="W1293" s="17" t="e">
        <f t="shared" si="210"/>
        <v>#DIV/0!</v>
      </c>
      <c r="X1293" s="17" t="e">
        <f t="shared" si="211"/>
        <v>#DIV/0!</v>
      </c>
      <c r="Y1293" s="19" t="e">
        <f t="shared" si="212"/>
        <v>#DIV/0!</v>
      </c>
      <c r="Z1293">
        <v>0</v>
      </c>
      <c r="AA1293">
        <v>0</v>
      </c>
      <c r="AB1293">
        <v>0</v>
      </c>
      <c r="AC1293">
        <v>563</v>
      </c>
      <c r="AD1293">
        <v>0</v>
      </c>
      <c r="AE1293">
        <v>0</v>
      </c>
      <c r="AF1293">
        <v>0</v>
      </c>
      <c r="AG1293">
        <v>122</v>
      </c>
      <c r="AH1293">
        <v>122</v>
      </c>
      <c r="AI1293">
        <v>0</v>
      </c>
      <c r="AJ1293">
        <v>0</v>
      </c>
      <c r="AK1293">
        <v>702</v>
      </c>
      <c r="AL1293">
        <v>702</v>
      </c>
      <c r="AM1293">
        <v>0</v>
      </c>
      <c r="AN1293">
        <v>0</v>
      </c>
      <c r="AO1293">
        <v>148</v>
      </c>
      <c r="AP1293">
        <v>51</v>
      </c>
      <c r="AQ1293">
        <v>148</v>
      </c>
      <c r="AR1293">
        <v>97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171</v>
      </c>
      <c r="BA1293">
        <v>171</v>
      </c>
      <c r="BB1293">
        <v>0</v>
      </c>
      <c r="BC1293">
        <v>0</v>
      </c>
      <c r="BD1293">
        <v>0</v>
      </c>
      <c r="BE1293">
        <f t="shared" si="213"/>
        <v>2997</v>
      </c>
      <c r="BF1293">
        <v>1706</v>
      </c>
      <c r="BG1293">
        <v>1706</v>
      </c>
      <c r="BH1293" t="s">
        <v>190</v>
      </c>
      <c r="BI1293" t="s">
        <v>2266</v>
      </c>
      <c r="BJ1293">
        <v>563</v>
      </c>
      <c r="BK1293">
        <v>1143</v>
      </c>
      <c r="BL1293">
        <v>1706</v>
      </c>
      <c r="BM1293">
        <v>0</v>
      </c>
      <c r="BN1293">
        <v>0</v>
      </c>
      <c r="BO1293">
        <v>0</v>
      </c>
      <c r="BP1293">
        <v>1143</v>
      </c>
      <c r="BQ1293">
        <v>1143</v>
      </c>
      <c r="BR1293">
        <f t="shared" si="214"/>
        <v>-90</v>
      </c>
      <c r="BS1293">
        <f t="shared" si="215"/>
        <v>90</v>
      </c>
    </row>
    <row r="1294" spans="1:74" x14ac:dyDescent="0.25">
      <c r="A1294" s="5" t="s">
        <v>2294</v>
      </c>
      <c r="B1294" s="5" t="s">
        <v>207</v>
      </c>
      <c r="C1294" s="6" t="s">
        <v>61</v>
      </c>
      <c r="D1294" s="1" t="s">
        <v>77</v>
      </c>
      <c r="E1294">
        <v>34</v>
      </c>
      <c r="F1294">
        <v>8</v>
      </c>
      <c r="G1294">
        <v>0</v>
      </c>
      <c r="H1294">
        <v>0</v>
      </c>
      <c r="I1294">
        <v>370</v>
      </c>
      <c r="J1294">
        <v>920</v>
      </c>
      <c r="K1294">
        <v>180</v>
      </c>
      <c r="L1294">
        <v>70</v>
      </c>
      <c r="M1294">
        <v>0</v>
      </c>
      <c r="N1294">
        <v>0</v>
      </c>
      <c r="O1294">
        <v>0</v>
      </c>
      <c r="P1294">
        <v>72</v>
      </c>
      <c r="Q1294">
        <v>98</v>
      </c>
      <c r="R1294">
        <v>8</v>
      </c>
      <c r="S1294" s="18">
        <f t="shared" si="206"/>
        <v>9</v>
      </c>
      <c r="T1294" s="17">
        <f t="shared" si="207"/>
        <v>0</v>
      </c>
      <c r="U1294" s="17">
        <f t="shared" si="208"/>
        <v>0</v>
      </c>
      <c r="V1294" s="17">
        <f t="shared" si="209"/>
        <v>0</v>
      </c>
      <c r="W1294" s="17">
        <f t="shared" si="210"/>
        <v>8</v>
      </c>
      <c r="X1294" s="17">
        <f t="shared" si="211"/>
        <v>90</v>
      </c>
      <c r="Y1294" s="19">
        <f t="shared" si="212"/>
        <v>0</v>
      </c>
      <c r="Z1294">
        <v>8</v>
      </c>
      <c r="AA1294">
        <v>6</v>
      </c>
      <c r="AB1294">
        <v>0</v>
      </c>
      <c r="AC1294">
        <v>655</v>
      </c>
      <c r="AD1294">
        <v>0</v>
      </c>
      <c r="AE1294">
        <v>0</v>
      </c>
      <c r="AF1294">
        <v>0</v>
      </c>
      <c r="AG1294">
        <v>370</v>
      </c>
      <c r="AH1294">
        <v>370</v>
      </c>
      <c r="AI1294">
        <v>0</v>
      </c>
      <c r="AJ1294">
        <v>0</v>
      </c>
      <c r="AK1294">
        <v>920</v>
      </c>
      <c r="AL1294">
        <v>920</v>
      </c>
      <c r="AM1294">
        <v>0</v>
      </c>
      <c r="AN1294">
        <v>0</v>
      </c>
      <c r="AO1294">
        <v>180</v>
      </c>
      <c r="AP1294">
        <v>125</v>
      </c>
      <c r="AQ1294">
        <v>180</v>
      </c>
      <c r="AR1294">
        <v>55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70</v>
      </c>
      <c r="BA1294">
        <v>70</v>
      </c>
      <c r="BB1294">
        <v>0</v>
      </c>
      <c r="BC1294">
        <v>0</v>
      </c>
      <c r="BD1294">
        <v>0</v>
      </c>
      <c r="BE1294">
        <f t="shared" si="213"/>
        <v>3915</v>
      </c>
      <c r="BF1294">
        <v>2243</v>
      </c>
      <c r="BG1294">
        <v>2243</v>
      </c>
      <c r="BH1294" t="s">
        <v>82</v>
      </c>
      <c r="BI1294" t="s">
        <v>2330</v>
      </c>
      <c r="BJ1294">
        <v>695</v>
      </c>
      <c r="BK1294">
        <v>1540</v>
      </c>
      <c r="BL1294">
        <v>2243</v>
      </c>
      <c r="BM1294">
        <v>0</v>
      </c>
      <c r="BN1294">
        <v>0</v>
      </c>
      <c r="BO1294">
        <v>0</v>
      </c>
      <c r="BP1294">
        <v>1612</v>
      </c>
      <c r="BQ1294">
        <v>1612</v>
      </c>
      <c r="BR1294">
        <f t="shared" si="214"/>
        <v>-90</v>
      </c>
      <c r="BS1294">
        <f t="shared" si="215"/>
        <v>106</v>
      </c>
    </row>
    <row r="1295" spans="1:74" x14ac:dyDescent="0.25">
      <c r="A1295" s="5" t="s">
        <v>207</v>
      </c>
      <c r="B1295" s="5" t="s">
        <v>61</v>
      </c>
      <c r="C1295" s="7" t="s">
        <v>207</v>
      </c>
      <c r="D1295" s="1" t="s">
        <v>141</v>
      </c>
      <c r="E1295">
        <v>0</v>
      </c>
      <c r="F1295">
        <v>30</v>
      </c>
      <c r="G1295">
        <v>0</v>
      </c>
      <c r="H1295">
        <v>0</v>
      </c>
      <c r="I1295">
        <v>155</v>
      </c>
      <c r="J1295">
        <v>1922</v>
      </c>
      <c r="K1295">
        <v>363</v>
      </c>
      <c r="L1295">
        <v>0</v>
      </c>
      <c r="M1295">
        <v>0</v>
      </c>
      <c r="N1295">
        <v>0</v>
      </c>
      <c r="O1295">
        <v>0</v>
      </c>
      <c r="P1295">
        <v>270</v>
      </c>
      <c r="Q1295">
        <v>121</v>
      </c>
      <c r="R1295">
        <v>30</v>
      </c>
      <c r="S1295" s="18">
        <f t="shared" si="206"/>
        <v>9</v>
      </c>
      <c r="T1295" s="17">
        <f t="shared" si="207"/>
        <v>0</v>
      </c>
      <c r="U1295" s="17">
        <f t="shared" si="208"/>
        <v>0</v>
      </c>
      <c r="V1295" s="17">
        <f t="shared" si="209"/>
        <v>0</v>
      </c>
      <c r="W1295" s="17">
        <f t="shared" si="210"/>
        <v>30</v>
      </c>
      <c r="X1295" s="17">
        <f t="shared" si="211"/>
        <v>91</v>
      </c>
      <c r="Y1295" s="19">
        <f t="shared" si="212"/>
        <v>0</v>
      </c>
      <c r="Z1295">
        <v>30</v>
      </c>
      <c r="AA1295">
        <v>0</v>
      </c>
      <c r="AB1295">
        <v>0</v>
      </c>
      <c r="AC1295">
        <v>2068</v>
      </c>
      <c r="AD1295">
        <v>0</v>
      </c>
      <c r="AE1295">
        <v>0</v>
      </c>
      <c r="AF1295">
        <v>0</v>
      </c>
      <c r="AG1295">
        <v>155</v>
      </c>
      <c r="AH1295">
        <v>155</v>
      </c>
      <c r="AI1295">
        <v>0</v>
      </c>
      <c r="AJ1295">
        <v>0</v>
      </c>
      <c r="AK1295">
        <v>1922</v>
      </c>
      <c r="AL1295">
        <v>1922</v>
      </c>
      <c r="AM1295">
        <v>0</v>
      </c>
      <c r="AN1295">
        <v>0</v>
      </c>
      <c r="AO1295">
        <v>363</v>
      </c>
      <c r="AP1295">
        <v>291</v>
      </c>
      <c r="AQ1295">
        <v>363</v>
      </c>
      <c r="AR1295">
        <v>72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f t="shared" si="213"/>
        <v>7311</v>
      </c>
      <c r="BF1295">
        <v>4538</v>
      </c>
      <c r="BG1295">
        <v>4538</v>
      </c>
      <c r="BH1295" t="s">
        <v>82</v>
      </c>
      <c r="BI1295" t="s">
        <v>500</v>
      </c>
      <c r="BJ1295">
        <v>2068</v>
      </c>
      <c r="BK1295">
        <v>2440</v>
      </c>
      <c r="BL1295">
        <v>4538</v>
      </c>
      <c r="BM1295">
        <v>0</v>
      </c>
      <c r="BN1295">
        <v>0</v>
      </c>
      <c r="BO1295">
        <v>0</v>
      </c>
      <c r="BP1295">
        <v>2710</v>
      </c>
      <c r="BQ1295">
        <v>2710</v>
      </c>
      <c r="BR1295">
        <f t="shared" si="214"/>
        <v>-91</v>
      </c>
      <c r="BS1295">
        <f t="shared" si="215"/>
        <v>151</v>
      </c>
    </row>
    <row r="1296" spans="1:74" x14ac:dyDescent="0.25">
      <c r="A1296" s="5" t="s">
        <v>1661</v>
      </c>
      <c r="B1296" s="5" t="s">
        <v>359</v>
      </c>
      <c r="C1296" s="5" t="s">
        <v>359</v>
      </c>
      <c r="D1296" s="1" t="s">
        <v>131</v>
      </c>
      <c r="E1296">
        <v>0</v>
      </c>
      <c r="F1296">
        <v>57</v>
      </c>
      <c r="G1296">
        <v>0</v>
      </c>
      <c r="H1296">
        <v>0</v>
      </c>
      <c r="I1296">
        <v>40</v>
      </c>
      <c r="J1296">
        <v>1900</v>
      </c>
      <c r="K1296">
        <v>43</v>
      </c>
      <c r="L1296">
        <v>0</v>
      </c>
      <c r="M1296">
        <v>0</v>
      </c>
      <c r="N1296">
        <v>0</v>
      </c>
      <c r="O1296">
        <v>0</v>
      </c>
      <c r="P1296">
        <v>306</v>
      </c>
      <c r="Q1296">
        <v>125</v>
      </c>
      <c r="R1296">
        <v>34</v>
      </c>
      <c r="S1296" s="18">
        <f t="shared" si="206"/>
        <v>9</v>
      </c>
      <c r="T1296" s="17">
        <f t="shared" si="207"/>
        <v>0</v>
      </c>
      <c r="U1296" s="17">
        <f t="shared" si="208"/>
        <v>0</v>
      </c>
      <c r="V1296" s="17">
        <f t="shared" si="209"/>
        <v>0</v>
      </c>
      <c r="W1296" s="17">
        <f t="shared" si="210"/>
        <v>34</v>
      </c>
      <c r="X1296" s="17">
        <f t="shared" si="211"/>
        <v>91</v>
      </c>
      <c r="Y1296" s="19">
        <f t="shared" si="212"/>
        <v>0</v>
      </c>
      <c r="Z1296">
        <v>57</v>
      </c>
      <c r="AA1296">
        <v>0</v>
      </c>
      <c r="AB1296">
        <v>0</v>
      </c>
      <c r="AC1296">
        <v>900</v>
      </c>
      <c r="AD1296">
        <v>0</v>
      </c>
      <c r="AE1296">
        <v>0</v>
      </c>
      <c r="AF1296">
        <v>0</v>
      </c>
      <c r="AG1296">
        <v>40</v>
      </c>
      <c r="AH1296">
        <v>40</v>
      </c>
      <c r="AI1296">
        <v>0</v>
      </c>
      <c r="AJ1296">
        <v>0</v>
      </c>
      <c r="AK1296">
        <v>1900</v>
      </c>
      <c r="AL1296">
        <v>1900</v>
      </c>
      <c r="AM1296">
        <v>0</v>
      </c>
      <c r="AN1296">
        <v>0</v>
      </c>
      <c r="AO1296">
        <v>43</v>
      </c>
      <c r="AP1296">
        <v>19</v>
      </c>
      <c r="AQ1296">
        <v>43</v>
      </c>
      <c r="AR1296">
        <v>24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f t="shared" si="213"/>
        <v>4909</v>
      </c>
      <c r="BF1296">
        <v>2940</v>
      </c>
      <c r="BG1296">
        <v>2940</v>
      </c>
      <c r="BH1296" t="s">
        <v>82</v>
      </c>
      <c r="BI1296" t="s">
        <v>1881</v>
      </c>
      <c r="BJ1296">
        <v>900</v>
      </c>
      <c r="BK1296">
        <v>1983</v>
      </c>
      <c r="BL1296">
        <v>2940</v>
      </c>
      <c r="BM1296">
        <v>0</v>
      </c>
      <c r="BN1296">
        <v>0</v>
      </c>
      <c r="BO1296">
        <v>0</v>
      </c>
      <c r="BP1296">
        <v>2289</v>
      </c>
      <c r="BQ1296">
        <v>2289</v>
      </c>
      <c r="BR1296">
        <f t="shared" si="214"/>
        <v>-91</v>
      </c>
      <c r="BS1296">
        <f t="shared" si="215"/>
        <v>159</v>
      </c>
    </row>
    <row r="1297" spans="1:74" x14ac:dyDescent="0.25">
      <c r="A1297" s="5" t="s">
        <v>61</v>
      </c>
      <c r="B1297" s="5" t="s">
        <v>207</v>
      </c>
      <c r="C1297" s="5" t="s">
        <v>207</v>
      </c>
      <c r="D1297" s="1" t="s">
        <v>119</v>
      </c>
      <c r="E1297">
        <v>0</v>
      </c>
      <c r="F1297">
        <v>19</v>
      </c>
      <c r="G1297">
        <v>0</v>
      </c>
      <c r="H1297">
        <v>0</v>
      </c>
      <c r="I1297">
        <v>88</v>
      </c>
      <c r="J1297">
        <v>0</v>
      </c>
      <c r="K1297">
        <v>0</v>
      </c>
      <c r="L1297">
        <v>0</v>
      </c>
      <c r="M1297">
        <v>171</v>
      </c>
      <c r="N1297">
        <v>0</v>
      </c>
      <c r="O1297">
        <v>0</v>
      </c>
      <c r="P1297">
        <v>0</v>
      </c>
      <c r="Q1297">
        <v>111</v>
      </c>
      <c r="R1297">
        <v>19</v>
      </c>
      <c r="S1297" s="18">
        <f t="shared" si="206"/>
        <v>9</v>
      </c>
      <c r="T1297" s="17">
        <f t="shared" si="207"/>
        <v>19</v>
      </c>
      <c r="U1297" s="17">
        <f t="shared" si="208"/>
        <v>0</v>
      </c>
      <c r="V1297" s="17">
        <f t="shared" si="209"/>
        <v>0</v>
      </c>
      <c r="W1297" s="17">
        <f t="shared" si="210"/>
        <v>0</v>
      </c>
      <c r="X1297" s="17">
        <f t="shared" si="211"/>
        <v>92</v>
      </c>
      <c r="Y1297" s="19">
        <f t="shared" si="212"/>
        <v>0</v>
      </c>
      <c r="Z1297">
        <v>19</v>
      </c>
      <c r="AA1297">
        <v>0</v>
      </c>
      <c r="AB1297">
        <v>0</v>
      </c>
      <c r="AC1297">
        <v>0</v>
      </c>
      <c r="AD1297">
        <v>88</v>
      </c>
      <c r="AE1297">
        <v>0</v>
      </c>
      <c r="AF1297">
        <v>0</v>
      </c>
      <c r="AG1297">
        <v>0</v>
      </c>
      <c r="AH1297">
        <v>88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f t="shared" si="213"/>
        <v>176</v>
      </c>
      <c r="BF1297">
        <v>107</v>
      </c>
      <c r="BG1297">
        <v>107</v>
      </c>
      <c r="BH1297" t="s">
        <v>109</v>
      </c>
      <c r="BI1297" t="s">
        <v>306</v>
      </c>
      <c r="BJ1297">
        <v>0</v>
      </c>
      <c r="BK1297">
        <v>88</v>
      </c>
      <c r="BL1297">
        <v>107</v>
      </c>
      <c r="BM1297">
        <v>259</v>
      </c>
      <c r="BN1297">
        <v>0</v>
      </c>
      <c r="BO1297">
        <v>0</v>
      </c>
      <c r="BP1297">
        <v>0</v>
      </c>
      <c r="BQ1297">
        <v>259</v>
      </c>
      <c r="BR1297">
        <f t="shared" si="214"/>
        <v>-92</v>
      </c>
      <c r="BS1297">
        <f t="shared" si="215"/>
        <v>130</v>
      </c>
    </row>
    <row r="1298" spans="1:74" x14ac:dyDescent="0.25">
      <c r="A1298" s="5" t="s">
        <v>1135</v>
      </c>
      <c r="B1298" s="5" t="s">
        <v>61</v>
      </c>
      <c r="C1298" s="5" t="s">
        <v>61</v>
      </c>
      <c r="D1298" s="1" t="s">
        <v>79</v>
      </c>
      <c r="E1298">
        <v>0</v>
      </c>
      <c r="F1298">
        <v>0</v>
      </c>
      <c r="G1298">
        <v>0</v>
      </c>
      <c r="H1298">
        <v>0</v>
      </c>
      <c r="I1298">
        <v>290</v>
      </c>
      <c r="J1298">
        <v>0</v>
      </c>
      <c r="K1298">
        <v>540</v>
      </c>
      <c r="L1298">
        <v>30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s="18" t="e">
        <f t="shared" si="206"/>
        <v>#DIV/0!</v>
      </c>
      <c r="T1298" s="17" t="e">
        <f t="shared" si="207"/>
        <v>#DIV/0!</v>
      </c>
      <c r="U1298" s="17" t="e">
        <f t="shared" si="208"/>
        <v>#DIV/0!</v>
      </c>
      <c r="V1298" s="17" t="e">
        <f t="shared" si="209"/>
        <v>#DIV/0!</v>
      </c>
      <c r="W1298" s="17" t="e">
        <f t="shared" si="210"/>
        <v>#DIV/0!</v>
      </c>
      <c r="X1298" s="17" t="e">
        <f t="shared" si="211"/>
        <v>#DIV/0!</v>
      </c>
      <c r="Y1298" s="19" t="e">
        <f t="shared" si="212"/>
        <v>#DIV/0!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290</v>
      </c>
      <c r="AH1298">
        <v>290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540</v>
      </c>
      <c r="AP1298">
        <v>540</v>
      </c>
      <c r="AQ1298">
        <v>540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30</v>
      </c>
      <c r="BA1298">
        <v>30</v>
      </c>
      <c r="BB1298">
        <v>0</v>
      </c>
      <c r="BC1298">
        <v>0</v>
      </c>
      <c r="BD1298">
        <v>0</v>
      </c>
      <c r="BE1298">
        <f t="shared" si="213"/>
        <v>2260</v>
      </c>
      <c r="BF1298">
        <v>860</v>
      </c>
      <c r="BG1298">
        <v>860</v>
      </c>
      <c r="BH1298" t="s">
        <v>63</v>
      </c>
      <c r="BI1298" t="s">
        <v>1142</v>
      </c>
      <c r="BJ1298">
        <v>0</v>
      </c>
      <c r="BK1298">
        <v>860</v>
      </c>
      <c r="BL1298">
        <v>860</v>
      </c>
      <c r="BM1298">
        <v>0</v>
      </c>
      <c r="BN1298">
        <v>0</v>
      </c>
      <c r="BO1298">
        <v>0</v>
      </c>
      <c r="BP1298">
        <v>860</v>
      </c>
      <c r="BQ1298">
        <v>860</v>
      </c>
      <c r="BR1298">
        <f t="shared" si="214"/>
        <v>0</v>
      </c>
      <c r="BS1298">
        <f t="shared" si="215"/>
        <v>0</v>
      </c>
      <c r="BU1298">
        <f>R1298*9</f>
        <v>0</v>
      </c>
      <c r="BV1298">
        <f>IF(BU1298&gt;BG1298, 1, 0)</f>
        <v>0</v>
      </c>
    </row>
    <row r="1299" spans="1:74" x14ac:dyDescent="0.25">
      <c r="A1299" s="5" t="s">
        <v>1135</v>
      </c>
      <c r="B1299" s="6" t="s">
        <v>359</v>
      </c>
      <c r="C1299" s="6" t="s">
        <v>61</v>
      </c>
      <c r="D1299" s="1" t="s">
        <v>65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760</v>
      </c>
      <c r="K1299">
        <v>1236</v>
      </c>
      <c r="L1299">
        <v>765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s="18" t="e">
        <f t="shared" si="206"/>
        <v>#DIV/0!</v>
      </c>
      <c r="T1299" s="17" t="e">
        <f t="shared" si="207"/>
        <v>#DIV/0!</v>
      </c>
      <c r="U1299" s="17" t="e">
        <f t="shared" si="208"/>
        <v>#DIV/0!</v>
      </c>
      <c r="V1299" s="17" t="e">
        <f t="shared" si="209"/>
        <v>#DIV/0!</v>
      </c>
      <c r="W1299" s="17" t="e">
        <f t="shared" si="210"/>
        <v>#DIV/0!</v>
      </c>
      <c r="X1299" s="17" t="e">
        <f t="shared" si="211"/>
        <v>#DIV/0!</v>
      </c>
      <c r="Y1299" s="19" t="e">
        <f t="shared" si="212"/>
        <v>#DIV/0!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760</v>
      </c>
      <c r="AL1299">
        <v>760</v>
      </c>
      <c r="AM1299">
        <v>0</v>
      </c>
      <c r="AN1299">
        <v>0</v>
      </c>
      <c r="AO1299">
        <v>1236</v>
      </c>
      <c r="AP1299">
        <v>60</v>
      </c>
      <c r="AQ1299">
        <v>1236</v>
      </c>
      <c r="AR1299">
        <v>1176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765</v>
      </c>
      <c r="BA1299">
        <v>765</v>
      </c>
      <c r="BB1299">
        <v>0</v>
      </c>
      <c r="BC1299">
        <v>0</v>
      </c>
      <c r="BD1299">
        <v>0</v>
      </c>
      <c r="BE1299">
        <f t="shared" si="213"/>
        <v>6758</v>
      </c>
      <c r="BF1299">
        <v>2761</v>
      </c>
      <c r="BG1299">
        <v>2761</v>
      </c>
      <c r="BH1299" t="s">
        <v>63</v>
      </c>
      <c r="BI1299" t="s">
        <v>1310</v>
      </c>
      <c r="BJ1299">
        <v>0</v>
      </c>
      <c r="BK1299">
        <v>2761</v>
      </c>
      <c r="BL1299">
        <v>2761</v>
      </c>
      <c r="BM1299">
        <v>0</v>
      </c>
      <c r="BN1299">
        <v>0</v>
      </c>
      <c r="BO1299">
        <v>0</v>
      </c>
      <c r="BP1299">
        <v>2761</v>
      </c>
      <c r="BQ1299">
        <v>2761</v>
      </c>
      <c r="BR1299">
        <f t="shared" si="214"/>
        <v>0</v>
      </c>
      <c r="BS1299">
        <f t="shared" si="215"/>
        <v>0</v>
      </c>
      <c r="BU1299">
        <f>R1299*9</f>
        <v>0</v>
      </c>
      <c r="BV1299">
        <f>IF(BU1299&gt;BG1299, 1, 0)</f>
        <v>0</v>
      </c>
    </row>
    <row r="1300" spans="1:74" x14ac:dyDescent="0.25">
      <c r="A1300" s="5" t="s">
        <v>1337</v>
      </c>
      <c r="B1300" s="7" t="s">
        <v>61</v>
      </c>
      <c r="C1300" s="7" t="s">
        <v>61</v>
      </c>
      <c r="D1300" s="1" t="s">
        <v>62</v>
      </c>
      <c r="E1300">
        <v>0</v>
      </c>
      <c r="F1300">
        <v>0</v>
      </c>
      <c r="G1300">
        <v>0</v>
      </c>
      <c r="H1300">
        <v>0</v>
      </c>
      <c r="I1300">
        <v>749</v>
      </c>
      <c r="J1300">
        <v>0</v>
      </c>
      <c r="K1300">
        <v>19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s="18" t="e">
        <f t="shared" si="206"/>
        <v>#DIV/0!</v>
      </c>
      <c r="T1300" s="17" t="e">
        <f t="shared" si="207"/>
        <v>#DIV/0!</v>
      </c>
      <c r="U1300" s="17" t="e">
        <f t="shared" si="208"/>
        <v>#DIV/0!</v>
      </c>
      <c r="V1300" s="17" t="e">
        <f t="shared" si="209"/>
        <v>#DIV/0!</v>
      </c>
      <c r="W1300" s="17" t="e">
        <f t="shared" si="210"/>
        <v>#DIV/0!</v>
      </c>
      <c r="X1300" s="17" t="e">
        <f t="shared" si="211"/>
        <v>#DIV/0!</v>
      </c>
      <c r="Y1300" s="19" t="e">
        <f t="shared" si="212"/>
        <v>#DIV/0!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749</v>
      </c>
      <c r="AF1300">
        <v>0</v>
      </c>
      <c r="AG1300">
        <v>0</v>
      </c>
      <c r="AH1300">
        <v>749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19</v>
      </c>
      <c r="AO1300">
        <v>0</v>
      </c>
      <c r="AP1300">
        <v>0</v>
      </c>
      <c r="AQ1300">
        <v>19</v>
      </c>
      <c r="AR1300">
        <v>19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f t="shared" si="213"/>
        <v>1555</v>
      </c>
      <c r="BF1300">
        <v>768</v>
      </c>
      <c r="BG1300">
        <v>768</v>
      </c>
      <c r="BH1300" t="s">
        <v>63</v>
      </c>
      <c r="BI1300" t="s">
        <v>1338</v>
      </c>
      <c r="BJ1300">
        <v>0</v>
      </c>
      <c r="BK1300">
        <v>768</v>
      </c>
      <c r="BL1300">
        <v>768</v>
      </c>
      <c r="BM1300">
        <v>0</v>
      </c>
      <c r="BN1300">
        <v>768</v>
      </c>
      <c r="BO1300">
        <v>0</v>
      </c>
      <c r="BP1300">
        <v>0</v>
      </c>
      <c r="BQ1300">
        <v>768</v>
      </c>
      <c r="BR1300">
        <f t="shared" si="214"/>
        <v>0</v>
      </c>
      <c r="BS1300">
        <f t="shared" si="215"/>
        <v>0</v>
      </c>
      <c r="BU1300">
        <f>R1300*9</f>
        <v>0</v>
      </c>
      <c r="BV1300">
        <f>IF(BU1300&gt;BG1300, 1, 0)</f>
        <v>0</v>
      </c>
    </row>
    <row r="1301" spans="1:74" x14ac:dyDescent="0.25">
      <c r="A1301" s="5" t="s">
        <v>1451</v>
      </c>
      <c r="B1301" s="5" t="s">
        <v>207</v>
      </c>
      <c r="C1301" s="5" t="s">
        <v>207</v>
      </c>
      <c r="D1301" s="1" t="s">
        <v>77</v>
      </c>
      <c r="E1301">
        <v>37</v>
      </c>
      <c r="F1301">
        <v>0</v>
      </c>
      <c r="G1301">
        <v>0</v>
      </c>
      <c r="H1301">
        <v>0</v>
      </c>
      <c r="I1301">
        <v>0</v>
      </c>
      <c r="J1301">
        <v>358</v>
      </c>
      <c r="K1301">
        <v>0</v>
      </c>
      <c r="L1301">
        <v>15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s="18" t="e">
        <f t="shared" si="206"/>
        <v>#DIV/0!</v>
      </c>
      <c r="T1301" s="17" t="e">
        <f t="shared" si="207"/>
        <v>#DIV/0!</v>
      </c>
      <c r="U1301" s="17" t="e">
        <f t="shared" si="208"/>
        <v>#DIV/0!</v>
      </c>
      <c r="V1301" s="17" t="e">
        <f t="shared" si="209"/>
        <v>#DIV/0!</v>
      </c>
      <c r="W1301" s="17" t="e">
        <f t="shared" si="210"/>
        <v>#DIV/0!</v>
      </c>
      <c r="X1301" s="17" t="e">
        <f t="shared" si="211"/>
        <v>#DIV/0!</v>
      </c>
      <c r="Y1301" s="19" t="e">
        <f t="shared" si="212"/>
        <v>#DIV/0!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358</v>
      </c>
      <c r="AL1301">
        <v>358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15</v>
      </c>
      <c r="BA1301">
        <v>15</v>
      </c>
      <c r="BB1301">
        <v>0</v>
      </c>
      <c r="BC1301">
        <v>0</v>
      </c>
      <c r="BD1301">
        <v>0</v>
      </c>
      <c r="BE1301">
        <f t="shared" si="213"/>
        <v>746</v>
      </c>
      <c r="BF1301">
        <v>410</v>
      </c>
      <c r="BG1301">
        <v>410</v>
      </c>
      <c r="BH1301" t="s">
        <v>63</v>
      </c>
      <c r="BI1301" t="s">
        <v>1565</v>
      </c>
      <c r="BJ1301">
        <v>37</v>
      </c>
      <c r="BK1301">
        <v>373</v>
      </c>
      <c r="BL1301">
        <v>410</v>
      </c>
      <c r="BM1301">
        <v>0</v>
      </c>
      <c r="BN1301">
        <v>0</v>
      </c>
      <c r="BO1301">
        <v>0</v>
      </c>
      <c r="BP1301">
        <v>373</v>
      </c>
      <c r="BQ1301">
        <v>373</v>
      </c>
      <c r="BR1301">
        <f t="shared" si="214"/>
        <v>0</v>
      </c>
      <c r="BS1301">
        <f t="shared" si="215"/>
        <v>0</v>
      </c>
      <c r="BU1301">
        <f>R1301*9</f>
        <v>0</v>
      </c>
      <c r="BV1301">
        <f>IF(BU1301&gt;BG1301, 1, 0)</f>
        <v>0</v>
      </c>
    </row>
    <row r="1302" spans="1:74" x14ac:dyDescent="0.25">
      <c r="A1302" s="5" t="s">
        <v>61</v>
      </c>
      <c r="B1302" s="5" t="s">
        <v>207</v>
      </c>
      <c r="C1302" s="5" t="s">
        <v>61</v>
      </c>
      <c r="D1302" s="1" t="s">
        <v>175</v>
      </c>
      <c r="E1302">
        <v>0</v>
      </c>
      <c r="F1302">
        <v>49</v>
      </c>
      <c r="G1302">
        <v>0</v>
      </c>
      <c r="H1302">
        <v>0</v>
      </c>
      <c r="I1302">
        <v>196</v>
      </c>
      <c r="J1302">
        <v>0</v>
      </c>
      <c r="K1302">
        <v>0</v>
      </c>
      <c r="L1302">
        <v>0</v>
      </c>
      <c r="M1302">
        <v>441</v>
      </c>
      <c r="N1302">
        <v>0</v>
      </c>
      <c r="O1302">
        <v>0</v>
      </c>
      <c r="P1302">
        <v>0</v>
      </c>
      <c r="Q1302">
        <v>142</v>
      </c>
      <c r="R1302">
        <v>49</v>
      </c>
      <c r="S1302" s="18">
        <f t="shared" si="206"/>
        <v>9</v>
      </c>
      <c r="T1302" s="17">
        <f t="shared" si="207"/>
        <v>49</v>
      </c>
      <c r="U1302" s="17">
        <f t="shared" si="208"/>
        <v>0</v>
      </c>
      <c r="V1302" s="17">
        <f t="shared" si="209"/>
        <v>0</v>
      </c>
      <c r="W1302" s="17">
        <f t="shared" si="210"/>
        <v>0</v>
      </c>
      <c r="X1302" s="17">
        <f t="shared" si="211"/>
        <v>93</v>
      </c>
      <c r="Y1302" s="19">
        <f t="shared" si="212"/>
        <v>0</v>
      </c>
      <c r="Z1302">
        <v>49</v>
      </c>
      <c r="AA1302">
        <v>0</v>
      </c>
      <c r="AB1302">
        <v>0</v>
      </c>
      <c r="AC1302">
        <v>0</v>
      </c>
      <c r="AD1302">
        <v>196</v>
      </c>
      <c r="AE1302">
        <v>0</v>
      </c>
      <c r="AF1302">
        <v>0</v>
      </c>
      <c r="AG1302">
        <v>0</v>
      </c>
      <c r="AH1302">
        <v>196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f t="shared" si="213"/>
        <v>392</v>
      </c>
      <c r="BF1302">
        <v>245</v>
      </c>
      <c r="BG1302">
        <v>245</v>
      </c>
      <c r="BH1302" t="s">
        <v>109</v>
      </c>
      <c r="BI1302" t="s">
        <v>264</v>
      </c>
      <c r="BJ1302">
        <v>0</v>
      </c>
      <c r="BK1302">
        <v>196</v>
      </c>
      <c r="BL1302">
        <v>245</v>
      </c>
      <c r="BM1302">
        <v>637</v>
      </c>
      <c r="BN1302">
        <v>0</v>
      </c>
      <c r="BO1302">
        <v>0</v>
      </c>
      <c r="BP1302">
        <v>0</v>
      </c>
      <c r="BQ1302">
        <v>637</v>
      </c>
      <c r="BR1302">
        <f t="shared" si="214"/>
        <v>-93</v>
      </c>
      <c r="BS1302">
        <f t="shared" si="215"/>
        <v>191</v>
      </c>
    </row>
    <row r="1303" spans="1:74" x14ac:dyDescent="0.25">
      <c r="A1303" s="5" t="s">
        <v>61</v>
      </c>
      <c r="B1303" s="5" t="s">
        <v>207</v>
      </c>
      <c r="C1303" s="5" t="s">
        <v>207</v>
      </c>
      <c r="D1303" s="1" t="s">
        <v>123</v>
      </c>
      <c r="E1303">
        <v>0</v>
      </c>
      <c r="F1303">
        <v>20</v>
      </c>
      <c r="G1303">
        <v>0</v>
      </c>
      <c r="H1303">
        <v>0</v>
      </c>
      <c r="I1303">
        <v>184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180</v>
      </c>
      <c r="Q1303">
        <v>113</v>
      </c>
      <c r="R1303">
        <v>20</v>
      </c>
      <c r="S1303" s="18">
        <f t="shared" si="206"/>
        <v>9</v>
      </c>
      <c r="T1303" s="17">
        <f t="shared" si="207"/>
        <v>0</v>
      </c>
      <c r="U1303" s="17">
        <f t="shared" si="208"/>
        <v>0</v>
      </c>
      <c r="V1303" s="17">
        <f t="shared" si="209"/>
        <v>0</v>
      </c>
      <c r="W1303" s="17">
        <f t="shared" si="210"/>
        <v>20</v>
      </c>
      <c r="X1303" s="17">
        <f t="shared" si="211"/>
        <v>93</v>
      </c>
      <c r="Y1303" s="19">
        <f t="shared" si="212"/>
        <v>0</v>
      </c>
      <c r="Z1303">
        <v>20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184</v>
      </c>
      <c r="AH1303">
        <v>184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f t="shared" si="213"/>
        <v>368</v>
      </c>
      <c r="BF1303">
        <v>204</v>
      </c>
      <c r="BG1303">
        <v>204</v>
      </c>
      <c r="BH1303" t="s">
        <v>109</v>
      </c>
      <c r="BI1303" t="s">
        <v>308</v>
      </c>
      <c r="BJ1303">
        <v>0</v>
      </c>
      <c r="BK1303">
        <v>184</v>
      </c>
      <c r="BL1303">
        <v>204</v>
      </c>
      <c r="BM1303">
        <v>0</v>
      </c>
      <c r="BN1303">
        <v>0</v>
      </c>
      <c r="BO1303">
        <v>0</v>
      </c>
      <c r="BP1303">
        <v>364</v>
      </c>
      <c r="BQ1303">
        <v>364</v>
      </c>
      <c r="BR1303">
        <f t="shared" si="214"/>
        <v>-93</v>
      </c>
      <c r="BS1303">
        <f t="shared" si="215"/>
        <v>133</v>
      </c>
    </row>
    <row r="1304" spans="1:74" x14ac:dyDescent="0.25">
      <c r="A1304" s="5" t="s">
        <v>61</v>
      </c>
      <c r="B1304" s="5" t="s">
        <v>207</v>
      </c>
      <c r="C1304" s="5" t="s">
        <v>207</v>
      </c>
      <c r="D1304" s="1" t="s">
        <v>169</v>
      </c>
      <c r="E1304">
        <v>0</v>
      </c>
      <c r="F1304">
        <v>20</v>
      </c>
      <c r="G1304">
        <v>0</v>
      </c>
      <c r="H1304">
        <v>0</v>
      </c>
      <c r="I1304">
        <v>71</v>
      </c>
      <c r="J1304">
        <v>0</v>
      </c>
      <c r="K1304">
        <v>0</v>
      </c>
      <c r="L1304">
        <v>0</v>
      </c>
      <c r="M1304">
        <v>180</v>
      </c>
      <c r="N1304">
        <v>0</v>
      </c>
      <c r="O1304">
        <v>0</v>
      </c>
      <c r="P1304">
        <v>0</v>
      </c>
      <c r="Q1304">
        <v>113</v>
      </c>
      <c r="R1304">
        <v>20</v>
      </c>
      <c r="S1304" s="18">
        <f t="shared" si="206"/>
        <v>9</v>
      </c>
      <c r="T1304" s="17">
        <f t="shared" si="207"/>
        <v>20</v>
      </c>
      <c r="U1304" s="17">
        <f t="shared" si="208"/>
        <v>0</v>
      </c>
      <c r="V1304" s="17">
        <f t="shared" si="209"/>
        <v>0</v>
      </c>
      <c r="W1304" s="17">
        <f t="shared" si="210"/>
        <v>0</v>
      </c>
      <c r="X1304" s="17">
        <f t="shared" si="211"/>
        <v>93</v>
      </c>
      <c r="Y1304" s="19">
        <f t="shared" si="212"/>
        <v>0</v>
      </c>
      <c r="Z1304">
        <v>20</v>
      </c>
      <c r="AA1304">
        <v>0</v>
      </c>
      <c r="AB1304">
        <v>0</v>
      </c>
      <c r="AC1304">
        <v>0</v>
      </c>
      <c r="AD1304">
        <v>71</v>
      </c>
      <c r="AE1304">
        <v>0</v>
      </c>
      <c r="AF1304">
        <v>0</v>
      </c>
      <c r="AG1304">
        <v>0</v>
      </c>
      <c r="AH1304">
        <v>71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f t="shared" si="213"/>
        <v>142</v>
      </c>
      <c r="BF1304">
        <v>91</v>
      </c>
      <c r="BG1304">
        <v>91</v>
      </c>
      <c r="BH1304" t="s">
        <v>109</v>
      </c>
      <c r="BI1304" t="s">
        <v>331</v>
      </c>
      <c r="BJ1304">
        <v>0</v>
      </c>
      <c r="BK1304">
        <v>71</v>
      </c>
      <c r="BL1304">
        <v>91</v>
      </c>
      <c r="BM1304">
        <v>251</v>
      </c>
      <c r="BN1304">
        <v>0</v>
      </c>
      <c r="BO1304">
        <v>0</v>
      </c>
      <c r="BP1304">
        <v>0</v>
      </c>
      <c r="BQ1304">
        <v>251</v>
      </c>
      <c r="BR1304">
        <f t="shared" si="214"/>
        <v>-93</v>
      </c>
      <c r="BS1304">
        <f t="shared" si="215"/>
        <v>133</v>
      </c>
    </row>
    <row r="1305" spans="1:74" x14ac:dyDescent="0.25">
      <c r="A1305" s="5" t="s">
        <v>1661</v>
      </c>
      <c r="B1305" s="5" t="s">
        <v>61</v>
      </c>
      <c r="C1305" s="5" t="s">
        <v>61</v>
      </c>
      <c r="D1305" s="1" t="s">
        <v>84</v>
      </c>
      <c r="E1305">
        <v>0</v>
      </c>
      <c r="F1305">
        <v>48</v>
      </c>
      <c r="G1305">
        <v>0</v>
      </c>
      <c r="H1305">
        <v>0</v>
      </c>
      <c r="I1305">
        <v>0</v>
      </c>
      <c r="J1305">
        <v>572</v>
      </c>
      <c r="K1305">
        <v>215</v>
      </c>
      <c r="L1305">
        <v>12</v>
      </c>
      <c r="M1305">
        <v>0</v>
      </c>
      <c r="N1305">
        <v>0</v>
      </c>
      <c r="O1305">
        <v>0</v>
      </c>
      <c r="P1305">
        <v>198</v>
      </c>
      <c r="Q1305">
        <v>115</v>
      </c>
      <c r="R1305">
        <v>22</v>
      </c>
      <c r="S1305" s="18">
        <f t="shared" si="206"/>
        <v>9</v>
      </c>
      <c r="T1305" s="17">
        <f t="shared" si="207"/>
        <v>0</v>
      </c>
      <c r="U1305" s="17">
        <f t="shared" si="208"/>
        <v>0</v>
      </c>
      <c r="V1305" s="17">
        <f t="shared" si="209"/>
        <v>0</v>
      </c>
      <c r="W1305" s="17">
        <f t="shared" si="210"/>
        <v>22</v>
      </c>
      <c r="X1305" s="17">
        <f t="shared" si="211"/>
        <v>93</v>
      </c>
      <c r="Y1305" s="19">
        <f t="shared" si="212"/>
        <v>0</v>
      </c>
      <c r="Z1305">
        <v>48</v>
      </c>
      <c r="AA1305">
        <v>0</v>
      </c>
      <c r="AB1305">
        <v>65</v>
      </c>
      <c r="AC1305">
        <v>248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572</v>
      </c>
      <c r="AL1305">
        <v>572</v>
      </c>
      <c r="AM1305">
        <v>0</v>
      </c>
      <c r="AN1305">
        <v>0</v>
      </c>
      <c r="AO1305">
        <v>215</v>
      </c>
      <c r="AP1305">
        <v>130</v>
      </c>
      <c r="AQ1305">
        <v>215</v>
      </c>
      <c r="AR1305">
        <v>85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12</v>
      </c>
      <c r="BA1305">
        <v>12</v>
      </c>
      <c r="BB1305">
        <v>0</v>
      </c>
      <c r="BC1305">
        <v>0</v>
      </c>
      <c r="BD1305">
        <v>0</v>
      </c>
      <c r="BE1305">
        <f t="shared" si="213"/>
        <v>2061</v>
      </c>
      <c r="BF1305">
        <v>1160</v>
      </c>
      <c r="BG1305">
        <v>1160</v>
      </c>
      <c r="BH1305" t="s">
        <v>82</v>
      </c>
      <c r="BI1305" t="s">
        <v>1671</v>
      </c>
      <c r="BJ1305">
        <v>313</v>
      </c>
      <c r="BK1305">
        <v>799</v>
      </c>
      <c r="BL1305">
        <v>1160</v>
      </c>
      <c r="BM1305">
        <v>0</v>
      </c>
      <c r="BN1305">
        <v>0</v>
      </c>
      <c r="BO1305">
        <v>0</v>
      </c>
      <c r="BP1305">
        <v>997</v>
      </c>
      <c r="BQ1305">
        <v>997</v>
      </c>
      <c r="BR1305">
        <f t="shared" si="214"/>
        <v>-93</v>
      </c>
      <c r="BS1305">
        <f t="shared" si="215"/>
        <v>137</v>
      </c>
    </row>
    <row r="1306" spans="1:74" x14ac:dyDescent="0.25">
      <c r="A1306" s="5" t="s">
        <v>1661</v>
      </c>
      <c r="B1306" s="5" t="s">
        <v>207</v>
      </c>
      <c r="C1306" s="5" t="s">
        <v>207</v>
      </c>
      <c r="D1306" s="1" t="s">
        <v>194</v>
      </c>
      <c r="E1306">
        <v>0</v>
      </c>
      <c r="F1306">
        <v>6</v>
      </c>
      <c r="G1306">
        <v>0</v>
      </c>
      <c r="H1306">
        <v>0</v>
      </c>
      <c r="I1306">
        <v>88</v>
      </c>
      <c r="J1306">
        <v>1190</v>
      </c>
      <c r="K1306">
        <v>31</v>
      </c>
      <c r="L1306">
        <v>0</v>
      </c>
      <c r="M1306">
        <v>0</v>
      </c>
      <c r="N1306">
        <v>0</v>
      </c>
      <c r="O1306">
        <v>0</v>
      </c>
      <c r="P1306">
        <v>45</v>
      </c>
      <c r="Q1306">
        <v>98</v>
      </c>
      <c r="R1306">
        <v>5</v>
      </c>
      <c r="S1306" s="18">
        <f t="shared" si="206"/>
        <v>9</v>
      </c>
      <c r="T1306" s="17">
        <f t="shared" si="207"/>
        <v>0</v>
      </c>
      <c r="U1306" s="17">
        <f t="shared" si="208"/>
        <v>0</v>
      </c>
      <c r="V1306" s="17">
        <f t="shared" si="209"/>
        <v>0</v>
      </c>
      <c r="W1306" s="17">
        <f t="shared" si="210"/>
        <v>5</v>
      </c>
      <c r="X1306" s="17">
        <f t="shared" si="211"/>
        <v>93</v>
      </c>
      <c r="Y1306" s="19">
        <f t="shared" si="212"/>
        <v>0</v>
      </c>
      <c r="Z1306">
        <v>6</v>
      </c>
      <c r="AA1306">
        <v>0</v>
      </c>
      <c r="AB1306">
        <v>0</v>
      </c>
      <c r="AC1306">
        <v>430</v>
      </c>
      <c r="AD1306">
        <v>0</v>
      </c>
      <c r="AE1306">
        <v>0</v>
      </c>
      <c r="AF1306">
        <v>0</v>
      </c>
      <c r="AG1306">
        <v>88</v>
      </c>
      <c r="AH1306">
        <v>88</v>
      </c>
      <c r="AI1306">
        <v>0</v>
      </c>
      <c r="AJ1306">
        <v>0</v>
      </c>
      <c r="AK1306">
        <v>1190</v>
      </c>
      <c r="AL1306">
        <v>1190</v>
      </c>
      <c r="AM1306">
        <v>0</v>
      </c>
      <c r="AN1306">
        <v>0</v>
      </c>
      <c r="AO1306">
        <v>31</v>
      </c>
      <c r="AP1306">
        <v>0</v>
      </c>
      <c r="AQ1306">
        <v>31</v>
      </c>
      <c r="AR1306">
        <v>31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f t="shared" si="213"/>
        <v>3079</v>
      </c>
      <c r="BF1306">
        <v>1745</v>
      </c>
      <c r="BG1306">
        <v>1745</v>
      </c>
      <c r="BH1306" t="s">
        <v>82</v>
      </c>
      <c r="BI1306" t="s">
        <v>1852</v>
      </c>
      <c r="BJ1306">
        <v>430</v>
      </c>
      <c r="BK1306">
        <v>1309</v>
      </c>
      <c r="BL1306">
        <v>1745</v>
      </c>
      <c r="BM1306">
        <v>0</v>
      </c>
      <c r="BN1306">
        <v>0</v>
      </c>
      <c r="BO1306">
        <v>0</v>
      </c>
      <c r="BP1306">
        <v>1354</v>
      </c>
      <c r="BQ1306">
        <v>1354</v>
      </c>
      <c r="BR1306">
        <f t="shared" si="214"/>
        <v>-93</v>
      </c>
      <c r="BS1306">
        <f t="shared" si="215"/>
        <v>103</v>
      </c>
    </row>
    <row r="1307" spans="1:74" x14ac:dyDescent="0.25">
      <c r="A1307" s="5" t="s">
        <v>1661</v>
      </c>
      <c r="B1307" s="5" t="s">
        <v>359</v>
      </c>
      <c r="C1307" s="5" t="s">
        <v>207</v>
      </c>
      <c r="D1307" s="1" t="s">
        <v>123</v>
      </c>
      <c r="E1307">
        <v>0</v>
      </c>
      <c r="F1307">
        <v>0</v>
      </c>
      <c r="G1307">
        <v>0</v>
      </c>
      <c r="H1307">
        <v>0</v>
      </c>
      <c r="I1307">
        <v>123</v>
      </c>
      <c r="J1307">
        <v>0</v>
      </c>
      <c r="K1307">
        <v>674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94</v>
      </c>
      <c r="R1307">
        <v>0</v>
      </c>
      <c r="S1307" s="18" t="e">
        <f t="shared" si="206"/>
        <v>#DIV/0!</v>
      </c>
      <c r="T1307" s="17" t="e">
        <f t="shared" si="207"/>
        <v>#DIV/0!</v>
      </c>
      <c r="U1307" s="17" t="e">
        <f t="shared" si="208"/>
        <v>#DIV/0!</v>
      </c>
      <c r="V1307" s="17" t="e">
        <f t="shared" si="209"/>
        <v>#DIV/0!</v>
      </c>
      <c r="W1307" s="17" t="e">
        <f t="shared" si="210"/>
        <v>#DIV/0!</v>
      </c>
      <c r="X1307" s="17" t="e">
        <f t="shared" si="211"/>
        <v>#DIV/0!</v>
      </c>
      <c r="Y1307" s="19" t="e">
        <f t="shared" si="212"/>
        <v>#DIV/0!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123</v>
      </c>
      <c r="AH1307">
        <v>123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674</v>
      </c>
      <c r="AP1307">
        <v>620</v>
      </c>
      <c r="AQ1307">
        <v>674</v>
      </c>
      <c r="AR1307">
        <v>54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f t="shared" si="213"/>
        <v>2268</v>
      </c>
      <c r="BF1307">
        <v>1636</v>
      </c>
      <c r="BG1307">
        <v>1636</v>
      </c>
      <c r="BH1307" t="s">
        <v>82</v>
      </c>
      <c r="BI1307" t="s">
        <v>1910</v>
      </c>
      <c r="BJ1307">
        <v>0</v>
      </c>
      <c r="BK1307">
        <v>797</v>
      </c>
      <c r="BL1307">
        <v>797</v>
      </c>
      <c r="BM1307">
        <v>0</v>
      </c>
      <c r="BN1307">
        <v>0</v>
      </c>
      <c r="BO1307">
        <v>0</v>
      </c>
      <c r="BP1307">
        <v>797</v>
      </c>
      <c r="BQ1307">
        <v>797</v>
      </c>
      <c r="BR1307">
        <f t="shared" si="214"/>
        <v>-94</v>
      </c>
      <c r="BS1307">
        <f t="shared" si="215"/>
        <v>94</v>
      </c>
    </row>
    <row r="1308" spans="1:74" x14ac:dyDescent="0.25">
      <c r="A1308" s="5" t="s">
        <v>1661</v>
      </c>
      <c r="B1308" s="5" t="s">
        <v>61</v>
      </c>
      <c r="C1308" s="5" t="s">
        <v>61</v>
      </c>
      <c r="D1308" s="1" t="s">
        <v>65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1842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s="18" t="e">
        <f t="shared" si="206"/>
        <v>#DIV/0!</v>
      </c>
      <c r="T1308" s="17" t="e">
        <f t="shared" si="207"/>
        <v>#DIV/0!</v>
      </c>
      <c r="U1308" s="17" t="e">
        <f t="shared" si="208"/>
        <v>#DIV/0!</v>
      </c>
      <c r="V1308" s="17" t="e">
        <f t="shared" si="209"/>
        <v>#DIV/0!</v>
      </c>
      <c r="W1308" s="17" t="e">
        <f t="shared" si="210"/>
        <v>#DIV/0!</v>
      </c>
      <c r="X1308" s="17" t="e">
        <f t="shared" si="211"/>
        <v>#DIV/0!</v>
      </c>
      <c r="Y1308" s="19" t="e">
        <f t="shared" si="212"/>
        <v>#DIV/0!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1842</v>
      </c>
      <c r="AN1308">
        <v>0</v>
      </c>
      <c r="AO1308">
        <v>0</v>
      </c>
      <c r="AP1308">
        <v>895</v>
      </c>
      <c r="AQ1308">
        <v>1842</v>
      </c>
      <c r="AR1308">
        <v>947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f t="shared" si="213"/>
        <v>5526</v>
      </c>
      <c r="BF1308">
        <v>1842</v>
      </c>
      <c r="BG1308">
        <v>1842</v>
      </c>
      <c r="BH1308" t="s">
        <v>63</v>
      </c>
      <c r="BI1308" t="s">
        <v>1663</v>
      </c>
      <c r="BJ1308">
        <v>0</v>
      </c>
      <c r="BK1308">
        <v>1842</v>
      </c>
      <c r="BL1308">
        <v>1842</v>
      </c>
      <c r="BM1308">
        <v>1842</v>
      </c>
      <c r="BN1308">
        <v>0</v>
      </c>
      <c r="BO1308">
        <v>0</v>
      </c>
      <c r="BP1308">
        <v>0</v>
      </c>
      <c r="BQ1308">
        <v>1842</v>
      </c>
      <c r="BR1308">
        <f t="shared" si="214"/>
        <v>0</v>
      </c>
      <c r="BS1308">
        <f t="shared" si="215"/>
        <v>0</v>
      </c>
      <c r="BU1308">
        <f>R1308*9</f>
        <v>0</v>
      </c>
      <c r="BV1308">
        <f>IF(BU1308&gt;BG1308, 1, 0)</f>
        <v>0</v>
      </c>
    </row>
    <row r="1309" spans="1:74" x14ac:dyDescent="0.25">
      <c r="A1309" s="5" t="s">
        <v>1135</v>
      </c>
      <c r="B1309" s="5" t="s">
        <v>61</v>
      </c>
      <c r="C1309" s="5" t="s">
        <v>61</v>
      </c>
      <c r="D1309" s="1" t="s">
        <v>88</v>
      </c>
      <c r="E1309">
        <v>0</v>
      </c>
      <c r="F1309">
        <v>384</v>
      </c>
      <c r="G1309">
        <v>0</v>
      </c>
      <c r="H1309">
        <v>0</v>
      </c>
      <c r="I1309">
        <v>90</v>
      </c>
      <c r="J1309">
        <v>0</v>
      </c>
      <c r="K1309">
        <v>0</v>
      </c>
      <c r="L1309">
        <v>0</v>
      </c>
      <c r="M1309">
        <v>3456</v>
      </c>
      <c r="N1309">
        <v>0</v>
      </c>
      <c r="O1309">
        <v>0</v>
      </c>
      <c r="P1309">
        <v>0</v>
      </c>
      <c r="Q1309">
        <v>479</v>
      </c>
      <c r="R1309">
        <v>384</v>
      </c>
      <c r="S1309" s="18">
        <f t="shared" si="206"/>
        <v>9</v>
      </c>
      <c r="T1309" s="17">
        <f t="shared" si="207"/>
        <v>384</v>
      </c>
      <c r="U1309" s="17">
        <f t="shared" si="208"/>
        <v>0</v>
      </c>
      <c r="V1309" s="17">
        <f t="shared" si="209"/>
        <v>0</v>
      </c>
      <c r="W1309" s="17">
        <f t="shared" si="210"/>
        <v>0</v>
      </c>
      <c r="X1309" s="17">
        <f t="shared" si="211"/>
        <v>95</v>
      </c>
      <c r="Y1309" s="19">
        <f t="shared" si="212"/>
        <v>0</v>
      </c>
      <c r="Z1309">
        <v>384</v>
      </c>
      <c r="AA1309">
        <v>0</v>
      </c>
      <c r="AB1309">
        <v>0</v>
      </c>
      <c r="AC1309">
        <v>0</v>
      </c>
      <c r="AD1309">
        <v>90</v>
      </c>
      <c r="AE1309">
        <v>0</v>
      </c>
      <c r="AF1309">
        <v>0</v>
      </c>
      <c r="AG1309">
        <v>0</v>
      </c>
      <c r="AH1309">
        <v>90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f t="shared" si="213"/>
        <v>180</v>
      </c>
      <c r="BF1309">
        <v>474</v>
      </c>
      <c r="BG1309">
        <v>474</v>
      </c>
      <c r="BH1309" t="s">
        <v>109</v>
      </c>
      <c r="BI1309" t="s">
        <v>1145</v>
      </c>
      <c r="BJ1309">
        <v>0</v>
      </c>
      <c r="BK1309">
        <v>90</v>
      </c>
      <c r="BL1309">
        <v>474</v>
      </c>
      <c r="BM1309">
        <v>3546</v>
      </c>
      <c r="BN1309">
        <v>0</v>
      </c>
      <c r="BO1309">
        <v>0</v>
      </c>
      <c r="BP1309">
        <v>0</v>
      </c>
      <c r="BQ1309">
        <v>3546</v>
      </c>
      <c r="BR1309">
        <f t="shared" si="214"/>
        <v>-95</v>
      </c>
      <c r="BS1309">
        <f t="shared" si="215"/>
        <v>863</v>
      </c>
    </row>
    <row r="1310" spans="1:74" x14ac:dyDescent="0.25">
      <c r="A1310" s="5" t="s">
        <v>61</v>
      </c>
      <c r="B1310" s="5" t="s">
        <v>207</v>
      </c>
      <c r="C1310" s="5" t="s">
        <v>61</v>
      </c>
      <c r="D1310" s="1" t="s">
        <v>165</v>
      </c>
      <c r="E1310">
        <v>0</v>
      </c>
      <c r="F1310">
        <v>225</v>
      </c>
      <c r="G1310">
        <v>0</v>
      </c>
      <c r="H1310">
        <v>0</v>
      </c>
      <c r="I1310">
        <v>249</v>
      </c>
      <c r="J1310">
        <v>0</v>
      </c>
      <c r="K1310">
        <v>12</v>
      </c>
      <c r="L1310">
        <v>0</v>
      </c>
      <c r="M1310">
        <v>1512</v>
      </c>
      <c r="N1310">
        <v>0</v>
      </c>
      <c r="O1310">
        <v>0</v>
      </c>
      <c r="P1310">
        <v>0</v>
      </c>
      <c r="Q1310">
        <v>265</v>
      </c>
      <c r="R1310">
        <v>168</v>
      </c>
      <c r="S1310" s="18">
        <f t="shared" si="206"/>
        <v>9</v>
      </c>
      <c r="T1310" s="17">
        <f t="shared" si="207"/>
        <v>168</v>
      </c>
      <c r="U1310" s="17">
        <f t="shared" si="208"/>
        <v>0</v>
      </c>
      <c r="V1310" s="17">
        <f t="shared" si="209"/>
        <v>0</v>
      </c>
      <c r="W1310" s="17">
        <f t="shared" si="210"/>
        <v>0</v>
      </c>
      <c r="X1310" s="17">
        <f t="shared" si="211"/>
        <v>97</v>
      </c>
      <c r="Y1310" s="19">
        <f t="shared" si="212"/>
        <v>0</v>
      </c>
      <c r="Z1310">
        <v>225</v>
      </c>
      <c r="AA1310">
        <v>0</v>
      </c>
      <c r="AB1310">
        <v>0</v>
      </c>
      <c r="AC1310">
        <v>0</v>
      </c>
      <c r="AD1310">
        <v>249</v>
      </c>
      <c r="AE1310">
        <v>0</v>
      </c>
      <c r="AF1310">
        <v>0</v>
      </c>
      <c r="AG1310">
        <v>0</v>
      </c>
      <c r="AH1310">
        <v>249</v>
      </c>
      <c r="AI1310">
        <v>0</v>
      </c>
      <c r="AJ1310">
        <v>0</v>
      </c>
      <c r="AK1310">
        <v>0</v>
      </c>
      <c r="AL1310">
        <v>0</v>
      </c>
      <c r="AM1310">
        <v>12</v>
      </c>
      <c r="AN1310">
        <v>0</v>
      </c>
      <c r="AO1310">
        <v>0</v>
      </c>
      <c r="AP1310">
        <v>12</v>
      </c>
      <c r="AQ1310">
        <v>12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f t="shared" si="213"/>
        <v>534</v>
      </c>
      <c r="BF1310">
        <v>486</v>
      </c>
      <c r="BG1310">
        <v>486</v>
      </c>
      <c r="BH1310" t="s">
        <v>109</v>
      </c>
      <c r="BI1310" t="s">
        <v>259</v>
      </c>
      <c r="BJ1310">
        <v>0</v>
      </c>
      <c r="BK1310">
        <v>261</v>
      </c>
      <c r="BL1310">
        <v>486</v>
      </c>
      <c r="BM1310">
        <v>1773</v>
      </c>
      <c r="BN1310">
        <v>0</v>
      </c>
      <c r="BO1310">
        <v>0</v>
      </c>
      <c r="BP1310">
        <v>0</v>
      </c>
      <c r="BQ1310">
        <v>1773</v>
      </c>
      <c r="BR1310">
        <f t="shared" si="214"/>
        <v>-97</v>
      </c>
      <c r="BS1310">
        <f t="shared" si="215"/>
        <v>433</v>
      </c>
    </row>
    <row r="1311" spans="1:74" x14ac:dyDescent="0.25">
      <c r="A1311" s="5" t="s">
        <v>61</v>
      </c>
      <c r="B1311" s="5" t="s">
        <v>207</v>
      </c>
      <c r="C1311" s="5" t="s">
        <v>207</v>
      </c>
      <c r="D1311" s="1" t="s">
        <v>161</v>
      </c>
      <c r="E1311">
        <v>0</v>
      </c>
      <c r="F1311">
        <v>17</v>
      </c>
      <c r="G1311">
        <v>0</v>
      </c>
      <c r="H1311">
        <v>0</v>
      </c>
      <c r="I1311">
        <v>45</v>
      </c>
      <c r="J1311">
        <v>0</v>
      </c>
      <c r="K1311">
        <v>0</v>
      </c>
      <c r="L1311">
        <v>0</v>
      </c>
      <c r="M1311">
        <v>153</v>
      </c>
      <c r="N1311">
        <v>0</v>
      </c>
      <c r="O1311">
        <v>0</v>
      </c>
      <c r="P1311">
        <v>0</v>
      </c>
      <c r="Q1311">
        <v>114</v>
      </c>
      <c r="R1311">
        <v>17</v>
      </c>
      <c r="S1311" s="18">
        <f t="shared" si="206"/>
        <v>9</v>
      </c>
      <c r="T1311" s="17">
        <f t="shared" si="207"/>
        <v>17</v>
      </c>
      <c r="U1311" s="17">
        <f t="shared" si="208"/>
        <v>0</v>
      </c>
      <c r="V1311" s="17">
        <f t="shared" si="209"/>
        <v>0</v>
      </c>
      <c r="W1311" s="17">
        <f t="shared" si="210"/>
        <v>0</v>
      </c>
      <c r="X1311" s="17">
        <f t="shared" si="211"/>
        <v>97</v>
      </c>
      <c r="Y1311" s="19">
        <f t="shared" si="212"/>
        <v>0</v>
      </c>
      <c r="Z1311">
        <v>17</v>
      </c>
      <c r="AA1311">
        <v>0</v>
      </c>
      <c r="AB1311">
        <v>0</v>
      </c>
      <c r="AC1311">
        <v>0</v>
      </c>
      <c r="AD1311">
        <v>45</v>
      </c>
      <c r="AE1311">
        <v>0</v>
      </c>
      <c r="AF1311">
        <v>0</v>
      </c>
      <c r="AG1311">
        <v>0</v>
      </c>
      <c r="AH1311">
        <v>45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f t="shared" si="213"/>
        <v>90</v>
      </c>
      <c r="BF1311">
        <v>62</v>
      </c>
      <c r="BG1311">
        <v>62</v>
      </c>
      <c r="BH1311" t="s">
        <v>109</v>
      </c>
      <c r="BI1311" t="s">
        <v>327</v>
      </c>
      <c r="BJ1311">
        <v>0</v>
      </c>
      <c r="BK1311">
        <v>45</v>
      </c>
      <c r="BL1311">
        <v>62</v>
      </c>
      <c r="BM1311">
        <v>198</v>
      </c>
      <c r="BN1311">
        <v>0</v>
      </c>
      <c r="BO1311">
        <v>0</v>
      </c>
      <c r="BP1311">
        <v>0</v>
      </c>
      <c r="BQ1311">
        <v>198</v>
      </c>
      <c r="BR1311">
        <f t="shared" si="214"/>
        <v>-97</v>
      </c>
      <c r="BS1311">
        <f t="shared" si="215"/>
        <v>131</v>
      </c>
    </row>
    <row r="1312" spans="1:74" x14ac:dyDescent="0.25">
      <c r="A1312" s="5" t="s">
        <v>61</v>
      </c>
      <c r="B1312" s="5" t="s">
        <v>359</v>
      </c>
      <c r="C1312" s="5" t="s">
        <v>61</v>
      </c>
      <c r="D1312" s="1" t="s">
        <v>187</v>
      </c>
      <c r="E1312">
        <v>284</v>
      </c>
      <c r="F1312">
        <v>60</v>
      </c>
      <c r="G1312">
        <v>0</v>
      </c>
      <c r="H1312">
        <v>0</v>
      </c>
      <c r="I1312">
        <v>180</v>
      </c>
      <c r="J1312">
        <v>709</v>
      </c>
      <c r="K1312">
        <v>0</v>
      </c>
      <c r="L1312">
        <v>413</v>
      </c>
      <c r="M1312">
        <v>0</v>
      </c>
      <c r="N1312">
        <v>0</v>
      </c>
      <c r="O1312">
        <v>0</v>
      </c>
      <c r="P1312">
        <v>180</v>
      </c>
      <c r="Q1312">
        <v>117</v>
      </c>
      <c r="R1312">
        <v>20</v>
      </c>
      <c r="S1312" s="18">
        <f t="shared" si="206"/>
        <v>9</v>
      </c>
      <c r="T1312" s="17">
        <f t="shared" si="207"/>
        <v>0</v>
      </c>
      <c r="U1312" s="17">
        <f t="shared" si="208"/>
        <v>0</v>
      </c>
      <c r="V1312" s="17">
        <f t="shared" si="209"/>
        <v>0</v>
      </c>
      <c r="W1312" s="17">
        <f t="shared" si="210"/>
        <v>20</v>
      </c>
      <c r="X1312" s="17">
        <f t="shared" si="211"/>
        <v>97</v>
      </c>
      <c r="Y1312" s="19">
        <f t="shared" si="212"/>
        <v>0</v>
      </c>
      <c r="Z1312">
        <v>60</v>
      </c>
      <c r="AA1312">
        <v>0</v>
      </c>
      <c r="AB1312">
        <v>0</v>
      </c>
      <c r="AC1312">
        <v>324</v>
      </c>
      <c r="AD1312">
        <v>0</v>
      </c>
      <c r="AE1312">
        <v>0</v>
      </c>
      <c r="AF1312">
        <v>0</v>
      </c>
      <c r="AG1312">
        <v>180</v>
      </c>
      <c r="AH1312">
        <v>180</v>
      </c>
      <c r="AI1312">
        <v>0</v>
      </c>
      <c r="AJ1312">
        <v>0</v>
      </c>
      <c r="AK1312">
        <v>709</v>
      </c>
      <c r="AL1312">
        <v>709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413</v>
      </c>
      <c r="BA1312">
        <v>413</v>
      </c>
      <c r="BB1312">
        <v>0</v>
      </c>
      <c r="BC1312">
        <v>0</v>
      </c>
      <c r="BD1312">
        <v>0</v>
      </c>
      <c r="BE1312">
        <f t="shared" si="213"/>
        <v>2928</v>
      </c>
      <c r="BF1312">
        <v>1970</v>
      </c>
      <c r="BG1312">
        <v>1970</v>
      </c>
      <c r="BH1312" t="s">
        <v>199</v>
      </c>
      <c r="BI1312" t="s">
        <v>421</v>
      </c>
      <c r="BJ1312">
        <v>608</v>
      </c>
      <c r="BK1312">
        <v>1302</v>
      </c>
      <c r="BL1312">
        <v>1970</v>
      </c>
      <c r="BM1312">
        <v>0</v>
      </c>
      <c r="BN1312">
        <v>0</v>
      </c>
      <c r="BO1312">
        <v>0</v>
      </c>
      <c r="BP1312">
        <v>1482</v>
      </c>
      <c r="BQ1312">
        <v>1482</v>
      </c>
      <c r="BR1312">
        <f t="shared" si="214"/>
        <v>-97</v>
      </c>
      <c r="BS1312">
        <f t="shared" si="215"/>
        <v>137</v>
      </c>
    </row>
    <row r="1313" spans="1:74" x14ac:dyDescent="0.25">
      <c r="A1313" s="5" t="s">
        <v>1451</v>
      </c>
      <c r="B1313" s="5" t="s">
        <v>61</v>
      </c>
      <c r="C1313" s="5" t="s">
        <v>627</v>
      </c>
      <c r="D1313" s="1" t="s">
        <v>88</v>
      </c>
      <c r="E1313">
        <v>0</v>
      </c>
      <c r="F1313">
        <v>1565</v>
      </c>
      <c r="G1313">
        <v>0</v>
      </c>
      <c r="H1313">
        <v>0</v>
      </c>
      <c r="I1313">
        <v>497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3735</v>
      </c>
      <c r="Q1313">
        <v>512</v>
      </c>
      <c r="R1313">
        <v>415</v>
      </c>
      <c r="S1313" s="18">
        <f t="shared" si="206"/>
        <v>9</v>
      </c>
      <c r="T1313" s="17">
        <f t="shared" si="207"/>
        <v>0</v>
      </c>
      <c r="U1313" s="17">
        <f t="shared" si="208"/>
        <v>0</v>
      </c>
      <c r="V1313" s="17">
        <f t="shared" si="209"/>
        <v>0</v>
      </c>
      <c r="W1313" s="17">
        <f t="shared" si="210"/>
        <v>415</v>
      </c>
      <c r="X1313" s="17">
        <f t="shared" si="211"/>
        <v>97</v>
      </c>
      <c r="Y1313" s="19">
        <f t="shared" si="212"/>
        <v>0</v>
      </c>
      <c r="Z1313">
        <v>1565</v>
      </c>
      <c r="AA1313">
        <v>0</v>
      </c>
      <c r="AB1313">
        <v>0</v>
      </c>
      <c r="AC1313">
        <v>0</v>
      </c>
      <c r="AD1313">
        <v>265</v>
      </c>
      <c r="AE1313">
        <v>0</v>
      </c>
      <c r="AF1313">
        <v>0</v>
      </c>
      <c r="AG1313">
        <v>232</v>
      </c>
      <c r="AH1313">
        <v>497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f t="shared" si="213"/>
        <v>994</v>
      </c>
      <c r="BF1313">
        <v>2062</v>
      </c>
      <c r="BG1313">
        <v>2062</v>
      </c>
      <c r="BH1313" t="s">
        <v>109</v>
      </c>
      <c r="BI1313" t="s">
        <v>1520</v>
      </c>
      <c r="BJ1313">
        <v>0</v>
      </c>
      <c r="BK1313">
        <v>497</v>
      </c>
      <c r="BL1313">
        <v>2062</v>
      </c>
      <c r="BM1313">
        <v>265</v>
      </c>
      <c r="BN1313">
        <v>0</v>
      </c>
      <c r="BO1313">
        <v>0</v>
      </c>
      <c r="BP1313">
        <v>3967</v>
      </c>
      <c r="BQ1313">
        <v>4232</v>
      </c>
      <c r="BR1313">
        <f t="shared" si="214"/>
        <v>-97</v>
      </c>
      <c r="BS1313">
        <f t="shared" si="215"/>
        <v>927</v>
      </c>
    </row>
    <row r="1314" spans="1:74" x14ac:dyDescent="0.25">
      <c r="A1314" s="5" t="s">
        <v>1661</v>
      </c>
      <c r="B1314" s="5" t="s">
        <v>359</v>
      </c>
      <c r="C1314" s="5" t="s">
        <v>207</v>
      </c>
      <c r="D1314" s="1" t="s">
        <v>117</v>
      </c>
      <c r="E1314">
        <v>0</v>
      </c>
      <c r="F1314">
        <v>646</v>
      </c>
      <c r="G1314">
        <v>0</v>
      </c>
      <c r="H1314">
        <v>0</v>
      </c>
      <c r="I1314">
        <v>89</v>
      </c>
      <c r="J1314">
        <v>4452</v>
      </c>
      <c r="K1314">
        <v>412</v>
      </c>
      <c r="L1314">
        <v>0</v>
      </c>
      <c r="M1314">
        <v>0</v>
      </c>
      <c r="N1314">
        <v>0</v>
      </c>
      <c r="O1314">
        <v>0</v>
      </c>
      <c r="P1314">
        <v>4608</v>
      </c>
      <c r="Q1314">
        <v>609</v>
      </c>
      <c r="R1314">
        <v>512</v>
      </c>
      <c r="S1314" s="18">
        <f t="shared" si="206"/>
        <v>9</v>
      </c>
      <c r="T1314" s="17">
        <f t="shared" si="207"/>
        <v>0</v>
      </c>
      <c r="U1314" s="17">
        <f t="shared" si="208"/>
        <v>0</v>
      </c>
      <c r="V1314" s="17">
        <f t="shared" si="209"/>
        <v>0</v>
      </c>
      <c r="W1314" s="17">
        <f t="shared" si="210"/>
        <v>512</v>
      </c>
      <c r="X1314" s="17">
        <f t="shared" si="211"/>
        <v>97</v>
      </c>
      <c r="Y1314" s="19">
        <f t="shared" si="212"/>
        <v>0</v>
      </c>
      <c r="Z1314">
        <v>646</v>
      </c>
      <c r="AA1314">
        <v>6</v>
      </c>
      <c r="AB1314">
        <v>670</v>
      </c>
      <c r="AC1314">
        <v>2628</v>
      </c>
      <c r="AD1314">
        <v>0</v>
      </c>
      <c r="AE1314">
        <v>0</v>
      </c>
      <c r="AF1314">
        <v>0</v>
      </c>
      <c r="AG1314">
        <v>89</v>
      </c>
      <c r="AH1314">
        <v>89</v>
      </c>
      <c r="AI1314">
        <v>0</v>
      </c>
      <c r="AJ1314">
        <v>0</v>
      </c>
      <c r="AK1314">
        <v>4452</v>
      </c>
      <c r="AL1314">
        <v>4452</v>
      </c>
      <c r="AM1314">
        <v>0</v>
      </c>
      <c r="AN1314">
        <v>0</v>
      </c>
      <c r="AO1314">
        <v>412</v>
      </c>
      <c r="AP1314">
        <v>175</v>
      </c>
      <c r="AQ1314">
        <v>412</v>
      </c>
      <c r="AR1314">
        <v>237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f t="shared" si="213"/>
        <v>12946</v>
      </c>
      <c r="BF1314">
        <v>9644</v>
      </c>
      <c r="BG1314">
        <v>9644</v>
      </c>
      <c r="BH1314" t="s">
        <v>82</v>
      </c>
      <c r="BI1314" t="s">
        <v>1067</v>
      </c>
      <c r="BJ1314">
        <v>3304</v>
      </c>
      <c r="BK1314">
        <v>4953</v>
      </c>
      <c r="BL1314">
        <v>8903</v>
      </c>
      <c r="BM1314">
        <v>0</v>
      </c>
      <c r="BN1314">
        <v>0</v>
      </c>
      <c r="BO1314">
        <v>0</v>
      </c>
      <c r="BP1314">
        <v>9561</v>
      </c>
      <c r="BQ1314">
        <v>9561</v>
      </c>
      <c r="BR1314">
        <f t="shared" si="214"/>
        <v>-97</v>
      </c>
      <c r="BS1314">
        <f t="shared" si="215"/>
        <v>1121</v>
      </c>
    </row>
    <row r="1315" spans="1:74" x14ac:dyDescent="0.25">
      <c r="A1315" s="5" t="s">
        <v>61</v>
      </c>
      <c r="B1315" s="5" t="s">
        <v>61</v>
      </c>
      <c r="C1315" s="5" t="s">
        <v>61</v>
      </c>
      <c r="D1315" s="1" t="s">
        <v>173</v>
      </c>
      <c r="E1315">
        <v>0</v>
      </c>
      <c r="F1315">
        <v>77</v>
      </c>
      <c r="G1315">
        <v>0</v>
      </c>
      <c r="H1315">
        <v>0</v>
      </c>
      <c r="I1315">
        <v>142</v>
      </c>
      <c r="J1315">
        <v>0</v>
      </c>
      <c r="K1315">
        <v>0</v>
      </c>
      <c r="L1315">
        <v>0</v>
      </c>
      <c r="M1315">
        <v>342</v>
      </c>
      <c r="N1315">
        <v>0</v>
      </c>
      <c r="O1315">
        <v>0</v>
      </c>
      <c r="P1315">
        <v>0</v>
      </c>
      <c r="Q1315">
        <v>136</v>
      </c>
      <c r="R1315">
        <v>38</v>
      </c>
      <c r="S1315" s="18">
        <f t="shared" si="206"/>
        <v>9</v>
      </c>
      <c r="T1315" s="17">
        <f t="shared" si="207"/>
        <v>38</v>
      </c>
      <c r="U1315" s="17">
        <f t="shared" si="208"/>
        <v>0</v>
      </c>
      <c r="V1315" s="17">
        <f t="shared" si="209"/>
        <v>0</v>
      </c>
      <c r="W1315" s="17">
        <f t="shared" si="210"/>
        <v>0</v>
      </c>
      <c r="X1315" s="17">
        <f t="shared" si="211"/>
        <v>98</v>
      </c>
      <c r="Y1315" s="19">
        <f t="shared" si="212"/>
        <v>0</v>
      </c>
      <c r="Z1315">
        <v>77</v>
      </c>
      <c r="AA1315">
        <v>0</v>
      </c>
      <c r="AB1315">
        <v>0</v>
      </c>
      <c r="AC1315">
        <v>0</v>
      </c>
      <c r="AD1315">
        <v>142</v>
      </c>
      <c r="AE1315">
        <v>0</v>
      </c>
      <c r="AF1315">
        <v>0</v>
      </c>
      <c r="AG1315">
        <v>0</v>
      </c>
      <c r="AH1315">
        <v>142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f t="shared" si="213"/>
        <v>284</v>
      </c>
      <c r="BF1315">
        <v>219</v>
      </c>
      <c r="BG1315">
        <v>219</v>
      </c>
      <c r="BH1315" t="s">
        <v>109</v>
      </c>
      <c r="BI1315" t="s">
        <v>174</v>
      </c>
      <c r="BJ1315">
        <v>0</v>
      </c>
      <c r="BK1315">
        <v>142</v>
      </c>
      <c r="BL1315">
        <v>219</v>
      </c>
      <c r="BM1315">
        <v>484</v>
      </c>
      <c r="BN1315">
        <v>0</v>
      </c>
      <c r="BO1315">
        <v>0</v>
      </c>
      <c r="BP1315">
        <v>0</v>
      </c>
      <c r="BQ1315">
        <v>484</v>
      </c>
      <c r="BR1315">
        <f t="shared" si="214"/>
        <v>-98</v>
      </c>
      <c r="BS1315">
        <f t="shared" si="215"/>
        <v>174</v>
      </c>
    </row>
    <row r="1316" spans="1:74" x14ac:dyDescent="0.25">
      <c r="A1316" s="5" t="s">
        <v>207</v>
      </c>
      <c r="B1316" s="5" t="s">
        <v>61</v>
      </c>
      <c r="C1316" s="5" t="s">
        <v>61</v>
      </c>
      <c r="D1316" s="1" t="s">
        <v>88</v>
      </c>
      <c r="E1316">
        <v>0</v>
      </c>
      <c r="F1316">
        <v>222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1998</v>
      </c>
      <c r="N1316">
        <v>0</v>
      </c>
      <c r="O1316">
        <v>0</v>
      </c>
      <c r="P1316">
        <v>0</v>
      </c>
      <c r="Q1316">
        <v>320</v>
      </c>
      <c r="R1316">
        <v>222</v>
      </c>
      <c r="S1316" s="18">
        <f t="shared" si="206"/>
        <v>9</v>
      </c>
      <c r="T1316" s="17">
        <f t="shared" si="207"/>
        <v>222</v>
      </c>
      <c r="U1316" s="17">
        <f t="shared" si="208"/>
        <v>0</v>
      </c>
      <c r="V1316" s="17">
        <f t="shared" si="209"/>
        <v>0</v>
      </c>
      <c r="W1316" s="17">
        <f t="shared" si="210"/>
        <v>0</v>
      </c>
      <c r="X1316" s="17">
        <f t="shared" si="211"/>
        <v>98</v>
      </c>
      <c r="Y1316" s="19">
        <f t="shared" si="212"/>
        <v>0</v>
      </c>
      <c r="Z1316">
        <v>222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f t="shared" si="213"/>
        <v>0</v>
      </c>
      <c r="BF1316">
        <v>222</v>
      </c>
      <c r="BG1316">
        <v>222</v>
      </c>
      <c r="BH1316" t="s">
        <v>109</v>
      </c>
      <c r="BI1316" t="s">
        <v>438</v>
      </c>
      <c r="BJ1316">
        <v>0</v>
      </c>
      <c r="BK1316">
        <v>0</v>
      </c>
      <c r="BL1316">
        <v>222</v>
      </c>
      <c r="BM1316">
        <v>1998</v>
      </c>
      <c r="BN1316">
        <v>0</v>
      </c>
      <c r="BO1316">
        <v>0</v>
      </c>
      <c r="BP1316">
        <v>0</v>
      </c>
      <c r="BQ1316">
        <v>1998</v>
      </c>
      <c r="BR1316">
        <f t="shared" si="214"/>
        <v>-98</v>
      </c>
      <c r="BS1316">
        <f t="shared" si="215"/>
        <v>542</v>
      </c>
    </row>
    <row r="1317" spans="1:74" x14ac:dyDescent="0.25">
      <c r="A1317" s="5" t="s">
        <v>1661</v>
      </c>
      <c r="B1317" s="5" t="s">
        <v>61</v>
      </c>
      <c r="C1317" s="5" t="s">
        <v>359</v>
      </c>
      <c r="D1317" s="1" t="s">
        <v>69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650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s="18" t="e">
        <f t="shared" si="206"/>
        <v>#DIV/0!</v>
      </c>
      <c r="T1317" s="17" t="e">
        <f t="shared" si="207"/>
        <v>#DIV/0!</v>
      </c>
      <c r="U1317" s="17" t="e">
        <f t="shared" si="208"/>
        <v>#DIV/0!</v>
      </c>
      <c r="V1317" s="17" t="e">
        <f t="shared" si="209"/>
        <v>#DIV/0!</v>
      </c>
      <c r="W1317" s="17" t="e">
        <f t="shared" si="210"/>
        <v>#DIV/0!</v>
      </c>
      <c r="X1317" s="17" t="e">
        <f t="shared" si="211"/>
        <v>#DIV/0!</v>
      </c>
      <c r="Y1317" s="19" t="e">
        <f t="shared" si="212"/>
        <v>#DIV/0!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650</v>
      </c>
      <c r="AP1317">
        <v>100</v>
      </c>
      <c r="AQ1317">
        <v>650</v>
      </c>
      <c r="AR1317">
        <v>550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f t="shared" si="213"/>
        <v>1950</v>
      </c>
      <c r="BF1317">
        <v>650</v>
      </c>
      <c r="BG1317">
        <v>650</v>
      </c>
      <c r="BH1317" t="s">
        <v>63</v>
      </c>
      <c r="BI1317" t="s">
        <v>1715</v>
      </c>
      <c r="BJ1317">
        <v>0</v>
      </c>
      <c r="BK1317">
        <v>650</v>
      </c>
      <c r="BL1317">
        <v>650</v>
      </c>
      <c r="BM1317">
        <v>0</v>
      </c>
      <c r="BN1317">
        <v>0</v>
      </c>
      <c r="BO1317">
        <v>0</v>
      </c>
      <c r="BP1317">
        <v>650</v>
      </c>
      <c r="BQ1317">
        <v>650</v>
      </c>
      <c r="BR1317">
        <f t="shared" si="214"/>
        <v>0</v>
      </c>
      <c r="BS1317">
        <f t="shared" si="215"/>
        <v>0</v>
      </c>
      <c r="BU1317">
        <f>R1317*9</f>
        <v>0</v>
      </c>
      <c r="BV1317">
        <f>IF(BU1317&gt;BG1317, 1, 0)</f>
        <v>0</v>
      </c>
    </row>
    <row r="1318" spans="1:74" x14ac:dyDescent="0.25">
      <c r="A1318" s="5" t="s">
        <v>359</v>
      </c>
      <c r="B1318" s="5" t="s">
        <v>61</v>
      </c>
      <c r="C1318" s="5" t="s">
        <v>61</v>
      </c>
      <c r="D1318" s="1" t="s">
        <v>129</v>
      </c>
      <c r="E1318">
        <v>0</v>
      </c>
      <c r="F1318">
        <v>0</v>
      </c>
      <c r="G1318">
        <v>0</v>
      </c>
      <c r="H1318">
        <v>0</v>
      </c>
      <c r="I1318">
        <v>200</v>
      </c>
      <c r="J1318">
        <v>1140</v>
      </c>
      <c r="K1318">
        <v>140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98</v>
      </c>
      <c r="R1318">
        <v>0</v>
      </c>
      <c r="S1318" s="18" t="e">
        <f t="shared" si="206"/>
        <v>#DIV/0!</v>
      </c>
      <c r="T1318" s="17" t="e">
        <f t="shared" si="207"/>
        <v>#DIV/0!</v>
      </c>
      <c r="U1318" s="17" t="e">
        <f t="shared" si="208"/>
        <v>#DIV/0!</v>
      </c>
      <c r="V1318" s="17" t="e">
        <f t="shared" si="209"/>
        <v>#DIV/0!</v>
      </c>
      <c r="W1318" s="17" t="e">
        <f t="shared" si="210"/>
        <v>#DIV/0!</v>
      </c>
      <c r="X1318" s="17" t="e">
        <f t="shared" si="211"/>
        <v>#DIV/0!</v>
      </c>
      <c r="Y1318" s="19" t="e">
        <f t="shared" si="212"/>
        <v>#DIV/0!</v>
      </c>
      <c r="Z1318">
        <v>0</v>
      </c>
      <c r="AA1318">
        <v>2</v>
      </c>
      <c r="AB1318">
        <v>0</v>
      </c>
      <c r="AC1318">
        <v>790</v>
      </c>
      <c r="AD1318">
        <v>0</v>
      </c>
      <c r="AE1318">
        <v>0</v>
      </c>
      <c r="AF1318">
        <v>0</v>
      </c>
      <c r="AG1318">
        <v>200</v>
      </c>
      <c r="AH1318">
        <v>200</v>
      </c>
      <c r="AI1318">
        <v>0</v>
      </c>
      <c r="AJ1318">
        <v>0</v>
      </c>
      <c r="AK1318">
        <v>1140</v>
      </c>
      <c r="AL1318">
        <v>1140</v>
      </c>
      <c r="AM1318">
        <v>0</v>
      </c>
      <c r="AN1318">
        <v>0</v>
      </c>
      <c r="AO1318">
        <v>140</v>
      </c>
      <c r="AP1318">
        <v>75</v>
      </c>
      <c r="AQ1318">
        <v>140</v>
      </c>
      <c r="AR1318">
        <v>65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f t="shared" si="213"/>
        <v>3890</v>
      </c>
      <c r="BF1318">
        <v>2272</v>
      </c>
      <c r="BG1318">
        <v>2272</v>
      </c>
      <c r="BH1318" t="s">
        <v>82</v>
      </c>
      <c r="BI1318" t="s">
        <v>727</v>
      </c>
      <c r="BJ1318">
        <v>792</v>
      </c>
      <c r="BK1318">
        <v>1480</v>
      </c>
      <c r="BL1318">
        <v>2272</v>
      </c>
      <c r="BM1318">
        <v>0</v>
      </c>
      <c r="BN1318">
        <v>0</v>
      </c>
      <c r="BO1318">
        <v>0</v>
      </c>
      <c r="BP1318">
        <v>1480</v>
      </c>
      <c r="BQ1318">
        <v>1480</v>
      </c>
      <c r="BR1318">
        <f t="shared" si="214"/>
        <v>-98</v>
      </c>
      <c r="BS1318">
        <f t="shared" si="215"/>
        <v>98</v>
      </c>
    </row>
    <row r="1319" spans="1:74" x14ac:dyDescent="0.25">
      <c r="A1319" s="5" t="s">
        <v>875</v>
      </c>
      <c r="B1319" s="5" t="s">
        <v>61</v>
      </c>
      <c r="C1319" s="5" t="s">
        <v>207</v>
      </c>
      <c r="D1319" s="1" t="s">
        <v>961</v>
      </c>
      <c r="E1319">
        <v>25</v>
      </c>
      <c r="F1319">
        <v>570</v>
      </c>
      <c r="G1319">
        <v>0</v>
      </c>
      <c r="H1319">
        <v>0</v>
      </c>
      <c r="I1319">
        <v>270</v>
      </c>
      <c r="J1319">
        <v>0</v>
      </c>
      <c r="K1319">
        <v>564</v>
      </c>
      <c r="L1319">
        <v>0</v>
      </c>
      <c r="M1319">
        <v>0</v>
      </c>
      <c r="N1319">
        <v>0</v>
      </c>
      <c r="O1319">
        <v>0</v>
      </c>
      <c r="P1319">
        <v>3420</v>
      </c>
      <c r="Q1319">
        <v>478</v>
      </c>
      <c r="R1319">
        <v>380</v>
      </c>
      <c r="S1319" s="18">
        <f t="shared" si="206"/>
        <v>9</v>
      </c>
      <c r="T1319" s="17">
        <f t="shared" si="207"/>
        <v>0</v>
      </c>
      <c r="U1319" s="17">
        <f t="shared" si="208"/>
        <v>0</v>
      </c>
      <c r="V1319" s="17">
        <f t="shared" si="209"/>
        <v>0</v>
      </c>
      <c r="W1319" s="17">
        <f t="shared" si="210"/>
        <v>380</v>
      </c>
      <c r="X1319" s="17">
        <f t="shared" si="211"/>
        <v>98</v>
      </c>
      <c r="Y1319" s="19">
        <f t="shared" si="212"/>
        <v>0</v>
      </c>
      <c r="Z1319">
        <v>570</v>
      </c>
      <c r="AA1319">
        <v>0</v>
      </c>
      <c r="AB1319">
        <v>0</v>
      </c>
      <c r="AC1319">
        <v>2700</v>
      </c>
      <c r="AD1319">
        <v>0</v>
      </c>
      <c r="AE1319">
        <v>0</v>
      </c>
      <c r="AF1319">
        <v>0</v>
      </c>
      <c r="AG1319">
        <v>270</v>
      </c>
      <c r="AH1319">
        <v>270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564</v>
      </c>
      <c r="AP1319">
        <v>335</v>
      </c>
      <c r="AQ1319">
        <v>564</v>
      </c>
      <c r="AR1319">
        <v>229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f t="shared" si="213"/>
        <v>4932</v>
      </c>
      <c r="BF1319">
        <v>4129</v>
      </c>
      <c r="BG1319">
        <v>4129</v>
      </c>
      <c r="BH1319" t="s">
        <v>82</v>
      </c>
      <c r="BI1319" t="s">
        <v>962</v>
      </c>
      <c r="BJ1319">
        <v>2725</v>
      </c>
      <c r="BK1319">
        <v>834</v>
      </c>
      <c r="BL1319">
        <v>4129</v>
      </c>
      <c r="BM1319">
        <v>0</v>
      </c>
      <c r="BN1319">
        <v>0</v>
      </c>
      <c r="BO1319">
        <v>0</v>
      </c>
      <c r="BP1319">
        <v>4254</v>
      </c>
      <c r="BQ1319">
        <v>4254</v>
      </c>
      <c r="BR1319">
        <f t="shared" si="214"/>
        <v>-98</v>
      </c>
      <c r="BS1319">
        <f t="shared" si="215"/>
        <v>858</v>
      </c>
    </row>
    <row r="1320" spans="1:74" x14ac:dyDescent="0.25">
      <c r="A1320" s="5" t="s">
        <v>61</v>
      </c>
      <c r="B1320" s="5" t="s">
        <v>207</v>
      </c>
      <c r="C1320" s="5" t="s">
        <v>207</v>
      </c>
      <c r="D1320" s="1" t="s">
        <v>115</v>
      </c>
      <c r="E1320">
        <v>0</v>
      </c>
      <c r="F1320">
        <v>0</v>
      </c>
      <c r="G1320">
        <v>0</v>
      </c>
      <c r="H1320">
        <v>0</v>
      </c>
      <c r="I1320">
        <v>250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99</v>
      </c>
      <c r="R1320">
        <v>0</v>
      </c>
      <c r="S1320" s="18" t="e">
        <f t="shared" si="206"/>
        <v>#DIV/0!</v>
      </c>
      <c r="T1320" s="17" t="e">
        <f t="shared" si="207"/>
        <v>#DIV/0!</v>
      </c>
      <c r="U1320" s="17" t="e">
        <f t="shared" si="208"/>
        <v>#DIV/0!</v>
      </c>
      <c r="V1320" s="17" t="e">
        <f t="shared" si="209"/>
        <v>#DIV/0!</v>
      </c>
      <c r="W1320" s="17" t="e">
        <f t="shared" si="210"/>
        <v>#DIV/0!</v>
      </c>
      <c r="X1320" s="17" t="e">
        <f t="shared" si="211"/>
        <v>#DIV/0!</v>
      </c>
      <c r="Y1320" s="19" t="e">
        <f t="shared" si="212"/>
        <v>#DIV/0!</v>
      </c>
      <c r="Z1320">
        <v>0</v>
      </c>
      <c r="AA1320">
        <v>0</v>
      </c>
      <c r="AB1320">
        <v>0</v>
      </c>
      <c r="AC1320">
        <v>0</v>
      </c>
      <c r="AD1320">
        <v>250</v>
      </c>
      <c r="AE1320">
        <v>0</v>
      </c>
      <c r="AF1320">
        <v>0</v>
      </c>
      <c r="AG1320">
        <v>0</v>
      </c>
      <c r="AH1320">
        <v>250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f t="shared" si="213"/>
        <v>500</v>
      </c>
      <c r="BF1320">
        <v>250</v>
      </c>
      <c r="BG1320">
        <v>250</v>
      </c>
      <c r="BH1320" t="s">
        <v>109</v>
      </c>
      <c r="BI1320" t="s">
        <v>304</v>
      </c>
      <c r="BJ1320">
        <v>0</v>
      </c>
      <c r="BK1320">
        <v>250</v>
      </c>
      <c r="BL1320">
        <v>250</v>
      </c>
      <c r="BM1320">
        <v>250</v>
      </c>
      <c r="BN1320">
        <v>0</v>
      </c>
      <c r="BO1320">
        <v>0</v>
      </c>
      <c r="BP1320">
        <v>0</v>
      </c>
      <c r="BQ1320">
        <v>250</v>
      </c>
      <c r="BR1320">
        <f t="shared" si="214"/>
        <v>-99</v>
      </c>
      <c r="BS1320">
        <f t="shared" si="215"/>
        <v>99</v>
      </c>
    </row>
    <row r="1321" spans="1:74" x14ac:dyDescent="0.25">
      <c r="A1321" s="5" t="s">
        <v>61</v>
      </c>
      <c r="B1321" s="5" t="s">
        <v>207</v>
      </c>
      <c r="C1321" s="5" t="s">
        <v>207</v>
      </c>
      <c r="D1321" s="1" t="s">
        <v>145</v>
      </c>
      <c r="E1321">
        <v>0</v>
      </c>
      <c r="F1321">
        <v>18</v>
      </c>
      <c r="G1321">
        <v>0</v>
      </c>
      <c r="H1321">
        <v>0</v>
      </c>
      <c r="I1321">
        <v>120</v>
      </c>
      <c r="J1321">
        <v>0</v>
      </c>
      <c r="K1321">
        <v>0</v>
      </c>
      <c r="L1321">
        <v>0</v>
      </c>
      <c r="M1321">
        <v>162</v>
      </c>
      <c r="N1321">
        <v>0</v>
      </c>
      <c r="O1321">
        <v>0</v>
      </c>
      <c r="P1321">
        <v>0</v>
      </c>
      <c r="Q1321">
        <v>117</v>
      </c>
      <c r="R1321">
        <v>18</v>
      </c>
      <c r="S1321" s="18">
        <f t="shared" si="206"/>
        <v>9</v>
      </c>
      <c r="T1321" s="17">
        <f t="shared" si="207"/>
        <v>18</v>
      </c>
      <c r="U1321" s="17">
        <f t="shared" si="208"/>
        <v>0</v>
      </c>
      <c r="V1321" s="17">
        <f t="shared" si="209"/>
        <v>0</v>
      </c>
      <c r="W1321" s="17">
        <f t="shared" si="210"/>
        <v>0</v>
      </c>
      <c r="X1321" s="17">
        <f t="shared" si="211"/>
        <v>99</v>
      </c>
      <c r="Y1321" s="19">
        <f t="shared" si="212"/>
        <v>0</v>
      </c>
      <c r="Z1321">
        <v>18</v>
      </c>
      <c r="AA1321">
        <v>0</v>
      </c>
      <c r="AB1321">
        <v>0</v>
      </c>
      <c r="AC1321">
        <v>0</v>
      </c>
      <c r="AD1321">
        <v>120</v>
      </c>
      <c r="AE1321">
        <v>0</v>
      </c>
      <c r="AF1321">
        <v>0</v>
      </c>
      <c r="AG1321">
        <v>0</v>
      </c>
      <c r="AH1321">
        <v>120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f t="shared" si="213"/>
        <v>240</v>
      </c>
      <c r="BF1321">
        <v>138</v>
      </c>
      <c r="BG1321">
        <v>138</v>
      </c>
      <c r="BH1321" t="s">
        <v>109</v>
      </c>
      <c r="BI1321" t="s">
        <v>319</v>
      </c>
      <c r="BJ1321">
        <v>0</v>
      </c>
      <c r="BK1321">
        <v>120</v>
      </c>
      <c r="BL1321">
        <v>138</v>
      </c>
      <c r="BM1321">
        <v>282</v>
      </c>
      <c r="BN1321">
        <v>0</v>
      </c>
      <c r="BO1321">
        <v>0</v>
      </c>
      <c r="BP1321">
        <v>0</v>
      </c>
      <c r="BQ1321">
        <v>282</v>
      </c>
      <c r="BR1321">
        <f t="shared" si="214"/>
        <v>-99</v>
      </c>
      <c r="BS1321">
        <f t="shared" si="215"/>
        <v>135</v>
      </c>
    </row>
    <row r="1322" spans="1:74" x14ac:dyDescent="0.25">
      <c r="A1322" s="5" t="s">
        <v>1661</v>
      </c>
      <c r="B1322" s="5" t="s">
        <v>61</v>
      </c>
      <c r="C1322" s="5" t="s">
        <v>359</v>
      </c>
      <c r="D1322" s="1" t="s">
        <v>139</v>
      </c>
      <c r="E1322">
        <v>0</v>
      </c>
      <c r="F1322">
        <v>418</v>
      </c>
      <c r="G1322">
        <v>0</v>
      </c>
      <c r="H1322">
        <v>0</v>
      </c>
      <c r="I1322">
        <v>24</v>
      </c>
      <c r="J1322">
        <v>45</v>
      </c>
      <c r="K1322">
        <v>192</v>
      </c>
      <c r="L1322">
        <v>0</v>
      </c>
      <c r="M1322">
        <v>0</v>
      </c>
      <c r="N1322">
        <v>0</v>
      </c>
      <c r="O1322">
        <v>0</v>
      </c>
      <c r="P1322">
        <v>873</v>
      </c>
      <c r="Q1322">
        <v>196</v>
      </c>
      <c r="R1322">
        <v>97</v>
      </c>
      <c r="S1322" s="18">
        <f t="shared" si="206"/>
        <v>9</v>
      </c>
      <c r="T1322" s="17">
        <f t="shared" si="207"/>
        <v>0</v>
      </c>
      <c r="U1322" s="17">
        <f t="shared" si="208"/>
        <v>0</v>
      </c>
      <c r="V1322" s="17">
        <f t="shared" si="209"/>
        <v>0</v>
      </c>
      <c r="W1322" s="17">
        <f t="shared" si="210"/>
        <v>97</v>
      </c>
      <c r="X1322" s="17">
        <f t="shared" si="211"/>
        <v>99</v>
      </c>
      <c r="Y1322" s="19">
        <f t="shared" si="212"/>
        <v>0</v>
      </c>
      <c r="Z1322">
        <v>418</v>
      </c>
      <c r="AA1322">
        <v>0</v>
      </c>
      <c r="AB1322">
        <v>0</v>
      </c>
      <c r="AC1322">
        <v>507</v>
      </c>
      <c r="AD1322">
        <v>0</v>
      </c>
      <c r="AE1322">
        <v>0</v>
      </c>
      <c r="AF1322">
        <v>0</v>
      </c>
      <c r="AG1322">
        <v>24</v>
      </c>
      <c r="AH1322">
        <v>24</v>
      </c>
      <c r="AI1322">
        <v>0</v>
      </c>
      <c r="AJ1322">
        <v>0</v>
      </c>
      <c r="AK1322">
        <v>45</v>
      </c>
      <c r="AL1322">
        <v>45</v>
      </c>
      <c r="AM1322">
        <v>0</v>
      </c>
      <c r="AN1322">
        <v>0</v>
      </c>
      <c r="AO1322">
        <v>192</v>
      </c>
      <c r="AP1322">
        <v>17</v>
      </c>
      <c r="AQ1322">
        <v>192</v>
      </c>
      <c r="AR1322">
        <v>175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f t="shared" si="213"/>
        <v>1221</v>
      </c>
      <c r="BF1322">
        <v>1186</v>
      </c>
      <c r="BG1322">
        <v>1186</v>
      </c>
      <c r="BH1322" t="s">
        <v>82</v>
      </c>
      <c r="BI1322" t="s">
        <v>1105</v>
      </c>
      <c r="BJ1322">
        <v>507</v>
      </c>
      <c r="BK1322">
        <v>261</v>
      </c>
      <c r="BL1322">
        <v>1186</v>
      </c>
      <c r="BM1322">
        <v>0</v>
      </c>
      <c r="BN1322">
        <v>0</v>
      </c>
      <c r="BO1322">
        <v>0</v>
      </c>
      <c r="BP1322">
        <v>1134</v>
      </c>
      <c r="BQ1322">
        <v>1134</v>
      </c>
      <c r="BR1322">
        <f t="shared" si="214"/>
        <v>-99</v>
      </c>
      <c r="BS1322">
        <f t="shared" si="215"/>
        <v>293</v>
      </c>
    </row>
    <row r="1323" spans="1:74" x14ac:dyDescent="0.25">
      <c r="A1323" s="5" t="s">
        <v>1661</v>
      </c>
      <c r="B1323" s="5" t="s">
        <v>207</v>
      </c>
      <c r="C1323" s="5" t="s">
        <v>61</v>
      </c>
      <c r="D1323" s="1" t="s">
        <v>75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443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s="18" t="e">
        <f t="shared" si="206"/>
        <v>#DIV/0!</v>
      </c>
      <c r="T1323" s="17" t="e">
        <f t="shared" si="207"/>
        <v>#DIV/0!</v>
      </c>
      <c r="U1323" s="17" t="e">
        <f t="shared" si="208"/>
        <v>#DIV/0!</v>
      </c>
      <c r="V1323" s="17" t="e">
        <f t="shared" si="209"/>
        <v>#DIV/0!</v>
      </c>
      <c r="W1323" s="17" t="e">
        <f t="shared" si="210"/>
        <v>#DIV/0!</v>
      </c>
      <c r="X1323" s="17" t="e">
        <f t="shared" si="211"/>
        <v>#DIV/0!</v>
      </c>
      <c r="Y1323" s="19" t="e">
        <f t="shared" si="212"/>
        <v>#DIV/0!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443</v>
      </c>
      <c r="AP1323">
        <v>75</v>
      </c>
      <c r="AQ1323">
        <v>443</v>
      </c>
      <c r="AR1323">
        <v>368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f t="shared" si="213"/>
        <v>1329</v>
      </c>
      <c r="BF1323">
        <v>443</v>
      </c>
      <c r="BG1323">
        <v>443</v>
      </c>
      <c r="BH1323" t="s">
        <v>63</v>
      </c>
      <c r="BI1323" t="s">
        <v>1764</v>
      </c>
      <c r="BJ1323">
        <v>0</v>
      </c>
      <c r="BK1323">
        <v>443</v>
      </c>
      <c r="BL1323">
        <v>443</v>
      </c>
      <c r="BM1323">
        <v>0</v>
      </c>
      <c r="BN1323">
        <v>0</v>
      </c>
      <c r="BO1323">
        <v>0</v>
      </c>
      <c r="BP1323">
        <v>443</v>
      </c>
      <c r="BQ1323">
        <v>443</v>
      </c>
      <c r="BR1323">
        <f t="shared" si="214"/>
        <v>0</v>
      </c>
      <c r="BS1323">
        <f t="shared" si="215"/>
        <v>0</v>
      </c>
      <c r="BU1323">
        <f>R1323*9</f>
        <v>0</v>
      </c>
      <c r="BV1323">
        <f>IF(BU1323&gt;BG1323, 1, 0)</f>
        <v>0</v>
      </c>
    </row>
    <row r="1324" spans="1:74" x14ac:dyDescent="0.25">
      <c r="A1324" s="5" t="s">
        <v>1946</v>
      </c>
      <c r="B1324" s="5" t="s">
        <v>207</v>
      </c>
      <c r="C1324" s="5" t="s">
        <v>207</v>
      </c>
      <c r="D1324" s="1" t="s">
        <v>106</v>
      </c>
      <c r="E1324">
        <v>20</v>
      </c>
      <c r="F1324">
        <v>8</v>
      </c>
      <c r="G1324">
        <v>0</v>
      </c>
      <c r="H1324">
        <v>0</v>
      </c>
      <c r="I1324">
        <v>194</v>
      </c>
      <c r="J1324">
        <v>950</v>
      </c>
      <c r="K1324">
        <v>80</v>
      </c>
      <c r="L1324">
        <v>35</v>
      </c>
      <c r="M1324">
        <v>0</v>
      </c>
      <c r="N1324">
        <v>0</v>
      </c>
      <c r="O1324">
        <v>0</v>
      </c>
      <c r="P1324">
        <v>18</v>
      </c>
      <c r="Q1324">
        <v>101</v>
      </c>
      <c r="R1324">
        <v>2</v>
      </c>
      <c r="S1324" s="18">
        <f t="shared" si="206"/>
        <v>9</v>
      </c>
      <c r="T1324" s="17">
        <f t="shared" si="207"/>
        <v>0</v>
      </c>
      <c r="U1324" s="17">
        <f t="shared" si="208"/>
        <v>0</v>
      </c>
      <c r="V1324" s="17">
        <f t="shared" si="209"/>
        <v>0</v>
      </c>
      <c r="W1324" s="17">
        <f t="shared" si="210"/>
        <v>2</v>
      </c>
      <c r="X1324" s="17">
        <f t="shared" si="211"/>
        <v>99</v>
      </c>
      <c r="Y1324" s="19">
        <f t="shared" si="212"/>
        <v>0</v>
      </c>
      <c r="Z1324">
        <v>8</v>
      </c>
      <c r="AA1324">
        <v>0</v>
      </c>
      <c r="AB1324">
        <v>0</v>
      </c>
      <c r="AC1324">
        <v>682</v>
      </c>
      <c r="AD1324">
        <v>0</v>
      </c>
      <c r="AE1324">
        <v>0</v>
      </c>
      <c r="AF1324">
        <v>0</v>
      </c>
      <c r="AG1324">
        <v>194</v>
      </c>
      <c r="AH1324">
        <v>194</v>
      </c>
      <c r="AI1324">
        <v>0</v>
      </c>
      <c r="AJ1324">
        <v>0</v>
      </c>
      <c r="AK1324">
        <v>950</v>
      </c>
      <c r="AL1324">
        <v>950</v>
      </c>
      <c r="AM1324">
        <v>0</v>
      </c>
      <c r="AN1324">
        <v>0</v>
      </c>
      <c r="AO1324">
        <v>80</v>
      </c>
      <c r="AP1324">
        <v>35</v>
      </c>
      <c r="AQ1324">
        <v>80</v>
      </c>
      <c r="AR1324">
        <v>45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35</v>
      </c>
      <c r="BA1324">
        <v>35</v>
      </c>
      <c r="BB1324">
        <v>0</v>
      </c>
      <c r="BC1324">
        <v>0</v>
      </c>
      <c r="BD1324">
        <v>0</v>
      </c>
      <c r="BE1324">
        <f t="shared" si="213"/>
        <v>3280</v>
      </c>
      <c r="BF1324">
        <v>1969</v>
      </c>
      <c r="BG1324">
        <v>1969</v>
      </c>
      <c r="BH1324" t="s">
        <v>82</v>
      </c>
      <c r="BI1324" t="s">
        <v>2058</v>
      </c>
      <c r="BJ1324">
        <v>702</v>
      </c>
      <c r="BK1324">
        <v>1259</v>
      </c>
      <c r="BL1324">
        <v>1969</v>
      </c>
      <c r="BM1324">
        <v>0</v>
      </c>
      <c r="BN1324">
        <v>0</v>
      </c>
      <c r="BO1324">
        <v>0</v>
      </c>
      <c r="BP1324">
        <v>1277</v>
      </c>
      <c r="BQ1324">
        <v>1277</v>
      </c>
      <c r="BR1324">
        <f t="shared" si="214"/>
        <v>-99</v>
      </c>
      <c r="BS1324">
        <f t="shared" si="215"/>
        <v>103</v>
      </c>
    </row>
    <row r="1325" spans="1:74" x14ac:dyDescent="0.25">
      <c r="A1325" s="5" t="s">
        <v>61</v>
      </c>
      <c r="B1325" s="5" t="s">
        <v>61</v>
      </c>
      <c r="C1325" s="5" t="s">
        <v>61</v>
      </c>
      <c r="D1325" s="1" t="s">
        <v>159</v>
      </c>
      <c r="E1325">
        <v>0</v>
      </c>
      <c r="F1325">
        <v>150</v>
      </c>
      <c r="G1325">
        <v>0</v>
      </c>
      <c r="H1325">
        <v>0</v>
      </c>
      <c r="I1325">
        <v>47</v>
      </c>
      <c r="J1325">
        <v>0</v>
      </c>
      <c r="K1325">
        <v>0</v>
      </c>
      <c r="L1325">
        <v>0</v>
      </c>
      <c r="M1325">
        <v>765</v>
      </c>
      <c r="N1325">
        <v>0</v>
      </c>
      <c r="O1325">
        <v>0</v>
      </c>
      <c r="P1325">
        <v>144</v>
      </c>
      <c r="Q1325">
        <v>201</v>
      </c>
      <c r="R1325">
        <v>101</v>
      </c>
      <c r="S1325" s="18">
        <f t="shared" si="206"/>
        <v>9</v>
      </c>
      <c r="T1325" s="17">
        <f t="shared" si="207"/>
        <v>85</v>
      </c>
      <c r="U1325" s="17">
        <f t="shared" si="208"/>
        <v>0</v>
      </c>
      <c r="V1325" s="17">
        <f t="shared" si="209"/>
        <v>0</v>
      </c>
      <c r="W1325" s="17">
        <f t="shared" si="210"/>
        <v>16</v>
      </c>
      <c r="X1325" s="17">
        <f t="shared" si="211"/>
        <v>100</v>
      </c>
      <c r="Y1325" s="19">
        <f t="shared" si="212"/>
        <v>0</v>
      </c>
      <c r="Z1325">
        <v>150</v>
      </c>
      <c r="AA1325">
        <v>0</v>
      </c>
      <c r="AB1325">
        <v>0</v>
      </c>
      <c r="AC1325">
        <v>0</v>
      </c>
      <c r="AD1325">
        <v>47</v>
      </c>
      <c r="AE1325">
        <v>0</v>
      </c>
      <c r="AF1325">
        <v>0</v>
      </c>
      <c r="AG1325">
        <v>0</v>
      </c>
      <c r="AH1325">
        <v>47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f t="shared" si="213"/>
        <v>94</v>
      </c>
      <c r="BF1325">
        <v>197</v>
      </c>
      <c r="BG1325">
        <v>197</v>
      </c>
      <c r="BH1325" t="s">
        <v>109</v>
      </c>
      <c r="BI1325" t="s">
        <v>160</v>
      </c>
      <c r="BJ1325">
        <v>0</v>
      </c>
      <c r="BK1325">
        <v>47</v>
      </c>
      <c r="BL1325">
        <v>197</v>
      </c>
      <c r="BM1325">
        <v>812</v>
      </c>
      <c r="BN1325">
        <v>0</v>
      </c>
      <c r="BO1325">
        <v>0</v>
      </c>
      <c r="BP1325">
        <v>144</v>
      </c>
      <c r="BQ1325">
        <v>956</v>
      </c>
      <c r="BR1325">
        <f t="shared" si="214"/>
        <v>-100</v>
      </c>
      <c r="BS1325">
        <f t="shared" si="215"/>
        <v>302</v>
      </c>
    </row>
    <row r="1326" spans="1:74" x14ac:dyDescent="0.25">
      <c r="A1326" s="5" t="s">
        <v>207</v>
      </c>
      <c r="B1326" s="5" t="s">
        <v>61</v>
      </c>
      <c r="C1326" s="5" t="s">
        <v>359</v>
      </c>
      <c r="D1326" s="1" t="s">
        <v>104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1025</v>
      </c>
      <c r="K1326">
        <v>390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100</v>
      </c>
      <c r="R1326">
        <v>0</v>
      </c>
      <c r="S1326" s="18" t="e">
        <f t="shared" si="206"/>
        <v>#DIV/0!</v>
      </c>
      <c r="T1326" s="17" t="e">
        <f t="shared" si="207"/>
        <v>#DIV/0!</v>
      </c>
      <c r="U1326" s="17" t="e">
        <f t="shared" si="208"/>
        <v>#DIV/0!</v>
      </c>
      <c r="V1326" s="17" t="e">
        <f t="shared" si="209"/>
        <v>#DIV/0!</v>
      </c>
      <c r="W1326" s="17" t="e">
        <f t="shared" si="210"/>
        <v>#DIV/0!</v>
      </c>
      <c r="X1326" s="17" t="e">
        <f t="shared" si="211"/>
        <v>#DIV/0!</v>
      </c>
      <c r="Y1326" s="19" t="e">
        <f t="shared" si="212"/>
        <v>#DIV/0!</v>
      </c>
      <c r="Z1326">
        <v>0</v>
      </c>
      <c r="AA1326">
        <v>0</v>
      </c>
      <c r="AB1326">
        <v>60</v>
      </c>
      <c r="AC1326">
        <v>600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1025</v>
      </c>
      <c r="AL1326">
        <v>1025</v>
      </c>
      <c r="AM1326">
        <v>0</v>
      </c>
      <c r="AN1326">
        <v>0</v>
      </c>
      <c r="AO1326">
        <v>390</v>
      </c>
      <c r="AP1326">
        <v>10</v>
      </c>
      <c r="AQ1326">
        <v>390</v>
      </c>
      <c r="AR1326">
        <v>380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f t="shared" si="213"/>
        <v>3820</v>
      </c>
      <c r="BF1326">
        <v>2075</v>
      </c>
      <c r="BG1326">
        <v>2075</v>
      </c>
      <c r="BH1326" t="s">
        <v>82</v>
      </c>
      <c r="BI1326" t="s">
        <v>518</v>
      </c>
      <c r="BJ1326">
        <v>660</v>
      </c>
      <c r="BK1326">
        <v>1415</v>
      </c>
      <c r="BL1326">
        <v>2075</v>
      </c>
      <c r="BM1326">
        <v>0</v>
      </c>
      <c r="BN1326">
        <v>0</v>
      </c>
      <c r="BO1326">
        <v>0</v>
      </c>
      <c r="BP1326">
        <v>1415</v>
      </c>
      <c r="BQ1326">
        <v>1415</v>
      </c>
      <c r="BR1326">
        <f t="shared" si="214"/>
        <v>-100</v>
      </c>
      <c r="BS1326">
        <f t="shared" si="215"/>
        <v>100</v>
      </c>
    </row>
    <row r="1327" spans="1:74" x14ac:dyDescent="0.25">
      <c r="A1327" s="5" t="s">
        <v>207</v>
      </c>
      <c r="B1327" s="5" t="s">
        <v>359</v>
      </c>
      <c r="C1327" s="5" t="s">
        <v>61</v>
      </c>
      <c r="D1327" s="1" t="s">
        <v>88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1038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100</v>
      </c>
      <c r="R1327">
        <v>0</v>
      </c>
      <c r="S1327" s="18" t="e">
        <f t="shared" si="206"/>
        <v>#DIV/0!</v>
      </c>
      <c r="T1327" s="17" t="e">
        <f t="shared" si="207"/>
        <v>#DIV/0!</v>
      </c>
      <c r="U1327" s="17" t="e">
        <f t="shared" si="208"/>
        <v>#DIV/0!</v>
      </c>
      <c r="V1327" s="17" t="e">
        <f t="shared" si="209"/>
        <v>#DIV/0!</v>
      </c>
      <c r="W1327" s="17" t="e">
        <f t="shared" si="210"/>
        <v>#DIV/0!</v>
      </c>
      <c r="X1327" s="17" t="e">
        <f t="shared" si="211"/>
        <v>#DIV/0!</v>
      </c>
      <c r="Y1327" s="19" t="e">
        <f t="shared" si="212"/>
        <v>#DIV/0!</v>
      </c>
      <c r="Z1327">
        <v>0</v>
      </c>
      <c r="AA1327">
        <v>0</v>
      </c>
      <c r="AB1327">
        <v>0</v>
      </c>
      <c r="AC1327">
        <v>380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1038</v>
      </c>
      <c r="AO1327">
        <v>0</v>
      </c>
      <c r="AP1327">
        <v>138</v>
      </c>
      <c r="AQ1327">
        <v>1038</v>
      </c>
      <c r="AR1327">
        <v>900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f t="shared" si="213"/>
        <v>3494</v>
      </c>
      <c r="BF1327">
        <v>1418</v>
      </c>
      <c r="BG1327">
        <v>1418</v>
      </c>
      <c r="BH1327" t="s">
        <v>82</v>
      </c>
      <c r="BI1327" t="s">
        <v>606</v>
      </c>
      <c r="BJ1327">
        <v>380</v>
      </c>
      <c r="BK1327">
        <v>1038</v>
      </c>
      <c r="BL1327">
        <v>1418</v>
      </c>
      <c r="BM1327">
        <v>0</v>
      </c>
      <c r="BN1327">
        <v>1038</v>
      </c>
      <c r="BO1327">
        <v>0</v>
      </c>
      <c r="BP1327">
        <v>0</v>
      </c>
      <c r="BQ1327">
        <v>1038</v>
      </c>
      <c r="BR1327">
        <f t="shared" si="214"/>
        <v>-100</v>
      </c>
      <c r="BS1327">
        <f t="shared" si="215"/>
        <v>100</v>
      </c>
    </row>
    <row r="1328" spans="1:74" x14ac:dyDescent="0.25">
      <c r="A1328" s="5" t="s">
        <v>1661</v>
      </c>
      <c r="B1328" s="5" t="s">
        <v>359</v>
      </c>
      <c r="C1328" s="5" t="s">
        <v>61</v>
      </c>
      <c r="D1328" s="1" t="s">
        <v>62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1715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s="18" t="e">
        <f t="shared" si="206"/>
        <v>#DIV/0!</v>
      </c>
      <c r="T1328" s="17" t="e">
        <f t="shared" si="207"/>
        <v>#DIV/0!</v>
      </c>
      <c r="U1328" s="17" t="e">
        <f t="shared" si="208"/>
        <v>#DIV/0!</v>
      </c>
      <c r="V1328" s="17" t="e">
        <f t="shared" si="209"/>
        <v>#DIV/0!</v>
      </c>
      <c r="W1328" s="17" t="e">
        <f t="shared" si="210"/>
        <v>#DIV/0!</v>
      </c>
      <c r="X1328" s="17" t="e">
        <f t="shared" si="211"/>
        <v>#DIV/0!</v>
      </c>
      <c r="Y1328" s="19" t="e">
        <f t="shared" si="212"/>
        <v>#DIV/0!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1715</v>
      </c>
      <c r="AP1328">
        <v>550</v>
      </c>
      <c r="AQ1328">
        <v>1715</v>
      </c>
      <c r="AR1328">
        <v>1165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f t="shared" si="213"/>
        <v>5145</v>
      </c>
      <c r="BF1328">
        <v>1715</v>
      </c>
      <c r="BG1328">
        <v>1715</v>
      </c>
      <c r="BH1328" t="s">
        <v>63</v>
      </c>
      <c r="BI1328" t="s">
        <v>1759</v>
      </c>
      <c r="BJ1328">
        <v>0</v>
      </c>
      <c r="BK1328">
        <v>1715</v>
      </c>
      <c r="BL1328">
        <v>1715</v>
      </c>
      <c r="BM1328">
        <v>0</v>
      </c>
      <c r="BN1328">
        <v>0</v>
      </c>
      <c r="BO1328">
        <v>0</v>
      </c>
      <c r="BP1328">
        <v>1715</v>
      </c>
      <c r="BQ1328">
        <v>1715</v>
      </c>
      <c r="BR1328">
        <f t="shared" si="214"/>
        <v>0</v>
      </c>
      <c r="BS1328">
        <f t="shared" si="215"/>
        <v>0</v>
      </c>
      <c r="BU1328">
        <f>R1328*9</f>
        <v>0</v>
      </c>
      <c r="BV1328">
        <f>IF(BU1328&gt;BG1328, 1, 0)</f>
        <v>0</v>
      </c>
    </row>
    <row r="1329" spans="1:74" x14ac:dyDescent="0.25">
      <c r="A1329" s="5" t="s">
        <v>1451</v>
      </c>
      <c r="B1329" s="5" t="s">
        <v>61</v>
      </c>
      <c r="C1329" s="5" t="s">
        <v>207</v>
      </c>
      <c r="D1329" s="1" t="s">
        <v>90</v>
      </c>
      <c r="E1329">
        <v>0</v>
      </c>
      <c r="F1329">
        <v>22</v>
      </c>
      <c r="G1329">
        <v>0</v>
      </c>
      <c r="H1329">
        <v>0</v>
      </c>
      <c r="I1329">
        <v>75</v>
      </c>
      <c r="J1329">
        <v>955</v>
      </c>
      <c r="K1329">
        <v>550</v>
      </c>
      <c r="L1329">
        <v>125</v>
      </c>
      <c r="M1329">
        <v>0</v>
      </c>
      <c r="N1329">
        <v>0</v>
      </c>
      <c r="O1329">
        <v>0</v>
      </c>
      <c r="P1329">
        <v>387</v>
      </c>
      <c r="Q1329">
        <v>143</v>
      </c>
      <c r="R1329">
        <v>43</v>
      </c>
      <c r="S1329" s="18">
        <f t="shared" si="206"/>
        <v>9</v>
      </c>
      <c r="T1329" s="17">
        <f t="shared" si="207"/>
        <v>0</v>
      </c>
      <c r="U1329" s="17">
        <f t="shared" si="208"/>
        <v>0</v>
      </c>
      <c r="V1329" s="17">
        <f t="shared" si="209"/>
        <v>0</v>
      </c>
      <c r="W1329" s="17">
        <f t="shared" si="210"/>
        <v>43</v>
      </c>
      <c r="X1329" s="17">
        <f t="shared" si="211"/>
        <v>100</v>
      </c>
      <c r="Y1329" s="19">
        <f t="shared" si="212"/>
        <v>0</v>
      </c>
      <c r="Z1329">
        <v>22</v>
      </c>
      <c r="AA1329">
        <v>0</v>
      </c>
      <c r="AB1329">
        <v>95</v>
      </c>
      <c r="AC1329">
        <v>1570</v>
      </c>
      <c r="AD1329">
        <v>0</v>
      </c>
      <c r="AE1329">
        <v>0</v>
      </c>
      <c r="AF1329">
        <v>0</v>
      </c>
      <c r="AG1329">
        <v>75</v>
      </c>
      <c r="AH1329">
        <v>75</v>
      </c>
      <c r="AI1329">
        <v>0</v>
      </c>
      <c r="AJ1329">
        <v>0</v>
      </c>
      <c r="AK1329">
        <v>955</v>
      </c>
      <c r="AL1329">
        <v>955</v>
      </c>
      <c r="AM1329">
        <v>0</v>
      </c>
      <c r="AN1329">
        <v>0</v>
      </c>
      <c r="AO1329">
        <v>550</v>
      </c>
      <c r="AP1329">
        <v>493</v>
      </c>
      <c r="AQ1329">
        <v>550</v>
      </c>
      <c r="AR1329">
        <v>57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125</v>
      </c>
      <c r="BA1329">
        <v>125</v>
      </c>
      <c r="BB1329">
        <v>0</v>
      </c>
      <c r="BC1329">
        <v>0</v>
      </c>
      <c r="BD1329">
        <v>0</v>
      </c>
      <c r="BE1329">
        <f t="shared" si="213"/>
        <v>5530</v>
      </c>
      <c r="BF1329">
        <v>3392</v>
      </c>
      <c r="BG1329">
        <v>3392</v>
      </c>
      <c r="BH1329" t="s">
        <v>82</v>
      </c>
      <c r="BI1329" t="s">
        <v>1483</v>
      </c>
      <c r="BJ1329">
        <v>1665</v>
      </c>
      <c r="BK1329">
        <v>1705</v>
      </c>
      <c r="BL1329">
        <v>3392</v>
      </c>
      <c r="BM1329">
        <v>0</v>
      </c>
      <c r="BN1329">
        <v>0</v>
      </c>
      <c r="BO1329">
        <v>0</v>
      </c>
      <c r="BP1329">
        <v>2092</v>
      </c>
      <c r="BQ1329">
        <v>2092</v>
      </c>
      <c r="BR1329">
        <f t="shared" si="214"/>
        <v>-100</v>
      </c>
      <c r="BS1329">
        <f t="shared" si="215"/>
        <v>186</v>
      </c>
    </row>
    <row r="1330" spans="1:74" x14ac:dyDescent="0.25">
      <c r="A1330" s="5" t="s">
        <v>1661</v>
      </c>
      <c r="B1330" s="5" t="s">
        <v>359</v>
      </c>
      <c r="C1330" s="5" t="s">
        <v>207</v>
      </c>
      <c r="D1330" s="1" t="s">
        <v>69</v>
      </c>
      <c r="E1330">
        <v>0</v>
      </c>
      <c r="F1330">
        <v>0</v>
      </c>
      <c r="G1330">
        <v>0</v>
      </c>
      <c r="H1330">
        <v>0</v>
      </c>
      <c r="I1330">
        <v>165</v>
      </c>
      <c r="J1330">
        <v>0</v>
      </c>
      <c r="K1330">
        <v>204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s="18" t="e">
        <f t="shared" si="206"/>
        <v>#DIV/0!</v>
      </c>
      <c r="T1330" s="17" t="e">
        <f t="shared" si="207"/>
        <v>#DIV/0!</v>
      </c>
      <c r="U1330" s="17" t="e">
        <f t="shared" si="208"/>
        <v>#DIV/0!</v>
      </c>
      <c r="V1330" s="17" t="e">
        <f t="shared" si="209"/>
        <v>#DIV/0!</v>
      </c>
      <c r="W1330" s="17" t="e">
        <f t="shared" si="210"/>
        <v>#DIV/0!</v>
      </c>
      <c r="X1330" s="17" t="e">
        <f t="shared" si="211"/>
        <v>#DIV/0!</v>
      </c>
      <c r="Y1330" s="19" t="e">
        <f t="shared" si="212"/>
        <v>#DIV/0!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165</v>
      </c>
      <c r="AH1330">
        <v>165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204</v>
      </c>
      <c r="AP1330">
        <v>170</v>
      </c>
      <c r="AQ1330">
        <v>204</v>
      </c>
      <c r="AR1330">
        <v>34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f t="shared" si="213"/>
        <v>942</v>
      </c>
      <c r="BF1330">
        <v>369</v>
      </c>
      <c r="BG1330">
        <v>369</v>
      </c>
      <c r="BH1330" t="s">
        <v>63</v>
      </c>
      <c r="BI1330" t="s">
        <v>1885</v>
      </c>
      <c r="BJ1330">
        <v>0</v>
      </c>
      <c r="BK1330">
        <v>369</v>
      </c>
      <c r="BL1330">
        <v>369</v>
      </c>
      <c r="BM1330">
        <v>0</v>
      </c>
      <c r="BN1330">
        <v>0</v>
      </c>
      <c r="BO1330">
        <v>0</v>
      </c>
      <c r="BP1330">
        <v>369</v>
      </c>
      <c r="BQ1330">
        <v>369</v>
      </c>
      <c r="BR1330">
        <f t="shared" si="214"/>
        <v>0</v>
      </c>
      <c r="BS1330">
        <f t="shared" si="215"/>
        <v>0</v>
      </c>
      <c r="BU1330">
        <f>R1330*9</f>
        <v>0</v>
      </c>
      <c r="BV1330">
        <f>IF(BU1330&gt;BG1330, 1, 0)</f>
        <v>0</v>
      </c>
    </row>
    <row r="1331" spans="1:74" x14ac:dyDescent="0.25">
      <c r="A1331" s="5" t="s">
        <v>1661</v>
      </c>
      <c r="B1331" s="5" t="s">
        <v>61</v>
      </c>
      <c r="C1331" s="5" t="s">
        <v>207</v>
      </c>
      <c r="D1331" s="1" t="s">
        <v>81</v>
      </c>
      <c r="E1331">
        <v>0</v>
      </c>
      <c r="F1331">
        <v>4617</v>
      </c>
      <c r="G1331">
        <v>0</v>
      </c>
      <c r="H1331">
        <v>0</v>
      </c>
      <c r="I1331">
        <v>172</v>
      </c>
      <c r="J1331">
        <v>11502</v>
      </c>
      <c r="K1331">
        <v>0</v>
      </c>
      <c r="L1331">
        <v>0</v>
      </c>
      <c r="M1331">
        <v>0</v>
      </c>
      <c r="N1331">
        <v>9189</v>
      </c>
      <c r="O1331">
        <v>0</v>
      </c>
      <c r="P1331">
        <v>0</v>
      </c>
      <c r="Q1331">
        <v>1121</v>
      </c>
      <c r="R1331">
        <v>1021</v>
      </c>
      <c r="S1331" s="18">
        <f t="shared" si="206"/>
        <v>9</v>
      </c>
      <c r="T1331" s="17">
        <f t="shared" si="207"/>
        <v>0</v>
      </c>
      <c r="U1331" s="17">
        <f t="shared" si="208"/>
        <v>1021</v>
      </c>
      <c r="V1331" s="17">
        <f t="shared" si="209"/>
        <v>0</v>
      </c>
      <c r="W1331" s="17">
        <f t="shared" si="210"/>
        <v>0</v>
      </c>
      <c r="X1331" s="17">
        <f t="shared" si="211"/>
        <v>100</v>
      </c>
      <c r="Y1331" s="19">
        <f t="shared" si="212"/>
        <v>0</v>
      </c>
      <c r="Z1331">
        <v>4617</v>
      </c>
      <c r="AA1331">
        <v>0</v>
      </c>
      <c r="AB1331">
        <v>0</v>
      </c>
      <c r="AC1331">
        <v>0</v>
      </c>
      <c r="AD1331">
        <v>0</v>
      </c>
      <c r="AE1331">
        <v>164</v>
      </c>
      <c r="AF1331">
        <v>0</v>
      </c>
      <c r="AG1331">
        <v>8</v>
      </c>
      <c r="AH1331">
        <v>172</v>
      </c>
      <c r="AI1331">
        <v>0</v>
      </c>
      <c r="AJ1331">
        <v>11502</v>
      </c>
      <c r="AK1331">
        <v>0</v>
      </c>
      <c r="AL1331">
        <v>11502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f t="shared" si="213"/>
        <v>23348</v>
      </c>
      <c r="BF1331">
        <v>16291</v>
      </c>
      <c r="BG1331">
        <v>16291</v>
      </c>
      <c r="BH1331" t="s">
        <v>190</v>
      </c>
      <c r="BI1331" t="s">
        <v>1707</v>
      </c>
      <c r="BJ1331">
        <v>0</v>
      </c>
      <c r="BK1331">
        <v>11674</v>
      </c>
      <c r="BL1331">
        <v>16291</v>
      </c>
      <c r="BM1331">
        <v>0</v>
      </c>
      <c r="BN1331">
        <v>20855</v>
      </c>
      <c r="BO1331">
        <v>0</v>
      </c>
      <c r="BP1331">
        <v>8</v>
      </c>
      <c r="BQ1331">
        <v>20863</v>
      </c>
      <c r="BR1331">
        <f t="shared" si="214"/>
        <v>-100</v>
      </c>
      <c r="BS1331">
        <f t="shared" si="215"/>
        <v>2142</v>
      </c>
    </row>
    <row r="1332" spans="1:74" x14ac:dyDescent="0.25">
      <c r="A1332" s="5" t="s">
        <v>1946</v>
      </c>
      <c r="B1332" s="5" t="s">
        <v>207</v>
      </c>
      <c r="C1332" s="5" t="s">
        <v>61</v>
      </c>
      <c r="D1332" s="1" t="s">
        <v>108</v>
      </c>
      <c r="E1332">
        <v>0</v>
      </c>
      <c r="F1332">
        <v>0</v>
      </c>
      <c r="G1332">
        <v>0</v>
      </c>
      <c r="H1332">
        <v>0</v>
      </c>
      <c r="I1332">
        <v>346</v>
      </c>
      <c r="J1332">
        <v>500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100</v>
      </c>
      <c r="R1332">
        <v>0</v>
      </c>
      <c r="S1332" s="18" t="e">
        <f t="shared" si="206"/>
        <v>#DIV/0!</v>
      </c>
      <c r="T1332" s="17" t="e">
        <f t="shared" si="207"/>
        <v>#DIV/0!</v>
      </c>
      <c r="U1332" s="17" t="e">
        <f t="shared" si="208"/>
        <v>#DIV/0!</v>
      </c>
      <c r="V1332" s="17" t="e">
        <f t="shared" si="209"/>
        <v>#DIV/0!</v>
      </c>
      <c r="W1332" s="17" t="e">
        <f t="shared" si="210"/>
        <v>#DIV/0!</v>
      </c>
      <c r="X1332" s="17" t="e">
        <f t="shared" si="211"/>
        <v>#DIV/0!</v>
      </c>
      <c r="Y1332" s="19" t="e">
        <f t="shared" si="212"/>
        <v>#DIV/0!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346</v>
      </c>
      <c r="AH1332">
        <v>346</v>
      </c>
      <c r="AI1332">
        <v>0</v>
      </c>
      <c r="AJ1332">
        <v>0</v>
      </c>
      <c r="AK1332">
        <v>500</v>
      </c>
      <c r="AL1332">
        <v>500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f t="shared" si="213"/>
        <v>1692</v>
      </c>
      <c r="BF1332">
        <v>846</v>
      </c>
      <c r="BG1332">
        <v>846</v>
      </c>
      <c r="BH1332" t="s">
        <v>190</v>
      </c>
      <c r="BI1332" t="s">
        <v>2030</v>
      </c>
      <c r="BJ1332">
        <v>0</v>
      </c>
      <c r="BK1332">
        <v>846</v>
      </c>
      <c r="BL1332">
        <v>846</v>
      </c>
      <c r="BM1332">
        <v>0</v>
      </c>
      <c r="BN1332">
        <v>0</v>
      </c>
      <c r="BO1332">
        <v>0</v>
      </c>
      <c r="BP1332">
        <v>846</v>
      </c>
      <c r="BQ1332">
        <v>846</v>
      </c>
      <c r="BR1332">
        <f t="shared" si="214"/>
        <v>-100</v>
      </c>
      <c r="BS1332">
        <f t="shared" si="215"/>
        <v>100</v>
      </c>
    </row>
    <row r="1333" spans="1:74" x14ac:dyDescent="0.25">
      <c r="A1333" s="5" t="s">
        <v>1135</v>
      </c>
      <c r="B1333" s="5" t="s">
        <v>207</v>
      </c>
      <c r="C1333" s="5" t="s">
        <v>61</v>
      </c>
      <c r="D1333" s="1" t="s">
        <v>175</v>
      </c>
      <c r="E1333">
        <v>0</v>
      </c>
      <c r="F1333">
        <v>185</v>
      </c>
      <c r="G1333">
        <v>0</v>
      </c>
      <c r="H1333">
        <v>0</v>
      </c>
      <c r="I1333">
        <v>40</v>
      </c>
      <c r="J1333">
        <v>920</v>
      </c>
      <c r="K1333">
        <v>110</v>
      </c>
      <c r="L1333">
        <v>50</v>
      </c>
      <c r="M1333">
        <v>0</v>
      </c>
      <c r="N1333">
        <v>0</v>
      </c>
      <c r="O1333">
        <v>0</v>
      </c>
      <c r="P1333">
        <v>243</v>
      </c>
      <c r="Q1333">
        <v>128</v>
      </c>
      <c r="R1333">
        <v>27</v>
      </c>
      <c r="S1333" s="18">
        <f t="shared" si="206"/>
        <v>9</v>
      </c>
      <c r="T1333" s="17">
        <f t="shared" si="207"/>
        <v>0</v>
      </c>
      <c r="U1333" s="17">
        <f t="shared" si="208"/>
        <v>0</v>
      </c>
      <c r="V1333" s="17">
        <f t="shared" si="209"/>
        <v>0</v>
      </c>
      <c r="W1333" s="17">
        <f t="shared" si="210"/>
        <v>27</v>
      </c>
      <c r="X1333" s="17">
        <f t="shared" si="211"/>
        <v>101</v>
      </c>
      <c r="Y1333" s="19">
        <f t="shared" si="212"/>
        <v>0</v>
      </c>
      <c r="Z1333">
        <v>185</v>
      </c>
      <c r="AA1333">
        <v>0</v>
      </c>
      <c r="AB1333">
        <v>0</v>
      </c>
      <c r="AC1333">
        <v>350</v>
      </c>
      <c r="AD1333">
        <v>0</v>
      </c>
      <c r="AE1333">
        <v>0</v>
      </c>
      <c r="AF1333">
        <v>0</v>
      </c>
      <c r="AG1333">
        <v>40</v>
      </c>
      <c r="AH1333">
        <v>40</v>
      </c>
      <c r="AI1333">
        <v>0</v>
      </c>
      <c r="AJ1333">
        <v>0</v>
      </c>
      <c r="AK1333">
        <v>920</v>
      </c>
      <c r="AL1333">
        <v>920</v>
      </c>
      <c r="AM1333">
        <v>0</v>
      </c>
      <c r="AN1333">
        <v>0</v>
      </c>
      <c r="AO1333">
        <v>110</v>
      </c>
      <c r="AP1333">
        <v>40</v>
      </c>
      <c r="AQ1333">
        <v>110</v>
      </c>
      <c r="AR1333">
        <v>70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50</v>
      </c>
      <c r="BA1333">
        <v>50</v>
      </c>
      <c r="BB1333">
        <v>0</v>
      </c>
      <c r="BC1333">
        <v>0</v>
      </c>
      <c r="BD1333">
        <v>0</v>
      </c>
      <c r="BE1333">
        <f t="shared" si="213"/>
        <v>2700</v>
      </c>
      <c r="BF1333">
        <v>1655</v>
      </c>
      <c r="BG1333">
        <v>1655</v>
      </c>
      <c r="BH1333" t="s">
        <v>190</v>
      </c>
      <c r="BI1333" t="s">
        <v>1250</v>
      </c>
      <c r="BJ1333">
        <v>350</v>
      </c>
      <c r="BK1333">
        <v>1120</v>
      </c>
      <c r="BL1333">
        <v>1655</v>
      </c>
      <c r="BM1333">
        <v>0</v>
      </c>
      <c r="BN1333">
        <v>0</v>
      </c>
      <c r="BO1333">
        <v>0</v>
      </c>
      <c r="BP1333">
        <v>1363</v>
      </c>
      <c r="BQ1333">
        <v>1363</v>
      </c>
      <c r="BR1333">
        <f t="shared" si="214"/>
        <v>-101</v>
      </c>
      <c r="BS1333">
        <f t="shared" si="215"/>
        <v>155</v>
      </c>
    </row>
    <row r="1334" spans="1:74" x14ac:dyDescent="0.25">
      <c r="A1334" s="5" t="s">
        <v>1661</v>
      </c>
      <c r="B1334" s="5" t="s">
        <v>61</v>
      </c>
      <c r="C1334" s="5" t="s">
        <v>359</v>
      </c>
      <c r="D1334" s="1" t="s">
        <v>84</v>
      </c>
      <c r="E1334">
        <v>0</v>
      </c>
      <c r="F1334">
        <v>2980</v>
      </c>
      <c r="G1334">
        <v>0</v>
      </c>
      <c r="H1334">
        <v>0</v>
      </c>
      <c r="I1334">
        <v>1700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6030</v>
      </c>
      <c r="Q1334">
        <v>771</v>
      </c>
      <c r="R1334">
        <v>670</v>
      </c>
      <c r="S1334" s="18">
        <f t="shared" si="206"/>
        <v>9</v>
      </c>
      <c r="T1334" s="17">
        <f t="shared" si="207"/>
        <v>0</v>
      </c>
      <c r="U1334" s="17">
        <f t="shared" si="208"/>
        <v>0</v>
      </c>
      <c r="V1334" s="17">
        <f t="shared" si="209"/>
        <v>0</v>
      </c>
      <c r="W1334" s="17">
        <f t="shared" si="210"/>
        <v>670</v>
      </c>
      <c r="X1334" s="17">
        <f t="shared" si="211"/>
        <v>101</v>
      </c>
      <c r="Y1334" s="19">
        <f t="shared" si="212"/>
        <v>0</v>
      </c>
      <c r="Z1334">
        <v>2980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1700</v>
      </c>
      <c r="AH1334">
        <v>1700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f t="shared" si="213"/>
        <v>3400</v>
      </c>
      <c r="BF1334">
        <v>4680</v>
      </c>
      <c r="BG1334">
        <v>4680</v>
      </c>
      <c r="BH1334" t="s">
        <v>109</v>
      </c>
      <c r="BI1334" t="s">
        <v>1722</v>
      </c>
      <c r="BJ1334">
        <v>0</v>
      </c>
      <c r="BK1334">
        <v>1700</v>
      </c>
      <c r="BL1334">
        <v>4680</v>
      </c>
      <c r="BM1334">
        <v>0</v>
      </c>
      <c r="BN1334">
        <v>0</v>
      </c>
      <c r="BO1334">
        <v>0</v>
      </c>
      <c r="BP1334">
        <v>7730</v>
      </c>
      <c r="BQ1334">
        <v>7730</v>
      </c>
      <c r="BR1334">
        <f t="shared" si="214"/>
        <v>-101</v>
      </c>
      <c r="BS1334">
        <f t="shared" si="215"/>
        <v>1441</v>
      </c>
    </row>
    <row r="1335" spans="1:74" x14ac:dyDescent="0.25">
      <c r="A1335" s="5" t="s">
        <v>1661</v>
      </c>
      <c r="B1335" s="5" t="s">
        <v>207</v>
      </c>
      <c r="C1335" s="5" t="s">
        <v>61</v>
      </c>
      <c r="D1335" s="1" t="s">
        <v>104</v>
      </c>
      <c r="E1335">
        <v>0</v>
      </c>
      <c r="F1335">
        <v>1151</v>
      </c>
      <c r="G1335">
        <v>0</v>
      </c>
      <c r="H1335">
        <v>0</v>
      </c>
      <c r="I1335">
        <v>40</v>
      </c>
      <c r="J1335">
        <v>600</v>
      </c>
      <c r="K1335">
        <v>83</v>
      </c>
      <c r="L1335">
        <v>0</v>
      </c>
      <c r="M1335">
        <v>0</v>
      </c>
      <c r="N1335">
        <v>0</v>
      </c>
      <c r="O1335">
        <v>0</v>
      </c>
      <c r="P1335">
        <v>846</v>
      </c>
      <c r="Q1335">
        <v>195</v>
      </c>
      <c r="R1335">
        <v>94</v>
      </c>
      <c r="S1335" s="18">
        <f t="shared" si="206"/>
        <v>9</v>
      </c>
      <c r="T1335" s="17">
        <f t="shared" si="207"/>
        <v>0</v>
      </c>
      <c r="U1335" s="17">
        <f t="shared" si="208"/>
        <v>0</v>
      </c>
      <c r="V1335" s="17">
        <f t="shared" si="209"/>
        <v>0</v>
      </c>
      <c r="W1335" s="17">
        <f t="shared" si="210"/>
        <v>94</v>
      </c>
      <c r="X1335" s="17">
        <f t="shared" si="211"/>
        <v>101</v>
      </c>
      <c r="Y1335" s="19">
        <f t="shared" si="212"/>
        <v>0</v>
      </c>
      <c r="Z1335">
        <v>1151</v>
      </c>
      <c r="AA1335">
        <v>0</v>
      </c>
      <c r="AB1335">
        <v>0</v>
      </c>
      <c r="AC1335">
        <v>170</v>
      </c>
      <c r="AD1335">
        <v>0</v>
      </c>
      <c r="AE1335">
        <v>0</v>
      </c>
      <c r="AF1335">
        <v>0</v>
      </c>
      <c r="AG1335">
        <v>40</v>
      </c>
      <c r="AH1335">
        <v>40</v>
      </c>
      <c r="AI1335">
        <v>0</v>
      </c>
      <c r="AJ1335">
        <v>0</v>
      </c>
      <c r="AK1335">
        <v>600</v>
      </c>
      <c r="AL1335">
        <v>600</v>
      </c>
      <c r="AM1335">
        <v>0</v>
      </c>
      <c r="AN1335">
        <v>0</v>
      </c>
      <c r="AO1335">
        <v>83</v>
      </c>
      <c r="AP1335">
        <v>58</v>
      </c>
      <c r="AQ1335">
        <v>83</v>
      </c>
      <c r="AR1335">
        <v>25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f t="shared" si="213"/>
        <v>1699</v>
      </c>
      <c r="BF1335">
        <v>2044</v>
      </c>
      <c r="BG1335">
        <v>2044</v>
      </c>
      <c r="BH1335" t="s">
        <v>190</v>
      </c>
      <c r="BI1335" t="s">
        <v>1776</v>
      </c>
      <c r="BJ1335">
        <v>170</v>
      </c>
      <c r="BK1335">
        <v>723</v>
      </c>
      <c r="BL1335">
        <v>2044</v>
      </c>
      <c r="BM1335">
        <v>0</v>
      </c>
      <c r="BN1335">
        <v>0</v>
      </c>
      <c r="BO1335">
        <v>0</v>
      </c>
      <c r="BP1335">
        <v>1569</v>
      </c>
      <c r="BQ1335">
        <v>1569</v>
      </c>
      <c r="BR1335">
        <f t="shared" si="214"/>
        <v>-101</v>
      </c>
      <c r="BS1335">
        <f t="shared" si="215"/>
        <v>289</v>
      </c>
    </row>
    <row r="1336" spans="1:74" x14ac:dyDescent="0.25">
      <c r="A1336" s="5" t="s">
        <v>1135</v>
      </c>
      <c r="B1336" s="5" t="s">
        <v>207</v>
      </c>
      <c r="C1336" s="5" t="s">
        <v>207</v>
      </c>
      <c r="D1336" s="1" t="s">
        <v>81</v>
      </c>
      <c r="E1336">
        <v>0</v>
      </c>
      <c r="F1336">
        <v>0</v>
      </c>
      <c r="G1336">
        <v>0</v>
      </c>
      <c r="H1336">
        <v>0</v>
      </c>
      <c r="I1336">
        <v>324</v>
      </c>
      <c r="J1336">
        <v>1146</v>
      </c>
      <c r="K1336">
        <v>238</v>
      </c>
      <c r="L1336">
        <v>37</v>
      </c>
      <c r="M1336">
        <v>0</v>
      </c>
      <c r="N1336">
        <v>0</v>
      </c>
      <c r="O1336">
        <v>0</v>
      </c>
      <c r="P1336">
        <v>0</v>
      </c>
      <c r="Q1336">
        <v>102</v>
      </c>
      <c r="R1336">
        <v>0</v>
      </c>
      <c r="S1336" s="18" t="e">
        <f t="shared" si="206"/>
        <v>#DIV/0!</v>
      </c>
      <c r="T1336" s="17" t="e">
        <f t="shared" si="207"/>
        <v>#DIV/0!</v>
      </c>
      <c r="U1336" s="17" t="e">
        <f t="shared" si="208"/>
        <v>#DIV/0!</v>
      </c>
      <c r="V1336" s="17" t="e">
        <f t="shared" si="209"/>
        <v>#DIV/0!</v>
      </c>
      <c r="W1336" s="17" t="e">
        <f t="shared" si="210"/>
        <v>#DIV/0!</v>
      </c>
      <c r="X1336" s="17" t="e">
        <f t="shared" si="211"/>
        <v>#DIV/0!</v>
      </c>
      <c r="Y1336" s="19" t="e">
        <f t="shared" si="212"/>
        <v>#DIV/0!</v>
      </c>
      <c r="Z1336">
        <v>0</v>
      </c>
      <c r="AA1336">
        <v>0</v>
      </c>
      <c r="AB1336">
        <v>0</v>
      </c>
      <c r="AC1336">
        <v>1000</v>
      </c>
      <c r="AD1336">
        <v>0</v>
      </c>
      <c r="AE1336">
        <v>0</v>
      </c>
      <c r="AF1336">
        <v>0</v>
      </c>
      <c r="AG1336">
        <v>324</v>
      </c>
      <c r="AH1336">
        <v>324</v>
      </c>
      <c r="AI1336">
        <v>0</v>
      </c>
      <c r="AJ1336">
        <v>0</v>
      </c>
      <c r="AK1336">
        <v>1146</v>
      </c>
      <c r="AL1336">
        <v>1146</v>
      </c>
      <c r="AM1336">
        <v>0</v>
      </c>
      <c r="AN1336">
        <v>0</v>
      </c>
      <c r="AO1336">
        <v>238</v>
      </c>
      <c r="AP1336">
        <v>138</v>
      </c>
      <c r="AQ1336">
        <v>238</v>
      </c>
      <c r="AR1336">
        <v>100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37</v>
      </c>
      <c r="BA1336">
        <v>37</v>
      </c>
      <c r="BB1336">
        <v>0</v>
      </c>
      <c r="BC1336">
        <v>0</v>
      </c>
      <c r="BD1336">
        <v>0</v>
      </c>
      <c r="BE1336">
        <f t="shared" si="213"/>
        <v>4728</v>
      </c>
      <c r="BF1336">
        <v>2745</v>
      </c>
      <c r="BG1336">
        <v>2745</v>
      </c>
      <c r="BH1336" t="s">
        <v>82</v>
      </c>
      <c r="BI1336" t="s">
        <v>1264</v>
      </c>
      <c r="BJ1336">
        <v>1000</v>
      </c>
      <c r="BK1336">
        <v>1745</v>
      </c>
      <c r="BL1336">
        <v>2745</v>
      </c>
      <c r="BM1336">
        <v>0</v>
      </c>
      <c r="BN1336">
        <v>0</v>
      </c>
      <c r="BO1336">
        <v>0</v>
      </c>
      <c r="BP1336">
        <v>1745</v>
      </c>
      <c r="BQ1336">
        <v>1745</v>
      </c>
      <c r="BR1336">
        <f t="shared" si="214"/>
        <v>-102</v>
      </c>
      <c r="BS1336">
        <f t="shared" si="215"/>
        <v>102</v>
      </c>
    </row>
    <row r="1337" spans="1:74" x14ac:dyDescent="0.25">
      <c r="A1337" s="5" t="s">
        <v>207</v>
      </c>
      <c r="B1337" s="5" t="s">
        <v>61</v>
      </c>
      <c r="C1337" s="5" t="s">
        <v>207</v>
      </c>
      <c r="D1337" s="1" t="s">
        <v>94</v>
      </c>
      <c r="E1337">
        <v>0</v>
      </c>
      <c r="F1337">
        <v>150</v>
      </c>
      <c r="G1337">
        <v>0</v>
      </c>
      <c r="H1337">
        <v>0</v>
      </c>
      <c r="I1337">
        <v>400</v>
      </c>
      <c r="J1337">
        <v>0</v>
      </c>
      <c r="K1337">
        <v>0</v>
      </c>
      <c r="L1337">
        <v>0</v>
      </c>
      <c r="M1337">
        <v>1368</v>
      </c>
      <c r="N1337">
        <v>0</v>
      </c>
      <c r="O1337">
        <v>0</v>
      </c>
      <c r="P1337">
        <v>0</v>
      </c>
      <c r="Q1337">
        <v>255</v>
      </c>
      <c r="R1337">
        <v>152</v>
      </c>
      <c r="S1337" s="18">
        <f t="shared" si="206"/>
        <v>9</v>
      </c>
      <c r="T1337" s="17">
        <f t="shared" si="207"/>
        <v>152</v>
      </c>
      <c r="U1337" s="17">
        <f t="shared" si="208"/>
        <v>0</v>
      </c>
      <c r="V1337" s="17">
        <f t="shared" si="209"/>
        <v>0</v>
      </c>
      <c r="W1337" s="17">
        <f t="shared" si="210"/>
        <v>0</v>
      </c>
      <c r="X1337" s="17">
        <f t="shared" si="211"/>
        <v>103</v>
      </c>
      <c r="Y1337" s="19">
        <f t="shared" si="212"/>
        <v>0</v>
      </c>
      <c r="Z1337">
        <v>150</v>
      </c>
      <c r="AA1337">
        <v>0</v>
      </c>
      <c r="AB1337">
        <v>0</v>
      </c>
      <c r="AC1337">
        <v>0</v>
      </c>
      <c r="AD1337">
        <v>400</v>
      </c>
      <c r="AE1337">
        <v>0</v>
      </c>
      <c r="AF1337">
        <v>0</v>
      </c>
      <c r="AG1337">
        <v>0</v>
      </c>
      <c r="AH1337">
        <v>400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f t="shared" si="213"/>
        <v>800</v>
      </c>
      <c r="BF1337">
        <v>550</v>
      </c>
      <c r="BG1337">
        <v>550</v>
      </c>
      <c r="BH1337" t="s">
        <v>109</v>
      </c>
      <c r="BI1337" t="s">
        <v>477</v>
      </c>
      <c r="BJ1337">
        <v>0</v>
      </c>
      <c r="BK1337">
        <v>400</v>
      </c>
      <c r="BL1337">
        <v>550</v>
      </c>
      <c r="BM1337">
        <v>1768</v>
      </c>
      <c r="BN1337">
        <v>0</v>
      </c>
      <c r="BO1337">
        <v>0</v>
      </c>
      <c r="BP1337">
        <v>0</v>
      </c>
      <c r="BQ1337">
        <v>1768</v>
      </c>
      <c r="BR1337">
        <f t="shared" si="214"/>
        <v>-103</v>
      </c>
      <c r="BS1337">
        <f t="shared" si="215"/>
        <v>407</v>
      </c>
    </row>
    <row r="1338" spans="1:74" x14ac:dyDescent="0.25">
      <c r="A1338" s="5" t="s">
        <v>1017</v>
      </c>
      <c r="B1338" s="5" t="s">
        <v>61</v>
      </c>
      <c r="C1338" s="5" t="s">
        <v>61</v>
      </c>
      <c r="D1338" s="1" t="s">
        <v>113</v>
      </c>
      <c r="E1338">
        <v>0</v>
      </c>
      <c r="F1338">
        <v>0</v>
      </c>
      <c r="G1338">
        <v>0</v>
      </c>
      <c r="H1338">
        <v>0</v>
      </c>
      <c r="I1338">
        <v>95</v>
      </c>
      <c r="J1338">
        <v>1371</v>
      </c>
      <c r="K1338">
        <v>121</v>
      </c>
      <c r="L1338">
        <v>20</v>
      </c>
      <c r="M1338">
        <v>0</v>
      </c>
      <c r="N1338">
        <v>0</v>
      </c>
      <c r="O1338">
        <v>0</v>
      </c>
      <c r="P1338">
        <v>0</v>
      </c>
      <c r="Q1338">
        <v>103</v>
      </c>
      <c r="R1338">
        <v>0</v>
      </c>
      <c r="S1338" s="18" t="e">
        <f t="shared" si="206"/>
        <v>#DIV/0!</v>
      </c>
      <c r="T1338" s="17" t="e">
        <f t="shared" si="207"/>
        <v>#DIV/0!</v>
      </c>
      <c r="U1338" s="17" t="e">
        <f t="shared" si="208"/>
        <v>#DIV/0!</v>
      </c>
      <c r="V1338" s="17" t="e">
        <f t="shared" si="209"/>
        <v>#DIV/0!</v>
      </c>
      <c r="W1338" s="17" t="e">
        <f t="shared" si="210"/>
        <v>#DIV/0!</v>
      </c>
      <c r="X1338" s="17" t="e">
        <f t="shared" si="211"/>
        <v>#DIV/0!</v>
      </c>
      <c r="Y1338" s="19" t="e">
        <f t="shared" si="212"/>
        <v>#DIV/0!</v>
      </c>
      <c r="Z1338">
        <v>0</v>
      </c>
      <c r="AA1338">
        <v>0</v>
      </c>
      <c r="AB1338">
        <v>130</v>
      </c>
      <c r="AC1338">
        <v>1363</v>
      </c>
      <c r="AD1338">
        <v>0</v>
      </c>
      <c r="AE1338">
        <v>0</v>
      </c>
      <c r="AF1338">
        <v>0</v>
      </c>
      <c r="AG1338">
        <v>95</v>
      </c>
      <c r="AH1338">
        <v>95</v>
      </c>
      <c r="AI1338">
        <v>0</v>
      </c>
      <c r="AJ1338">
        <v>0</v>
      </c>
      <c r="AK1338">
        <v>1371</v>
      </c>
      <c r="AL1338">
        <v>1371</v>
      </c>
      <c r="AM1338">
        <v>0</v>
      </c>
      <c r="AN1338">
        <v>0</v>
      </c>
      <c r="AO1338">
        <v>121</v>
      </c>
      <c r="AP1338">
        <v>0</v>
      </c>
      <c r="AQ1338">
        <v>121</v>
      </c>
      <c r="AR1338">
        <v>121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20</v>
      </c>
      <c r="BA1338">
        <v>20</v>
      </c>
      <c r="BB1338">
        <v>0</v>
      </c>
      <c r="BC1338">
        <v>0</v>
      </c>
      <c r="BD1338">
        <v>0</v>
      </c>
      <c r="BE1338">
        <f t="shared" si="213"/>
        <v>4698</v>
      </c>
      <c r="BF1338">
        <v>3100</v>
      </c>
      <c r="BG1338">
        <v>3100</v>
      </c>
      <c r="BH1338" t="s">
        <v>82</v>
      </c>
      <c r="BI1338" t="s">
        <v>724</v>
      </c>
      <c r="BJ1338">
        <v>1493</v>
      </c>
      <c r="BK1338">
        <v>1607</v>
      </c>
      <c r="BL1338">
        <v>3100</v>
      </c>
      <c r="BM1338">
        <v>0</v>
      </c>
      <c r="BN1338">
        <v>0</v>
      </c>
      <c r="BO1338">
        <v>0</v>
      </c>
      <c r="BP1338">
        <v>1607</v>
      </c>
      <c r="BQ1338">
        <v>1607</v>
      </c>
      <c r="BR1338">
        <f t="shared" si="214"/>
        <v>-103</v>
      </c>
      <c r="BS1338">
        <f t="shared" si="215"/>
        <v>103</v>
      </c>
    </row>
    <row r="1339" spans="1:74" x14ac:dyDescent="0.25">
      <c r="A1339" s="5" t="s">
        <v>1017</v>
      </c>
      <c r="B1339" s="5" t="s">
        <v>61</v>
      </c>
      <c r="C1339" s="5" t="s">
        <v>207</v>
      </c>
      <c r="D1339" s="1" t="s">
        <v>90</v>
      </c>
      <c r="E1339">
        <v>0</v>
      </c>
      <c r="F1339">
        <v>0</v>
      </c>
      <c r="G1339">
        <v>0</v>
      </c>
      <c r="H1339">
        <v>0</v>
      </c>
      <c r="I1339">
        <v>225</v>
      </c>
      <c r="J1339">
        <v>1613</v>
      </c>
      <c r="K1339">
        <v>250</v>
      </c>
      <c r="L1339">
        <v>81</v>
      </c>
      <c r="M1339">
        <v>0</v>
      </c>
      <c r="N1339">
        <v>0</v>
      </c>
      <c r="O1339">
        <v>0</v>
      </c>
      <c r="P1339">
        <v>0</v>
      </c>
      <c r="Q1339">
        <v>103</v>
      </c>
      <c r="R1339">
        <v>0</v>
      </c>
      <c r="S1339" s="18" t="e">
        <f t="shared" si="206"/>
        <v>#DIV/0!</v>
      </c>
      <c r="T1339" s="17" t="e">
        <f t="shared" si="207"/>
        <v>#DIV/0!</v>
      </c>
      <c r="U1339" s="17" t="e">
        <f t="shared" si="208"/>
        <v>#DIV/0!</v>
      </c>
      <c r="V1339" s="17" t="e">
        <f t="shared" si="209"/>
        <v>#DIV/0!</v>
      </c>
      <c r="W1339" s="17" t="e">
        <f t="shared" si="210"/>
        <v>#DIV/0!</v>
      </c>
      <c r="X1339" s="17" t="e">
        <f t="shared" si="211"/>
        <v>#DIV/0!</v>
      </c>
      <c r="Y1339" s="19" t="e">
        <f t="shared" si="212"/>
        <v>#DIV/0!</v>
      </c>
      <c r="Z1339">
        <v>0</v>
      </c>
      <c r="AA1339">
        <v>0</v>
      </c>
      <c r="AB1339">
        <v>0</v>
      </c>
      <c r="AC1339">
        <v>2773</v>
      </c>
      <c r="AD1339">
        <v>225</v>
      </c>
      <c r="AE1339">
        <v>0</v>
      </c>
      <c r="AF1339">
        <v>0</v>
      </c>
      <c r="AG1339">
        <v>0</v>
      </c>
      <c r="AH1339">
        <v>225</v>
      </c>
      <c r="AI1339">
        <v>0</v>
      </c>
      <c r="AJ1339">
        <v>0</v>
      </c>
      <c r="AK1339">
        <v>1613</v>
      </c>
      <c r="AL1339">
        <v>1613</v>
      </c>
      <c r="AM1339">
        <v>0</v>
      </c>
      <c r="AN1339">
        <v>0</v>
      </c>
      <c r="AO1339">
        <v>250</v>
      </c>
      <c r="AP1339">
        <v>0</v>
      </c>
      <c r="AQ1339">
        <v>250</v>
      </c>
      <c r="AR1339">
        <v>250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81</v>
      </c>
      <c r="BA1339">
        <v>81</v>
      </c>
      <c r="BB1339">
        <v>0</v>
      </c>
      <c r="BC1339">
        <v>0</v>
      </c>
      <c r="BD1339">
        <v>0</v>
      </c>
      <c r="BE1339">
        <f t="shared" si="213"/>
        <v>7361</v>
      </c>
      <c r="BF1339">
        <v>4942</v>
      </c>
      <c r="BG1339">
        <v>4942</v>
      </c>
      <c r="BH1339" t="s">
        <v>190</v>
      </c>
      <c r="BI1339" t="s">
        <v>1059</v>
      </c>
      <c r="BJ1339">
        <v>2773</v>
      </c>
      <c r="BK1339">
        <v>2169</v>
      </c>
      <c r="BL1339">
        <v>4942</v>
      </c>
      <c r="BM1339">
        <v>225</v>
      </c>
      <c r="BN1339">
        <v>0</v>
      </c>
      <c r="BO1339">
        <v>0</v>
      </c>
      <c r="BP1339">
        <v>1944</v>
      </c>
      <c r="BQ1339">
        <v>2169</v>
      </c>
      <c r="BR1339">
        <f t="shared" si="214"/>
        <v>-103</v>
      </c>
      <c r="BS1339">
        <f t="shared" si="215"/>
        <v>103</v>
      </c>
    </row>
    <row r="1340" spans="1:74" x14ac:dyDescent="0.25">
      <c r="A1340" s="5" t="s">
        <v>61</v>
      </c>
      <c r="B1340" s="5" t="s">
        <v>61</v>
      </c>
      <c r="C1340" s="5" t="s">
        <v>61</v>
      </c>
      <c r="D1340" s="1" t="s">
        <v>171</v>
      </c>
      <c r="E1340">
        <v>0</v>
      </c>
      <c r="F1340">
        <v>33</v>
      </c>
      <c r="G1340">
        <v>0</v>
      </c>
      <c r="H1340">
        <v>0</v>
      </c>
      <c r="I1340">
        <v>102</v>
      </c>
      <c r="J1340">
        <v>0</v>
      </c>
      <c r="K1340">
        <v>0</v>
      </c>
      <c r="L1340">
        <v>0</v>
      </c>
      <c r="M1340">
        <v>198</v>
      </c>
      <c r="N1340">
        <v>0</v>
      </c>
      <c r="O1340">
        <v>0</v>
      </c>
      <c r="P1340">
        <v>0</v>
      </c>
      <c r="Q1340">
        <v>126</v>
      </c>
      <c r="R1340">
        <v>22</v>
      </c>
      <c r="S1340" s="18">
        <f t="shared" si="206"/>
        <v>9</v>
      </c>
      <c r="T1340" s="17">
        <f t="shared" si="207"/>
        <v>22</v>
      </c>
      <c r="U1340" s="17">
        <f t="shared" si="208"/>
        <v>0</v>
      </c>
      <c r="V1340" s="17">
        <f t="shared" si="209"/>
        <v>0</v>
      </c>
      <c r="W1340" s="17">
        <f t="shared" si="210"/>
        <v>0</v>
      </c>
      <c r="X1340" s="17">
        <f t="shared" si="211"/>
        <v>104</v>
      </c>
      <c r="Y1340" s="19">
        <f t="shared" si="212"/>
        <v>0</v>
      </c>
      <c r="Z1340">
        <v>33</v>
      </c>
      <c r="AA1340">
        <v>0</v>
      </c>
      <c r="AB1340">
        <v>0</v>
      </c>
      <c r="AC1340">
        <v>0</v>
      </c>
      <c r="AD1340">
        <v>102</v>
      </c>
      <c r="AE1340">
        <v>0</v>
      </c>
      <c r="AF1340">
        <v>0</v>
      </c>
      <c r="AG1340">
        <v>0</v>
      </c>
      <c r="AH1340">
        <v>102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f t="shared" si="213"/>
        <v>204</v>
      </c>
      <c r="BF1340">
        <v>135</v>
      </c>
      <c r="BG1340">
        <v>135</v>
      </c>
      <c r="BH1340" t="s">
        <v>109</v>
      </c>
      <c r="BI1340" t="s">
        <v>172</v>
      </c>
      <c r="BJ1340">
        <v>0</v>
      </c>
      <c r="BK1340">
        <v>102</v>
      </c>
      <c r="BL1340">
        <v>135</v>
      </c>
      <c r="BM1340">
        <v>300</v>
      </c>
      <c r="BN1340">
        <v>0</v>
      </c>
      <c r="BO1340">
        <v>0</v>
      </c>
      <c r="BP1340">
        <v>0</v>
      </c>
      <c r="BQ1340">
        <v>300</v>
      </c>
      <c r="BR1340">
        <f t="shared" si="214"/>
        <v>-104</v>
      </c>
      <c r="BS1340">
        <f t="shared" si="215"/>
        <v>148</v>
      </c>
    </row>
    <row r="1341" spans="1:74" x14ac:dyDescent="0.25">
      <c r="A1341" s="6" t="s">
        <v>61</v>
      </c>
      <c r="B1341" s="6" t="s">
        <v>207</v>
      </c>
      <c r="C1341" s="6" t="s">
        <v>61</v>
      </c>
      <c r="D1341" s="1" t="s">
        <v>183</v>
      </c>
      <c r="E1341">
        <v>0</v>
      </c>
      <c r="F1341">
        <v>188</v>
      </c>
      <c r="G1341">
        <v>0</v>
      </c>
      <c r="H1341">
        <v>0</v>
      </c>
      <c r="I1341">
        <v>222</v>
      </c>
      <c r="J1341">
        <v>0</v>
      </c>
      <c r="K1341">
        <v>0</v>
      </c>
      <c r="L1341">
        <v>0</v>
      </c>
      <c r="M1341">
        <v>1692</v>
      </c>
      <c r="N1341">
        <v>0</v>
      </c>
      <c r="O1341">
        <v>0</v>
      </c>
      <c r="P1341">
        <v>0</v>
      </c>
      <c r="Q1341">
        <v>292</v>
      </c>
      <c r="R1341">
        <v>188</v>
      </c>
      <c r="S1341" s="18">
        <f t="shared" si="206"/>
        <v>9</v>
      </c>
      <c r="T1341" s="17">
        <f t="shared" si="207"/>
        <v>188</v>
      </c>
      <c r="U1341" s="17">
        <f t="shared" si="208"/>
        <v>0</v>
      </c>
      <c r="V1341" s="17">
        <f t="shared" si="209"/>
        <v>0</v>
      </c>
      <c r="W1341" s="17">
        <f t="shared" si="210"/>
        <v>0</v>
      </c>
      <c r="X1341" s="17">
        <f t="shared" si="211"/>
        <v>104</v>
      </c>
      <c r="Y1341" s="19">
        <f t="shared" si="212"/>
        <v>0</v>
      </c>
      <c r="Z1341">
        <v>188</v>
      </c>
      <c r="AA1341">
        <v>0</v>
      </c>
      <c r="AB1341">
        <v>0</v>
      </c>
      <c r="AC1341">
        <v>0</v>
      </c>
      <c r="AD1341">
        <v>222</v>
      </c>
      <c r="AE1341">
        <v>0</v>
      </c>
      <c r="AF1341">
        <v>0</v>
      </c>
      <c r="AG1341">
        <v>0</v>
      </c>
      <c r="AH1341">
        <v>222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f t="shared" si="213"/>
        <v>444</v>
      </c>
      <c r="BF1341">
        <v>410</v>
      </c>
      <c r="BG1341">
        <v>410</v>
      </c>
      <c r="BH1341" t="s">
        <v>109</v>
      </c>
      <c r="BI1341" t="s">
        <v>268</v>
      </c>
      <c r="BJ1341">
        <v>0</v>
      </c>
      <c r="BK1341">
        <v>222</v>
      </c>
      <c r="BL1341">
        <v>410</v>
      </c>
      <c r="BM1341">
        <v>1914</v>
      </c>
      <c r="BN1341">
        <v>0</v>
      </c>
      <c r="BO1341">
        <v>0</v>
      </c>
      <c r="BP1341">
        <v>0</v>
      </c>
      <c r="BQ1341">
        <v>1914</v>
      </c>
      <c r="BR1341">
        <f t="shared" si="214"/>
        <v>-104</v>
      </c>
      <c r="BS1341">
        <f t="shared" si="215"/>
        <v>480</v>
      </c>
    </row>
    <row r="1342" spans="1:74" x14ac:dyDescent="0.25">
      <c r="A1342" s="7" t="s">
        <v>1337</v>
      </c>
      <c r="B1342" s="7" t="s">
        <v>61</v>
      </c>
      <c r="C1342" s="7" t="s">
        <v>61</v>
      </c>
      <c r="D1342" s="1" t="s">
        <v>86</v>
      </c>
      <c r="E1342">
        <v>0</v>
      </c>
      <c r="F1342">
        <v>32</v>
      </c>
      <c r="G1342">
        <v>0</v>
      </c>
      <c r="H1342">
        <v>0</v>
      </c>
      <c r="I1342">
        <v>548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288</v>
      </c>
      <c r="Q1342">
        <v>136</v>
      </c>
      <c r="R1342">
        <v>32</v>
      </c>
      <c r="S1342" s="18">
        <f t="shared" si="206"/>
        <v>9</v>
      </c>
      <c r="T1342" s="17">
        <f t="shared" si="207"/>
        <v>0</v>
      </c>
      <c r="U1342" s="17">
        <f t="shared" si="208"/>
        <v>0</v>
      </c>
      <c r="V1342" s="17">
        <f t="shared" si="209"/>
        <v>0</v>
      </c>
      <c r="W1342" s="17">
        <f t="shared" si="210"/>
        <v>32</v>
      </c>
      <c r="X1342" s="17">
        <f t="shared" si="211"/>
        <v>104</v>
      </c>
      <c r="Y1342" s="19">
        <f t="shared" si="212"/>
        <v>0</v>
      </c>
      <c r="Z1342">
        <v>32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548</v>
      </c>
      <c r="AH1342">
        <v>548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f t="shared" si="213"/>
        <v>1096</v>
      </c>
      <c r="BF1342">
        <v>580</v>
      </c>
      <c r="BG1342">
        <v>580</v>
      </c>
      <c r="BH1342" t="s">
        <v>109</v>
      </c>
      <c r="BI1342" t="s">
        <v>1347</v>
      </c>
      <c r="BJ1342">
        <v>0</v>
      </c>
      <c r="BK1342">
        <v>548</v>
      </c>
      <c r="BL1342">
        <v>580</v>
      </c>
      <c r="BM1342">
        <v>0</v>
      </c>
      <c r="BN1342">
        <v>0</v>
      </c>
      <c r="BO1342">
        <v>0</v>
      </c>
      <c r="BP1342">
        <v>836</v>
      </c>
      <c r="BQ1342">
        <v>836</v>
      </c>
      <c r="BR1342">
        <f t="shared" si="214"/>
        <v>-104</v>
      </c>
      <c r="BS1342">
        <f t="shared" si="215"/>
        <v>168</v>
      </c>
    </row>
    <row r="1343" spans="1:74" x14ac:dyDescent="0.25">
      <c r="A1343" s="5" t="s">
        <v>1451</v>
      </c>
      <c r="B1343" s="5" t="s">
        <v>61</v>
      </c>
      <c r="C1343" s="5" t="s">
        <v>61</v>
      </c>
      <c r="D1343" s="1" t="s">
        <v>81</v>
      </c>
      <c r="E1343">
        <v>321</v>
      </c>
      <c r="F1343">
        <v>246</v>
      </c>
      <c r="G1343">
        <v>0</v>
      </c>
      <c r="H1343">
        <v>0</v>
      </c>
      <c r="I1343">
        <v>219</v>
      </c>
      <c r="J1343">
        <v>2865</v>
      </c>
      <c r="K1343">
        <v>451</v>
      </c>
      <c r="L1343">
        <v>130</v>
      </c>
      <c r="M1343">
        <v>0</v>
      </c>
      <c r="N1343">
        <v>0</v>
      </c>
      <c r="O1343">
        <v>0</v>
      </c>
      <c r="P1343">
        <v>1602</v>
      </c>
      <c r="Q1343">
        <v>282</v>
      </c>
      <c r="R1343">
        <v>178</v>
      </c>
      <c r="S1343" s="18">
        <f t="shared" si="206"/>
        <v>9</v>
      </c>
      <c r="T1343" s="17">
        <f t="shared" si="207"/>
        <v>0</v>
      </c>
      <c r="U1343" s="17">
        <f t="shared" si="208"/>
        <v>0</v>
      </c>
      <c r="V1343" s="17">
        <f t="shared" si="209"/>
        <v>0</v>
      </c>
      <c r="W1343" s="17">
        <f t="shared" si="210"/>
        <v>178</v>
      </c>
      <c r="X1343" s="17">
        <f t="shared" si="211"/>
        <v>104</v>
      </c>
      <c r="Y1343" s="19">
        <f t="shared" si="212"/>
        <v>0</v>
      </c>
      <c r="Z1343">
        <v>246</v>
      </c>
      <c r="AA1343">
        <v>8</v>
      </c>
      <c r="AB1343">
        <v>255</v>
      </c>
      <c r="AC1343">
        <v>3228</v>
      </c>
      <c r="AD1343">
        <v>0</v>
      </c>
      <c r="AE1343">
        <v>0</v>
      </c>
      <c r="AF1343">
        <v>0</v>
      </c>
      <c r="AG1343">
        <v>219</v>
      </c>
      <c r="AH1343">
        <v>219</v>
      </c>
      <c r="AI1343">
        <v>0</v>
      </c>
      <c r="AJ1343">
        <v>0</v>
      </c>
      <c r="AK1343">
        <v>2865</v>
      </c>
      <c r="AL1343">
        <v>2865</v>
      </c>
      <c r="AM1343">
        <v>0</v>
      </c>
      <c r="AN1343">
        <v>0</v>
      </c>
      <c r="AO1343">
        <v>451</v>
      </c>
      <c r="AP1343">
        <v>0</v>
      </c>
      <c r="AQ1343">
        <v>451</v>
      </c>
      <c r="AR1343">
        <v>451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130</v>
      </c>
      <c r="BA1343">
        <v>130</v>
      </c>
      <c r="BB1343">
        <v>0</v>
      </c>
      <c r="BC1343">
        <v>0</v>
      </c>
      <c r="BD1343">
        <v>0</v>
      </c>
      <c r="BE1343">
        <f t="shared" si="213"/>
        <v>11009</v>
      </c>
      <c r="BF1343">
        <v>7723</v>
      </c>
      <c r="BG1343">
        <v>7723</v>
      </c>
      <c r="BH1343" t="s">
        <v>82</v>
      </c>
      <c r="BI1343" t="s">
        <v>1458</v>
      </c>
      <c r="BJ1343">
        <v>3812</v>
      </c>
      <c r="BK1343">
        <v>3665</v>
      </c>
      <c r="BL1343">
        <v>7723</v>
      </c>
      <c r="BM1343">
        <v>0</v>
      </c>
      <c r="BN1343">
        <v>0</v>
      </c>
      <c r="BO1343">
        <v>0</v>
      </c>
      <c r="BP1343">
        <v>5267</v>
      </c>
      <c r="BQ1343">
        <v>5267</v>
      </c>
      <c r="BR1343">
        <f t="shared" si="214"/>
        <v>-104</v>
      </c>
      <c r="BS1343">
        <f t="shared" si="215"/>
        <v>460</v>
      </c>
    </row>
    <row r="1344" spans="1:74" x14ac:dyDescent="0.25">
      <c r="A1344" s="5" t="s">
        <v>1661</v>
      </c>
      <c r="B1344" s="5" t="s">
        <v>61</v>
      </c>
      <c r="C1344" s="5" t="s">
        <v>359</v>
      </c>
      <c r="D1344" s="1" t="s">
        <v>123</v>
      </c>
      <c r="E1344">
        <v>0</v>
      </c>
      <c r="F1344">
        <v>170</v>
      </c>
      <c r="G1344">
        <v>0</v>
      </c>
      <c r="H1344">
        <v>0</v>
      </c>
      <c r="I1344">
        <v>7</v>
      </c>
      <c r="J1344">
        <v>1851</v>
      </c>
      <c r="K1344">
        <v>80</v>
      </c>
      <c r="L1344">
        <v>10</v>
      </c>
      <c r="M1344">
        <v>0</v>
      </c>
      <c r="N1344">
        <v>0</v>
      </c>
      <c r="O1344">
        <v>0</v>
      </c>
      <c r="P1344">
        <v>675</v>
      </c>
      <c r="Q1344">
        <v>179</v>
      </c>
      <c r="R1344">
        <v>75</v>
      </c>
      <c r="S1344" s="18">
        <f t="shared" si="206"/>
        <v>9</v>
      </c>
      <c r="T1344" s="17">
        <f t="shared" si="207"/>
        <v>0</v>
      </c>
      <c r="U1344" s="17">
        <f t="shared" si="208"/>
        <v>0</v>
      </c>
      <c r="V1344" s="17">
        <f t="shared" si="209"/>
        <v>0</v>
      </c>
      <c r="W1344" s="17">
        <f t="shared" si="210"/>
        <v>75</v>
      </c>
      <c r="X1344" s="17">
        <f t="shared" si="211"/>
        <v>104</v>
      </c>
      <c r="Y1344" s="19">
        <f t="shared" si="212"/>
        <v>0</v>
      </c>
      <c r="Z1344">
        <v>170</v>
      </c>
      <c r="AA1344">
        <v>0</v>
      </c>
      <c r="AB1344">
        <v>360</v>
      </c>
      <c r="AC1344">
        <v>718</v>
      </c>
      <c r="AD1344">
        <v>0</v>
      </c>
      <c r="AE1344">
        <v>0</v>
      </c>
      <c r="AF1344">
        <v>0</v>
      </c>
      <c r="AG1344">
        <v>7</v>
      </c>
      <c r="AH1344">
        <v>7</v>
      </c>
      <c r="AI1344">
        <v>0</v>
      </c>
      <c r="AJ1344">
        <v>0</v>
      </c>
      <c r="AK1344">
        <v>1851</v>
      </c>
      <c r="AL1344">
        <v>1851</v>
      </c>
      <c r="AM1344">
        <v>0</v>
      </c>
      <c r="AN1344">
        <v>0</v>
      </c>
      <c r="AO1344">
        <v>80</v>
      </c>
      <c r="AP1344">
        <v>0</v>
      </c>
      <c r="AQ1344">
        <v>80</v>
      </c>
      <c r="AR1344">
        <v>80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10</v>
      </c>
      <c r="BA1344">
        <v>10</v>
      </c>
      <c r="BB1344">
        <v>0</v>
      </c>
      <c r="BC1344">
        <v>0</v>
      </c>
      <c r="BD1344">
        <v>0</v>
      </c>
      <c r="BE1344">
        <f t="shared" si="213"/>
        <v>4694</v>
      </c>
      <c r="BF1344">
        <v>3196</v>
      </c>
      <c r="BG1344">
        <v>3196</v>
      </c>
      <c r="BH1344" t="s">
        <v>82</v>
      </c>
      <c r="BI1344" t="s">
        <v>642</v>
      </c>
      <c r="BJ1344">
        <v>1078</v>
      </c>
      <c r="BK1344">
        <v>1948</v>
      </c>
      <c r="BL1344">
        <v>3196</v>
      </c>
      <c r="BM1344">
        <v>0</v>
      </c>
      <c r="BN1344">
        <v>0</v>
      </c>
      <c r="BO1344">
        <v>0</v>
      </c>
      <c r="BP1344">
        <v>2623</v>
      </c>
      <c r="BQ1344">
        <v>2623</v>
      </c>
      <c r="BR1344">
        <f t="shared" si="214"/>
        <v>-104</v>
      </c>
      <c r="BS1344">
        <f t="shared" si="215"/>
        <v>254</v>
      </c>
    </row>
    <row r="1345" spans="1:74" x14ac:dyDescent="0.25">
      <c r="A1345" s="5" t="s">
        <v>61</v>
      </c>
      <c r="B1345" s="5" t="s">
        <v>359</v>
      </c>
      <c r="C1345" s="5" t="s">
        <v>61</v>
      </c>
      <c r="D1345" s="1" t="s">
        <v>88</v>
      </c>
      <c r="E1345">
        <v>0</v>
      </c>
      <c r="F1345">
        <v>5</v>
      </c>
      <c r="G1345">
        <v>0</v>
      </c>
      <c r="H1345">
        <v>0</v>
      </c>
      <c r="I1345">
        <v>75</v>
      </c>
      <c r="J1345">
        <v>935</v>
      </c>
      <c r="K1345">
        <v>280</v>
      </c>
      <c r="L1345">
        <v>49</v>
      </c>
      <c r="M1345">
        <v>0</v>
      </c>
      <c r="N1345">
        <v>0</v>
      </c>
      <c r="O1345">
        <v>0</v>
      </c>
      <c r="P1345">
        <v>45</v>
      </c>
      <c r="Q1345">
        <v>110</v>
      </c>
      <c r="R1345">
        <v>5</v>
      </c>
      <c r="S1345" s="18">
        <f t="shared" si="206"/>
        <v>9</v>
      </c>
      <c r="T1345" s="17">
        <f t="shared" si="207"/>
        <v>0</v>
      </c>
      <c r="U1345" s="17">
        <f t="shared" si="208"/>
        <v>0</v>
      </c>
      <c r="V1345" s="17">
        <f t="shared" si="209"/>
        <v>0</v>
      </c>
      <c r="W1345" s="17">
        <f t="shared" si="210"/>
        <v>5</v>
      </c>
      <c r="X1345" s="17">
        <f t="shared" si="211"/>
        <v>105</v>
      </c>
      <c r="Y1345" s="19">
        <f t="shared" si="212"/>
        <v>0</v>
      </c>
      <c r="Z1345">
        <v>5</v>
      </c>
      <c r="AA1345">
        <v>4</v>
      </c>
      <c r="AB1345">
        <v>120</v>
      </c>
      <c r="AC1345">
        <v>740</v>
      </c>
      <c r="AD1345">
        <v>0</v>
      </c>
      <c r="AE1345">
        <v>0</v>
      </c>
      <c r="AF1345">
        <v>0</v>
      </c>
      <c r="AG1345">
        <v>75</v>
      </c>
      <c r="AH1345">
        <v>75</v>
      </c>
      <c r="AI1345">
        <v>0</v>
      </c>
      <c r="AJ1345">
        <v>0</v>
      </c>
      <c r="AK1345">
        <v>935</v>
      </c>
      <c r="AL1345">
        <v>935</v>
      </c>
      <c r="AM1345">
        <v>0</v>
      </c>
      <c r="AN1345">
        <v>0</v>
      </c>
      <c r="AO1345">
        <v>280</v>
      </c>
      <c r="AP1345">
        <v>50</v>
      </c>
      <c r="AQ1345">
        <v>280</v>
      </c>
      <c r="AR1345">
        <v>230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49</v>
      </c>
      <c r="BA1345">
        <v>49</v>
      </c>
      <c r="BB1345">
        <v>0</v>
      </c>
      <c r="BC1345">
        <v>0</v>
      </c>
      <c r="BD1345">
        <v>0</v>
      </c>
      <c r="BE1345">
        <f t="shared" si="213"/>
        <v>3698</v>
      </c>
      <c r="BF1345">
        <v>2208</v>
      </c>
      <c r="BG1345">
        <v>2208</v>
      </c>
      <c r="BH1345" t="s">
        <v>82</v>
      </c>
      <c r="BI1345" t="s">
        <v>372</v>
      </c>
      <c r="BJ1345">
        <v>864</v>
      </c>
      <c r="BK1345">
        <v>1339</v>
      </c>
      <c r="BL1345">
        <v>2208</v>
      </c>
      <c r="BM1345">
        <v>0</v>
      </c>
      <c r="BN1345">
        <v>0</v>
      </c>
      <c r="BO1345">
        <v>0</v>
      </c>
      <c r="BP1345">
        <v>1384</v>
      </c>
      <c r="BQ1345">
        <v>1384</v>
      </c>
      <c r="BR1345">
        <f t="shared" si="214"/>
        <v>-105</v>
      </c>
      <c r="BS1345">
        <f t="shared" si="215"/>
        <v>115</v>
      </c>
    </row>
    <row r="1346" spans="1:74" x14ac:dyDescent="0.25">
      <c r="A1346" s="5" t="s">
        <v>1337</v>
      </c>
      <c r="B1346" s="5" t="s">
        <v>207</v>
      </c>
      <c r="C1346" s="5" t="s">
        <v>61</v>
      </c>
      <c r="D1346" s="1" t="s">
        <v>90</v>
      </c>
      <c r="E1346">
        <v>0</v>
      </c>
      <c r="F1346">
        <v>42</v>
      </c>
      <c r="G1346">
        <v>0</v>
      </c>
      <c r="H1346">
        <v>0</v>
      </c>
      <c r="I1346">
        <v>600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180</v>
      </c>
      <c r="Q1346">
        <v>125</v>
      </c>
      <c r="R1346">
        <v>20</v>
      </c>
      <c r="S1346" s="18">
        <f t="shared" ref="S1346:S1409" si="216">(M1346+N1346+O1346+P1346)/R1346</f>
        <v>9</v>
      </c>
      <c r="T1346" s="17">
        <f t="shared" ref="T1346:T1409" si="217">M1346/$S1346</f>
        <v>0</v>
      </c>
      <c r="U1346" s="17">
        <f t="shared" ref="U1346:U1409" si="218">N1346/$S1346</f>
        <v>0</v>
      </c>
      <c r="V1346" s="17">
        <f t="shared" ref="V1346:V1409" si="219">O1346/$S1346</f>
        <v>0</v>
      </c>
      <c r="W1346" s="17">
        <f t="shared" ref="W1346:W1409" si="220">P1346/$S1346</f>
        <v>20</v>
      </c>
      <c r="X1346" s="17">
        <f t="shared" ref="X1346:X1409" si="221">Q1346-T1346-U1346-W1346</f>
        <v>105</v>
      </c>
      <c r="Y1346" s="19">
        <f t="shared" ref="Y1346:Y1409" si="222">V1346/X1346</f>
        <v>0</v>
      </c>
      <c r="Z1346">
        <v>42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600</v>
      </c>
      <c r="AH1346">
        <v>600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f t="shared" ref="BE1346:BE1409" si="223">SUM(AC1346:BD1346)</f>
        <v>1200</v>
      </c>
      <c r="BF1346">
        <v>642</v>
      </c>
      <c r="BG1346">
        <v>642</v>
      </c>
      <c r="BH1346" t="s">
        <v>109</v>
      </c>
      <c r="BI1346" t="s">
        <v>1383</v>
      </c>
      <c r="BJ1346">
        <v>0</v>
      </c>
      <c r="BK1346">
        <v>600</v>
      </c>
      <c r="BL1346">
        <v>642</v>
      </c>
      <c r="BM1346">
        <v>0</v>
      </c>
      <c r="BN1346">
        <v>0</v>
      </c>
      <c r="BO1346">
        <v>0</v>
      </c>
      <c r="BP1346">
        <v>780</v>
      </c>
      <c r="BQ1346">
        <v>780</v>
      </c>
      <c r="BR1346">
        <f t="shared" ref="BR1346:BR1409" si="224">R1346-Q1346</f>
        <v>-105</v>
      </c>
      <c r="BS1346">
        <f t="shared" ref="BS1346:BS1409" si="225">R1346+Q1346</f>
        <v>145</v>
      </c>
    </row>
    <row r="1347" spans="1:74" x14ac:dyDescent="0.25">
      <c r="A1347" s="5" t="s">
        <v>1451</v>
      </c>
      <c r="B1347" s="5" t="s">
        <v>207</v>
      </c>
      <c r="C1347" s="5" t="s">
        <v>61</v>
      </c>
      <c r="D1347" s="1" t="s">
        <v>90</v>
      </c>
      <c r="E1347">
        <v>0</v>
      </c>
      <c r="F1347">
        <v>40</v>
      </c>
      <c r="G1347">
        <v>0</v>
      </c>
      <c r="H1347">
        <v>0</v>
      </c>
      <c r="I1347">
        <v>0</v>
      </c>
      <c r="J1347">
        <v>0</v>
      </c>
      <c r="K1347">
        <v>60</v>
      </c>
      <c r="L1347">
        <v>0</v>
      </c>
      <c r="M1347">
        <v>0</v>
      </c>
      <c r="N1347">
        <v>0</v>
      </c>
      <c r="O1347">
        <v>0</v>
      </c>
      <c r="P1347">
        <v>243</v>
      </c>
      <c r="Q1347">
        <v>132</v>
      </c>
      <c r="R1347">
        <v>27</v>
      </c>
      <c r="S1347" s="18">
        <f t="shared" si="216"/>
        <v>9</v>
      </c>
      <c r="T1347" s="17">
        <f t="shared" si="217"/>
        <v>0</v>
      </c>
      <c r="U1347" s="17">
        <f t="shared" si="218"/>
        <v>0</v>
      </c>
      <c r="V1347" s="17">
        <f t="shared" si="219"/>
        <v>0</v>
      </c>
      <c r="W1347" s="17">
        <f t="shared" si="220"/>
        <v>27</v>
      </c>
      <c r="X1347" s="17">
        <f t="shared" si="221"/>
        <v>105</v>
      </c>
      <c r="Y1347" s="19">
        <f t="shared" si="222"/>
        <v>0</v>
      </c>
      <c r="Z1347">
        <v>40</v>
      </c>
      <c r="AA1347">
        <v>0</v>
      </c>
      <c r="AB1347">
        <v>0</v>
      </c>
      <c r="AC1347">
        <v>690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60</v>
      </c>
      <c r="AP1347">
        <v>40</v>
      </c>
      <c r="AQ1347">
        <v>60</v>
      </c>
      <c r="AR1347">
        <v>20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f t="shared" si="223"/>
        <v>870</v>
      </c>
      <c r="BF1347">
        <v>790</v>
      </c>
      <c r="BG1347">
        <v>790</v>
      </c>
      <c r="BH1347" t="s">
        <v>82</v>
      </c>
      <c r="BI1347" t="s">
        <v>288</v>
      </c>
      <c r="BJ1347">
        <v>690</v>
      </c>
      <c r="BK1347">
        <v>60</v>
      </c>
      <c r="BL1347">
        <v>790</v>
      </c>
      <c r="BM1347">
        <v>0</v>
      </c>
      <c r="BN1347">
        <v>0</v>
      </c>
      <c r="BO1347">
        <v>0</v>
      </c>
      <c r="BP1347">
        <v>303</v>
      </c>
      <c r="BQ1347">
        <v>303</v>
      </c>
      <c r="BR1347">
        <f t="shared" si="224"/>
        <v>-105</v>
      </c>
      <c r="BS1347">
        <f t="shared" si="225"/>
        <v>159</v>
      </c>
    </row>
    <row r="1348" spans="1:74" x14ac:dyDescent="0.25">
      <c r="A1348" s="5" t="s">
        <v>1451</v>
      </c>
      <c r="B1348" s="5" t="s">
        <v>207</v>
      </c>
      <c r="C1348" s="5" t="s">
        <v>207</v>
      </c>
      <c r="D1348" s="1" t="s">
        <v>131</v>
      </c>
      <c r="E1348">
        <v>0</v>
      </c>
      <c r="F1348">
        <v>58</v>
      </c>
      <c r="G1348">
        <v>0</v>
      </c>
      <c r="H1348">
        <v>0</v>
      </c>
      <c r="I1348">
        <v>0</v>
      </c>
      <c r="J1348">
        <v>0</v>
      </c>
      <c r="K1348">
        <v>393</v>
      </c>
      <c r="L1348">
        <v>0</v>
      </c>
      <c r="M1348">
        <v>0</v>
      </c>
      <c r="N1348">
        <v>0</v>
      </c>
      <c r="O1348">
        <v>0</v>
      </c>
      <c r="P1348">
        <v>144</v>
      </c>
      <c r="Q1348">
        <v>121</v>
      </c>
      <c r="R1348">
        <v>16</v>
      </c>
      <c r="S1348" s="18">
        <f t="shared" si="216"/>
        <v>9</v>
      </c>
      <c r="T1348" s="17">
        <f t="shared" si="217"/>
        <v>0</v>
      </c>
      <c r="U1348" s="17">
        <f t="shared" si="218"/>
        <v>0</v>
      </c>
      <c r="V1348" s="17">
        <f t="shared" si="219"/>
        <v>0</v>
      </c>
      <c r="W1348" s="17">
        <f t="shared" si="220"/>
        <v>16</v>
      </c>
      <c r="X1348" s="17">
        <f t="shared" si="221"/>
        <v>105</v>
      </c>
      <c r="Y1348" s="19">
        <f t="shared" si="222"/>
        <v>0</v>
      </c>
      <c r="Z1348">
        <v>58</v>
      </c>
      <c r="AA1348">
        <v>0</v>
      </c>
      <c r="AB1348">
        <v>0</v>
      </c>
      <c r="AC1348">
        <v>138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393</v>
      </c>
      <c r="AP1348">
        <v>393</v>
      </c>
      <c r="AQ1348">
        <v>393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f t="shared" si="223"/>
        <v>1317</v>
      </c>
      <c r="BF1348">
        <v>589</v>
      </c>
      <c r="BG1348">
        <v>589</v>
      </c>
      <c r="BH1348" t="s">
        <v>546</v>
      </c>
      <c r="BI1348" t="s">
        <v>1585</v>
      </c>
      <c r="BJ1348">
        <v>138</v>
      </c>
      <c r="BK1348">
        <v>393</v>
      </c>
      <c r="BL1348">
        <v>589</v>
      </c>
      <c r="BM1348">
        <v>0</v>
      </c>
      <c r="BN1348">
        <v>0</v>
      </c>
      <c r="BO1348">
        <v>0</v>
      </c>
      <c r="BP1348">
        <v>537</v>
      </c>
      <c r="BQ1348">
        <v>537</v>
      </c>
      <c r="BR1348">
        <f t="shared" si="224"/>
        <v>-105</v>
      </c>
      <c r="BS1348">
        <f t="shared" si="225"/>
        <v>137</v>
      </c>
    </row>
    <row r="1349" spans="1:74" x14ac:dyDescent="0.25">
      <c r="A1349" s="5" t="s">
        <v>1661</v>
      </c>
      <c r="B1349" s="5" t="s">
        <v>207</v>
      </c>
      <c r="C1349" s="5" t="s">
        <v>207</v>
      </c>
      <c r="D1349" s="1" t="s">
        <v>104</v>
      </c>
      <c r="E1349">
        <v>0</v>
      </c>
      <c r="F1349">
        <v>102</v>
      </c>
      <c r="G1349">
        <v>0</v>
      </c>
      <c r="H1349">
        <v>0</v>
      </c>
      <c r="I1349">
        <v>5</v>
      </c>
      <c r="J1349">
        <v>1110</v>
      </c>
      <c r="K1349">
        <v>90</v>
      </c>
      <c r="L1349">
        <v>0</v>
      </c>
      <c r="M1349">
        <v>0</v>
      </c>
      <c r="N1349">
        <v>0</v>
      </c>
      <c r="O1349">
        <v>0</v>
      </c>
      <c r="P1349">
        <v>333</v>
      </c>
      <c r="Q1349">
        <v>142</v>
      </c>
      <c r="R1349">
        <v>37</v>
      </c>
      <c r="S1349" s="18">
        <f t="shared" si="216"/>
        <v>9</v>
      </c>
      <c r="T1349" s="17">
        <f t="shared" si="217"/>
        <v>0</v>
      </c>
      <c r="U1349" s="17">
        <f t="shared" si="218"/>
        <v>0</v>
      </c>
      <c r="V1349" s="17">
        <f t="shared" si="219"/>
        <v>0</v>
      </c>
      <c r="W1349" s="17">
        <f t="shared" si="220"/>
        <v>37</v>
      </c>
      <c r="X1349" s="17">
        <f t="shared" si="221"/>
        <v>105</v>
      </c>
      <c r="Y1349" s="19">
        <f t="shared" si="222"/>
        <v>0</v>
      </c>
      <c r="Z1349">
        <v>102</v>
      </c>
      <c r="AA1349">
        <v>0</v>
      </c>
      <c r="AB1349">
        <v>0</v>
      </c>
      <c r="AC1349">
        <v>1271</v>
      </c>
      <c r="AD1349">
        <v>0</v>
      </c>
      <c r="AE1349">
        <v>0</v>
      </c>
      <c r="AF1349">
        <v>0</v>
      </c>
      <c r="AG1349">
        <v>5</v>
      </c>
      <c r="AH1349">
        <v>5</v>
      </c>
      <c r="AI1349">
        <v>0</v>
      </c>
      <c r="AJ1349">
        <v>0</v>
      </c>
      <c r="AK1349">
        <v>1110</v>
      </c>
      <c r="AL1349">
        <v>1110</v>
      </c>
      <c r="AM1349">
        <v>0</v>
      </c>
      <c r="AN1349">
        <v>0</v>
      </c>
      <c r="AO1349">
        <v>90</v>
      </c>
      <c r="AP1349">
        <v>83</v>
      </c>
      <c r="AQ1349">
        <v>90</v>
      </c>
      <c r="AR1349">
        <v>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f t="shared" si="223"/>
        <v>3771</v>
      </c>
      <c r="BF1349">
        <v>2578</v>
      </c>
      <c r="BG1349">
        <v>2578</v>
      </c>
      <c r="BH1349" t="s">
        <v>82</v>
      </c>
      <c r="BI1349" t="s">
        <v>1812</v>
      </c>
      <c r="BJ1349">
        <v>1271</v>
      </c>
      <c r="BK1349">
        <v>1205</v>
      </c>
      <c r="BL1349">
        <v>2578</v>
      </c>
      <c r="BM1349">
        <v>0</v>
      </c>
      <c r="BN1349">
        <v>0</v>
      </c>
      <c r="BO1349">
        <v>0</v>
      </c>
      <c r="BP1349">
        <v>1538</v>
      </c>
      <c r="BQ1349">
        <v>1538</v>
      </c>
      <c r="BR1349">
        <f t="shared" si="224"/>
        <v>-105</v>
      </c>
      <c r="BS1349">
        <f t="shared" si="225"/>
        <v>179</v>
      </c>
    </row>
    <row r="1350" spans="1:74" x14ac:dyDescent="0.25">
      <c r="A1350" s="5" t="s">
        <v>1661</v>
      </c>
      <c r="B1350" s="5" t="s">
        <v>359</v>
      </c>
      <c r="C1350" s="5" t="s">
        <v>207</v>
      </c>
      <c r="D1350" s="1" t="s">
        <v>90</v>
      </c>
      <c r="E1350">
        <v>0</v>
      </c>
      <c r="F1350">
        <v>0</v>
      </c>
      <c r="G1350">
        <v>0</v>
      </c>
      <c r="H1350">
        <v>0</v>
      </c>
      <c r="I1350">
        <v>365</v>
      </c>
      <c r="J1350">
        <v>0</v>
      </c>
      <c r="K1350">
        <v>290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s="18" t="e">
        <f t="shared" si="216"/>
        <v>#DIV/0!</v>
      </c>
      <c r="T1350" s="17" t="e">
        <f t="shared" si="217"/>
        <v>#DIV/0!</v>
      </c>
      <c r="U1350" s="17" t="e">
        <f t="shared" si="218"/>
        <v>#DIV/0!</v>
      </c>
      <c r="V1350" s="17" t="e">
        <f t="shared" si="219"/>
        <v>#DIV/0!</v>
      </c>
      <c r="W1350" s="17" t="e">
        <f t="shared" si="220"/>
        <v>#DIV/0!</v>
      </c>
      <c r="X1350" s="17" t="e">
        <f t="shared" si="221"/>
        <v>#DIV/0!</v>
      </c>
      <c r="Y1350" s="19" t="e">
        <f t="shared" si="222"/>
        <v>#DIV/0!</v>
      </c>
      <c r="Z1350">
        <v>0</v>
      </c>
      <c r="AA1350">
        <v>0</v>
      </c>
      <c r="AB1350">
        <v>0</v>
      </c>
      <c r="AC1350">
        <v>8235</v>
      </c>
      <c r="AD1350">
        <v>0</v>
      </c>
      <c r="AE1350">
        <v>0</v>
      </c>
      <c r="AF1350">
        <v>0</v>
      </c>
      <c r="AG1350">
        <v>365</v>
      </c>
      <c r="AH1350">
        <v>365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290</v>
      </c>
      <c r="AP1350">
        <v>290</v>
      </c>
      <c r="AQ1350">
        <v>290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f t="shared" si="223"/>
        <v>9835</v>
      </c>
      <c r="BF1350">
        <v>7659</v>
      </c>
      <c r="BG1350">
        <v>7659</v>
      </c>
      <c r="BH1350" t="s">
        <v>543</v>
      </c>
      <c r="BI1350" t="s">
        <v>1895</v>
      </c>
      <c r="BJ1350">
        <v>8235</v>
      </c>
      <c r="BK1350">
        <v>655</v>
      </c>
      <c r="BL1350">
        <v>8890</v>
      </c>
      <c r="BM1350">
        <v>0</v>
      </c>
      <c r="BN1350">
        <v>0</v>
      </c>
      <c r="BO1350">
        <v>0</v>
      </c>
      <c r="BP1350">
        <v>655</v>
      </c>
      <c r="BQ1350">
        <v>655</v>
      </c>
      <c r="BR1350">
        <f t="shared" si="224"/>
        <v>0</v>
      </c>
      <c r="BS1350">
        <f t="shared" si="225"/>
        <v>0</v>
      </c>
      <c r="BU1350">
        <f>R1350*9</f>
        <v>0</v>
      </c>
      <c r="BV1350">
        <f>IF(BU1350&gt;BG1350, 1, 0)</f>
        <v>0</v>
      </c>
    </row>
    <row r="1351" spans="1:74" x14ac:dyDescent="0.25">
      <c r="A1351" s="5" t="s">
        <v>2090</v>
      </c>
      <c r="B1351" s="5" t="s">
        <v>207</v>
      </c>
      <c r="C1351" s="5" t="s">
        <v>61</v>
      </c>
      <c r="D1351" s="1" t="s">
        <v>349</v>
      </c>
      <c r="E1351">
        <v>34</v>
      </c>
      <c r="F1351">
        <v>0</v>
      </c>
      <c r="G1351">
        <v>0</v>
      </c>
      <c r="H1351">
        <v>0</v>
      </c>
      <c r="I1351">
        <v>176</v>
      </c>
      <c r="J1351">
        <v>342</v>
      </c>
      <c r="K1351">
        <v>62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105</v>
      </c>
      <c r="R1351">
        <v>0</v>
      </c>
      <c r="S1351" s="18" t="e">
        <f t="shared" si="216"/>
        <v>#DIV/0!</v>
      </c>
      <c r="T1351" s="17" t="e">
        <f t="shared" si="217"/>
        <v>#DIV/0!</v>
      </c>
      <c r="U1351" s="17" t="e">
        <f t="shared" si="218"/>
        <v>#DIV/0!</v>
      </c>
      <c r="V1351" s="17" t="e">
        <f t="shared" si="219"/>
        <v>#DIV/0!</v>
      </c>
      <c r="W1351" s="17" t="e">
        <f t="shared" si="220"/>
        <v>#DIV/0!</v>
      </c>
      <c r="X1351" s="17" t="e">
        <f t="shared" si="221"/>
        <v>#DIV/0!</v>
      </c>
      <c r="Y1351" s="19" t="e">
        <f t="shared" si="222"/>
        <v>#DIV/0!</v>
      </c>
      <c r="Z1351">
        <v>0</v>
      </c>
      <c r="AA1351">
        <v>0</v>
      </c>
      <c r="AB1351">
        <v>0</v>
      </c>
      <c r="AC1351">
        <v>624</v>
      </c>
      <c r="AD1351">
        <v>0</v>
      </c>
      <c r="AE1351">
        <v>0</v>
      </c>
      <c r="AF1351">
        <v>0</v>
      </c>
      <c r="AG1351">
        <v>176</v>
      </c>
      <c r="AH1351">
        <v>176</v>
      </c>
      <c r="AI1351">
        <v>0</v>
      </c>
      <c r="AJ1351">
        <v>0</v>
      </c>
      <c r="AK1351">
        <v>342</v>
      </c>
      <c r="AL1351">
        <v>342</v>
      </c>
      <c r="AM1351">
        <v>0</v>
      </c>
      <c r="AN1351">
        <v>0</v>
      </c>
      <c r="AO1351">
        <v>62</v>
      </c>
      <c r="AP1351">
        <v>62</v>
      </c>
      <c r="AQ1351">
        <v>62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f t="shared" si="223"/>
        <v>1846</v>
      </c>
      <c r="BF1351">
        <v>1238</v>
      </c>
      <c r="BG1351">
        <v>1238</v>
      </c>
      <c r="BH1351" t="s">
        <v>82</v>
      </c>
      <c r="BI1351" t="s">
        <v>780</v>
      </c>
      <c r="BJ1351">
        <v>658</v>
      </c>
      <c r="BK1351">
        <v>580</v>
      </c>
      <c r="BL1351">
        <v>1238</v>
      </c>
      <c r="BM1351">
        <v>0</v>
      </c>
      <c r="BN1351">
        <v>0</v>
      </c>
      <c r="BO1351">
        <v>0</v>
      </c>
      <c r="BP1351">
        <v>580</v>
      </c>
      <c r="BQ1351">
        <v>580</v>
      </c>
      <c r="BR1351">
        <f t="shared" si="224"/>
        <v>-105</v>
      </c>
      <c r="BS1351">
        <f t="shared" si="225"/>
        <v>105</v>
      </c>
    </row>
    <row r="1352" spans="1:74" x14ac:dyDescent="0.25">
      <c r="A1352" s="5" t="s">
        <v>1337</v>
      </c>
      <c r="B1352" s="5" t="s">
        <v>61</v>
      </c>
      <c r="C1352" s="5" t="s">
        <v>61</v>
      </c>
      <c r="D1352" s="1" t="s">
        <v>96</v>
      </c>
      <c r="E1352">
        <v>0</v>
      </c>
      <c r="F1352">
        <v>106</v>
      </c>
      <c r="G1352">
        <v>0</v>
      </c>
      <c r="H1352">
        <v>0</v>
      </c>
      <c r="I1352">
        <v>222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954</v>
      </c>
      <c r="Q1352">
        <v>212</v>
      </c>
      <c r="R1352">
        <v>106</v>
      </c>
      <c r="S1352" s="18">
        <f t="shared" si="216"/>
        <v>9</v>
      </c>
      <c r="T1352" s="17">
        <f t="shared" si="217"/>
        <v>0</v>
      </c>
      <c r="U1352" s="17">
        <f t="shared" si="218"/>
        <v>0</v>
      </c>
      <c r="V1352" s="17">
        <f t="shared" si="219"/>
        <v>0</v>
      </c>
      <c r="W1352" s="17">
        <f t="shared" si="220"/>
        <v>106</v>
      </c>
      <c r="X1352" s="17">
        <f t="shared" si="221"/>
        <v>106</v>
      </c>
      <c r="Y1352" s="19">
        <f t="shared" si="222"/>
        <v>0</v>
      </c>
      <c r="Z1352">
        <v>106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222</v>
      </c>
      <c r="AH1352">
        <v>222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f t="shared" si="223"/>
        <v>444</v>
      </c>
      <c r="BF1352">
        <v>328</v>
      </c>
      <c r="BG1352">
        <v>328</v>
      </c>
      <c r="BH1352" t="s">
        <v>109</v>
      </c>
      <c r="BI1352" t="s">
        <v>1352</v>
      </c>
      <c r="BJ1352">
        <v>0</v>
      </c>
      <c r="BK1352">
        <v>222</v>
      </c>
      <c r="BL1352">
        <v>328</v>
      </c>
      <c r="BM1352">
        <v>0</v>
      </c>
      <c r="BN1352">
        <v>0</v>
      </c>
      <c r="BO1352">
        <v>0</v>
      </c>
      <c r="BP1352">
        <v>1176</v>
      </c>
      <c r="BQ1352">
        <v>1176</v>
      </c>
      <c r="BR1352">
        <f t="shared" si="224"/>
        <v>-106</v>
      </c>
      <c r="BS1352">
        <f t="shared" si="225"/>
        <v>318</v>
      </c>
    </row>
    <row r="1353" spans="1:74" x14ac:dyDescent="0.25">
      <c r="A1353" s="5" t="s">
        <v>2294</v>
      </c>
      <c r="B1353" s="5" t="s">
        <v>61</v>
      </c>
      <c r="C1353" s="5" t="s">
        <v>61</v>
      </c>
      <c r="D1353" s="1" t="s">
        <v>104</v>
      </c>
      <c r="E1353">
        <v>9</v>
      </c>
      <c r="F1353">
        <v>1</v>
      </c>
      <c r="G1353">
        <v>0</v>
      </c>
      <c r="H1353">
        <v>0</v>
      </c>
      <c r="I1353">
        <v>200</v>
      </c>
      <c r="J1353">
        <v>595</v>
      </c>
      <c r="K1353">
        <v>494</v>
      </c>
      <c r="L1353">
        <v>107</v>
      </c>
      <c r="M1353">
        <v>0</v>
      </c>
      <c r="N1353">
        <v>0</v>
      </c>
      <c r="O1353">
        <v>0</v>
      </c>
      <c r="P1353">
        <v>9</v>
      </c>
      <c r="Q1353">
        <v>107</v>
      </c>
      <c r="R1353">
        <v>1</v>
      </c>
      <c r="S1353" s="18">
        <f t="shared" si="216"/>
        <v>9</v>
      </c>
      <c r="T1353" s="17">
        <f t="shared" si="217"/>
        <v>0</v>
      </c>
      <c r="U1353" s="17">
        <f t="shared" si="218"/>
        <v>0</v>
      </c>
      <c r="V1353" s="17">
        <f t="shared" si="219"/>
        <v>0</v>
      </c>
      <c r="W1353" s="17">
        <f t="shared" si="220"/>
        <v>1</v>
      </c>
      <c r="X1353" s="17">
        <f t="shared" si="221"/>
        <v>106</v>
      </c>
      <c r="Y1353" s="19">
        <f t="shared" si="222"/>
        <v>0</v>
      </c>
      <c r="Z1353">
        <v>1</v>
      </c>
      <c r="AA1353">
        <v>4</v>
      </c>
      <c r="AB1353">
        <v>350</v>
      </c>
      <c r="AC1353">
        <v>1226</v>
      </c>
      <c r="AD1353">
        <v>0</v>
      </c>
      <c r="AE1353">
        <v>0</v>
      </c>
      <c r="AF1353">
        <v>0</v>
      </c>
      <c r="AG1353">
        <v>200</v>
      </c>
      <c r="AH1353">
        <v>200</v>
      </c>
      <c r="AI1353">
        <v>0</v>
      </c>
      <c r="AJ1353">
        <v>0</v>
      </c>
      <c r="AK1353">
        <v>595</v>
      </c>
      <c r="AL1353">
        <v>595</v>
      </c>
      <c r="AM1353">
        <v>0</v>
      </c>
      <c r="AN1353">
        <v>0</v>
      </c>
      <c r="AO1353">
        <v>494</v>
      </c>
      <c r="AP1353">
        <v>280</v>
      </c>
      <c r="AQ1353">
        <v>494</v>
      </c>
      <c r="AR1353">
        <v>214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107</v>
      </c>
      <c r="BA1353">
        <v>107</v>
      </c>
      <c r="BB1353">
        <v>0</v>
      </c>
      <c r="BC1353">
        <v>0</v>
      </c>
      <c r="BD1353">
        <v>0</v>
      </c>
      <c r="BE1353">
        <f t="shared" si="223"/>
        <v>4512</v>
      </c>
      <c r="BF1353">
        <v>2986</v>
      </c>
      <c r="BG1353">
        <v>2986</v>
      </c>
      <c r="BH1353" t="s">
        <v>82</v>
      </c>
      <c r="BI1353" t="s">
        <v>2313</v>
      </c>
      <c r="BJ1353">
        <v>1589</v>
      </c>
      <c r="BK1353">
        <v>1396</v>
      </c>
      <c r="BL1353">
        <v>2986</v>
      </c>
      <c r="BM1353">
        <v>0</v>
      </c>
      <c r="BN1353">
        <v>0</v>
      </c>
      <c r="BO1353">
        <v>0</v>
      </c>
      <c r="BP1353">
        <v>1405</v>
      </c>
      <c r="BQ1353">
        <v>1405</v>
      </c>
      <c r="BR1353">
        <f t="shared" si="224"/>
        <v>-106</v>
      </c>
      <c r="BS1353">
        <f t="shared" si="225"/>
        <v>108</v>
      </c>
    </row>
    <row r="1354" spans="1:74" x14ac:dyDescent="0.25">
      <c r="A1354" s="5" t="s">
        <v>2294</v>
      </c>
      <c r="B1354" s="5" t="s">
        <v>207</v>
      </c>
      <c r="C1354" s="5" t="s">
        <v>61</v>
      </c>
      <c r="D1354" s="1" t="s">
        <v>100</v>
      </c>
      <c r="E1354">
        <v>0</v>
      </c>
      <c r="F1354">
        <v>9</v>
      </c>
      <c r="G1354">
        <v>0</v>
      </c>
      <c r="H1354">
        <v>0</v>
      </c>
      <c r="I1354">
        <v>130</v>
      </c>
      <c r="J1354">
        <v>453</v>
      </c>
      <c r="K1354">
        <v>185</v>
      </c>
      <c r="L1354">
        <v>135</v>
      </c>
      <c r="M1354">
        <v>0</v>
      </c>
      <c r="N1354">
        <v>0</v>
      </c>
      <c r="O1354">
        <v>0</v>
      </c>
      <c r="P1354">
        <v>81</v>
      </c>
      <c r="Q1354">
        <v>115</v>
      </c>
      <c r="R1354">
        <v>9</v>
      </c>
      <c r="S1354" s="18">
        <f t="shared" si="216"/>
        <v>9</v>
      </c>
      <c r="T1354" s="17">
        <f t="shared" si="217"/>
        <v>0</v>
      </c>
      <c r="U1354" s="17">
        <f t="shared" si="218"/>
        <v>0</v>
      </c>
      <c r="V1354" s="17">
        <f t="shared" si="219"/>
        <v>0</v>
      </c>
      <c r="W1354" s="17">
        <f t="shared" si="220"/>
        <v>9</v>
      </c>
      <c r="X1354" s="17">
        <f t="shared" si="221"/>
        <v>106</v>
      </c>
      <c r="Y1354" s="19">
        <f t="shared" si="222"/>
        <v>0</v>
      </c>
      <c r="Z1354">
        <v>9</v>
      </c>
      <c r="AA1354">
        <v>6</v>
      </c>
      <c r="AB1354">
        <v>0</v>
      </c>
      <c r="AC1354">
        <v>1060</v>
      </c>
      <c r="AD1354">
        <v>0</v>
      </c>
      <c r="AE1354">
        <v>0</v>
      </c>
      <c r="AF1354">
        <v>0</v>
      </c>
      <c r="AG1354">
        <v>130</v>
      </c>
      <c r="AH1354">
        <v>130</v>
      </c>
      <c r="AI1354">
        <v>0</v>
      </c>
      <c r="AJ1354">
        <v>0</v>
      </c>
      <c r="AK1354">
        <v>453</v>
      </c>
      <c r="AL1354">
        <v>453</v>
      </c>
      <c r="AM1354">
        <v>0</v>
      </c>
      <c r="AN1354">
        <v>0</v>
      </c>
      <c r="AO1354">
        <v>185</v>
      </c>
      <c r="AP1354">
        <v>71</v>
      </c>
      <c r="AQ1354">
        <v>185</v>
      </c>
      <c r="AR1354">
        <v>114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78</v>
      </c>
      <c r="BA1354">
        <v>78</v>
      </c>
      <c r="BB1354">
        <v>0</v>
      </c>
      <c r="BC1354">
        <v>0</v>
      </c>
      <c r="BD1354">
        <v>0</v>
      </c>
      <c r="BE1354">
        <f t="shared" si="223"/>
        <v>2937</v>
      </c>
      <c r="BF1354">
        <v>1921</v>
      </c>
      <c r="BG1354">
        <v>1921</v>
      </c>
      <c r="BH1354" t="s">
        <v>82</v>
      </c>
      <c r="BI1354" t="s">
        <v>2340</v>
      </c>
      <c r="BJ1354">
        <v>1066</v>
      </c>
      <c r="BK1354">
        <v>846</v>
      </c>
      <c r="BL1354">
        <v>1921</v>
      </c>
      <c r="BM1354">
        <v>0</v>
      </c>
      <c r="BN1354">
        <v>0</v>
      </c>
      <c r="BO1354">
        <v>0</v>
      </c>
      <c r="BP1354">
        <v>927</v>
      </c>
      <c r="BQ1354">
        <v>927</v>
      </c>
      <c r="BR1354">
        <f t="shared" si="224"/>
        <v>-106</v>
      </c>
      <c r="BS1354">
        <f t="shared" si="225"/>
        <v>124</v>
      </c>
    </row>
    <row r="1355" spans="1:74" x14ac:dyDescent="0.25">
      <c r="A1355" s="5" t="s">
        <v>61</v>
      </c>
      <c r="B1355" s="5" t="s">
        <v>61</v>
      </c>
      <c r="C1355" s="5" t="s">
        <v>61</v>
      </c>
      <c r="D1355" s="1" t="s">
        <v>84</v>
      </c>
      <c r="E1355">
        <v>0</v>
      </c>
      <c r="F1355">
        <v>6</v>
      </c>
      <c r="G1355">
        <v>0</v>
      </c>
      <c r="H1355">
        <v>0</v>
      </c>
      <c r="I1355">
        <v>107</v>
      </c>
      <c r="J1355">
        <v>1409</v>
      </c>
      <c r="K1355">
        <v>69</v>
      </c>
      <c r="L1355">
        <v>0</v>
      </c>
      <c r="M1355">
        <v>0</v>
      </c>
      <c r="N1355">
        <v>0</v>
      </c>
      <c r="O1355">
        <v>0</v>
      </c>
      <c r="P1355">
        <v>36</v>
      </c>
      <c r="Q1355">
        <v>111</v>
      </c>
      <c r="R1355">
        <v>4</v>
      </c>
      <c r="S1355" s="18">
        <f t="shared" si="216"/>
        <v>9</v>
      </c>
      <c r="T1355" s="17">
        <f t="shared" si="217"/>
        <v>0</v>
      </c>
      <c r="U1355" s="17">
        <f t="shared" si="218"/>
        <v>0</v>
      </c>
      <c r="V1355" s="17">
        <f t="shared" si="219"/>
        <v>0</v>
      </c>
      <c r="W1355" s="17">
        <f t="shared" si="220"/>
        <v>4</v>
      </c>
      <c r="X1355" s="17">
        <f t="shared" si="221"/>
        <v>107</v>
      </c>
      <c r="Y1355" s="19">
        <f t="shared" si="222"/>
        <v>0</v>
      </c>
      <c r="Z1355">
        <v>6</v>
      </c>
      <c r="AA1355">
        <v>0</v>
      </c>
      <c r="AB1355">
        <v>0</v>
      </c>
      <c r="AC1355">
        <v>2071</v>
      </c>
      <c r="AD1355">
        <v>0</v>
      </c>
      <c r="AE1355">
        <v>0</v>
      </c>
      <c r="AF1355">
        <v>0</v>
      </c>
      <c r="AG1355">
        <v>107</v>
      </c>
      <c r="AH1355">
        <v>107</v>
      </c>
      <c r="AI1355">
        <v>0</v>
      </c>
      <c r="AJ1355">
        <v>0</v>
      </c>
      <c r="AK1355">
        <v>1409</v>
      </c>
      <c r="AL1355">
        <v>1409</v>
      </c>
      <c r="AM1355">
        <v>0</v>
      </c>
      <c r="AN1355">
        <v>0</v>
      </c>
      <c r="AO1355">
        <v>69</v>
      </c>
      <c r="AP1355">
        <v>32</v>
      </c>
      <c r="AQ1355">
        <v>69</v>
      </c>
      <c r="AR1355">
        <v>37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f t="shared" si="223"/>
        <v>5310</v>
      </c>
      <c r="BF1355">
        <v>3662</v>
      </c>
      <c r="BG1355">
        <v>3662</v>
      </c>
      <c r="BH1355" t="s">
        <v>82</v>
      </c>
      <c r="BI1355" t="s">
        <v>85</v>
      </c>
      <c r="BJ1355">
        <v>2071</v>
      </c>
      <c r="BK1355">
        <v>1585</v>
      </c>
      <c r="BL1355">
        <v>3662</v>
      </c>
      <c r="BM1355">
        <v>0</v>
      </c>
      <c r="BN1355">
        <v>0</v>
      </c>
      <c r="BO1355">
        <v>0</v>
      </c>
      <c r="BP1355">
        <v>1621</v>
      </c>
      <c r="BQ1355">
        <v>1621</v>
      </c>
      <c r="BR1355">
        <f t="shared" si="224"/>
        <v>-107</v>
      </c>
      <c r="BS1355">
        <f t="shared" si="225"/>
        <v>115</v>
      </c>
    </row>
    <row r="1356" spans="1:74" x14ac:dyDescent="0.25">
      <c r="A1356" s="5" t="s">
        <v>61</v>
      </c>
      <c r="B1356" s="5" t="s">
        <v>207</v>
      </c>
      <c r="C1356" s="5" t="s">
        <v>207</v>
      </c>
      <c r="D1356" s="1" t="s">
        <v>100</v>
      </c>
      <c r="E1356">
        <v>0</v>
      </c>
      <c r="F1356">
        <v>0</v>
      </c>
      <c r="G1356">
        <v>0</v>
      </c>
      <c r="H1356">
        <v>0</v>
      </c>
      <c r="I1356">
        <v>72</v>
      </c>
      <c r="J1356">
        <v>0</v>
      </c>
      <c r="K1356">
        <v>352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107</v>
      </c>
      <c r="R1356">
        <v>0</v>
      </c>
      <c r="S1356" s="18" t="e">
        <f t="shared" si="216"/>
        <v>#DIV/0!</v>
      </c>
      <c r="T1356" s="17" t="e">
        <f t="shared" si="217"/>
        <v>#DIV/0!</v>
      </c>
      <c r="U1356" s="17" t="e">
        <f t="shared" si="218"/>
        <v>#DIV/0!</v>
      </c>
      <c r="V1356" s="17" t="e">
        <f t="shared" si="219"/>
        <v>#DIV/0!</v>
      </c>
      <c r="W1356" s="17" t="e">
        <f t="shared" si="220"/>
        <v>#DIV/0!</v>
      </c>
      <c r="X1356" s="17" t="e">
        <f t="shared" si="221"/>
        <v>#DIV/0!</v>
      </c>
      <c r="Y1356" s="19" t="e">
        <f t="shared" si="222"/>
        <v>#DIV/0!</v>
      </c>
      <c r="Z1356">
        <v>0</v>
      </c>
      <c r="AA1356">
        <v>0</v>
      </c>
      <c r="AB1356">
        <v>0</v>
      </c>
      <c r="AC1356">
        <v>270</v>
      </c>
      <c r="AD1356">
        <v>0</v>
      </c>
      <c r="AE1356">
        <v>0</v>
      </c>
      <c r="AF1356">
        <v>0</v>
      </c>
      <c r="AG1356">
        <v>72</v>
      </c>
      <c r="AH1356">
        <v>72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352</v>
      </c>
      <c r="AP1356">
        <v>352</v>
      </c>
      <c r="AQ1356">
        <v>352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f t="shared" si="223"/>
        <v>1470</v>
      </c>
      <c r="BF1356">
        <v>694</v>
      </c>
      <c r="BG1356">
        <v>694</v>
      </c>
      <c r="BH1356" t="s">
        <v>82</v>
      </c>
      <c r="BI1356" t="s">
        <v>297</v>
      </c>
      <c r="BJ1356">
        <v>270</v>
      </c>
      <c r="BK1356">
        <v>424</v>
      </c>
      <c r="BL1356">
        <v>694</v>
      </c>
      <c r="BM1356">
        <v>0</v>
      </c>
      <c r="BN1356">
        <v>0</v>
      </c>
      <c r="BO1356">
        <v>0</v>
      </c>
      <c r="BP1356">
        <v>424</v>
      </c>
      <c r="BQ1356">
        <v>424</v>
      </c>
      <c r="BR1356">
        <f t="shared" si="224"/>
        <v>-107</v>
      </c>
      <c r="BS1356">
        <f t="shared" si="225"/>
        <v>107</v>
      </c>
    </row>
    <row r="1357" spans="1:74" x14ac:dyDescent="0.25">
      <c r="A1357" s="5" t="s">
        <v>61</v>
      </c>
      <c r="B1357" s="5" t="s">
        <v>359</v>
      </c>
      <c r="C1357" s="5" t="s">
        <v>61</v>
      </c>
      <c r="D1357" s="1" t="s">
        <v>81</v>
      </c>
      <c r="E1357">
        <v>0</v>
      </c>
      <c r="F1357">
        <v>5</v>
      </c>
      <c r="G1357">
        <v>0</v>
      </c>
      <c r="H1357">
        <v>0</v>
      </c>
      <c r="I1357">
        <v>260</v>
      </c>
      <c r="J1357">
        <v>775</v>
      </c>
      <c r="K1357">
        <v>45</v>
      </c>
      <c r="L1357">
        <v>43</v>
      </c>
      <c r="M1357">
        <v>0</v>
      </c>
      <c r="N1357">
        <v>0</v>
      </c>
      <c r="O1357">
        <v>0</v>
      </c>
      <c r="P1357">
        <v>45</v>
      </c>
      <c r="Q1357">
        <v>112</v>
      </c>
      <c r="R1357">
        <v>5</v>
      </c>
      <c r="S1357" s="18">
        <f t="shared" si="216"/>
        <v>9</v>
      </c>
      <c r="T1357" s="17">
        <f t="shared" si="217"/>
        <v>0</v>
      </c>
      <c r="U1357" s="17">
        <f t="shared" si="218"/>
        <v>0</v>
      </c>
      <c r="V1357" s="17">
        <f t="shared" si="219"/>
        <v>0</v>
      </c>
      <c r="W1357" s="17">
        <f t="shared" si="220"/>
        <v>5</v>
      </c>
      <c r="X1357" s="17">
        <f t="shared" si="221"/>
        <v>107</v>
      </c>
      <c r="Y1357" s="19">
        <f t="shared" si="222"/>
        <v>0</v>
      </c>
      <c r="Z1357">
        <v>5</v>
      </c>
      <c r="AA1357">
        <v>4</v>
      </c>
      <c r="AB1357">
        <v>290</v>
      </c>
      <c r="AC1357">
        <v>1125</v>
      </c>
      <c r="AD1357">
        <v>0</v>
      </c>
      <c r="AE1357">
        <v>0</v>
      </c>
      <c r="AF1357">
        <v>0</v>
      </c>
      <c r="AG1357">
        <v>260</v>
      </c>
      <c r="AH1357">
        <v>260</v>
      </c>
      <c r="AI1357">
        <v>0</v>
      </c>
      <c r="AJ1357">
        <v>0</v>
      </c>
      <c r="AK1357">
        <v>775</v>
      </c>
      <c r="AL1357">
        <v>775</v>
      </c>
      <c r="AM1357">
        <v>0</v>
      </c>
      <c r="AN1357">
        <v>0</v>
      </c>
      <c r="AO1357">
        <v>45</v>
      </c>
      <c r="AP1357">
        <v>5</v>
      </c>
      <c r="AQ1357">
        <v>45</v>
      </c>
      <c r="AR1357">
        <v>40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43</v>
      </c>
      <c r="BA1357">
        <v>43</v>
      </c>
      <c r="BB1357">
        <v>0</v>
      </c>
      <c r="BC1357">
        <v>0</v>
      </c>
      <c r="BD1357">
        <v>0</v>
      </c>
      <c r="BE1357">
        <f t="shared" si="223"/>
        <v>3416</v>
      </c>
      <c r="BF1357">
        <v>2547</v>
      </c>
      <c r="BG1357">
        <v>2547</v>
      </c>
      <c r="BH1357" t="s">
        <v>82</v>
      </c>
      <c r="BI1357" t="s">
        <v>369</v>
      </c>
      <c r="BJ1357">
        <v>1419</v>
      </c>
      <c r="BK1357">
        <v>1123</v>
      </c>
      <c r="BL1357">
        <v>2547</v>
      </c>
      <c r="BM1357">
        <v>0</v>
      </c>
      <c r="BN1357">
        <v>0</v>
      </c>
      <c r="BO1357">
        <v>0</v>
      </c>
      <c r="BP1357">
        <v>1168</v>
      </c>
      <c r="BQ1357">
        <v>1168</v>
      </c>
      <c r="BR1357">
        <f t="shared" si="224"/>
        <v>-107</v>
      </c>
      <c r="BS1357">
        <f t="shared" si="225"/>
        <v>117</v>
      </c>
    </row>
    <row r="1358" spans="1:74" x14ac:dyDescent="0.25">
      <c r="A1358" s="5" t="s">
        <v>207</v>
      </c>
      <c r="B1358" s="5" t="s">
        <v>61</v>
      </c>
      <c r="C1358" s="5" t="s">
        <v>207</v>
      </c>
      <c r="D1358" s="1" t="s">
        <v>129</v>
      </c>
      <c r="E1358">
        <v>0</v>
      </c>
      <c r="F1358">
        <v>0</v>
      </c>
      <c r="G1358">
        <v>0</v>
      </c>
      <c r="H1358">
        <v>0</v>
      </c>
      <c r="I1358">
        <v>250</v>
      </c>
      <c r="J1358">
        <v>1029</v>
      </c>
      <c r="K1358">
        <v>87</v>
      </c>
      <c r="L1358">
        <v>85</v>
      </c>
      <c r="M1358">
        <v>0</v>
      </c>
      <c r="N1358">
        <v>0</v>
      </c>
      <c r="O1358">
        <v>0</v>
      </c>
      <c r="P1358">
        <v>0</v>
      </c>
      <c r="Q1358">
        <v>107</v>
      </c>
      <c r="R1358">
        <v>0</v>
      </c>
      <c r="S1358" s="18" t="e">
        <f t="shared" si="216"/>
        <v>#DIV/0!</v>
      </c>
      <c r="T1358" s="17" t="e">
        <f t="shared" si="217"/>
        <v>#DIV/0!</v>
      </c>
      <c r="U1358" s="17" t="e">
        <f t="shared" si="218"/>
        <v>#DIV/0!</v>
      </c>
      <c r="V1358" s="17" t="e">
        <f t="shared" si="219"/>
        <v>#DIV/0!</v>
      </c>
      <c r="W1358" s="17" t="e">
        <f t="shared" si="220"/>
        <v>#DIV/0!</v>
      </c>
      <c r="X1358" s="17" t="e">
        <f t="shared" si="221"/>
        <v>#DIV/0!</v>
      </c>
      <c r="Y1358" s="19" t="e">
        <f t="shared" si="222"/>
        <v>#DIV/0!</v>
      </c>
      <c r="Z1358">
        <v>0</v>
      </c>
      <c r="AA1358">
        <v>16</v>
      </c>
      <c r="AB1358">
        <v>142</v>
      </c>
      <c r="AC1358">
        <v>1741</v>
      </c>
      <c r="AD1358">
        <v>0</v>
      </c>
      <c r="AE1358">
        <v>0</v>
      </c>
      <c r="AF1358">
        <v>0</v>
      </c>
      <c r="AG1358">
        <v>250</v>
      </c>
      <c r="AH1358">
        <v>250</v>
      </c>
      <c r="AI1358">
        <v>0</v>
      </c>
      <c r="AJ1358">
        <v>0</v>
      </c>
      <c r="AK1358">
        <v>1029</v>
      </c>
      <c r="AL1358">
        <v>1029</v>
      </c>
      <c r="AM1358">
        <v>0</v>
      </c>
      <c r="AN1358">
        <v>0</v>
      </c>
      <c r="AO1358">
        <v>87</v>
      </c>
      <c r="AP1358">
        <v>55</v>
      </c>
      <c r="AQ1358">
        <v>87</v>
      </c>
      <c r="AR1358">
        <v>32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85</v>
      </c>
      <c r="BA1358">
        <v>85</v>
      </c>
      <c r="BB1358">
        <v>0</v>
      </c>
      <c r="BC1358">
        <v>0</v>
      </c>
      <c r="BD1358">
        <v>0</v>
      </c>
      <c r="BE1358">
        <f t="shared" si="223"/>
        <v>4730</v>
      </c>
      <c r="BF1358">
        <v>3350</v>
      </c>
      <c r="BG1358">
        <v>3350</v>
      </c>
      <c r="BH1358" t="s">
        <v>82</v>
      </c>
      <c r="BI1358" t="s">
        <v>494</v>
      </c>
      <c r="BJ1358">
        <v>1899</v>
      </c>
      <c r="BK1358">
        <v>1451</v>
      </c>
      <c r="BL1358">
        <v>3350</v>
      </c>
      <c r="BM1358">
        <v>0</v>
      </c>
      <c r="BN1358">
        <v>0</v>
      </c>
      <c r="BO1358">
        <v>0</v>
      </c>
      <c r="BP1358">
        <v>1451</v>
      </c>
      <c r="BQ1358">
        <v>1451</v>
      </c>
      <c r="BR1358">
        <f t="shared" si="224"/>
        <v>-107</v>
      </c>
      <c r="BS1358">
        <f t="shared" si="225"/>
        <v>107</v>
      </c>
    </row>
    <row r="1359" spans="1:74" x14ac:dyDescent="0.25">
      <c r="A1359" s="5" t="s">
        <v>875</v>
      </c>
      <c r="B1359" s="5" t="s">
        <v>61</v>
      </c>
      <c r="C1359" s="5" t="s">
        <v>207</v>
      </c>
      <c r="D1359" s="1" t="s">
        <v>102</v>
      </c>
      <c r="E1359">
        <v>0</v>
      </c>
      <c r="F1359">
        <v>1112</v>
      </c>
      <c r="G1359">
        <v>0</v>
      </c>
      <c r="H1359">
        <v>0</v>
      </c>
      <c r="I1359">
        <v>137</v>
      </c>
      <c r="J1359">
        <v>0</v>
      </c>
      <c r="K1359">
        <v>469</v>
      </c>
      <c r="L1359">
        <v>110</v>
      </c>
      <c r="M1359">
        <v>0</v>
      </c>
      <c r="N1359">
        <v>0</v>
      </c>
      <c r="O1359">
        <v>0</v>
      </c>
      <c r="P1359">
        <v>2502</v>
      </c>
      <c r="Q1359">
        <v>385</v>
      </c>
      <c r="R1359">
        <v>278</v>
      </c>
      <c r="S1359" s="18">
        <f t="shared" si="216"/>
        <v>9</v>
      </c>
      <c r="T1359" s="17">
        <f t="shared" si="217"/>
        <v>0</v>
      </c>
      <c r="U1359" s="17">
        <f t="shared" si="218"/>
        <v>0</v>
      </c>
      <c r="V1359" s="17">
        <f t="shared" si="219"/>
        <v>0</v>
      </c>
      <c r="W1359" s="17">
        <f t="shared" si="220"/>
        <v>278</v>
      </c>
      <c r="X1359" s="17">
        <f t="shared" si="221"/>
        <v>107</v>
      </c>
      <c r="Y1359" s="19">
        <f t="shared" si="222"/>
        <v>0</v>
      </c>
      <c r="Z1359">
        <v>1112</v>
      </c>
      <c r="AA1359">
        <v>2</v>
      </c>
      <c r="AB1359">
        <v>800</v>
      </c>
      <c r="AC1359">
        <v>1300</v>
      </c>
      <c r="AD1359">
        <v>0</v>
      </c>
      <c r="AE1359">
        <v>0</v>
      </c>
      <c r="AF1359">
        <v>0</v>
      </c>
      <c r="AG1359">
        <v>137</v>
      </c>
      <c r="AH1359">
        <v>137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469</v>
      </c>
      <c r="AP1359">
        <v>104</v>
      </c>
      <c r="AQ1359">
        <v>469</v>
      </c>
      <c r="AR1359">
        <v>365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110</v>
      </c>
      <c r="BA1359">
        <v>110</v>
      </c>
      <c r="BB1359">
        <v>0</v>
      </c>
      <c r="BC1359">
        <v>0</v>
      </c>
      <c r="BD1359">
        <v>0</v>
      </c>
      <c r="BE1359">
        <f t="shared" si="223"/>
        <v>3201</v>
      </c>
      <c r="BF1359">
        <v>3930</v>
      </c>
      <c r="BG1359">
        <v>3930</v>
      </c>
      <c r="BH1359" t="s">
        <v>82</v>
      </c>
      <c r="BI1359" t="s">
        <v>894</v>
      </c>
      <c r="BJ1359">
        <v>2102</v>
      </c>
      <c r="BK1359">
        <v>716</v>
      </c>
      <c r="BL1359">
        <v>3930</v>
      </c>
      <c r="BM1359">
        <v>0</v>
      </c>
      <c r="BN1359">
        <v>0</v>
      </c>
      <c r="BO1359">
        <v>0</v>
      </c>
      <c r="BP1359">
        <v>3218</v>
      </c>
      <c r="BQ1359">
        <v>3218</v>
      </c>
      <c r="BR1359">
        <f t="shared" si="224"/>
        <v>-107</v>
      </c>
      <c r="BS1359">
        <f t="shared" si="225"/>
        <v>663</v>
      </c>
    </row>
    <row r="1360" spans="1:74" x14ac:dyDescent="0.25">
      <c r="A1360" s="5" t="s">
        <v>1661</v>
      </c>
      <c r="B1360" s="5" t="s">
        <v>359</v>
      </c>
      <c r="C1360" s="5" t="s">
        <v>359</v>
      </c>
      <c r="D1360" s="1" t="s">
        <v>62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866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s="18" t="e">
        <f t="shared" si="216"/>
        <v>#DIV/0!</v>
      </c>
      <c r="T1360" s="17" t="e">
        <f t="shared" si="217"/>
        <v>#DIV/0!</v>
      </c>
      <c r="U1360" s="17" t="e">
        <f t="shared" si="218"/>
        <v>#DIV/0!</v>
      </c>
      <c r="V1360" s="17" t="e">
        <f t="shared" si="219"/>
        <v>#DIV/0!</v>
      </c>
      <c r="W1360" s="17" t="e">
        <f t="shared" si="220"/>
        <v>#DIV/0!</v>
      </c>
      <c r="X1360" s="17" t="e">
        <f t="shared" si="221"/>
        <v>#DIV/0!</v>
      </c>
      <c r="Y1360" s="19" t="e">
        <f t="shared" si="222"/>
        <v>#DIV/0!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866</v>
      </c>
      <c r="AP1360">
        <v>445</v>
      </c>
      <c r="AQ1360">
        <v>866</v>
      </c>
      <c r="AR1360">
        <v>421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f t="shared" si="223"/>
        <v>2598</v>
      </c>
      <c r="BF1360">
        <v>866</v>
      </c>
      <c r="BG1360">
        <v>866</v>
      </c>
      <c r="BH1360" t="s">
        <v>63</v>
      </c>
      <c r="BI1360" t="s">
        <v>1759</v>
      </c>
      <c r="BJ1360">
        <v>0</v>
      </c>
      <c r="BK1360">
        <v>866</v>
      </c>
      <c r="BL1360">
        <v>866</v>
      </c>
      <c r="BM1360">
        <v>0</v>
      </c>
      <c r="BN1360">
        <v>0</v>
      </c>
      <c r="BO1360">
        <v>0</v>
      </c>
      <c r="BP1360">
        <v>866</v>
      </c>
      <c r="BQ1360">
        <v>866</v>
      </c>
      <c r="BR1360">
        <f t="shared" si="224"/>
        <v>0</v>
      </c>
      <c r="BS1360">
        <f t="shared" si="225"/>
        <v>0</v>
      </c>
      <c r="BU1360">
        <f>R1360*9</f>
        <v>0</v>
      </c>
      <c r="BV1360">
        <f>IF(BU1360&gt;BG1360, 1, 0)</f>
        <v>0</v>
      </c>
    </row>
    <row r="1361" spans="1:74" x14ac:dyDescent="0.25">
      <c r="A1361" s="5" t="s">
        <v>1946</v>
      </c>
      <c r="B1361" s="5" t="s">
        <v>207</v>
      </c>
      <c r="C1361" s="5" t="s">
        <v>207</v>
      </c>
      <c r="D1361" s="1" t="s">
        <v>157</v>
      </c>
      <c r="E1361">
        <v>0</v>
      </c>
      <c r="F1361">
        <v>44</v>
      </c>
      <c r="G1361">
        <v>0</v>
      </c>
      <c r="H1361">
        <v>0</v>
      </c>
      <c r="I1361">
        <v>0</v>
      </c>
      <c r="J1361">
        <v>938</v>
      </c>
      <c r="K1361">
        <v>371</v>
      </c>
      <c r="L1361">
        <v>45</v>
      </c>
      <c r="M1361">
        <v>99</v>
      </c>
      <c r="N1361">
        <v>0</v>
      </c>
      <c r="O1361">
        <v>0</v>
      </c>
      <c r="P1361">
        <v>0</v>
      </c>
      <c r="Q1361">
        <v>118</v>
      </c>
      <c r="R1361">
        <v>11</v>
      </c>
      <c r="S1361" s="18">
        <f t="shared" si="216"/>
        <v>9</v>
      </c>
      <c r="T1361" s="17">
        <f t="shared" si="217"/>
        <v>11</v>
      </c>
      <c r="U1361" s="17">
        <f t="shared" si="218"/>
        <v>0</v>
      </c>
      <c r="V1361" s="17">
        <f t="shared" si="219"/>
        <v>0</v>
      </c>
      <c r="W1361" s="17">
        <f t="shared" si="220"/>
        <v>0</v>
      </c>
      <c r="X1361" s="17">
        <f t="shared" si="221"/>
        <v>107</v>
      </c>
      <c r="Y1361" s="19">
        <f t="shared" si="222"/>
        <v>0</v>
      </c>
      <c r="Z1361">
        <v>44</v>
      </c>
      <c r="AA1361">
        <v>0</v>
      </c>
      <c r="AB1361">
        <v>0</v>
      </c>
      <c r="AC1361">
        <v>1121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938</v>
      </c>
      <c r="AL1361">
        <v>938</v>
      </c>
      <c r="AM1361">
        <v>0</v>
      </c>
      <c r="AN1361">
        <v>0</v>
      </c>
      <c r="AO1361">
        <v>371</v>
      </c>
      <c r="AP1361">
        <v>161</v>
      </c>
      <c r="AQ1361">
        <v>371</v>
      </c>
      <c r="AR1361">
        <v>210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45</v>
      </c>
      <c r="BA1361">
        <v>45</v>
      </c>
      <c r="BB1361">
        <v>0</v>
      </c>
      <c r="BC1361">
        <v>0</v>
      </c>
      <c r="BD1361">
        <v>0</v>
      </c>
      <c r="BE1361">
        <f t="shared" si="223"/>
        <v>4200</v>
      </c>
      <c r="BF1361">
        <v>2519</v>
      </c>
      <c r="BG1361">
        <v>2519</v>
      </c>
      <c r="BH1361" t="s">
        <v>190</v>
      </c>
      <c r="BI1361" t="s">
        <v>2082</v>
      </c>
      <c r="BJ1361">
        <v>1121</v>
      </c>
      <c r="BK1361">
        <v>1354</v>
      </c>
      <c r="BL1361">
        <v>2519</v>
      </c>
      <c r="BM1361">
        <v>99</v>
      </c>
      <c r="BN1361">
        <v>0</v>
      </c>
      <c r="BO1361">
        <v>0</v>
      </c>
      <c r="BP1361">
        <v>1354</v>
      </c>
      <c r="BQ1361">
        <v>1453</v>
      </c>
      <c r="BR1361">
        <f t="shared" si="224"/>
        <v>-107</v>
      </c>
      <c r="BS1361">
        <f t="shared" si="225"/>
        <v>129</v>
      </c>
    </row>
    <row r="1362" spans="1:74" x14ac:dyDescent="0.25">
      <c r="A1362" s="5" t="s">
        <v>875</v>
      </c>
      <c r="B1362" s="5" t="s">
        <v>61</v>
      </c>
      <c r="C1362" s="5" t="s">
        <v>207</v>
      </c>
      <c r="D1362" s="1" t="s">
        <v>963</v>
      </c>
      <c r="E1362">
        <v>0</v>
      </c>
      <c r="F1362">
        <v>0</v>
      </c>
      <c r="G1362">
        <v>0</v>
      </c>
      <c r="H1362">
        <v>0</v>
      </c>
      <c r="I1362">
        <v>170</v>
      </c>
      <c r="J1362">
        <v>836</v>
      </c>
      <c r="K1362">
        <v>530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108</v>
      </c>
      <c r="R1362">
        <v>0</v>
      </c>
      <c r="S1362" s="18" t="e">
        <f t="shared" si="216"/>
        <v>#DIV/0!</v>
      </c>
      <c r="T1362" s="17" t="e">
        <f t="shared" si="217"/>
        <v>#DIV/0!</v>
      </c>
      <c r="U1362" s="17" t="e">
        <f t="shared" si="218"/>
        <v>#DIV/0!</v>
      </c>
      <c r="V1362" s="17" t="e">
        <f t="shared" si="219"/>
        <v>#DIV/0!</v>
      </c>
      <c r="W1362" s="17" t="e">
        <f t="shared" si="220"/>
        <v>#DIV/0!</v>
      </c>
      <c r="X1362" s="17" t="e">
        <f t="shared" si="221"/>
        <v>#DIV/0!</v>
      </c>
      <c r="Y1362" s="19" t="e">
        <f t="shared" si="222"/>
        <v>#DIV/0!</v>
      </c>
      <c r="Z1362">
        <v>0</v>
      </c>
      <c r="AA1362">
        <v>0</v>
      </c>
      <c r="AB1362">
        <v>0</v>
      </c>
      <c r="AC1362">
        <v>700</v>
      </c>
      <c r="AD1362">
        <v>0</v>
      </c>
      <c r="AE1362">
        <v>0</v>
      </c>
      <c r="AF1362">
        <v>0</v>
      </c>
      <c r="AG1362">
        <v>170</v>
      </c>
      <c r="AH1362">
        <v>170</v>
      </c>
      <c r="AI1362">
        <v>0</v>
      </c>
      <c r="AJ1362">
        <v>0</v>
      </c>
      <c r="AK1362">
        <v>836</v>
      </c>
      <c r="AL1362">
        <v>836</v>
      </c>
      <c r="AM1362">
        <v>0</v>
      </c>
      <c r="AN1362">
        <v>0</v>
      </c>
      <c r="AO1362">
        <v>530</v>
      </c>
      <c r="AP1362">
        <v>530</v>
      </c>
      <c r="AQ1362">
        <v>530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f t="shared" si="223"/>
        <v>4302</v>
      </c>
      <c r="BF1362">
        <v>2236</v>
      </c>
      <c r="BG1362">
        <v>2236</v>
      </c>
      <c r="BH1362" t="s">
        <v>82</v>
      </c>
      <c r="BI1362" t="s">
        <v>964</v>
      </c>
      <c r="BJ1362">
        <v>700</v>
      </c>
      <c r="BK1362">
        <v>1536</v>
      </c>
      <c r="BL1362">
        <v>2236</v>
      </c>
      <c r="BM1362">
        <v>0</v>
      </c>
      <c r="BN1362">
        <v>0</v>
      </c>
      <c r="BO1362">
        <v>0</v>
      </c>
      <c r="BP1362">
        <v>1536</v>
      </c>
      <c r="BQ1362">
        <v>1536</v>
      </c>
      <c r="BR1362">
        <f t="shared" si="224"/>
        <v>-108</v>
      </c>
      <c r="BS1362">
        <f t="shared" si="225"/>
        <v>108</v>
      </c>
    </row>
    <row r="1363" spans="1:74" x14ac:dyDescent="0.25">
      <c r="A1363" s="5" t="s">
        <v>1017</v>
      </c>
      <c r="B1363" s="5" t="s">
        <v>61</v>
      </c>
      <c r="C1363" s="6" t="s">
        <v>61</v>
      </c>
      <c r="D1363" s="1" t="s">
        <v>121</v>
      </c>
      <c r="E1363">
        <v>0</v>
      </c>
      <c r="F1363">
        <v>0</v>
      </c>
      <c r="G1363">
        <v>0</v>
      </c>
      <c r="H1363">
        <v>0</v>
      </c>
      <c r="I1363">
        <v>162</v>
      </c>
      <c r="J1363">
        <v>575</v>
      </c>
      <c r="K1363">
        <v>210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108</v>
      </c>
      <c r="R1363">
        <v>0</v>
      </c>
      <c r="S1363" s="18" t="e">
        <f t="shared" si="216"/>
        <v>#DIV/0!</v>
      </c>
      <c r="T1363" s="17" t="e">
        <f t="shared" si="217"/>
        <v>#DIV/0!</v>
      </c>
      <c r="U1363" s="17" t="e">
        <f t="shared" si="218"/>
        <v>#DIV/0!</v>
      </c>
      <c r="V1363" s="17" t="e">
        <f t="shared" si="219"/>
        <v>#DIV/0!</v>
      </c>
      <c r="W1363" s="17" t="e">
        <f t="shared" si="220"/>
        <v>#DIV/0!</v>
      </c>
      <c r="X1363" s="17" t="e">
        <f t="shared" si="221"/>
        <v>#DIV/0!</v>
      </c>
      <c r="Y1363" s="19" t="e">
        <f t="shared" si="222"/>
        <v>#DIV/0!</v>
      </c>
      <c r="Z1363">
        <v>0</v>
      </c>
      <c r="AA1363">
        <v>0</v>
      </c>
      <c r="AB1363">
        <v>0</v>
      </c>
      <c r="AC1363">
        <v>150</v>
      </c>
      <c r="AD1363">
        <v>0</v>
      </c>
      <c r="AE1363">
        <v>0</v>
      </c>
      <c r="AF1363">
        <v>0</v>
      </c>
      <c r="AG1363">
        <v>162</v>
      </c>
      <c r="AH1363">
        <v>162</v>
      </c>
      <c r="AI1363">
        <v>0</v>
      </c>
      <c r="AJ1363">
        <v>0</v>
      </c>
      <c r="AK1363">
        <v>575</v>
      </c>
      <c r="AL1363">
        <v>575</v>
      </c>
      <c r="AM1363">
        <v>0</v>
      </c>
      <c r="AN1363">
        <v>0</v>
      </c>
      <c r="AO1363">
        <v>210</v>
      </c>
      <c r="AP1363">
        <v>190</v>
      </c>
      <c r="AQ1363">
        <v>210</v>
      </c>
      <c r="AR1363">
        <v>20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f t="shared" si="223"/>
        <v>2254</v>
      </c>
      <c r="BF1363">
        <v>1097</v>
      </c>
      <c r="BG1363">
        <v>1097</v>
      </c>
      <c r="BH1363" t="s">
        <v>82</v>
      </c>
      <c r="BI1363" t="s">
        <v>1044</v>
      </c>
      <c r="BJ1363">
        <v>150</v>
      </c>
      <c r="BK1363">
        <v>947</v>
      </c>
      <c r="BL1363">
        <v>1097</v>
      </c>
      <c r="BM1363">
        <v>0</v>
      </c>
      <c r="BN1363">
        <v>0</v>
      </c>
      <c r="BO1363">
        <v>0</v>
      </c>
      <c r="BP1363">
        <v>947</v>
      </c>
      <c r="BQ1363">
        <v>947</v>
      </c>
      <c r="BR1363">
        <f t="shared" si="224"/>
        <v>-108</v>
      </c>
      <c r="BS1363">
        <f t="shared" si="225"/>
        <v>108</v>
      </c>
    </row>
    <row r="1364" spans="1:74" x14ac:dyDescent="0.25">
      <c r="A1364" s="5" t="s">
        <v>1661</v>
      </c>
      <c r="B1364" s="5" t="s">
        <v>207</v>
      </c>
      <c r="C1364" s="7" t="s">
        <v>207</v>
      </c>
      <c r="D1364" s="1" t="s">
        <v>173</v>
      </c>
      <c r="E1364">
        <v>0</v>
      </c>
      <c r="F1364">
        <v>813</v>
      </c>
      <c r="G1364">
        <v>0</v>
      </c>
      <c r="H1364">
        <v>0</v>
      </c>
      <c r="I1364">
        <v>132</v>
      </c>
      <c r="J1364">
        <v>1310</v>
      </c>
      <c r="K1364">
        <v>106</v>
      </c>
      <c r="L1364">
        <v>21</v>
      </c>
      <c r="M1364">
        <v>0</v>
      </c>
      <c r="N1364">
        <v>0</v>
      </c>
      <c r="O1364">
        <v>0</v>
      </c>
      <c r="P1364">
        <v>648</v>
      </c>
      <c r="Q1364">
        <v>180</v>
      </c>
      <c r="R1364">
        <v>72</v>
      </c>
      <c r="S1364" s="18">
        <f t="shared" si="216"/>
        <v>9</v>
      </c>
      <c r="T1364" s="17">
        <f t="shared" si="217"/>
        <v>0</v>
      </c>
      <c r="U1364" s="17">
        <f t="shared" si="218"/>
        <v>0</v>
      </c>
      <c r="V1364" s="17">
        <f t="shared" si="219"/>
        <v>0</v>
      </c>
      <c r="W1364" s="17">
        <f t="shared" si="220"/>
        <v>72</v>
      </c>
      <c r="X1364" s="17">
        <f t="shared" si="221"/>
        <v>108</v>
      </c>
      <c r="Y1364" s="19">
        <f t="shared" si="222"/>
        <v>0</v>
      </c>
      <c r="Z1364">
        <v>813</v>
      </c>
      <c r="AA1364">
        <v>0</v>
      </c>
      <c r="AB1364">
        <v>0</v>
      </c>
      <c r="AC1364">
        <v>267</v>
      </c>
      <c r="AD1364">
        <v>0</v>
      </c>
      <c r="AE1364">
        <v>0</v>
      </c>
      <c r="AF1364">
        <v>0</v>
      </c>
      <c r="AG1364">
        <v>132</v>
      </c>
      <c r="AH1364">
        <v>132</v>
      </c>
      <c r="AI1364">
        <v>0</v>
      </c>
      <c r="AJ1364">
        <v>0</v>
      </c>
      <c r="AK1364">
        <v>1310</v>
      </c>
      <c r="AL1364">
        <v>1310</v>
      </c>
      <c r="AM1364">
        <v>0</v>
      </c>
      <c r="AN1364">
        <v>0</v>
      </c>
      <c r="AO1364">
        <v>106</v>
      </c>
      <c r="AP1364">
        <v>72</v>
      </c>
      <c r="AQ1364">
        <v>106</v>
      </c>
      <c r="AR1364">
        <v>34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21</v>
      </c>
      <c r="BA1364">
        <v>21</v>
      </c>
      <c r="BB1364">
        <v>0</v>
      </c>
      <c r="BC1364">
        <v>0</v>
      </c>
      <c r="BD1364">
        <v>0</v>
      </c>
      <c r="BE1364">
        <f t="shared" si="223"/>
        <v>3511</v>
      </c>
      <c r="BF1364">
        <v>2649</v>
      </c>
      <c r="BG1364">
        <v>2649</v>
      </c>
      <c r="BH1364" t="s">
        <v>82</v>
      </c>
      <c r="BI1364" t="s">
        <v>1844</v>
      </c>
      <c r="BJ1364">
        <v>267</v>
      </c>
      <c r="BK1364">
        <v>1569</v>
      </c>
      <c r="BL1364">
        <v>2649</v>
      </c>
      <c r="BM1364">
        <v>0</v>
      </c>
      <c r="BN1364">
        <v>0</v>
      </c>
      <c r="BO1364">
        <v>0</v>
      </c>
      <c r="BP1364">
        <v>2217</v>
      </c>
      <c r="BQ1364">
        <v>2217</v>
      </c>
      <c r="BR1364">
        <f t="shared" si="224"/>
        <v>-108</v>
      </c>
      <c r="BS1364">
        <f t="shared" si="225"/>
        <v>252</v>
      </c>
    </row>
    <row r="1365" spans="1:74" x14ac:dyDescent="0.25">
      <c r="A1365" s="5" t="s">
        <v>61</v>
      </c>
      <c r="B1365" s="5" t="s">
        <v>61</v>
      </c>
      <c r="C1365" s="5" t="s">
        <v>61</v>
      </c>
      <c r="D1365" s="1" t="s">
        <v>81</v>
      </c>
      <c r="E1365">
        <v>0</v>
      </c>
      <c r="F1365">
        <v>3</v>
      </c>
      <c r="G1365">
        <v>0</v>
      </c>
      <c r="H1365">
        <v>0</v>
      </c>
      <c r="I1365">
        <v>53</v>
      </c>
      <c r="J1365">
        <v>1469</v>
      </c>
      <c r="K1365">
        <v>129</v>
      </c>
      <c r="L1365">
        <v>0</v>
      </c>
      <c r="M1365">
        <v>0</v>
      </c>
      <c r="N1365">
        <v>0</v>
      </c>
      <c r="O1365">
        <v>0</v>
      </c>
      <c r="P1365">
        <v>18</v>
      </c>
      <c r="Q1365">
        <v>111</v>
      </c>
      <c r="R1365">
        <v>2</v>
      </c>
      <c r="S1365" s="18">
        <f t="shared" si="216"/>
        <v>9</v>
      </c>
      <c r="T1365" s="17">
        <f t="shared" si="217"/>
        <v>0</v>
      </c>
      <c r="U1365" s="17">
        <f t="shared" si="218"/>
        <v>0</v>
      </c>
      <c r="V1365" s="17">
        <f t="shared" si="219"/>
        <v>0</v>
      </c>
      <c r="W1365" s="17">
        <f t="shared" si="220"/>
        <v>2</v>
      </c>
      <c r="X1365" s="17">
        <f t="shared" si="221"/>
        <v>109</v>
      </c>
      <c r="Y1365" s="19">
        <f t="shared" si="222"/>
        <v>0</v>
      </c>
      <c r="Z1365">
        <v>3</v>
      </c>
      <c r="AA1365">
        <v>6</v>
      </c>
      <c r="AB1365">
        <v>0</v>
      </c>
      <c r="AC1365">
        <v>1582</v>
      </c>
      <c r="AD1365">
        <v>0</v>
      </c>
      <c r="AE1365">
        <v>0</v>
      </c>
      <c r="AF1365">
        <v>0</v>
      </c>
      <c r="AG1365">
        <v>53</v>
      </c>
      <c r="AH1365">
        <v>53</v>
      </c>
      <c r="AI1365">
        <v>0</v>
      </c>
      <c r="AJ1365">
        <v>0</v>
      </c>
      <c r="AK1365">
        <v>1469</v>
      </c>
      <c r="AL1365">
        <v>1469</v>
      </c>
      <c r="AM1365">
        <v>0</v>
      </c>
      <c r="AN1365">
        <v>0</v>
      </c>
      <c r="AO1365">
        <v>129</v>
      </c>
      <c r="AP1365">
        <v>31</v>
      </c>
      <c r="AQ1365">
        <v>129</v>
      </c>
      <c r="AR1365">
        <v>98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f t="shared" si="223"/>
        <v>5013</v>
      </c>
      <c r="BF1365">
        <v>3242</v>
      </c>
      <c r="BG1365">
        <v>3242</v>
      </c>
      <c r="BH1365" t="s">
        <v>82</v>
      </c>
      <c r="BI1365" t="s">
        <v>83</v>
      </c>
      <c r="BJ1365">
        <v>1588</v>
      </c>
      <c r="BK1365">
        <v>1651</v>
      </c>
      <c r="BL1365">
        <v>3242</v>
      </c>
      <c r="BM1365">
        <v>0</v>
      </c>
      <c r="BN1365">
        <v>0</v>
      </c>
      <c r="BO1365">
        <v>0</v>
      </c>
      <c r="BP1365">
        <v>1669</v>
      </c>
      <c r="BQ1365">
        <v>1669</v>
      </c>
      <c r="BR1365">
        <f t="shared" si="224"/>
        <v>-109</v>
      </c>
      <c r="BS1365">
        <f t="shared" si="225"/>
        <v>113</v>
      </c>
    </row>
    <row r="1366" spans="1:74" x14ac:dyDescent="0.25">
      <c r="A1366" s="5" t="s">
        <v>2294</v>
      </c>
      <c r="B1366" s="5" t="s">
        <v>61</v>
      </c>
      <c r="C1366" s="5" t="s">
        <v>61</v>
      </c>
      <c r="D1366" s="1" t="s">
        <v>62</v>
      </c>
      <c r="E1366">
        <v>0</v>
      </c>
      <c r="F1366">
        <v>0</v>
      </c>
      <c r="G1366">
        <v>0</v>
      </c>
      <c r="H1366">
        <v>0</v>
      </c>
      <c r="I1366">
        <v>1350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s="18" t="e">
        <f t="shared" si="216"/>
        <v>#DIV/0!</v>
      </c>
      <c r="T1366" s="17" t="e">
        <f t="shared" si="217"/>
        <v>#DIV/0!</v>
      </c>
      <c r="U1366" s="17" t="e">
        <f t="shared" si="218"/>
        <v>#DIV/0!</v>
      </c>
      <c r="V1366" s="17" t="e">
        <f t="shared" si="219"/>
        <v>#DIV/0!</v>
      </c>
      <c r="W1366" s="17" t="e">
        <f t="shared" si="220"/>
        <v>#DIV/0!</v>
      </c>
      <c r="X1366" s="17" t="e">
        <f t="shared" si="221"/>
        <v>#DIV/0!</v>
      </c>
      <c r="Y1366" s="19" t="e">
        <f t="shared" si="222"/>
        <v>#DIV/0!</v>
      </c>
      <c r="Z1366">
        <v>0</v>
      </c>
      <c r="AA1366">
        <v>0</v>
      </c>
      <c r="AB1366">
        <v>0</v>
      </c>
      <c r="AC1366">
        <v>30</v>
      </c>
      <c r="AD1366">
        <v>0</v>
      </c>
      <c r="AE1366">
        <v>0</v>
      </c>
      <c r="AF1366">
        <v>0</v>
      </c>
      <c r="AG1366">
        <v>1350</v>
      </c>
      <c r="AH1366">
        <v>1350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f t="shared" si="223"/>
        <v>2730</v>
      </c>
      <c r="BF1366">
        <v>1380</v>
      </c>
      <c r="BG1366">
        <v>1380</v>
      </c>
      <c r="BH1366" t="s">
        <v>63</v>
      </c>
      <c r="BI1366" t="s">
        <v>2295</v>
      </c>
      <c r="BJ1366">
        <v>30</v>
      </c>
      <c r="BK1366">
        <v>1350</v>
      </c>
      <c r="BL1366">
        <v>1380</v>
      </c>
      <c r="BM1366">
        <v>0</v>
      </c>
      <c r="BN1366">
        <v>0</v>
      </c>
      <c r="BO1366">
        <v>0</v>
      </c>
      <c r="BP1366">
        <v>1350</v>
      </c>
      <c r="BQ1366">
        <v>1350</v>
      </c>
      <c r="BR1366">
        <f t="shared" si="224"/>
        <v>0</v>
      </c>
      <c r="BS1366">
        <f t="shared" si="225"/>
        <v>0</v>
      </c>
      <c r="BU1366">
        <f>R1366*9</f>
        <v>0</v>
      </c>
      <c r="BV1366">
        <f>IF(BU1366&gt;BG1366, 1, 0)</f>
        <v>0</v>
      </c>
    </row>
    <row r="1367" spans="1:74" x14ac:dyDescent="0.25">
      <c r="A1367" s="5" t="s">
        <v>2294</v>
      </c>
      <c r="B1367" s="5" t="s">
        <v>61</v>
      </c>
      <c r="C1367" s="5" t="s">
        <v>61</v>
      </c>
      <c r="D1367" s="1" t="s">
        <v>79</v>
      </c>
      <c r="E1367">
        <v>0</v>
      </c>
      <c r="F1367">
        <v>0</v>
      </c>
      <c r="G1367">
        <v>0</v>
      </c>
      <c r="H1367">
        <v>0</v>
      </c>
      <c r="I1367">
        <v>250</v>
      </c>
      <c r="J1367">
        <v>0</v>
      </c>
      <c r="K1367">
        <v>180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109</v>
      </c>
      <c r="R1367">
        <v>0</v>
      </c>
      <c r="S1367" s="18" t="e">
        <f t="shared" si="216"/>
        <v>#DIV/0!</v>
      </c>
      <c r="T1367" s="17" t="e">
        <f t="shared" si="217"/>
        <v>#DIV/0!</v>
      </c>
      <c r="U1367" s="17" t="e">
        <f t="shared" si="218"/>
        <v>#DIV/0!</v>
      </c>
      <c r="V1367" s="17" t="e">
        <f t="shared" si="219"/>
        <v>#DIV/0!</v>
      </c>
      <c r="W1367" s="17" t="e">
        <f t="shared" si="220"/>
        <v>#DIV/0!</v>
      </c>
      <c r="X1367" s="17" t="e">
        <f t="shared" si="221"/>
        <v>#DIV/0!</v>
      </c>
      <c r="Y1367" s="19" t="e">
        <f t="shared" si="222"/>
        <v>#DIV/0!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250</v>
      </c>
      <c r="AH1367">
        <v>250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180</v>
      </c>
      <c r="AP1367">
        <v>80</v>
      </c>
      <c r="AQ1367">
        <v>180</v>
      </c>
      <c r="AR1367">
        <v>100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f t="shared" si="223"/>
        <v>1040</v>
      </c>
      <c r="BF1367">
        <v>430</v>
      </c>
      <c r="BG1367">
        <v>430</v>
      </c>
      <c r="BH1367" t="s">
        <v>109</v>
      </c>
      <c r="BI1367" t="s">
        <v>2303</v>
      </c>
      <c r="BJ1367">
        <v>0</v>
      </c>
      <c r="BK1367">
        <v>430</v>
      </c>
      <c r="BL1367">
        <v>430</v>
      </c>
      <c r="BM1367">
        <v>0</v>
      </c>
      <c r="BN1367">
        <v>0</v>
      </c>
      <c r="BO1367">
        <v>0</v>
      </c>
      <c r="BP1367">
        <v>430</v>
      </c>
      <c r="BQ1367">
        <v>430</v>
      </c>
      <c r="BR1367">
        <f t="shared" si="224"/>
        <v>-109</v>
      </c>
      <c r="BS1367">
        <f t="shared" si="225"/>
        <v>109</v>
      </c>
    </row>
    <row r="1368" spans="1:74" x14ac:dyDescent="0.25">
      <c r="A1368" s="5" t="s">
        <v>359</v>
      </c>
      <c r="B1368" s="5" t="s">
        <v>627</v>
      </c>
      <c r="C1368" s="5" t="s">
        <v>61</v>
      </c>
      <c r="D1368" s="1" t="s">
        <v>100</v>
      </c>
      <c r="E1368">
        <v>0</v>
      </c>
      <c r="F1368">
        <v>0</v>
      </c>
      <c r="G1368">
        <v>0</v>
      </c>
      <c r="H1368">
        <v>0</v>
      </c>
      <c r="I1368">
        <v>285</v>
      </c>
      <c r="J1368">
        <v>970</v>
      </c>
      <c r="K1368">
        <v>175</v>
      </c>
      <c r="L1368">
        <v>35</v>
      </c>
      <c r="M1368">
        <v>0</v>
      </c>
      <c r="N1368">
        <v>0</v>
      </c>
      <c r="O1368">
        <v>0</v>
      </c>
      <c r="P1368">
        <v>0</v>
      </c>
      <c r="Q1368">
        <v>110</v>
      </c>
      <c r="R1368">
        <v>0</v>
      </c>
      <c r="S1368" s="18" t="e">
        <f t="shared" si="216"/>
        <v>#DIV/0!</v>
      </c>
      <c r="T1368" s="17" t="e">
        <f t="shared" si="217"/>
        <v>#DIV/0!</v>
      </c>
      <c r="U1368" s="17" t="e">
        <f t="shared" si="218"/>
        <v>#DIV/0!</v>
      </c>
      <c r="V1368" s="17" t="e">
        <f t="shared" si="219"/>
        <v>#DIV/0!</v>
      </c>
      <c r="W1368" s="17" t="e">
        <f t="shared" si="220"/>
        <v>#DIV/0!</v>
      </c>
      <c r="X1368" s="17" t="e">
        <f t="shared" si="221"/>
        <v>#DIV/0!</v>
      </c>
      <c r="Y1368" s="19" t="e">
        <f t="shared" si="222"/>
        <v>#DIV/0!</v>
      </c>
      <c r="Z1368">
        <v>0</v>
      </c>
      <c r="AA1368">
        <v>0</v>
      </c>
      <c r="AB1368">
        <v>0</v>
      </c>
      <c r="AC1368">
        <v>1450</v>
      </c>
      <c r="AD1368">
        <v>0</v>
      </c>
      <c r="AE1368">
        <v>0</v>
      </c>
      <c r="AF1368">
        <v>0</v>
      </c>
      <c r="AG1368">
        <v>285</v>
      </c>
      <c r="AH1368">
        <v>285</v>
      </c>
      <c r="AI1368">
        <v>0</v>
      </c>
      <c r="AJ1368">
        <v>0</v>
      </c>
      <c r="AK1368">
        <v>970</v>
      </c>
      <c r="AL1368">
        <v>970</v>
      </c>
      <c r="AM1368">
        <v>0</v>
      </c>
      <c r="AN1368">
        <v>0</v>
      </c>
      <c r="AO1368">
        <v>175</v>
      </c>
      <c r="AP1368">
        <v>80</v>
      </c>
      <c r="AQ1368">
        <v>175</v>
      </c>
      <c r="AR1368">
        <v>95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35</v>
      </c>
      <c r="BA1368">
        <v>35</v>
      </c>
      <c r="BB1368">
        <v>0</v>
      </c>
      <c r="BC1368">
        <v>0</v>
      </c>
      <c r="BD1368">
        <v>0</v>
      </c>
      <c r="BE1368">
        <f t="shared" si="223"/>
        <v>4555</v>
      </c>
      <c r="BF1368">
        <v>2915</v>
      </c>
      <c r="BG1368">
        <v>2915</v>
      </c>
      <c r="BH1368" t="s">
        <v>82</v>
      </c>
      <c r="BI1368" t="s">
        <v>809</v>
      </c>
      <c r="BJ1368">
        <v>1450</v>
      </c>
      <c r="BK1368">
        <v>1465</v>
      </c>
      <c r="BL1368">
        <v>2915</v>
      </c>
      <c r="BM1368">
        <v>0</v>
      </c>
      <c r="BN1368">
        <v>0</v>
      </c>
      <c r="BO1368">
        <v>0</v>
      </c>
      <c r="BP1368">
        <v>1465</v>
      </c>
      <c r="BQ1368">
        <v>1465</v>
      </c>
      <c r="BR1368">
        <f t="shared" si="224"/>
        <v>-110</v>
      </c>
      <c r="BS1368">
        <f t="shared" si="225"/>
        <v>110</v>
      </c>
    </row>
    <row r="1369" spans="1:74" x14ac:dyDescent="0.25">
      <c r="A1369" s="5" t="s">
        <v>1017</v>
      </c>
      <c r="B1369" s="5" t="s">
        <v>61</v>
      </c>
      <c r="C1369" s="5" t="s">
        <v>61</v>
      </c>
      <c r="D1369" s="1" t="s">
        <v>88</v>
      </c>
      <c r="E1369">
        <v>0</v>
      </c>
      <c r="F1369">
        <v>0</v>
      </c>
      <c r="G1369">
        <v>0</v>
      </c>
      <c r="H1369">
        <v>0</v>
      </c>
      <c r="I1369">
        <v>224</v>
      </c>
      <c r="J1369">
        <v>2106</v>
      </c>
      <c r="K1369">
        <v>926</v>
      </c>
      <c r="L1369">
        <v>163</v>
      </c>
      <c r="M1369">
        <v>0</v>
      </c>
      <c r="N1369">
        <v>0</v>
      </c>
      <c r="O1369">
        <v>0</v>
      </c>
      <c r="P1369">
        <v>0</v>
      </c>
      <c r="Q1369">
        <v>110</v>
      </c>
      <c r="R1369">
        <v>0</v>
      </c>
      <c r="S1369" s="18" t="e">
        <f t="shared" si="216"/>
        <v>#DIV/0!</v>
      </c>
      <c r="T1369" s="17" t="e">
        <f t="shared" si="217"/>
        <v>#DIV/0!</v>
      </c>
      <c r="U1369" s="17" t="e">
        <f t="shared" si="218"/>
        <v>#DIV/0!</v>
      </c>
      <c r="V1369" s="17" t="e">
        <f t="shared" si="219"/>
        <v>#DIV/0!</v>
      </c>
      <c r="W1369" s="17" t="e">
        <f t="shared" si="220"/>
        <v>#DIV/0!</v>
      </c>
      <c r="X1369" s="17" t="e">
        <f t="shared" si="221"/>
        <v>#DIV/0!</v>
      </c>
      <c r="Y1369" s="19" t="e">
        <f t="shared" si="222"/>
        <v>#DIV/0!</v>
      </c>
      <c r="Z1369">
        <v>0</v>
      </c>
      <c r="AA1369">
        <v>0</v>
      </c>
      <c r="AB1369">
        <v>247</v>
      </c>
      <c r="AC1369">
        <v>1142</v>
      </c>
      <c r="AD1369">
        <v>0</v>
      </c>
      <c r="AE1369">
        <v>0</v>
      </c>
      <c r="AF1369">
        <v>0</v>
      </c>
      <c r="AG1369">
        <v>224</v>
      </c>
      <c r="AH1369">
        <v>224</v>
      </c>
      <c r="AI1369">
        <v>0</v>
      </c>
      <c r="AJ1369">
        <v>0</v>
      </c>
      <c r="AK1369">
        <v>2106</v>
      </c>
      <c r="AL1369">
        <v>2106</v>
      </c>
      <c r="AM1369">
        <v>0</v>
      </c>
      <c r="AN1369">
        <v>0</v>
      </c>
      <c r="AO1369">
        <v>926</v>
      </c>
      <c r="AP1369">
        <v>514</v>
      </c>
      <c r="AQ1369">
        <v>926</v>
      </c>
      <c r="AR1369">
        <v>412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163</v>
      </c>
      <c r="BA1369">
        <v>163</v>
      </c>
      <c r="BB1369">
        <v>0</v>
      </c>
      <c r="BC1369">
        <v>0</v>
      </c>
      <c r="BD1369">
        <v>0</v>
      </c>
      <c r="BE1369">
        <f t="shared" si="223"/>
        <v>8906</v>
      </c>
      <c r="BF1369">
        <v>4808</v>
      </c>
      <c r="BG1369">
        <v>4808</v>
      </c>
      <c r="BH1369" t="s">
        <v>109</v>
      </c>
      <c r="BI1369" t="s">
        <v>1029</v>
      </c>
      <c r="BJ1369">
        <v>1389</v>
      </c>
      <c r="BK1369">
        <v>3419</v>
      </c>
      <c r="BL1369">
        <v>4808</v>
      </c>
      <c r="BM1369">
        <v>0</v>
      </c>
      <c r="BN1369">
        <v>0</v>
      </c>
      <c r="BO1369">
        <v>0</v>
      </c>
      <c r="BP1369">
        <v>3419</v>
      </c>
      <c r="BQ1369">
        <v>3419</v>
      </c>
      <c r="BR1369">
        <f t="shared" si="224"/>
        <v>-110</v>
      </c>
      <c r="BS1369">
        <f t="shared" si="225"/>
        <v>110</v>
      </c>
    </row>
    <row r="1370" spans="1:74" x14ac:dyDescent="0.25">
      <c r="A1370" s="5" t="s">
        <v>1661</v>
      </c>
      <c r="B1370" s="5" t="s">
        <v>359</v>
      </c>
      <c r="C1370" s="5" t="s">
        <v>359</v>
      </c>
      <c r="D1370" s="1" t="s">
        <v>123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2315</v>
      </c>
      <c r="K1370">
        <v>70</v>
      </c>
      <c r="L1370">
        <v>5</v>
      </c>
      <c r="M1370">
        <v>0</v>
      </c>
      <c r="N1370">
        <v>0</v>
      </c>
      <c r="O1370">
        <v>0</v>
      </c>
      <c r="P1370">
        <v>0</v>
      </c>
      <c r="Q1370">
        <v>110</v>
      </c>
      <c r="R1370">
        <v>0</v>
      </c>
      <c r="S1370" s="18" t="e">
        <f t="shared" si="216"/>
        <v>#DIV/0!</v>
      </c>
      <c r="T1370" s="17" t="e">
        <f t="shared" si="217"/>
        <v>#DIV/0!</v>
      </c>
      <c r="U1370" s="17" t="e">
        <f t="shared" si="218"/>
        <v>#DIV/0!</v>
      </c>
      <c r="V1370" s="17" t="e">
        <f t="shared" si="219"/>
        <v>#DIV/0!</v>
      </c>
      <c r="W1370" s="17" t="e">
        <f t="shared" si="220"/>
        <v>#DIV/0!</v>
      </c>
      <c r="X1370" s="17" t="e">
        <f t="shared" si="221"/>
        <v>#DIV/0!</v>
      </c>
      <c r="Y1370" s="19" t="e">
        <f t="shared" si="222"/>
        <v>#DIV/0!</v>
      </c>
      <c r="Z1370">
        <v>0</v>
      </c>
      <c r="AA1370">
        <v>0</v>
      </c>
      <c r="AB1370">
        <v>0</v>
      </c>
      <c r="AC1370">
        <v>614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2315</v>
      </c>
      <c r="AL1370">
        <v>2315</v>
      </c>
      <c r="AM1370">
        <v>0</v>
      </c>
      <c r="AN1370">
        <v>0</v>
      </c>
      <c r="AO1370">
        <v>70</v>
      </c>
      <c r="AP1370">
        <v>45</v>
      </c>
      <c r="AQ1370">
        <v>70</v>
      </c>
      <c r="AR1370">
        <v>25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5</v>
      </c>
      <c r="BA1370">
        <v>5</v>
      </c>
      <c r="BB1370">
        <v>0</v>
      </c>
      <c r="BC1370">
        <v>0</v>
      </c>
      <c r="BD1370">
        <v>0</v>
      </c>
      <c r="BE1370">
        <f t="shared" si="223"/>
        <v>5464</v>
      </c>
      <c r="BF1370">
        <v>3004</v>
      </c>
      <c r="BG1370">
        <v>3004</v>
      </c>
      <c r="BH1370" t="s">
        <v>82</v>
      </c>
      <c r="BI1370" t="s">
        <v>1063</v>
      </c>
      <c r="BJ1370">
        <v>614</v>
      </c>
      <c r="BK1370">
        <v>2390</v>
      </c>
      <c r="BL1370">
        <v>3004</v>
      </c>
      <c r="BM1370">
        <v>0</v>
      </c>
      <c r="BN1370">
        <v>0</v>
      </c>
      <c r="BO1370">
        <v>0</v>
      </c>
      <c r="BP1370">
        <v>2390</v>
      </c>
      <c r="BQ1370">
        <v>2390</v>
      </c>
      <c r="BR1370">
        <f t="shared" si="224"/>
        <v>-110</v>
      </c>
      <c r="BS1370">
        <f t="shared" si="225"/>
        <v>110</v>
      </c>
    </row>
    <row r="1371" spans="1:74" x14ac:dyDescent="0.25">
      <c r="A1371" s="5" t="s">
        <v>2294</v>
      </c>
      <c r="B1371" s="5" t="s">
        <v>61</v>
      </c>
      <c r="C1371" s="5" t="s">
        <v>61</v>
      </c>
      <c r="D1371" s="1" t="s">
        <v>65</v>
      </c>
      <c r="E1371">
        <v>0</v>
      </c>
      <c r="F1371">
        <v>0</v>
      </c>
      <c r="G1371">
        <v>0</v>
      </c>
      <c r="H1371">
        <v>0</v>
      </c>
      <c r="I1371">
        <v>400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s="18" t="e">
        <f t="shared" si="216"/>
        <v>#DIV/0!</v>
      </c>
      <c r="T1371" s="17" t="e">
        <f t="shared" si="217"/>
        <v>#DIV/0!</v>
      </c>
      <c r="U1371" s="17" t="e">
        <f t="shared" si="218"/>
        <v>#DIV/0!</v>
      </c>
      <c r="V1371" s="17" t="e">
        <f t="shared" si="219"/>
        <v>#DIV/0!</v>
      </c>
      <c r="W1371" s="17" t="e">
        <f t="shared" si="220"/>
        <v>#DIV/0!</v>
      </c>
      <c r="X1371" s="17" t="e">
        <f t="shared" si="221"/>
        <v>#DIV/0!</v>
      </c>
      <c r="Y1371" s="19" t="e">
        <f t="shared" si="222"/>
        <v>#DIV/0!</v>
      </c>
      <c r="Z1371">
        <v>0</v>
      </c>
      <c r="AA1371">
        <v>0</v>
      </c>
      <c r="AB1371">
        <v>0</v>
      </c>
      <c r="AC1371">
        <v>25</v>
      </c>
      <c r="AD1371">
        <v>0</v>
      </c>
      <c r="AE1371">
        <v>0</v>
      </c>
      <c r="AF1371">
        <v>0</v>
      </c>
      <c r="AG1371">
        <v>400</v>
      </c>
      <c r="AH1371">
        <v>400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f t="shared" si="223"/>
        <v>825</v>
      </c>
      <c r="BF1371">
        <v>425</v>
      </c>
      <c r="BG1371">
        <v>425</v>
      </c>
      <c r="BH1371" t="s">
        <v>63</v>
      </c>
      <c r="BI1371" t="s">
        <v>2296</v>
      </c>
      <c r="BJ1371">
        <v>25</v>
      </c>
      <c r="BK1371">
        <v>400</v>
      </c>
      <c r="BL1371">
        <v>425</v>
      </c>
      <c r="BM1371">
        <v>0</v>
      </c>
      <c r="BN1371">
        <v>0</v>
      </c>
      <c r="BO1371">
        <v>0</v>
      </c>
      <c r="BP1371">
        <v>400</v>
      </c>
      <c r="BQ1371">
        <v>400</v>
      </c>
      <c r="BR1371">
        <f t="shared" si="224"/>
        <v>0</v>
      </c>
      <c r="BS1371">
        <f t="shared" si="225"/>
        <v>0</v>
      </c>
      <c r="BU1371">
        <f>R1371*9</f>
        <v>0</v>
      </c>
      <c r="BV1371">
        <f>IF(BU1371&gt;BG1371, 1, 0)</f>
        <v>0</v>
      </c>
    </row>
    <row r="1372" spans="1:74" x14ac:dyDescent="0.25">
      <c r="A1372" s="5" t="s">
        <v>1337</v>
      </c>
      <c r="B1372" s="5" t="s">
        <v>61</v>
      </c>
      <c r="C1372" s="5" t="s">
        <v>61</v>
      </c>
      <c r="D1372" s="1" t="s">
        <v>106</v>
      </c>
      <c r="E1372">
        <v>0</v>
      </c>
      <c r="F1372">
        <v>37</v>
      </c>
      <c r="G1372">
        <v>0</v>
      </c>
      <c r="H1372">
        <v>0</v>
      </c>
      <c r="I1372">
        <v>200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333</v>
      </c>
      <c r="Q1372">
        <v>148</v>
      </c>
      <c r="R1372">
        <v>37</v>
      </c>
      <c r="S1372" s="18">
        <f t="shared" si="216"/>
        <v>9</v>
      </c>
      <c r="T1372" s="17">
        <f t="shared" si="217"/>
        <v>0</v>
      </c>
      <c r="U1372" s="17">
        <f t="shared" si="218"/>
        <v>0</v>
      </c>
      <c r="V1372" s="17">
        <f t="shared" si="219"/>
        <v>0</v>
      </c>
      <c r="W1372" s="17">
        <f t="shared" si="220"/>
        <v>37</v>
      </c>
      <c r="X1372" s="17">
        <f t="shared" si="221"/>
        <v>111</v>
      </c>
      <c r="Y1372" s="19">
        <f t="shared" si="222"/>
        <v>0</v>
      </c>
      <c r="Z1372">
        <v>37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200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f t="shared" si="223"/>
        <v>400</v>
      </c>
      <c r="BF1372">
        <v>237</v>
      </c>
      <c r="BG1372">
        <v>237</v>
      </c>
      <c r="BH1372" t="s">
        <v>109</v>
      </c>
      <c r="BI1372" t="s">
        <v>1357</v>
      </c>
      <c r="BJ1372">
        <v>0</v>
      </c>
      <c r="BK1372">
        <v>200</v>
      </c>
      <c r="BL1372">
        <v>237</v>
      </c>
      <c r="BM1372">
        <v>0</v>
      </c>
      <c r="BN1372">
        <v>0</v>
      </c>
      <c r="BO1372">
        <v>0</v>
      </c>
      <c r="BP1372">
        <v>533</v>
      </c>
      <c r="BQ1372">
        <v>533</v>
      </c>
      <c r="BR1372">
        <f t="shared" si="224"/>
        <v>-111</v>
      </c>
      <c r="BS1372">
        <f t="shared" si="225"/>
        <v>185</v>
      </c>
    </row>
    <row r="1373" spans="1:74" x14ac:dyDescent="0.25">
      <c r="A1373" s="5" t="s">
        <v>1451</v>
      </c>
      <c r="B1373" s="5" t="s">
        <v>359</v>
      </c>
      <c r="C1373" s="5" t="s">
        <v>61</v>
      </c>
      <c r="D1373" s="1" t="s">
        <v>135</v>
      </c>
      <c r="E1373">
        <v>0</v>
      </c>
      <c r="F1373">
        <v>380</v>
      </c>
      <c r="G1373">
        <v>0</v>
      </c>
      <c r="H1373">
        <v>0</v>
      </c>
      <c r="I1373">
        <v>50</v>
      </c>
      <c r="J1373">
        <v>1120</v>
      </c>
      <c r="K1373">
        <v>260</v>
      </c>
      <c r="L1373">
        <v>0</v>
      </c>
      <c r="M1373">
        <v>0</v>
      </c>
      <c r="N1373">
        <v>0</v>
      </c>
      <c r="O1373">
        <v>0</v>
      </c>
      <c r="P1373">
        <v>1881</v>
      </c>
      <c r="Q1373">
        <v>320</v>
      </c>
      <c r="R1373">
        <v>209</v>
      </c>
      <c r="S1373" s="18">
        <f t="shared" si="216"/>
        <v>9</v>
      </c>
      <c r="T1373" s="17">
        <f t="shared" si="217"/>
        <v>0</v>
      </c>
      <c r="U1373" s="17">
        <f t="shared" si="218"/>
        <v>0</v>
      </c>
      <c r="V1373" s="17">
        <f t="shared" si="219"/>
        <v>0</v>
      </c>
      <c r="W1373" s="17">
        <f t="shared" si="220"/>
        <v>209</v>
      </c>
      <c r="X1373" s="17">
        <f t="shared" si="221"/>
        <v>111</v>
      </c>
      <c r="Y1373" s="19">
        <f t="shared" si="222"/>
        <v>0</v>
      </c>
      <c r="Z1373">
        <v>380</v>
      </c>
      <c r="AA1373">
        <v>50</v>
      </c>
      <c r="AB1373">
        <v>60</v>
      </c>
      <c r="AC1373">
        <v>790</v>
      </c>
      <c r="AD1373">
        <v>0</v>
      </c>
      <c r="AE1373">
        <v>0</v>
      </c>
      <c r="AF1373">
        <v>0</v>
      </c>
      <c r="AG1373">
        <v>50</v>
      </c>
      <c r="AH1373">
        <v>50</v>
      </c>
      <c r="AI1373">
        <v>0</v>
      </c>
      <c r="AJ1373">
        <v>0</v>
      </c>
      <c r="AK1373">
        <v>1120</v>
      </c>
      <c r="AL1373">
        <v>1120</v>
      </c>
      <c r="AM1373">
        <v>0</v>
      </c>
      <c r="AN1373">
        <v>0</v>
      </c>
      <c r="AO1373">
        <v>260</v>
      </c>
      <c r="AP1373">
        <v>190</v>
      </c>
      <c r="AQ1373">
        <v>260</v>
      </c>
      <c r="AR1373">
        <v>70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f t="shared" si="223"/>
        <v>3910</v>
      </c>
      <c r="BF1373">
        <v>2710</v>
      </c>
      <c r="BG1373">
        <v>2710</v>
      </c>
      <c r="BH1373" t="s">
        <v>82</v>
      </c>
      <c r="BI1373" t="s">
        <v>1630</v>
      </c>
      <c r="BJ1373">
        <v>900</v>
      </c>
      <c r="BK1373">
        <v>1430</v>
      </c>
      <c r="BL1373">
        <v>2710</v>
      </c>
      <c r="BM1373">
        <v>0</v>
      </c>
      <c r="BN1373">
        <v>0</v>
      </c>
      <c r="BO1373">
        <v>0</v>
      </c>
      <c r="BP1373">
        <v>3311</v>
      </c>
      <c r="BQ1373">
        <v>3311</v>
      </c>
      <c r="BR1373">
        <f t="shared" si="224"/>
        <v>-111</v>
      </c>
      <c r="BS1373">
        <f t="shared" si="225"/>
        <v>529</v>
      </c>
    </row>
    <row r="1374" spans="1:74" x14ac:dyDescent="0.25">
      <c r="A1374" s="5" t="s">
        <v>1661</v>
      </c>
      <c r="B1374" s="5" t="s">
        <v>207</v>
      </c>
      <c r="C1374" s="5" t="s">
        <v>61</v>
      </c>
      <c r="D1374" s="1" t="s">
        <v>139</v>
      </c>
      <c r="E1374">
        <v>0</v>
      </c>
      <c r="F1374">
        <v>450</v>
      </c>
      <c r="G1374">
        <v>0</v>
      </c>
      <c r="H1374">
        <v>0</v>
      </c>
      <c r="I1374">
        <v>192</v>
      </c>
      <c r="J1374">
        <v>2452</v>
      </c>
      <c r="K1374">
        <v>524</v>
      </c>
      <c r="L1374">
        <v>0</v>
      </c>
      <c r="M1374">
        <v>0</v>
      </c>
      <c r="N1374">
        <v>0</v>
      </c>
      <c r="O1374">
        <v>0</v>
      </c>
      <c r="P1374">
        <v>2736</v>
      </c>
      <c r="Q1374">
        <v>415</v>
      </c>
      <c r="R1374">
        <v>304</v>
      </c>
      <c r="S1374" s="18">
        <f t="shared" si="216"/>
        <v>9</v>
      </c>
      <c r="T1374" s="17">
        <f t="shared" si="217"/>
        <v>0</v>
      </c>
      <c r="U1374" s="17">
        <f t="shared" si="218"/>
        <v>0</v>
      </c>
      <c r="V1374" s="17">
        <f t="shared" si="219"/>
        <v>0</v>
      </c>
      <c r="W1374" s="17">
        <f t="shared" si="220"/>
        <v>304</v>
      </c>
      <c r="X1374" s="17">
        <f t="shared" si="221"/>
        <v>111</v>
      </c>
      <c r="Y1374" s="19">
        <f t="shared" si="222"/>
        <v>0</v>
      </c>
      <c r="Z1374">
        <v>450</v>
      </c>
      <c r="AA1374">
        <v>12</v>
      </c>
      <c r="AB1374">
        <v>111</v>
      </c>
      <c r="AC1374">
        <v>3000</v>
      </c>
      <c r="AD1374">
        <v>0</v>
      </c>
      <c r="AE1374">
        <v>0</v>
      </c>
      <c r="AF1374">
        <v>0</v>
      </c>
      <c r="AG1374">
        <v>192</v>
      </c>
      <c r="AH1374">
        <v>192</v>
      </c>
      <c r="AI1374">
        <v>0</v>
      </c>
      <c r="AJ1374">
        <v>0</v>
      </c>
      <c r="AK1374">
        <v>2452</v>
      </c>
      <c r="AL1374">
        <v>2452</v>
      </c>
      <c r="AM1374">
        <v>0</v>
      </c>
      <c r="AN1374">
        <v>0</v>
      </c>
      <c r="AO1374">
        <v>524</v>
      </c>
      <c r="AP1374">
        <v>372</v>
      </c>
      <c r="AQ1374">
        <v>524</v>
      </c>
      <c r="AR1374">
        <v>152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f t="shared" si="223"/>
        <v>9860</v>
      </c>
      <c r="BF1374">
        <v>6741</v>
      </c>
      <c r="BG1374">
        <v>6741</v>
      </c>
      <c r="BH1374" t="s">
        <v>82</v>
      </c>
      <c r="BI1374" t="s">
        <v>1792</v>
      </c>
      <c r="BJ1374">
        <v>3123</v>
      </c>
      <c r="BK1374">
        <v>3168</v>
      </c>
      <c r="BL1374">
        <v>6741</v>
      </c>
      <c r="BM1374">
        <v>0</v>
      </c>
      <c r="BN1374">
        <v>0</v>
      </c>
      <c r="BO1374">
        <v>0</v>
      </c>
      <c r="BP1374">
        <v>5904</v>
      </c>
      <c r="BQ1374">
        <v>5904</v>
      </c>
      <c r="BR1374">
        <f t="shared" si="224"/>
        <v>-111</v>
      </c>
      <c r="BS1374">
        <f t="shared" si="225"/>
        <v>719</v>
      </c>
    </row>
    <row r="1375" spans="1:74" x14ac:dyDescent="0.25">
      <c r="A1375" s="5" t="s">
        <v>1661</v>
      </c>
      <c r="B1375" s="5" t="s">
        <v>359</v>
      </c>
      <c r="C1375" s="5" t="s">
        <v>207</v>
      </c>
      <c r="D1375" s="1" t="s">
        <v>104</v>
      </c>
      <c r="E1375">
        <v>0</v>
      </c>
      <c r="F1375">
        <v>346</v>
      </c>
      <c r="G1375">
        <v>0</v>
      </c>
      <c r="H1375">
        <v>0</v>
      </c>
      <c r="I1375">
        <v>402</v>
      </c>
      <c r="J1375">
        <v>0</v>
      </c>
      <c r="K1375">
        <v>1198</v>
      </c>
      <c r="L1375">
        <v>0</v>
      </c>
      <c r="M1375">
        <v>0</v>
      </c>
      <c r="N1375">
        <v>0</v>
      </c>
      <c r="O1375">
        <v>0</v>
      </c>
      <c r="P1375">
        <v>1053</v>
      </c>
      <c r="Q1375">
        <v>228</v>
      </c>
      <c r="R1375">
        <v>117</v>
      </c>
      <c r="S1375" s="18">
        <f t="shared" si="216"/>
        <v>9</v>
      </c>
      <c r="T1375" s="17">
        <f t="shared" si="217"/>
        <v>0</v>
      </c>
      <c r="U1375" s="17">
        <f t="shared" si="218"/>
        <v>0</v>
      </c>
      <c r="V1375" s="17">
        <f t="shared" si="219"/>
        <v>0</v>
      </c>
      <c r="W1375" s="17">
        <f t="shared" si="220"/>
        <v>117</v>
      </c>
      <c r="X1375" s="17">
        <f t="shared" si="221"/>
        <v>111</v>
      </c>
      <c r="Y1375" s="19">
        <f t="shared" si="222"/>
        <v>0</v>
      </c>
      <c r="Z1375">
        <v>278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402</v>
      </c>
      <c r="AH1375">
        <v>402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1198</v>
      </c>
      <c r="AP1375">
        <v>793</v>
      </c>
      <c r="AQ1375">
        <v>1198</v>
      </c>
      <c r="AR1375">
        <v>404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f t="shared" si="223"/>
        <v>4397</v>
      </c>
      <c r="BF1375">
        <v>3267</v>
      </c>
      <c r="BG1375">
        <v>3267</v>
      </c>
      <c r="BH1375" t="s">
        <v>109</v>
      </c>
      <c r="BI1375" t="s">
        <v>1902</v>
      </c>
      <c r="BJ1375">
        <v>0</v>
      </c>
      <c r="BK1375">
        <v>1600</v>
      </c>
      <c r="BL1375">
        <v>1878</v>
      </c>
      <c r="BM1375">
        <v>0</v>
      </c>
      <c r="BN1375">
        <v>0</v>
      </c>
      <c r="BO1375">
        <v>0</v>
      </c>
      <c r="BP1375">
        <v>2653</v>
      </c>
      <c r="BQ1375">
        <v>2653</v>
      </c>
      <c r="BR1375">
        <f t="shared" si="224"/>
        <v>-111</v>
      </c>
      <c r="BS1375">
        <f t="shared" si="225"/>
        <v>345</v>
      </c>
    </row>
    <row r="1376" spans="1:74" x14ac:dyDescent="0.25">
      <c r="A1376" s="5" t="s">
        <v>61</v>
      </c>
      <c r="B1376" s="5" t="s">
        <v>61</v>
      </c>
      <c r="C1376" s="5" t="s">
        <v>61</v>
      </c>
      <c r="D1376" s="1" t="s">
        <v>183</v>
      </c>
      <c r="E1376">
        <v>0</v>
      </c>
      <c r="F1376">
        <v>15</v>
      </c>
      <c r="G1376">
        <v>0</v>
      </c>
      <c r="H1376">
        <v>0</v>
      </c>
      <c r="I1376">
        <v>177</v>
      </c>
      <c r="J1376">
        <v>0</v>
      </c>
      <c r="K1376">
        <v>0</v>
      </c>
      <c r="L1376">
        <v>0</v>
      </c>
      <c r="M1376">
        <v>81</v>
      </c>
      <c r="N1376">
        <v>0</v>
      </c>
      <c r="O1376">
        <v>0</v>
      </c>
      <c r="P1376">
        <v>0</v>
      </c>
      <c r="Q1376">
        <v>121</v>
      </c>
      <c r="R1376">
        <v>9</v>
      </c>
      <c r="S1376" s="18">
        <f t="shared" si="216"/>
        <v>9</v>
      </c>
      <c r="T1376" s="17">
        <f t="shared" si="217"/>
        <v>9</v>
      </c>
      <c r="U1376" s="17">
        <f t="shared" si="218"/>
        <v>0</v>
      </c>
      <c r="V1376" s="17">
        <f t="shared" si="219"/>
        <v>0</v>
      </c>
      <c r="W1376" s="17">
        <f t="shared" si="220"/>
        <v>0</v>
      </c>
      <c r="X1376" s="17">
        <f t="shared" si="221"/>
        <v>112</v>
      </c>
      <c r="Y1376" s="19">
        <f t="shared" si="222"/>
        <v>0</v>
      </c>
      <c r="Z1376">
        <v>15</v>
      </c>
      <c r="AA1376">
        <v>0</v>
      </c>
      <c r="AB1376">
        <v>0</v>
      </c>
      <c r="AC1376">
        <v>0</v>
      </c>
      <c r="AD1376">
        <v>177</v>
      </c>
      <c r="AE1376">
        <v>0</v>
      </c>
      <c r="AF1376">
        <v>0</v>
      </c>
      <c r="AG1376">
        <v>0</v>
      </c>
      <c r="AH1376">
        <v>177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f t="shared" si="223"/>
        <v>354</v>
      </c>
      <c r="BF1376">
        <v>192</v>
      </c>
      <c r="BG1376">
        <v>192</v>
      </c>
      <c r="BH1376" t="s">
        <v>109</v>
      </c>
      <c r="BI1376" t="s">
        <v>184</v>
      </c>
      <c r="BJ1376">
        <v>0</v>
      </c>
      <c r="BK1376">
        <v>177</v>
      </c>
      <c r="BL1376">
        <v>192</v>
      </c>
      <c r="BM1376">
        <v>258</v>
      </c>
      <c r="BN1376">
        <v>0</v>
      </c>
      <c r="BO1376">
        <v>0</v>
      </c>
      <c r="BP1376">
        <v>0</v>
      </c>
      <c r="BQ1376">
        <v>258</v>
      </c>
      <c r="BR1376">
        <f t="shared" si="224"/>
        <v>-112</v>
      </c>
      <c r="BS1376">
        <f t="shared" si="225"/>
        <v>130</v>
      </c>
    </row>
    <row r="1377" spans="1:74" x14ac:dyDescent="0.25">
      <c r="A1377" s="5" t="s">
        <v>61</v>
      </c>
      <c r="B1377" s="5" t="s">
        <v>207</v>
      </c>
      <c r="C1377" s="5" t="s">
        <v>61</v>
      </c>
      <c r="D1377" s="1" t="s">
        <v>94</v>
      </c>
      <c r="E1377">
        <v>4</v>
      </c>
      <c r="F1377">
        <v>22</v>
      </c>
      <c r="G1377">
        <v>0</v>
      </c>
      <c r="H1377">
        <v>0</v>
      </c>
      <c r="I1377">
        <v>117</v>
      </c>
      <c r="J1377">
        <v>980</v>
      </c>
      <c r="K1377">
        <v>133</v>
      </c>
      <c r="L1377">
        <v>84</v>
      </c>
      <c r="M1377">
        <v>0</v>
      </c>
      <c r="N1377">
        <v>0</v>
      </c>
      <c r="O1377">
        <v>0</v>
      </c>
      <c r="P1377">
        <v>135</v>
      </c>
      <c r="Q1377">
        <v>127</v>
      </c>
      <c r="R1377">
        <v>15</v>
      </c>
      <c r="S1377" s="18">
        <f t="shared" si="216"/>
        <v>9</v>
      </c>
      <c r="T1377" s="17">
        <f t="shared" si="217"/>
        <v>0</v>
      </c>
      <c r="U1377" s="17">
        <f t="shared" si="218"/>
        <v>0</v>
      </c>
      <c r="V1377" s="17">
        <f t="shared" si="219"/>
        <v>0</v>
      </c>
      <c r="W1377" s="17">
        <f t="shared" si="220"/>
        <v>15</v>
      </c>
      <c r="X1377" s="17">
        <f t="shared" si="221"/>
        <v>112</v>
      </c>
      <c r="Y1377" s="19">
        <f t="shared" si="222"/>
        <v>0</v>
      </c>
      <c r="Z1377">
        <v>22</v>
      </c>
      <c r="AA1377">
        <v>21</v>
      </c>
      <c r="AB1377">
        <v>0</v>
      </c>
      <c r="AC1377">
        <v>1234</v>
      </c>
      <c r="AD1377">
        <v>0</v>
      </c>
      <c r="AE1377">
        <v>0</v>
      </c>
      <c r="AF1377">
        <v>0</v>
      </c>
      <c r="AG1377">
        <v>117</v>
      </c>
      <c r="AH1377">
        <v>117</v>
      </c>
      <c r="AI1377">
        <v>0</v>
      </c>
      <c r="AJ1377">
        <v>0</v>
      </c>
      <c r="AK1377">
        <v>980</v>
      </c>
      <c r="AL1377">
        <v>980</v>
      </c>
      <c r="AM1377">
        <v>0</v>
      </c>
      <c r="AN1377">
        <v>0</v>
      </c>
      <c r="AO1377">
        <v>133</v>
      </c>
      <c r="AP1377">
        <v>5</v>
      </c>
      <c r="AQ1377">
        <v>133</v>
      </c>
      <c r="AR1377">
        <v>128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84</v>
      </c>
      <c r="BA1377">
        <v>84</v>
      </c>
      <c r="BB1377">
        <v>0</v>
      </c>
      <c r="BC1377">
        <v>0</v>
      </c>
      <c r="BD1377">
        <v>0</v>
      </c>
      <c r="BE1377">
        <f t="shared" si="223"/>
        <v>3995</v>
      </c>
      <c r="BF1377">
        <v>2595</v>
      </c>
      <c r="BG1377">
        <v>2595</v>
      </c>
      <c r="BH1377" t="s">
        <v>82</v>
      </c>
      <c r="BI1377" t="s">
        <v>223</v>
      </c>
      <c r="BJ1377">
        <v>1259</v>
      </c>
      <c r="BK1377">
        <v>1314</v>
      </c>
      <c r="BL1377">
        <v>2595</v>
      </c>
      <c r="BM1377">
        <v>0</v>
      </c>
      <c r="BN1377">
        <v>0</v>
      </c>
      <c r="BO1377">
        <v>0</v>
      </c>
      <c r="BP1377">
        <v>1449</v>
      </c>
      <c r="BQ1377">
        <v>1449</v>
      </c>
      <c r="BR1377">
        <f t="shared" si="224"/>
        <v>-112</v>
      </c>
      <c r="BS1377">
        <f t="shared" si="225"/>
        <v>142</v>
      </c>
    </row>
    <row r="1378" spans="1:74" x14ac:dyDescent="0.25">
      <c r="A1378" s="5" t="s">
        <v>875</v>
      </c>
      <c r="B1378" s="5" t="s">
        <v>61</v>
      </c>
      <c r="C1378" s="5" t="s">
        <v>207</v>
      </c>
      <c r="D1378" s="1" t="s">
        <v>181</v>
      </c>
      <c r="E1378">
        <v>200</v>
      </c>
      <c r="F1378">
        <v>108</v>
      </c>
      <c r="G1378">
        <v>0</v>
      </c>
      <c r="H1378">
        <v>0</v>
      </c>
      <c r="I1378">
        <v>445</v>
      </c>
      <c r="J1378">
        <v>850</v>
      </c>
      <c r="K1378">
        <v>356</v>
      </c>
      <c r="L1378">
        <v>100</v>
      </c>
      <c r="M1378">
        <v>0</v>
      </c>
      <c r="N1378">
        <v>0</v>
      </c>
      <c r="O1378">
        <v>0</v>
      </c>
      <c r="P1378">
        <v>243</v>
      </c>
      <c r="Q1378">
        <v>139</v>
      </c>
      <c r="R1378">
        <v>27</v>
      </c>
      <c r="S1378" s="18">
        <f t="shared" si="216"/>
        <v>9</v>
      </c>
      <c r="T1378" s="17">
        <f t="shared" si="217"/>
        <v>0</v>
      </c>
      <c r="U1378" s="17">
        <f t="shared" si="218"/>
        <v>0</v>
      </c>
      <c r="V1378" s="17">
        <f t="shared" si="219"/>
        <v>0</v>
      </c>
      <c r="W1378" s="17">
        <f t="shared" si="220"/>
        <v>27</v>
      </c>
      <c r="X1378" s="17">
        <f t="shared" si="221"/>
        <v>112</v>
      </c>
      <c r="Y1378" s="19">
        <f t="shared" si="222"/>
        <v>0</v>
      </c>
      <c r="Z1378">
        <v>108</v>
      </c>
      <c r="AA1378">
        <v>0</v>
      </c>
      <c r="AB1378">
        <v>0</v>
      </c>
      <c r="AC1378">
        <v>1700</v>
      </c>
      <c r="AD1378">
        <v>0</v>
      </c>
      <c r="AE1378">
        <v>0</v>
      </c>
      <c r="AF1378">
        <v>0</v>
      </c>
      <c r="AG1378">
        <v>445</v>
      </c>
      <c r="AH1378">
        <v>445</v>
      </c>
      <c r="AI1378">
        <v>0</v>
      </c>
      <c r="AJ1378">
        <v>0</v>
      </c>
      <c r="AK1378">
        <v>850</v>
      </c>
      <c r="AL1378">
        <v>850</v>
      </c>
      <c r="AM1378">
        <v>0</v>
      </c>
      <c r="AN1378">
        <v>0</v>
      </c>
      <c r="AO1378">
        <v>356</v>
      </c>
      <c r="AP1378">
        <v>165</v>
      </c>
      <c r="AQ1378">
        <v>356</v>
      </c>
      <c r="AR1378">
        <v>191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100</v>
      </c>
      <c r="BA1378">
        <v>100</v>
      </c>
      <c r="BB1378">
        <v>0</v>
      </c>
      <c r="BC1378">
        <v>0</v>
      </c>
      <c r="BD1378">
        <v>0</v>
      </c>
      <c r="BE1378">
        <f t="shared" si="223"/>
        <v>5558</v>
      </c>
      <c r="BF1378">
        <v>3759</v>
      </c>
      <c r="BG1378">
        <v>3759</v>
      </c>
      <c r="BH1378" t="s">
        <v>190</v>
      </c>
      <c r="BI1378" t="s">
        <v>930</v>
      </c>
      <c r="BJ1378">
        <v>1900</v>
      </c>
      <c r="BK1378">
        <v>1751</v>
      </c>
      <c r="BL1378">
        <v>3759</v>
      </c>
      <c r="BM1378">
        <v>0</v>
      </c>
      <c r="BN1378">
        <v>0</v>
      </c>
      <c r="BO1378">
        <v>0</v>
      </c>
      <c r="BP1378">
        <v>1994</v>
      </c>
      <c r="BQ1378">
        <v>1994</v>
      </c>
      <c r="BR1378">
        <f t="shared" si="224"/>
        <v>-112</v>
      </c>
      <c r="BS1378">
        <f t="shared" si="225"/>
        <v>166</v>
      </c>
    </row>
    <row r="1379" spans="1:74" x14ac:dyDescent="0.25">
      <c r="A1379" s="5" t="s">
        <v>1135</v>
      </c>
      <c r="B1379" s="5" t="s">
        <v>61</v>
      </c>
      <c r="C1379" s="5" t="s">
        <v>61</v>
      </c>
      <c r="D1379" s="1" t="s">
        <v>123</v>
      </c>
      <c r="E1379">
        <v>0</v>
      </c>
      <c r="F1379">
        <v>316</v>
      </c>
      <c r="G1379">
        <v>0</v>
      </c>
      <c r="H1379">
        <v>0</v>
      </c>
      <c r="I1379">
        <v>421</v>
      </c>
      <c r="J1379">
        <v>1365</v>
      </c>
      <c r="K1379">
        <v>200</v>
      </c>
      <c r="L1379">
        <v>108</v>
      </c>
      <c r="M1379">
        <v>0</v>
      </c>
      <c r="N1379">
        <v>0</v>
      </c>
      <c r="O1379">
        <v>0</v>
      </c>
      <c r="P1379">
        <v>405</v>
      </c>
      <c r="Q1379">
        <v>157</v>
      </c>
      <c r="R1379">
        <v>45</v>
      </c>
      <c r="S1379" s="18">
        <f t="shared" si="216"/>
        <v>9</v>
      </c>
      <c r="T1379" s="17">
        <f t="shared" si="217"/>
        <v>0</v>
      </c>
      <c r="U1379" s="17">
        <f t="shared" si="218"/>
        <v>0</v>
      </c>
      <c r="V1379" s="17">
        <f t="shared" si="219"/>
        <v>0</v>
      </c>
      <c r="W1379" s="17">
        <f t="shared" si="220"/>
        <v>45</v>
      </c>
      <c r="X1379" s="17">
        <f t="shared" si="221"/>
        <v>112</v>
      </c>
      <c r="Y1379" s="19">
        <f t="shared" si="222"/>
        <v>0</v>
      </c>
      <c r="Z1379">
        <v>316</v>
      </c>
      <c r="AA1379">
        <v>0</v>
      </c>
      <c r="AB1379">
        <v>0</v>
      </c>
      <c r="AC1379">
        <v>1060</v>
      </c>
      <c r="AD1379">
        <v>0</v>
      </c>
      <c r="AE1379">
        <v>0</v>
      </c>
      <c r="AF1379">
        <v>0</v>
      </c>
      <c r="AG1379">
        <v>421</v>
      </c>
      <c r="AH1379">
        <v>421</v>
      </c>
      <c r="AI1379">
        <v>0</v>
      </c>
      <c r="AJ1379">
        <v>0</v>
      </c>
      <c r="AK1379">
        <v>1365</v>
      </c>
      <c r="AL1379">
        <v>1365</v>
      </c>
      <c r="AM1379">
        <v>0</v>
      </c>
      <c r="AN1379">
        <v>0</v>
      </c>
      <c r="AO1379">
        <v>200</v>
      </c>
      <c r="AP1379">
        <v>35</v>
      </c>
      <c r="AQ1379">
        <v>200</v>
      </c>
      <c r="AR1379">
        <v>165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108</v>
      </c>
      <c r="BA1379">
        <v>108</v>
      </c>
      <c r="BB1379">
        <v>0</v>
      </c>
      <c r="BC1379">
        <v>0</v>
      </c>
      <c r="BD1379">
        <v>0</v>
      </c>
      <c r="BE1379">
        <f t="shared" si="223"/>
        <v>5448</v>
      </c>
      <c r="BF1379">
        <v>3470</v>
      </c>
      <c r="BG1379">
        <v>3470</v>
      </c>
      <c r="BH1379" t="s">
        <v>82</v>
      </c>
      <c r="BI1379" t="s">
        <v>1160</v>
      </c>
      <c r="BJ1379">
        <v>1060</v>
      </c>
      <c r="BK1379">
        <v>2094</v>
      </c>
      <c r="BL1379">
        <v>3470</v>
      </c>
      <c r="BM1379">
        <v>0</v>
      </c>
      <c r="BN1379">
        <v>0</v>
      </c>
      <c r="BO1379">
        <v>0</v>
      </c>
      <c r="BP1379">
        <v>2499</v>
      </c>
      <c r="BQ1379">
        <v>2499</v>
      </c>
      <c r="BR1379">
        <f t="shared" si="224"/>
        <v>-112</v>
      </c>
      <c r="BS1379">
        <f t="shared" si="225"/>
        <v>202</v>
      </c>
    </row>
    <row r="1380" spans="1:74" x14ac:dyDescent="0.25">
      <c r="A1380" s="5" t="s">
        <v>1661</v>
      </c>
      <c r="B1380" s="5" t="s">
        <v>207</v>
      </c>
      <c r="C1380" s="5" t="s">
        <v>207</v>
      </c>
      <c r="D1380" s="1" t="s">
        <v>141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85</v>
      </c>
      <c r="K1380">
        <v>8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</v>
      </c>
      <c r="R1380">
        <v>0</v>
      </c>
      <c r="S1380" s="18" t="e">
        <f t="shared" si="216"/>
        <v>#DIV/0!</v>
      </c>
      <c r="T1380" s="17" t="e">
        <f t="shared" si="217"/>
        <v>#DIV/0!</v>
      </c>
      <c r="U1380" s="17" t="e">
        <f t="shared" si="218"/>
        <v>#DIV/0!</v>
      </c>
      <c r="V1380" s="17" t="e">
        <f t="shared" si="219"/>
        <v>#DIV/0!</v>
      </c>
      <c r="W1380" s="17" t="e">
        <f t="shared" si="220"/>
        <v>#DIV/0!</v>
      </c>
      <c r="X1380" s="17" t="e">
        <f t="shared" si="221"/>
        <v>#DIV/0!</v>
      </c>
      <c r="Y1380" s="19" t="e">
        <f t="shared" si="222"/>
        <v>#DIV/0!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85</v>
      </c>
      <c r="AL1380">
        <v>85</v>
      </c>
      <c r="AM1380">
        <v>0</v>
      </c>
      <c r="AN1380">
        <v>0</v>
      </c>
      <c r="AO1380">
        <v>8</v>
      </c>
      <c r="AP1380">
        <v>0</v>
      </c>
      <c r="AQ1380">
        <v>8</v>
      </c>
      <c r="AR1380">
        <v>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f t="shared" si="223"/>
        <v>194</v>
      </c>
      <c r="BF1380">
        <v>93</v>
      </c>
      <c r="BG1380">
        <v>93</v>
      </c>
      <c r="BH1380" t="s">
        <v>63</v>
      </c>
      <c r="BI1380" t="s">
        <v>1828</v>
      </c>
      <c r="BJ1380">
        <v>0</v>
      </c>
      <c r="BK1380">
        <v>93</v>
      </c>
      <c r="BL1380">
        <v>93</v>
      </c>
      <c r="BM1380">
        <v>0</v>
      </c>
      <c r="BN1380">
        <v>0</v>
      </c>
      <c r="BO1380">
        <v>0</v>
      </c>
      <c r="BP1380">
        <v>93</v>
      </c>
      <c r="BQ1380">
        <v>93</v>
      </c>
      <c r="BR1380">
        <f t="shared" si="224"/>
        <v>-2</v>
      </c>
      <c r="BS1380">
        <f t="shared" si="225"/>
        <v>2</v>
      </c>
      <c r="BU1380">
        <f>R1380*9</f>
        <v>0</v>
      </c>
      <c r="BV1380">
        <f>IF(BU1380&gt;BG1380, 1, 0)</f>
        <v>0</v>
      </c>
    </row>
    <row r="1381" spans="1:74" x14ac:dyDescent="0.25">
      <c r="A1381" s="5" t="s">
        <v>1337</v>
      </c>
      <c r="B1381" s="5" t="s">
        <v>359</v>
      </c>
      <c r="C1381" s="5" t="s">
        <v>61</v>
      </c>
      <c r="D1381" s="1" t="s">
        <v>135</v>
      </c>
      <c r="E1381">
        <v>0</v>
      </c>
      <c r="F1381">
        <v>41</v>
      </c>
      <c r="G1381">
        <v>0</v>
      </c>
      <c r="H1381">
        <v>0</v>
      </c>
      <c r="I1381">
        <v>72</v>
      </c>
      <c r="J1381">
        <v>1223</v>
      </c>
      <c r="K1381">
        <v>21</v>
      </c>
      <c r="L1381">
        <v>12</v>
      </c>
      <c r="M1381">
        <v>0</v>
      </c>
      <c r="N1381">
        <v>0</v>
      </c>
      <c r="O1381">
        <v>0</v>
      </c>
      <c r="P1381">
        <v>369</v>
      </c>
      <c r="Q1381">
        <v>153</v>
      </c>
      <c r="R1381">
        <v>41</v>
      </c>
      <c r="S1381" s="18">
        <f t="shared" si="216"/>
        <v>9</v>
      </c>
      <c r="T1381" s="17">
        <f t="shared" si="217"/>
        <v>0</v>
      </c>
      <c r="U1381" s="17">
        <f t="shared" si="218"/>
        <v>0</v>
      </c>
      <c r="V1381" s="17">
        <f t="shared" si="219"/>
        <v>0</v>
      </c>
      <c r="W1381" s="17">
        <f t="shared" si="220"/>
        <v>41</v>
      </c>
      <c r="X1381" s="17">
        <f t="shared" si="221"/>
        <v>112</v>
      </c>
      <c r="Y1381" s="19">
        <f t="shared" si="222"/>
        <v>0</v>
      </c>
      <c r="Z1381">
        <v>41</v>
      </c>
      <c r="AA1381">
        <v>0</v>
      </c>
      <c r="AB1381">
        <v>257</v>
      </c>
      <c r="AC1381">
        <v>2598</v>
      </c>
      <c r="AD1381">
        <v>0</v>
      </c>
      <c r="AE1381">
        <v>0</v>
      </c>
      <c r="AF1381">
        <v>0</v>
      </c>
      <c r="AG1381">
        <v>72</v>
      </c>
      <c r="AH1381">
        <v>72</v>
      </c>
      <c r="AI1381">
        <v>0</v>
      </c>
      <c r="AJ1381">
        <v>0</v>
      </c>
      <c r="AK1381">
        <v>1223</v>
      </c>
      <c r="AL1381">
        <v>1223</v>
      </c>
      <c r="AM1381">
        <v>0</v>
      </c>
      <c r="AN1381">
        <v>0</v>
      </c>
      <c r="AO1381">
        <v>21</v>
      </c>
      <c r="AP1381">
        <v>13</v>
      </c>
      <c r="AQ1381">
        <v>21</v>
      </c>
      <c r="AR1381">
        <v>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12</v>
      </c>
      <c r="BA1381">
        <v>12</v>
      </c>
      <c r="BB1381">
        <v>0</v>
      </c>
      <c r="BC1381">
        <v>0</v>
      </c>
      <c r="BD1381">
        <v>0</v>
      </c>
      <c r="BE1381">
        <f t="shared" si="223"/>
        <v>5275</v>
      </c>
      <c r="BF1381">
        <v>4224</v>
      </c>
      <c r="BG1381">
        <v>4224</v>
      </c>
      <c r="BH1381" t="s">
        <v>82</v>
      </c>
      <c r="BI1381" t="s">
        <v>1445</v>
      </c>
      <c r="BJ1381">
        <v>2855</v>
      </c>
      <c r="BK1381">
        <v>1328</v>
      </c>
      <c r="BL1381">
        <v>4224</v>
      </c>
      <c r="BM1381">
        <v>0</v>
      </c>
      <c r="BN1381">
        <v>0</v>
      </c>
      <c r="BO1381">
        <v>0</v>
      </c>
      <c r="BP1381">
        <v>1697</v>
      </c>
      <c r="BQ1381">
        <v>1697</v>
      </c>
      <c r="BR1381">
        <f t="shared" si="224"/>
        <v>-112</v>
      </c>
      <c r="BS1381">
        <f t="shared" si="225"/>
        <v>194</v>
      </c>
    </row>
    <row r="1382" spans="1:74" x14ac:dyDescent="0.25">
      <c r="A1382" s="5" t="s">
        <v>1451</v>
      </c>
      <c r="B1382" s="5" t="s">
        <v>359</v>
      </c>
      <c r="C1382" s="5" t="s">
        <v>61</v>
      </c>
      <c r="D1382" s="1" t="s">
        <v>115</v>
      </c>
      <c r="E1382">
        <v>0</v>
      </c>
      <c r="F1382">
        <v>58</v>
      </c>
      <c r="G1382">
        <v>0</v>
      </c>
      <c r="H1382">
        <v>0</v>
      </c>
      <c r="I1382">
        <v>0</v>
      </c>
      <c r="J1382">
        <v>1580</v>
      </c>
      <c r="K1382">
        <v>45</v>
      </c>
      <c r="L1382">
        <v>0</v>
      </c>
      <c r="M1382">
        <v>0</v>
      </c>
      <c r="N1382">
        <v>0</v>
      </c>
      <c r="O1382">
        <v>0</v>
      </c>
      <c r="P1382">
        <v>486</v>
      </c>
      <c r="Q1382">
        <v>166</v>
      </c>
      <c r="R1382">
        <v>54</v>
      </c>
      <c r="S1382" s="18">
        <f t="shared" si="216"/>
        <v>9</v>
      </c>
      <c r="T1382" s="17">
        <f t="shared" si="217"/>
        <v>0</v>
      </c>
      <c r="U1382" s="17">
        <f t="shared" si="218"/>
        <v>0</v>
      </c>
      <c r="V1382" s="17">
        <f t="shared" si="219"/>
        <v>0</v>
      </c>
      <c r="W1382" s="17">
        <f t="shared" si="220"/>
        <v>54</v>
      </c>
      <c r="X1382" s="17">
        <f t="shared" si="221"/>
        <v>112</v>
      </c>
      <c r="Y1382" s="19">
        <f t="shared" si="222"/>
        <v>0</v>
      </c>
      <c r="Z1382">
        <v>58</v>
      </c>
      <c r="AA1382">
        <v>20</v>
      </c>
      <c r="AB1382">
        <v>300</v>
      </c>
      <c r="AC1382">
        <v>1200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1580</v>
      </c>
      <c r="AL1382">
        <v>1580</v>
      </c>
      <c r="AM1382">
        <v>0</v>
      </c>
      <c r="AN1382">
        <v>0</v>
      </c>
      <c r="AO1382">
        <v>45</v>
      </c>
      <c r="AP1382">
        <v>0</v>
      </c>
      <c r="AQ1382">
        <v>45</v>
      </c>
      <c r="AR1382">
        <v>45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f t="shared" si="223"/>
        <v>4495</v>
      </c>
      <c r="BF1382">
        <v>3203</v>
      </c>
      <c r="BG1382">
        <v>3203</v>
      </c>
      <c r="BH1382" t="s">
        <v>82</v>
      </c>
      <c r="BI1382" t="s">
        <v>1622</v>
      </c>
      <c r="BJ1382">
        <v>1520</v>
      </c>
      <c r="BK1382">
        <v>1625</v>
      </c>
      <c r="BL1382">
        <v>3203</v>
      </c>
      <c r="BM1382">
        <v>0</v>
      </c>
      <c r="BN1382">
        <v>0</v>
      </c>
      <c r="BO1382">
        <v>0</v>
      </c>
      <c r="BP1382">
        <v>2111</v>
      </c>
      <c r="BQ1382">
        <v>2111</v>
      </c>
      <c r="BR1382">
        <f t="shared" si="224"/>
        <v>-112</v>
      </c>
      <c r="BS1382">
        <f t="shared" si="225"/>
        <v>220</v>
      </c>
    </row>
    <row r="1383" spans="1:74" x14ac:dyDescent="0.25">
      <c r="A1383" s="5" t="s">
        <v>1135</v>
      </c>
      <c r="B1383" s="5" t="s">
        <v>61</v>
      </c>
      <c r="C1383" s="5" t="s">
        <v>61</v>
      </c>
      <c r="D1383" s="1" t="s">
        <v>98</v>
      </c>
      <c r="E1383">
        <v>0</v>
      </c>
      <c r="F1383">
        <v>4800</v>
      </c>
      <c r="G1383">
        <v>0</v>
      </c>
      <c r="H1383">
        <v>0</v>
      </c>
      <c r="I1383">
        <v>8124</v>
      </c>
      <c r="J1383">
        <v>750</v>
      </c>
      <c r="K1383">
        <v>265</v>
      </c>
      <c r="L1383">
        <v>650</v>
      </c>
      <c r="M1383">
        <v>0</v>
      </c>
      <c r="N1383">
        <v>1170</v>
      </c>
      <c r="O1383">
        <v>0</v>
      </c>
      <c r="P1383">
        <v>5625</v>
      </c>
      <c r="Q1383">
        <v>868</v>
      </c>
      <c r="R1383">
        <v>755</v>
      </c>
      <c r="S1383" s="18">
        <f t="shared" si="216"/>
        <v>9</v>
      </c>
      <c r="T1383" s="17">
        <f t="shared" si="217"/>
        <v>0</v>
      </c>
      <c r="U1383" s="17">
        <f t="shared" si="218"/>
        <v>130</v>
      </c>
      <c r="V1383" s="17">
        <f t="shared" si="219"/>
        <v>0</v>
      </c>
      <c r="W1383" s="17">
        <f t="shared" si="220"/>
        <v>625</v>
      </c>
      <c r="X1383" s="17">
        <f t="shared" si="221"/>
        <v>113</v>
      </c>
      <c r="Y1383" s="19">
        <f t="shared" si="222"/>
        <v>0</v>
      </c>
      <c r="Z1383">
        <v>4800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8124</v>
      </c>
      <c r="AH1383">
        <v>8124</v>
      </c>
      <c r="AI1383">
        <v>0</v>
      </c>
      <c r="AJ1383">
        <v>0</v>
      </c>
      <c r="AK1383">
        <v>750</v>
      </c>
      <c r="AL1383">
        <v>750</v>
      </c>
      <c r="AM1383">
        <v>0</v>
      </c>
      <c r="AN1383">
        <v>0</v>
      </c>
      <c r="AO1383">
        <v>265</v>
      </c>
      <c r="AP1383">
        <v>265</v>
      </c>
      <c r="AQ1383">
        <v>265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650</v>
      </c>
      <c r="BA1383">
        <v>650</v>
      </c>
      <c r="BB1383">
        <v>0</v>
      </c>
      <c r="BC1383">
        <v>0</v>
      </c>
      <c r="BD1383">
        <v>0</v>
      </c>
      <c r="BE1383">
        <f t="shared" si="223"/>
        <v>19843</v>
      </c>
      <c r="BF1383">
        <v>14589</v>
      </c>
      <c r="BG1383">
        <v>14589</v>
      </c>
      <c r="BH1383" t="s">
        <v>109</v>
      </c>
      <c r="BI1383" t="s">
        <v>1149</v>
      </c>
      <c r="BJ1383">
        <v>0</v>
      </c>
      <c r="BK1383">
        <v>9789</v>
      </c>
      <c r="BL1383">
        <v>14589</v>
      </c>
      <c r="BM1383">
        <v>0</v>
      </c>
      <c r="BN1383">
        <v>1170</v>
      </c>
      <c r="BO1383">
        <v>0</v>
      </c>
      <c r="BP1383">
        <v>15414</v>
      </c>
      <c r="BQ1383">
        <v>16584</v>
      </c>
      <c r="BR1383">
        <f t="shared" si="224"/>
        <v>-113</v>
      </c>
      <c r="BS1383">
        <f t="shared" si="225"/>
        <v>1623</v>
      </c>
    </row>
    <row r="1384" spans="1:74" x14ac:dyDescent="0.25">
      <c r="A1384" s="5" t="s">
        <v>1451</v>
      </c>
      <c r="B1384" s="5" t="s">
        <v>359</v>
      </c>
      <c r="C1384" s="5" t="s">
        <v>207</v>
      </c>
      <c r="D1384" s="1" t="s">
        <v>73</v>
      </c>
      <c r="E1384">
        <v>1793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6993</v>
      </c>
      <c r="Q1384">
        <v>890</v>
      </c>
      <c r="R1384">
        <v>777</v>
      </c>
      <c r="S1384" s="18">
        <f t="shared" si="216"/>
        <v>9</v>
      </c>
      <c r="T1384" s="17">
        <f t="shared" si="217"/>
        <v>0</v>
      </c>
      <c r="U1384" s="17">
        <f t="shared" si="218"/>
        <v>0</v>
      </c>
      <c r="V1384" s="17">
        <f t="shared" si="219"/>
        <v>0</v>
      </c>
      <c r="W1384" s="17">
        <f t="shared" si="220"/>
        <v>777</v>
      </c>
      <c r="X1384" s="17">
        <f t="shared" si="221"/>
        <v>113</v>
      </c>
      <c r="Y1384" s="19">
        <f t="shared" si="222"/>
        <v>0</v>
      </c>
      <c r="Z1384">
        <v>12596</v>
      </c>
      <c r="AA1384">
        <v>243</v>
      </c>
      <c r="AB1384">
        <v>0</v>
      </c>
      <c r="AC1384">
        <v>16164</v>
      </c>
      <c r="AD1384">
        <v>0</v>
      </c>
      <c r="AE1384">
        <v>0</v>
      </c>
      <c r="AF1384">
        <v>0</v>
      </c>
      <c r="AG1384">
        <v>268</v>
      </c>
      <c r="AH1384">
        <v>268</v>
      </c>
      <c r="AI1384">
        <v>0</v>
      </c>
      <c r="AJ1384">
        <v>0</v>
      </c>
      <c r="AK1384">
        <v>901</v>
      </c>
      <c r="AL1384">
        <v>901</v>
      </c>
      <c r="AM1384">
        <v>0</v>
      </c>
      <c r="AN1384">
        <v>0</v>
      </c>
      <c r="AO1384">
        <v>2368</v>
      </c>
      <c r="AP1384">
        <v>1792</v>
      </c>
      <c r="AQ1384">
        <v>2368</v>
      </c>
      <c r="AR1384">
        <v>576</v>
      </c>
      <c r="AS1384">
        <v>0</v>
      </c>
      <c r="AT1384">
        <v>1626</v>
      </c>
      <c r="AU1384">
        <v>1626</v>
      </c>
      <c r="AV1384">
        <v>1626</v>
      </c>
      <c r="AW1384">
        <v>0</v>
      </c>
      <c r="AX1384">
        <v>0</v>
      </c>
      <c r="AY1384">
        <v>0</v>
      </c>
      <c r="AZ1384">
        <v>563</v>
      </c>
      <c r="BA1384">
        <v>563</v>
      </c>
      <c r="BB1384">
        <v>0</v>
      </c>
      <c r="BC1384">
        <v>0</v>
      </c>
      <c r="BD1384">
        <v>0</v>
      </c>
      <c r="BE1384">
        <f t="shared" si="223"/>
        <v>31610</v>
      </c>
      <c r="BF1384">
        <v>36522</v>
      </c>
      <c r="BG1384">
        <v>36522</v>
      </c>
      <c r="BH1384" t="s">
        <v>226</v>
      </c>
      <c r="BI1384" t="s">
        <v>1653</v>
      </c>
      <c r="BJ1384">
        <v>18200</v>
      </c>
      <c r="BK1384">
        <v>5726</v>
      </c>
      <c r="BL1384">
        <v>36522</v>
      </c>
      <c r="BM1384">
        <v>0</v>
      </c>
      <c r="BN1384">
        <v>0</v>
      </c>
      <c r="BO1384">
        <v>0</v>
      </c>
      <c r="BP1384">
        <v>12719</v>
      </c>
      <c r="BQ1384">
        <v>12719</v>
      </c>
      <c r="BR1384">
        <f t="shared" si="224"/>
        <v>-113</v>
      </c>
      <c r="BS1384">
        <f t="shared" si="225"/>
        <v>1667</v>
      </c>
    </row>
    <row r="1385" spans="1:74" x14ac:dyDescent="0.25">
      <c r="A1385" s="5" t="s">
        <v>1661</v>
      </c>
      <c r="B1385" s="5" t="s">
        <v>207</v>
      </c>
      <c r="C1385" s="5" t="s">
        <v>61</v>
      </c>
      <c r="D1385" s="1" t="s">
        <v>65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475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7</v>
      </c>
      <c r="R1385">
        <v>0</v>
      </c>
      <c r="S1385" s="18" t="e">
        <f t="shared" si="216"/>
        <v>#DIV/0!</v>
      </c>
      <c r="T1385" s="17" t="e">
        <f t="shared" si="217"/>
        <v>#DIV/0!</v>
      </c>
      <c r="U1385" s="17" t="e">
        <f t="shared" si="218"/>
        <v>#DIV/0!</v>
      </c>
      <c r="V1385" s="17" t="e">
        <f t="shared" si="219"/>
        <v>#DIV/0!</v>
      </c>
      <c r="W1385" s="17" t="e">
        <f t="shared" si="220"/>
        <v>#DIV/0!</v>
      </c>
      <c r="X1385" s="17" t="e">
        <f t="shared" si="221"/>
        <v>#DIV/0!</v>
      </c>
      <c r="Y1385" s="19" t="e">
        <f t="shared" si="222"/>
        <v>#DIV/0!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475</v>
      </c>
      <c r="AP1385">
        <v>150</v>
      </c>
      <c r="AQ1385">
        <v>475</v>
      </c>
      <c r="AR1385">
        <v>325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f t="shared" si="223"/>
        <v>1425</v>
      </c>
      <c r="BF1385">
        <v>475</v>
      </c>
      <c r="BG1385">
        <v>475</v>
      </c>
      <c r="BH1385" t="s">
        <v>63</v>
      </c>
      <c r="BI1385" t="s">
        <v>1759</v>
      </c>
      <c r="BJ1385">
        <v>0</v>
      </c>
      <c r="BK1385">
        <v>475</v>
      </c>
      <c r="BL1385">
        <v>475</v>
      </c>
      <c r="BM1385">
        <v>0</v>
      </c>
      <c r="BN1385">
        <v>0</v>
      </c>
      <c r="BO1385">
        <v>0</v>
      </c>
      <c r="BP1385">
        <v>475</v>
      </c>
      <c r="BQ1385">
        <v>475</v>
      </c>
      <c r="BR1385">
        <f t="shared" si="224"/>
        <v>-7</v>
      </c>
      <c r="BS1385">
        <f t="shared" si="225"/>
        <v>7</v>
      </c>
      <c r="BU1385">
        <f>R1385*9</f>
        <v>0</v>
      </c>
      <c r="BV1385">
        <f>IF(BU1385&gt;BG1385, 1, 0)</f>
        <v>0</v>
      </c>
    </row>
    <row r="1386" spans="1:74" x14ac:dyDescent="0.25">
      <c r="A1386" s="5" t="s">
        <v>1451</v>
      </c>
      <c r="B1386" s="5" t="s">
        <v>61</v>
      </c>
      <c r="C1386" s="5" t="s">
        <v>627</v>
      </c>
      <c r="D1386" s="1" t="s">
        <v>86</v>
      </c>
      <c r="E1386">
        <v>0</v>
      </c>
      <c r="F1386">
        <v>830</v>
      </c>
      <c r="G1386">
        <v>0</v>
      </c>
      <c r="H1386">
        <v>0</v>
      </c>
      <c r="I1386">
        <v>535</v>
      </c>
      <c r="J1386">
        <v>110</v>
      </c>
      <c r="K1386">
        <v>835</v>
      </c>
      <c r="L1386">
        <v>0</v>
      </c>
      <c r="M1386">
        <v>1332</v>
      </c>
      <c r="N1386">
        <v>0</v>
      </c>
      <c r="O1386">
        <v>0</v>
      </c>
      <c r="P1386">
        <v>0</v>
      </c>
      <c r="Q1386">
        <v>262</v>
      </c>
      <c r="R1386">
        <v>148</v>
      </c>
      <c r="S1386" s="18">
        <f t="shared" si="216"/>
        <v>9</v>
      </c>
      <c r="T1386" s="17">
        <f t="shared" si="217"/>
        <v>148</v>
      </c>
      <c r="U1386" s="17">
        <f t="shared" si="218"/>
        <v>0</v>
      </c>
      <c r="V1386" s="17">
        <f t="shared" si="219"/>
        <v>0</v>
      </c>
      <c r="W1386" s="17">
        <f t="shared" si="220"/>
        <v>0</v>
      </c>
      <c r="X1386" s="17">
        <f t="shared" si="221"/>
        <v>114</v>
      </c>
      <c r="Y1386" s="19">
        <f t="shared" si="222"/>
        <v>0</v>
      </c>
      <c r="Z1386">
        <v>830</v>
      </c>
      <c r="AA1386">
        <v>0</v>
      </c>
      <c r="AB1386">
        <v>0</v>
      </c>
      <c r="AC1386">
        <v>0</v>
      </c>
      <c r="AD1386">
        <v>535</v>
      </c>
      <c r="AE1386">
        <v>0</v>
      </c>
      <c r="AF1386">
        <v>0</v>
      </c>
      <c r="AG1386">
        <v>0</v>
      </c>
      <c r="AH1386">
        <v>535</v>
      </c>
      <c r="AI1386">
        <v>0</v>
      </c>
      <c r="AJ1386">
        <v>0</v>
      </c>
      <c r="AK1386">
        <v>110</v>
      </c>
      <c r="AL1386">
        <v>110</v>
      </c>
      <c r="AM1386">
        <v>835</v>
      </c>
      <c r="AN1386">
        <v>0</v>
      </c>
      <c r="AO1386">
        <v>0</v>
      </c>
      <c r="AP1386">
        <v>135</v>
      </c>
      <c r="AQ1386">
        <v>835</v>
      </c>
      <c r="AR1386">
        <v>700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f t="shared" si="223"/>
        <v>3795</v>
      </c>
      <c r="BF1386">
        <v>2310</v>
      </c>
      <c r="BG1386">
        <v>2310</v>
      </c>
      <c r="BH1386" t="s">
        <v>109</v>
      </c>
      <c r="BI1386" t="s">
        <v>1519</v>
      </c>
      <c r="BJ1386">
        <v>0</v>
      </c>
      <c r="BK1386">
        <v>1480</v>
      </c>
      <c r="BL1386">
        <v>2310</v>
      </c>
      <c r="BM1386">
        <v>2702</v>
      </c>
      <c r="BN1386">
        <v>0</v>
      </c>
      <c r="BO1386">
        <v>0</v>
      </c>
      <c r="BP1386">
        <v>110</v>
      </c>
      <c r="BQ1386">
        <v>2812</v>
      </c>
      <c r="BR1386">
        <f t="shared" si="224"/>
        <v>-114</v>
      </c>
      <c r="BS1386">
        <f t="shared" si="225"/>
        <v>410</v>
      </c>
    </row>
    <row r="1387" spans="1:74" x14ac:dyDescent="0.25">
      <c r="A1387" s="5" t="s">
        <v>1661</v>
      </c>
      <c r="B1387" s="5" t="s">
        <v>207</v>
      </c>
      <c r="C1387" s="5" t="s">
        <v>207</v>
      </c>
      <c r="D1387" s="1" t="s">
        <v>155</v>
      </c>
      <c r="E1387">
        <v>0</v>
      </c>
      <c r="F1387">
        <v>172</v>
      </c>
      <c r="G1387">
        <v>0</v>
      </c>
      <c r="H1387">
        <v>0</v>
      </c>
      <c r="I1387">
        <v>20</v>
      </c>
      <c r="J1387">
        <v>548</v>
      </c>
      <c r="K1387">
        <v>202</v>
      </c>
      <c r="L1387">
        <v>0</v>
      </c>
      <c r="M1387">
        <v>1035</v>
      </c>
      <c r="N1387">
        <v>0</v>
      </c>
      <c r="O1387">
        <v>0</v>
      </c>
      <c r="P1387">
        <v>0</v>
      </c>
      <c r="Q1387">
        <v>229</v>
      </c>
      <c r="R1387">
        <v>115</v>
      </c>
      <c r="S1387" s="18">
        <f t="shared" si="216"/>
        <v>9</v>
      </c>
      <c r="T1387" s="17">
        <f t="shared" si="217"/>
        <v>115</v>
      </c>
      <c r="U1387" s="17">
        <f t="shared" si="218"/>
        <v>0</v>
      </c>
      <c r="V1387" s="17">
        <f t="shared" si="219"/>
        <v>0</v>
      </c>
      <c r="W1387" s="17">
        <f t="shared" si="220"/>
        <v>0</v>
      </c>
      <c r="X1387" s="17">
        <f t="shared" si="221"/>
        <v>114</v>
      </c>
      <c r="Y1387" s="19">
        <f t="shared" si="222"/>
        <v>0</v>
      </c>
      <c r="Z1387">
        <v>172</v>
      </c>
      <c r="AA1387">
        <v>0</v>
      </c>
      <c r="AB1387">
        <v>0</v>
      </c>
      <c r="AC1387">
        <v>560</v>
      </c>
      <c r="AD1387">
        <v>0</v>
      </c>
      <c r="AE1387">
        <v>0</v>
      </c>
      <c r="AF1387">
        <v>0</v>
      </c>
      <c r="AG1387">
        <v>20</v>
      </c>
      <c r="AH1387">
        <v>20</v>
      </c>
      <c r="AI1387">
        <v>0</v>
      </c>
      <c r="AJ1387">
        <v>0</v>
      </c>
      <c r="AK1387">
        <v>548</v>
      </c>
      <c r="AL1387">
        <v>548</v>
      </c>
      <c r="AM1387">
        <v>198</v>
      </c>
      <c r="AN1387">
        <v>0</v>
      </c>
      <c r="AO1387">
        <v>4</v>
      </c>
      <c r="AP1387">
        <v>98</v>
      </c>
      <c r="AQ1387">
        <v>202</v>
      </c>
      <c r="AR1387">
        <v>104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f t="shared" si="223"/>
        <v>2302</v>
      </c>
      <c r="BF1387">
        <v>1502</v>
      </c>
      <c r="BG1387">
        <v>1502</v>
      </c>
      <c r="BH1387" t="s">
        <v>190</v>
      </c>
      <c r="BI1387" t="s">
        <v>1835</v>
      </c>
      <c r="BJ1387">
        <v>560</v>
      </c>
      <c r="BK1387">
        <v>770</v>
      </c>
      <c r="BL1387">
        <v>1502</v>
      </c>
      <c r="BM1387">
        <v>1233</v>
      </c>
      <c r="BN1387">
        <v>0</v>
      </c>
      <c r="BO1387">
        <v>0</v>
      </c>
      <c r="BP1387">
        <v>572</v>
      </c>
      <c r="BQ1387">
        <v>1805</v>
      </c>
      <c r="BR1387">
        <f t="shared" si="224"/>
        <v>-114</v>
      </c>
      <c r="BS1387">
        <f t="shared" si="225"/>
        <v>344</v>
      </c>
    </row>
    <row r="1388" spans="1:74" x14ac:dyDescent="0.25">
      <c r="A1388" s="5" t="s">
        <v>61</v>
      </c>
      <c r="B1388" s="5" t="s">
        <v>359</v>
      </c>
      <c r="C1388" s="5" t="s">
        <v>61</v>
      </c>
      <c r="D1388" s="1" t="s">
        <v>86</v>
      </c>
      <c r="E1388">
        <v>0</v>
      </c>
      <c r="F1388">
        <v>8</v>
      </c>
      <c r="G1388">
        <v>0</v>
      </c>
      <c r="H1388">
        <v>0</v>
      </c>
      <c r="I1388">
        <v>150</v>
      </c>
      <c r="J1388">
        <v>780</v>
      </c>
      <c r="K1388">
        <v>224</v>
      </c>
      <c r="L1388">
        <v>87</v>
      </c>
      <c r="M1388">
        <v>0</v>
      </c>
      <c r="N1388">
        <v>0</v>
      </c>
      <c r="O1388">
        <v>0</v>
      </c>
      <c r="P1388">
        <v>72</v>
      </c>
      <c r="Q1388">
        <v>123</v>
      </c>
      <c r="R1388">
        <v>8</v>
      </c>
      <c r="S1388" s="18">
        <f t="shared" si="216"/>
        <v>9</v>
      </c>
      <c r="T1388" s="17">
        <f t="shared" si="217"/>
        <v>0</v>
      </c>
      <c r="U1388" s="17">
        <f t="shared" si="218"/>
        <v>0</v>
      </c>
      <c r="V1388" s="17">
        <f t="shared" si="219"/>
        <v>0</v>
      </c>
      <c r="W1388" s="17">
        <f t="shared" si="220"/>
        <v>8</v>
      </c>
      <c r="X1388" s="17">
        <f t="shared" si="221"/>
        <v>115</v>
      </c>
      <c r="Y1388" s="19">
        <f t="shared" si="222"/>
        <v>0</v>
      </c>
      <c r="Z1388">
        <v>8</v>
      </c>
      <c r="AA1388">
        <v>4</v>
      </c>
      <c r="AB1388">
        <v>0</v>
      </c>
      <c r="AC1388">
        <v>1248</v>
      </c>
      <c r="AD1388">
        <v>0</v>
      </c>
      <c r="AE1388">
        <v>0</v>
      </c>
      <c r="AF1388">
        <v>0</v>
      </c>
      <c r="AG1388">
        <v>150</v>
      </c>
      <c r="AH1388">
        <v>150</v>
      </c>
      <c r="AI1388">
        <v>0</v>
      </c>
      <c r="AJ1388">
        <v>0</v>
      </c>
      <c r="AK1388">
        <v>780</v>
      </c>
      <c r="AL1388">
        <v>780</v>
      </c>
      <c r="AM1388">
        <v>0</v>
      </c>
      <c r="AN1388">
        <v>0</v>
      </c>
      <c r="AO1388">
        <v>224</v>
      </c>
      <c r="AP1388">
        <v>34</v>
      </c>
      <c r="AQ1388">
        <v>224</v>
      </c>
      <c r="AR1388">
        <v>190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87</v>
      </c>
      <c r="BA1388">
        <v>87</v>
      </c>
      <c r="BB1388">
        <v>0</v>
      </c>
      <c r="BC1388">
        <v>0</v>
      </c>
      <c r="BD1388">
        <v>0</v>
      </c>
      <c r="BE1388">
        <f t="shared" si="223"/>
        <v>3954</v>
      </c>
      <c r="BF1388">
        <v>2501</v>
      </c>
      <c r="BG1388">
        <v>2501</v>
      </c>
      <c r="BH1388" t="s">
        <v>82</v>
      </c>
      <c r="BI1388" t="s">
        <v>371</v>
      </c>
      <c r="BJ1388">
        <v>1252</v>
      </c>
      <c r="BK1388">
        <v>1241</v>
      </c>
      <c r="BL1388">
        <v>2501</v>
      </c>
      <c r="BM1388">
        <v>0</v>
      </c>
      <c r="BN1388">
        <v>0</v>
      </c>
      <c r="BO1388">
        <v>0</v>
      </c>
      <c r="BP1388">
        <v>1313</v>
      </c>
      <c r="BQ1388">
        <v>1313</v>
      </c>
      <c r="BR1388">
        <f t="shared" si="224"/>
        <v>-115</v>
      </c>
      <c r="BS1388">
        <f t="shared" si="225"/>
        <v>131</v>
      </c>
    </row>
    <row r="1389" spans="1:74" x14ac:dyDescent="0.25">
      <c r="A1389" s="5" t="s">
        <v>1451</v>
      </c>
      <c r="B1389" s="5" t="s">
        <v>207</v>
      </c>
      <c r="C1389" s="5" t="s">
        <v>207</v>
      </c>
      <c r="D1389" s="1" t="s">
        <v>73</v>
      </c>
      <c r="E1389">
        <v>0</v>
      </c>
      <c r="F1389">
        <v>0</v>
      </c>
      <c r="G1389">
        <v>0</v>
      </c>
      <c r="H1389">
        <v>0</v>
      </c>
      <c r="I1389">
        <v>100</v>
      </c>
      <c r="J1389">
        <v>742</v>
      </c>
      <c r="K1389">
        <v>37</v>
      </c>
      <c r="L1389">
        <v>32</v>
      </c>
      <c r="M1389">
        <v>0</v>
      </c>
      <c r="N1389">
        <v>0</v>
      </c>
      <c r="O1389">
        <v>0</v>
      </c>
      <c r="P1389">
        <v>0</v>
      </c>
      <c r="Q1389">
        <v>17</v>
      </c>
      <c r="R1389">
        <v>0</v>
      </c>
      <c r="S1389" s="18" t="e">
        <f t="shared" si="216"/>
        <v>#DIV/0!</v>
      </c>
      <c r="T1389" s="17" t="e">
        <f t="shared" si="217"/>
        <v>#DIV/0!</v>
      </c>
      <c r="U1389" s="17" t="e">
        <f t="shared" si="218"/>
        <v>#DIV/0!</v>
      </c>
      <c r="V1389" s="17" t="e">
        <f t="shared" si="219"/>
        <v>#DIV/0!</v>
      </c>
      <c r="W1389" s="17" t="e">
        <f t="shared" si="220"/>
        <v>#DIV/0!</v>
      </c>
      <c r="X1389" s="17" t="e">
        <f t="shared" si="221"/>
        <v>#DIV/0!</v>
      </c>
      <c r="Y1389" s="19" t="e">
        <f t="shared" si="222"/>
        <v>#DIV/0!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100</v>
      </c>
      <c r="AI1389">
        <v>0</v>
      </c>
      <c r="AJ1389">
        <v>0</v>
      </c>
      <c r="AK1389">
        <v>742</v>
      </c>
      <c r="AL1389">
        <v>742</v>
      </c>
      <c r="AM1389">
        <v>0</v>
      </c>
      <c r="AN1389">
        <v>0</v>
      </c>
      <c r="AO1389">
        <v>37</v>
      </c>
      <c r="AP1389">
        <v>0</v>
      </c>
      <c r="AQ1389">
        <v>37</v>
      </c>
      <c r="AR1389">
        <v>37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32</v>
      </c>
      <c r="BA1389">
        <v>32</v>
      </c>
      <c r="BB1389">
        <v>0</v>
      </c>
      <c r="BC1389">
        <v>0</v>
      </c>
      <c r="BD1389">
        <v>0</v>
      </c>
      <c r="BE1389">
        <f t="shared" si="223"/>
        <v>1859</v>
      </c>
      <c r="BF1389">
        <v>911</v>
      </c>
      <c r="BG1389">
        <v>911</v>
      </c>
      <c r="BH1389" t="s">
        <v>63</v>
      </c>
      <c r="BI1389" t="s">
        <v>1564</v>
      </c>
      <c r="BJ1389">
        <v>0</v>
      </c>
      <c r="BK1389">
        <v>911</v>
      </c>
      <c r="BL1389">
        <v>911</v>
      </c>
      <c r="BM1389">
        <v>0</v>
      </c>
      <c r="BN1389">
        <v>0</v>
      </c>
      <c r="BO1389">
        <v>0</v>
      </c>
      <c r="BP1389">
        <v>911</v>
      </c>
      <c r="BQ1389">
        <v>911</v>
      </c>
      <c r="BR1389">
        <f t="shared" si="224"/>
        <v>-17</v>
      </c>
      <c r="BS1389">
        <f t="shared" si="225"/>
        <v>17</v>
      </c>
      <c r="BU1389">
        <f>R1389*9</f>
        <v>0</v>
      </c>
      <c r="BV1389">
        <f>IF(BU1389&gt;BG1389, 1, 0)</f>
        <v>0</v>
      </c>
    </row>
    <row r="1390" spans="1:74" x14ac:dyDescent="0.25">
      <c r="A1390" s="5" t="s">
        <v>1135</v>
      </c>
      <c r="B1390" s="5" t="s">
        <v>207</v>
      </c>
      <c r="C1390" s="5" t="s">
        <v>207</v>
      </c>
      <c r="D1390" s="1" t="s">
        <v>119</v>
      </c>
      <c r="E1390">
        <v>0</v>
      </c>
      <c r="F1390">
        <v>0</v>
      </c>
      <c r="G1390">
        <v>0</v>
      </c>
      <c r="H1390">
        <v>0</v>
      </c>
      <c r="I1390">
        <v>118</v>
      </c>
      <c r="J1390">
        <v>1388</v>
      </c>
      <c r="K1390">
        <v>594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115</v>
      </c>
      <c r="R1390">
        <v>0</v>
      </c>
      <c r="S1390" s="18" t="e">
        <f t="shared" si="216"/>
        <v>#DIV/0!</v>
      </c>
      <c r="T1390" s="17" t="e">
        <f t="shared" si="217"/>
        <v>#DIV/0!</v>
      </c>
      <c r="U1390" s="17" t="e">
        <f t="shared" si="218"/>
        <v>#DIV/0!</v>
      </c>
      <c r="V1390" s="17" t="e">
        <f t="shared" si="219"/>
        <v>#DIV/0!</v>
      </c>
      <c r="W1390" s="17" t="e">
        <f t="shared" si="220"/>
        <v>#DIV/0!</v>
      </c>
      <c r="X1390" s="17" t="e">
        <f t="shared" si="221"/>
        <v>#DIV/0!</v>
      </c>
      <c r="Y1390" s="19" t="e">
        <f t="shared" si="222"/>
        <v>#DIV/0!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118</v>
      </c>
      <c r="AH1390">
        <v>118</v>
      </c>
      <c r="AI1390">
        <v>0</v>
      </c>
      <c r="AJ1390">
        <v>0</v>
      </c>
      <c r="AK1390">
        <v>1388</v>
      </c>
      <c r="AL1390">
        <v>1388</v>
      </c>
      <c r="AM1390">
        <v>0</v>
      </c>
      <c r="AN1390">
        <v>0</v>
      </c>
      <c r="AO1390">
        <v>594</v>
      </c>
      <c r="AP1390">
        <v>496</v>
      </c>
      <c r="AQ1390">
        <v>594</v>
      </c>
      <c r="AR1390">
        <v>98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f t="shared" si="223"/>
        <v>4794</v>
      </c>
      <c r="BF1390">
        <v>2100</v>
      </c>
      <c r="BG1390">
        <v>2100</v>
      </c>
      <c r="BH1390" t="s">
        <v>190</v>
      </c>
      <c r="BI1390" t="s">
        <v>1282</v>
      </c>
      <c r="BJ1390">
        <v>0</v>
      </c>
      <c r="BK1390">
        <v>2100</v>
      </c>
      <c r="BL1390">
        <v>2100</v>
      </c>
      <c r="BM1390">
        <v>0</v>
      </c>
      <c r="BN1390">
        <v>0</v>
      </c>
      <c r="BO1390">
        <v>0</v>
      </c>
      <c r="BP1390">
        <v>2100</v>
      </c>
      <c r="BQ1390">
        <v>2100</v>
      </c>
      <c r="BR1390">
        <f t="shared" si="224"/>
        <v>-115</v>
      </c>
      <c r="BS1390">
        <f t="shared" si="225"/>
        <v>115</v>
      </c>
    </row>
    <row r="1391" spans="1:74" x14ac:dyDescent="0.25">
      <c r="A1391" s="5" t="s">
        <v>61</v>
      </c>
      <c r="B1391" s="5" t="s">
        <v>359</v>
      </c>
      <c r="C1391" s="5" t="s">
        <v>61</v>
      </c>
      <c r="D1391" s="1" t="s">
        <v>62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60</v>
      </c>
      <c r="L1391">
        <v>35</v>
      </c>
      <c r="M1391">
        <v>0</v>
      </c>
      <c r="N1391">
        <v>0</v>
      </c>
      <c r="O1391">
        <v>0</v>
      </c>
      <c r="P1391">
        <v>0</v>
      </c>
      <c r="Q1391">
        <v>18</v>
      </c>
      <c r="R1391">
        <v>0</v>
      </c>
      <c r="S1391" s="18" t="e">
        <f t="shared" si="216"/>
        <v>#DIV/0!</v>
      </c>
      <c r="T1391" s="17" t="e">
        <f t="shared" si="217"/>
        <v>#DIV/0!</v>
      </c>
      <c r="U1391" s="17" t="e">
        <f t="shared" si="218"/>
        <v>#DIV/0!</v>
      </c>
      <c r="V1391" s="17" t="e">
        <f t="shared" si="219"/>
        <v>#DIV/0!</v>
      </c>
      <c r="W1391" s="17" t="e">
        <f t="shared" si="220"/>
        <v>#DIV/0!</v>
      </c>
      <c r="X1391" s="17" t="e">
        <f t="shared" si="221"/>
        <v>#DIV/0!</v>
      </c>
      <c r="Y1391" s="19" t="e">
        <f t="shared" si="222"/>
        <v>#DIV/0!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60</v>
      </c>
      <c r="AP1391">
        <v>0</v>
      </c>
      <c r="AQ1391">
        <v>60</v>
      </c>
      <c r="AR1391">
        <v>60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35</v>
      </c>
      <c r="BA1391">
        <v>35</v>
      </c>
      <c r="BB1391">
        <v>0</v>
      </c>
      <c r="BC1391">
        <v>0</v>
      </c>
      <c r="BD1391">
        <v>0</v>
      </c>
      <c r="BE1391">
        <f t="shared" si="223"/>
        <v>250</v>
      </c>
      <c r="BF1391">
        <v>95</v>
      </c>
      <c r="BG1391">
        <v>95</v>
      </c>
      <c r="BH1391" t="s">
        <v>63</v>
      </c>
      <c r="BI1391" t="s">
        <v>360</v>
      </c>
      <c r="BJ1391">
        <v>0</v>
      </c>
      <c r="BK1391">
        <v>95</v>
      </c>
      <c r="BL1391">
        <v>95</v>
      </c>
      <c r="BM1391">
        <v>0</v>
      </c>
      <c r="BN1391">
        <v>0</v>
      </c>
      <c r="BO1391">
        <v>0</v>
      </c>
      <c r="BP1391">
        <v>95</v>
      </c>
      <c r="BQ1391">
        <v>95</v>
      </c>
      <c r="BR1391">
        <f t="shared" si="224"/>
        <v>-18</v>
      </c>
      <c r="BS1391">
        <f t="shared" si="225"/>
        <v>18</v>
      </c>
      <c r="BU1391">
        <f>R1391*9</f>
        <v>0</v>
      </c>
      <c r="BV1391">
        <f>IF(BU1391&gt;BG1391, 1, 0)</f>
        <v>0</v>
      </c>
    </row>
    <row r="1392" spans="1:74" x14ac:dyDescent="0.25">
      <c r="A1392" s="5" t="s">
        <v>207</v>
      </c>
      <c r="B1392" s="5" t="s">
        <v>61</v>
      </c>
      <c r="C1392" s="5" t="s">
        <v>207</v>
      </c>
      <c r="D1392" s="1" t="s">
        <v>67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391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22</v>
      </c>
      <c r="R1392">
        <v>0</v>
      </c>
      <c r="S1392" s="18" t="e">
        <f t="shared" si="216"/>
        <v>#DIV/0!</v>
      </c>
      <c r="T1392" s="17" t="e">
        <f t="shared" si="217"/>
        <v>#DIV/0!</v>
      </c>
      <c r="U1392" s="17" t="e">
        <f t="shared" si="218"/>
        <v>#DIV/0!</v>
      </c>
      <c r="V1392" s="17" t="e">
        <f t="shared" si="219"/>
        <v>#DIV/0!</v>
      </c>
      <c r="W1392" s="17" t="e">
        <f t="shared" si="220"/>
        <v>#DIV/0!</v>
      </c>
      <c r="X1392" s="17" t="e">
        <f t="shared" si="221"/>
        <v>#DIV/0!</v>
      </c>
      <c r="Y1392" s="19" t="e">
        <f t="shared" si="222"/>
        <v>#DIV/0!</v>
      </c>
      <c r="Z1392">
        <v>0</v>
      </c>
      <c r="AA1392">
        <v>0</v>
      </c>
      <c r="AB1392">
        <v>0</v>
      </c>
      <c r="AC1392">
        <v>16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391</v>
      </c>
      <c r="AL1392">
        <v>391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f t="shared" si="223"/>
        <v>798</v>
      </c>
      <c r="BF1392">
        <v>407</v>
      </c>
      <c r="BG1392">
        <v>407</v>
      </c>
      <c r="BH1392" t="s">
        <v>63</v>
      </c>
      <c r="BI1392" t="s">
        <v>464</v>
      </c>
      <c r="BJ1392">
        <v>16</v>
      </c>
      <c r="BK1392">
        <v>391</v>
      </c>
      <c r="BL1392">
        <v>407</v>
      </c>
      <c r="BM1392">
        <v>0</v>
      </c>
      <c r="BN1392">
        <v>0</v>
      </c>
      <c r="BO1392">
        <v>0</v>
      </c>
      <c r="BP1392">
        <v>391</v>
      </c>
      <c r="BQ1392">
        <v>391</v>
      </c>
      <c r="BR1392">
        <f t="shared" si="224"/>
        <v>-22</v>
      </c>
      <c r="BS1392">
        <f t="shared" si="225"/>
        <v>22</v>
      </c>
      <c r="BU1392">
        <f>R1392*9</f>
        <v>0</v>
      </c>
      <c r="BV1392">
        <f>IF(BU1392&gt;BG1392, 1, 0)</f>
        <v>0</v>
      </c>
    </row>
    <row r="1393" spans="1:74" x14ac:dyDescent="0.25">
      <c r="A1393" s="5" t="s">
        <v>61</v>
      </c>
      <c r="B1393" s="5" t="s">
        <v>207</v>
      </c>
      <c r="C1393" s="5" t="s">
        <v>207</v>
      </c>
      <c r="D1393" s="1" t="s">
        <v>163</v>
      </c>
      <c r="E1393">
        <v>0</v>
      </c>
      <c r="F1393">
        <v>10</v>
      </c>
      <c r="G1393">
        <v>0</v>
      </c>
      <c r="H1393">
        <v>0</v>
      </c>
      <c r="I1393">
        <v>370</v>
      </c>
      <c r="J1393">
        <v>0</v>
      </c>
      <c r="K1393">
        <v>0</v>
      </c>
      <c r="L1393">
        <v>0</v>
      </c>
      <c r="M1393">
        <v>90</v>
      </c>
      <c r="N1393">
        <v>0</v>
      </c>
      <c r="O1393">
        <v>0</v>
      </c>
      <c r="P1393">
        <v>0</v>
      </c>
      <c r="Q1393">
        <v>126</v>
      </c>
      <c r="R1393">
        <v>10</v>
      </c>
      <c r="S1393" s="18">
        <f t="shared" si="216"/>
        <v>9</v>
      </c>
      <c r="T1393" s="17">
        <f t="shared" si="217"/>
        <v>10</v>
      </c>
      <c r="U1393" s="17">
        <f t="shared" si="218"/>
        <v>0</v>
      </c>
      <c r="V1393" s="17">
        <f t="shared" si="219"/>
        <v>0</v>
      </c>
      <c r="W1393" s="17">
        <f t="shared" si="220"/>
        <v>0</v>
      </c>
      <c r="X1393" s="17">
        <f t="shared" si="221"/>
        <v>116</v>
      </c>
      <c r="Y1393" s="19">
        <f t="shared" si="222"/>
        <v>0</v>
      </c>
      <c r="Z1393">
        <v>10</v>
      </c>
      <c r="AA1393">
        <v>0</v>
      </c>
      <c r="AB1393">
        <v>0</v>
      </c>
      <c r="AC1393">
        <v>0</v>
      </c>
      <c r="AD1393">
        <v>370</v>
      </c>
      <c r="AE1393">
        <v>0</v>
      </c>
      <c r="AF1393">
        <v>0</v>
      </c>
      <c r="AG1393">
        <v>0</v>
      </c>
      <c r="AH1393">
        <v>370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f t="shared" si="223"/>
        <v>740</v>
      </c>
      <c r="BF1393">
        <v>380</v>
      </c>
      <c r="BG1393">
        <v>380</v>
      </c>
      <c r="BH1393" t="s">
        <v>109</v>
      </c>
      <c r="BI1393" t="s">
        <v>328</v>
      </c>
      <c r="BJ1393">
        <v>0</v>
      </c>
      <c r="BK1393">
        <v>370</v>
      </c>
      <c r="BL1393">
        <v>380</v>
      </c>
      <c r="BM1393">
        <v>460</v>
      </c>
      <c r="BN1393">
        <v>0</v>
      </c>
      <c r="BO1393">
        <v>0</v>
      </c>
      <c r="BP1393">
        <v>0</v>
      </c>
      <c r="BQ1393">
        <v>460</v>
      </c>
      <c r="BR1393">
        <f t="shared" si="224"/>
        <v>-116</v>
      </c>
      <c r="BS1393">
        <f t="shared" si="225"/>
        <v>136</v>
      </c>
    </row>
    <row r="1394" spans="1:74" x14ac:dyDescent="0.25">
      <c r="A1394" s="5" t="s">
        <v>1017</v>
      </c>
      <c r="B1394" s="5" t="s">
        <v>61</v>
      </c>
      <c r="C1394" s="5" t="s">
        <v>207</v>
      </c>
      <c r="D1394" s="1" t="s">
        <v>100</v>
      </c>
      <c r="E1394">
        <v>0</v>
      </c>
      <c r="F1394">
        <v>40</v>
      </c>
      <c r="G1394">
        <v>0</v>
      </c>
      <c r="H1394">
        <v>0</v>
      </c>
      <c r="I1394">
        <v>105</v>
      </c>
      <c r="J1394">
        <v>1400</v>
      </c>
      <c r="K1394">
        <v>179</v>
      </c>
      <c r="L1394">
        <v>100</v>
      </c>
      <c r="M1394">
        <v>0</v>
      </c>
      <c r="N1394">
        <v>0</v>
      </c>
      <c r="O1394">
        <v>0</v>
      </c>
      <c r="P1394">
        <v>360</v>
      </c>
      <c r="Q1394">
        <v>156</v>
      </c>
      <c r="R1394">
        <v>40</v>
      </c>
      <c r="S1394" s="18">
        <f t="shared" si="216"/>
        <v>9</v>
      </c>
      <c r="T1394" s="17">
        <f t="shared" si="217"/>
        <v>0</v>
      </c>
      <c r="U1394" s="17">
        <f t="shared" si="218"/>
        <v>0</v>
      </c>
      <c r="V1394" s="17">
        <f t="shared" si="219"/>
        <v>0</v>
      </c>
      <c r="W1394" s="17">
        <f t="shared" si="220"/>
        <v>40</v>
      </c>
      <c r="X1394" s="17">
        <f t="shared" si="221"/>
        <v>116</v>
      </c>
      <c r="Y1394" s="19">
        <f t="shared" si="222"/>
        <v>0</v>
      </c>
      <c r="Z1394">
        <v>40</v>
      </c>
      <c r="AA1394">
        <v>0</v>
      </c>
      <c r="AB1394">
        <v>80</v>
      </c>
      <c r="AC1394">
        <v>1281</v>
      </c>
      <c r="AD1394">
        <v>0</v>
      </c>
      <c r="AE1394">
        <v>0</v>
      </c>
      <c r="AF1394">
        <v>0</v>
      </c>
      <c r="AG1394">
        <v>105</v>
      </c>
      <c r="AH1394">
        <v>105</v>
      </c>
      <c r="AI1394">
        <v>0</v>
      </c>
      <c r="AJ1394">
        <v>0</v>
      </c>
      <c r="AK1394">
        <v>1400</v>
      </c>
      <c r="AL1394">
        <v>1400</v>
      </c>
      <c r="AM1394">
        <v>0</v>
      </c>
      <c r="AN1394">
        <v>0</v>
      </c>
      <c r="AO1394">
        <v>179</v>
      </c>
      <c r="AP1394">
        <v>179</v>
      </c>
      <c r="AQ1394">
        <v>179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100</v>
      </c>
      <c r="BA1394">
        <v>100</v>
      </c>
      <c r="BB1394">
        <v>0</v>
      </c>
      <c r="BC1394">
        <v>0</v>
      </c>
      <c r="BD1394">
        <v>0</v>
      </c>
      <c r="BE1394">
        <f t="shared" si="223"/>
        <v>5028</v>
      </c>
      <c r="BF1394">
        <v>3185</v>
      </c>
      <c r="BG1394">
        <v>3185</v>
      </c>
      <c r="BH1394" t="s">
        <v>82</v>
      </c>
      <c r="BI1394" t="s">
        <v>1063</v>
      </c>
      <c r="BJ1394">
        <v>1361</v>
      </c>
      <c r="BK1394">
        <v>1784</v>
      </c>
      <c r="BL1394">
        <v>3185</v>
      </c>
      <c r="BM1394">
        <v>0</v>
      </c>
      <c r="BN1394">
        <v>0</v>
      </c>
      <c r="BO1394">
        <v>0</v>
      </c>
      <c r="BP1394">
        <v>2144</v>
      </c>
      <c r="BQ1394">
        <v>2144</v>
      </c>
      <c r="BR1394">
        <f t="shared" si="224"/>
        <v>-116</v>
      </c>
      <c r="BS1394">
        <f t="shared" si="225"/>
        <v>196</v>
      </c>
    </row>
    <row r="1395" spans="1:74" x14ac:dyDescent="0.25">
      <c r="A1395" s="5" t="s">
        <v>1337</v>
      </c>
      <c r="B1395" s="5" t="s">
        <v>359</v>
      </c>
      <c r="C1395" s="5" t="s">
        <v>61</v>
      </c>
      <c r="D1395" s="1" t="s">
        <v>75</v>
      </c>
      <c r="E1395">
        <v>0</v>
      </c>
      <c r="F1395">
        <v>38133</v>
      </c>
      <c r="G1395">
        <v>0</v>
      </c>
      <c r="H1395">
        <v>0</v>
      </c>
      <c r="I1395">
        <v>2057</v>
      </c>
      <c r="J1395">
        <v>0</v>
      </c>
      <c r="K1395">
        <v>863</v>
      </c>
      <c r="L1395">
        <v>0</v>
      </c>
      <c r="M1395">
        <v>0</v>
      </c>
      <c r="N1395">
        <v>35973</v>
      </c>
      <c r="O1395">
        <v>0</v>
      </c>
      <c r="P1395">
        <v>0</v>
      </c>
      <c r="Q1395">
        <v>4113</v>
      </c>
      <c r="R1395">
        <v>3997</v>
      </c>
      <c r="S1395" s="18">
        <f t="shared" si="216"/>
        <v>9</v>
      </c>
      <c r="T1395" s="17">
        <f t="shared" si="217"/>
        <v>0</v>
      </c>
      <c r="U1395" s="17">
        <f t="shared" si="218"/>
        <v>3997</v>
      </c>
      <c r="V1395" s="17">
        <f t="shared" si="219"/>
        <v>0</v>
      </c>
      <c r="W1395" s="17">
        <f t="shared" si="220"/>
        <v>0</v>
      </c>
      <c r="X1395" s="17">
        <f t="shared" si="221"/>
        <v>116</v>
      </c>
      <c r="Y1395" s="19">
        <f t="shared" si="222"/>
        <v>0</v>
      </c>
      <c r="Z1395">
        <v>38133</v>
      </c>
      <c r="AA1395">
        <v>0</v>
      </c>
      <c r="AB1395">
        <v>0</v>
      </c>
      <c r="AC1395">
        <v>0</v>
      </c>
      <c r="AD1395">
        <v>0</v>
      </c>
      <c r="AE1395">
        <v>2057</v>
      </c>
      <c r="AF1395">
        <v>0</v>
      </c>
      <c r="AG1395">
        <v>0</v>
      </c>
      <c r="AH1395">
        <v>2057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863</v>
      </c>
      <c r="AO1395">
        <v>0</v>
      </c>
      <c r="AP1395">
        <v>863</v>
      </c>
      <c r="AQ1395">
        <v>863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f t="shared" si="223"/>
        <v>6703</v>
      </c>
      <c r="BF1395">
        <v>41053</v>
      </c>
      <c r="BG1395">
        <v>41053</v>
      </c>
      <c r="BH1395" t="s">
        <v>560</v>
      </c>
      <c r="BI1395" t="s">
        <v>1419</v>
      </c>
      <c r="BJ1395">
        <v>0</v>
      </c>
      <c r="BK1395">
        <v>2920</v>
      </c>
      <c r="BL1395">
        <v>41053</v>
      </c>
      <c r="BM1395">
        <v>0</v>
      </c>
      <c r="BN1395">
        <v>38893</v>
      </c>
      <c r="BO1395">
        <v>0</v>
      </c>
      <c r="BP1395">
        <v>0</v>
      </c>
      <c r="BQ1395">
        <v>38893</v>
      </c>
      <c r="BR1395">
        <f t="shared" si="224"/>
        <v>-116</v>
      </c>
      <c r="BS1395">
        <f t="shared" si="225"/>
        <v>8110</v>
      </c>
    </row>
    <row r="1396" spans="1:74" x14ac:dyDescent="0.25">
      <c r="A1396" s="5" t="s">
        <v>1946</v>
      </c>
      <c r="B1396" s="5" t="s">
        <v>61</v>
      </c>
      <c r="C1396" s="5" t="s">
        <v>61</v>
      </c>
      <c r="D1396" s="1" t="s">
        <v>106</v>
      </c>
      <c r="E1396">
        <v>0</v>
      </c>
      <c r="F1396">
        <v>0</v>
      </c>
      <c r="G1396">
        <v>0</v>
      </c>
      <c r="H1396">
        <v>0</v>
      </c>
      <c r="I1396">
        <v>85</v>
      </c>
      <c r="J1396">
        <v>950</v>
      </c>
      <c r="K1396">
        <v>60</v>
      </c>
      <c r="L1396">
        <v>30</v>
      </c>
      <c r="M1396">
        <v>0</v>
      </c>
      <c r="N1396">
        <v>0</v>
      </c>
      <c r="O1396">
        <v>0</v>
      </c>
      <c r="P1396">
        <v>0</v>
      </c>
      <c r="Q1396">
        <v>116</v>
      </c>
      <c r="R1396">
        <v>0</v>
      </c>
      <c r="S1396" s="18" t="e">
        <f t="shared" si="216"/>
        <v>#DIV/0!</v>
      </c>
      <c r="T1396" s="17" t="e">
        <f t="shared" si="217"/>
        <v>#DIV/0!</v>
      </c>
      <c r="U1396" s="17" t="e">
        <f t="shared" si="218"/>
        <v>#DIV/0!</v>
      </c>
      <c r="V1396" s="17" t="e">
        <f t="shared" si="219"/>
        <v>#DIV/0!</v>
      </c>
      <c r="W1396" s="17" t="e">
        <f t="shared" si="220"/>
        <v>#DIV/0!</v>
      </c>
      <c r="X1396" s="17" t="e">
        <f t="shared" si="221"/>
        <v>#DIV/0!</v>
      </c>
      <c r="Y1396" s="19" t="e">
        <f t="shared" si="222"/>
        <v>#DIV/0!</v>
      </c>
      <c r="Z1396">
        <v>0</v>
      </c>
      <c r="AA1396">
        <v>7</v>
      </c>
      <c r="AB1396">
        <v>0</v>
      </c>
      <c r="AC1396">
        <v>983</v>
      </c>
      <c r="AD1396">
        <v>0</v>
      </c>
      <c r="AE1396">
        <v>0</v>
      </c>
      <c r="AF1396">
        <v>0</v>
      </c>
      <c r="AG1396">
        <v>85</v>
      </c>
      <c r="AH1396">
        <v>85</v>
      </c>
      <c r="AI1396">
        <v>0</v>
      </c>
      <c r="AJ1396">
        <v>0</v>
      </c>
      <c r="AK1396">
        <v>950</v>
      </c>
      <c r="AL1396">
        <v>950</v>
      </c>
      <c r="AM1396">
        <v>0</v>
      </c>
      <c r="AN1396">
        <v>0</v>
      </c>
      <c r="AO1396">
        <v>60</v>
      </c>
      <c r="AP1396">
        <v>37</v>
      </c>
      <c r="AQ1396">
        <v>60</v>
      </c>
      <c r="AR1396">
        <v>23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30</v>
      </c>
      <c r="BA1396">
        <v>30</v>
      </c>
      <c r="BB1396">
        <v>0</v>
      </c>
      <c r="BC1396">
        <v>0</v>
      </c>
      <c r="BD1396">
        <v>0</v>
      </c>
      <c r="BE1396">
        <f t="shared" si="223"/>
        <v>3293</v>
      </c>
      <c r="BF1396">
        <v>2115</v>
      </c>
      <c r="BG1396">
        <v>2115</v>
      </c>
      <c r="BH1396" t="s">
        <v>82</v>
      </c>
      <c r="BI1396" t="s">
        <v>1968</v>
      </c>
      <c r="BJ1396">
        <v>990</v>
      </c>
      <c r="BK1396">
        <v>1125</v>
      </c>
      <c r="BL1396">
        <v>2115</v>
      </c>
      <c r="BM1396">
        <v>0</v>
      </c>
      <c r="BN1396">
        <v>0</v>
      </c>
      <c r="BO1396">
        <v>0</v>
      </c>
      <c r="BP1396">
        <v>1125</v>
      </c>
      <c r="BQ1396">
        <v>1125</v>
      </c>
      <c r="BR1396">
        <f t="shared" si="224"/>
        <v>-116</v>
      </c>
      <c r="BS1396">
        <f t="shared" si="225"/>
        <v>116</v>
      </c>
    </row>
    <row r="1397" spans="1:74" x14ac:dyDescent="0.25">
      <c r="A1397" s="5" t="s">
        <v>207</v>
      </c>
      <c r="B1397" s="5" t="s">
        <v>61</v>
      </c>
      <c r="C1397" s="6" t="s">
        <v>207</v>
      </c>
      <c r="D1397" s="1" t="s">
        <v>71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</v>
      </c>
      <c r="M1397">
        <v>0</v>
      </c>
      <c r="N1397">
        <v>0</v>
      </c>
      <c r="O1397">
        <v>0</v>
      </c>
      <c r="P1397">
        <v>0</v>
      </c>
      <c r="Q1397">
        <v>22</v>
      </c>
      <c r="R1397">
        <v>0</v>
      </c>
      <c r="S1397" s="18" t="e">
        <f t="shared" si="216"/>
        <v>#DIV/0!</v>
      </c>
      <c r="T1397" s="17" t="e">
        <f t="shared" si="217"/>
        <v>#DIV/0!</v>
      </c>
      <c r="U1397" s="17" t="e">
        <f t="shared" si="218"/>
        <v>#DIV/0!</v>
      </c>
      <c r="V1397" s="17" t="e">
        <f t="shared" si="219"/>
        <v>#DIV/0!</v>
      </c>
      <c r="W1397" s="17" t="e">
        <f t="shared" si="220"/>
        <v>#DIV/0!</v>
      </c>
      <c r="X1397" s="17" t="e">
        <f t="shared" si="221"/>
        <v>#DIV/0!</v>
      </c>
      <c r="Y1397" s="19" t="e">
        <f t="shared" si="222"/>
        <v>#DIV/0!</v>
      </c>
      <c r="Z1397">
        <v>0</v>
      </c>
      <c r="AA1397">
        <v>0</v>
      </c>
      <c r="AB1397">
        <v>0</v>
      </c>
      <c r="AC1397">
        <v>25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5</v>
      </c>
      <c r="AY1397">
        <v>0</v>
      </c>
      <c r="AZ1397">
        <v>0</v>
      </c>
      <c r="BA1397">
        <v>5</v>
      </c>
      <c r="BB1397">
        <v>0</v>
      </c>
      <c r="BC1397">
        <v>0</v>
      </c>
      <c r="BD1397">
        <v>0</v>
      </c>
      <c r="BE1397">
        <f t="shared" si="223"/>
        <v>35</v>
      </c>
      <c r="BF1397">
        <v>30</v>
      </c>
      <c r="BG1397">
        <v>30</v>
      </c>
      <c r="BH1397" t="s">
        <v>63</v>
      </c>
      <c r="BI1397" t="s">
        <v>466</v>
      </c>
      <c r="BJ1397">
        <v>25</v>
      </c>
      <c r="BK1397">
        <v>5</v>
      </c>
      <c r="BL1397">
        <v>30</v>
      </c>
      <c r="BM1397">
        <v>5</v>
      </c>
      <c r="BN1397">
        <v>0</v>
      </c>
      <c r="BO1397">
        <v>0</v>
      </c>
      <c r="BP1397">
        <v>0</v>
      </c>
      <c r="BQ1397">
        <v>5</v>
      </c>
      <c r="BR1397">
        <f t="shared" si="224"/>
        <v>-22</v>
      </c>
      <c r="BS1397">
        <f t="shared" si="225"/>
        <v>22</v>
      </c>
      <c r="BU1397">
        <f>R1397*9</f>
        <v>0</v>
      </c>
      <c r="BV1397">
        <f>IF(BU1397&gt;BG1397, 1, 0)</f>
        <v>0</v>
      </c>
    </row>
    <row r="1398" spans="1:74" x14ac:dyDescent="0.25">
      <c r="A1398" s="5" t="s">
        <v>1946</v>
      </c>
      <c r="B1398" s="5" t="s">
        <v>207</v>
      </c>
      <c r="C1398" s="7" t="s">
        <v>207</v>
      </c>
      <c r="D1398" s="1" t="s">
        <v>102</v>
      </c>
      <c r="E1398">
        <v>0</v>
      </c>
      <c r="F1398">
        <v>192</v>
      </c>
      <c r="G1398">
        <v>0</v>
      </c>
      <c r="H1398">
        <v>0</v>
      </c>
      <c r="I1398">
        <v>290</v>
      </c>
      <c r="J1398">
        <v>1750</v>
      </c>
      <c r="K1398">
        <v>210</v>
      </c>
      <c r="L1398">
        <v>75</v>
      </c>
      <c r="M1398">
        <v>0</v>
      </c>
      <c r="N1398">
        <v>0</v>
      </c>
      <c r="O1398">
        <v>0</v>
      </c>
      <c r="P1398">
        <v>432</v>
      </c>
      <c r="Q1398">
        <v>164</v>
      </c>
      <c r="R1398">
        <v>48</v>
      </c>
      <c r="S1398" s="18">
        <f t="shared" si="216"/>
        <v>9</v>
      </c>
      <c r="T1398" s="17">
        <f t="shared" si="217"/>
        <v>0</v>
      </c>
      <c r="U1398" s="17">
        <f t="shared" si="218"/>
        <v>0</v>
      </c>
      <c r="V1398" s="17">
        <f t="shared" si="219"/>
        <v>0</v>
      </c>
      <c r="W1398" s="17">
        <f t="shared" si="220"/>
        <v>48</v>
      </c>
      <c r="X1398" s="17">
        <f t="shared" si="221"/>
        <v>116</v>
      </c>
      <c r="Y1398" s="19">
        <f t="shared" si="222"/>
        <v>0</v>
      </c>
      <c r="Z1398">
        <v>192</v>
      </c>
      <c r="AA1398">
        <v>0</v>
      </c>
      <c r="AB1398">
        <v>0</v>
      </c>
      <c r="AC1398">
        <v>2485</v>
      </c>
      <c r="AD1398">
        <v>0</v>
      </c>
      <c r="AE1398">
        <v>0</v>
      </c>
      <c r="AF1398">
        <v>0</v>
      </c>
      <c r="AG1398">
        <v>290</v>
      </c>
      <c r="AH1398">
        <v>290</v>
      </c>
      <c r="AI1398">
        <v>0</v>
      </c>
      <c r="AJ1398">
        <v>0</v>
      </c>
      <c r="AK1398">
        <v>1750</v>
      </c>
      <c r="AL1398">
        <v>1750</v>
      </c>
      <c r="AM1398">
        <v>0</v>
      </c>
      <c r="AN1398">
        <v>0</v>
      </c>
      <c r="AO1398">
        <v>210</v>
      </c>
      <c r="AP1398">
        <v>85</v>
      </c>
      <c r="AQ1398">
        <v>210</v>
      </c>
      <c r="AR1398">
        <v>125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75</v>
      </c>
      <c r="BA1398">
        <v>75</v>
      </c>
      <c r="BB1398">
        <v>0</v>
      </c>
      <c r="BC1398">
        <v>0</v>
      </c>
      <c r="BD1398">
        <v>0</v>
      </c>
      <c r="BE1398">
        <f t="shared" si="223"/>
        <v>7345</v>
      </c>
      <c r="BF1398">
        <v>5002</v>
      </c>
      <c r="BG1398">
        <v>5002</v>
      </c>
      <c r="BH1398" t="s">
        <v>82</v>
      </c>
      <c r="BI1398" t="s">
        <v>1264</v>
      </c>
      <c r="BJ1398">
        <v>2485</v>
      </c>
      <c r="BK1398">
        <v>2325</v>
      </c>
      <c r="BL1398">
        <v>5002</v>
      </c>
      <c r="BM1398">
        <v>0</v>
      </c>
      <c r="BN1398">
        <v>0</v>
      </c>
      <c r="BO1398">
        <v>0</v>
      </c>
      <c r="BP1398">
        <v>2757</v>
      </c>
      <c r="BQ1398">
        <v>2757</v>
      </c>
      <c r="BR1398">
        <f t="shared" si="224"/>
        <v>-116</v>
      </c>
      <c r="BS1398">
        <f t="shared" si="225"/>
        <v>212</v>
      </c>
    </row>
    <row r="1399" spans="1:74" x14ac:dyDescent="0.25">
      <c r="A1399" s="5" t="s">
        <v>61</v>
      </c>
      <c r="B1399" s="5" t="s">
        <v>207</v>
      </c>
      <c r="C1399" s="5" t="s">
        <v>61</v>
      </c>
      <c r="D1399" s="1" t="s">
        <v>153</v>
      </c>
      <c r="E1399">
        <v>0</v>
      </c>
      <c r="F1399">
        <v>201</v>
      </c>
      <c r="G1399">
        <v>0</v>
      </c>
      <c r="H1399">
        <v>0</v>
      </c>
      <c r="I1399">
        <v>237</v>
      </c>
      <c r="J1399">
        <v>0</v>
      </c>
      <c r="K1399">
        <v>0</v>
      </c>
      <c r="L1399">
        <v>0</v>
      </c>
      <c r="M1399">
        <v>1809</v>
      </c>
      <c r="N1399">
        <v>0</v>
      </c>
      <c r="O1399">
        <v>0</v>
      </c>
      <c r="P1399">
        <v>0</v>
      </c>
      <c r="Q1399">
        <v>318</v>
      </c>
      <c r="R1399">
        <v>201</v>
      </c>
      <c r="S1399" s="18">
        <f t="shared" si="216"/>
        <v>9</v>
      </c>
      <c r="T1399" s="17">
        <f t="shared" si="217"/>
        <v>201</v>
      </c>
      <c r="U1399" s="17">
        <f t="shared" si="218"/>
        <v>0</v>
      </c>
      <c r="V1399" s="17">
        <f t="shared" si="219"/>
        <v>0</v>
      </c>
      <c r="W1399" s="17">
        <f t="shared" si="220"/>
        <v>0</v>
      </c>
      <c r="X1399" s="17">
        <f t="shared" si="221"/>
        <v>117</v>
      </c>
      <c r="Y1399" s="19">
        <f t="shared" si="222"/>
        <v>0</v>
      </c>
      <c r="Z1399">
        <v>201</v>
      </c>
      <c r="AA1399">
        <v>0</v>
      </c>
      <c r="AB1399">
        <v>0</v>
      </c>
      <c r="AC1399">
        <v>0</v>
      </c>
      <c r="AD1399">
        <v>237</v>
      </c>
      <c r="AE1399">
        <v>0</v>
      </c>
      <c r="AF1399">
        <v>0</v>
      </c>
      <c r="AG1399">
        <v>0</v>
      </c>
      <c r="AH1399">
        <v>237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f t="shared" si="223"/>
        <v>474</v>
      </c>
      <c r="BF1399">
        <v>438</v>
      </c>
      <c r="BG1399">
        <v>438</v>
      </c>
      <c r="BH1399" t="s">
        <v>109</v>
      </c>
      <c r="BI1399" t="s">
        <v>253</v>
      </c>
      <c r="BJ1399">
        <v>0</v>
      </c>
      <c r="BK1399">
        <v>237</v>
      </c>
      <c r="BL1399">
        <v>438</v>
      </c>
      <c r="BM1399">
        <v>2046</v>
      </c>
      <c r="BN1399">
        <v>0</v>
      </c>
      <c r="BO1399">
        <v>0</v>
      </c>
      <c r="BP1399">
        <v>0</v>
      </c>
      <c r="BQ1399">
        <v>2046</v>
      </c>
      <c r="BR1399">
        <f t="shared" si="224"/>
        <v>-117</v>
      </c>
      <c r="BS1399">
        <f t="shared" si="225"/>
        <v>519</v>
      </c>
    </row>
    <row r="1400" spans="1:74" x14ac:dyDescent="0.25">
      <c r="A1400" s="5" t="s">
        <v>627</v>
      </c>
      <c r="B1400" s="5" t="s">
        <v>359</v>
      </c>
      <c r="C1400" s="5" t="s">
        <v>61</v>
      </c>
      <c r="D1400" s="1" t="s">
        <v>81</v>
      </c>
      <c r="E1400">
        <v>0</v>
      </c>
      <c r="F1400">
        <v>121</v>
      </c>
      <c r="G1400">
        <v>0</v>
      </c>
      <c r="H1400">
        <v>0</v>
      </c>
      <c r="I1400">
        <v>753</v>
      </c>
      <c r="J1400">
        <v>2268</v>
      </c>
      <c r="K1400">
        <v>75</v>
      </c>
      <c r="L1400">
        <v>147</v>
      </c>
      <c r="M1400">
        <v>0</v>
      </c>
      <c r="N1400">
        <v>0</v>
      </c>
      <c r="O1400">
        <v>0</v>
      </c>
      <c r="P1400">
        <v>441</v>
      </c>
      <c r="Q1400">
        <v>166</v>
      </c>
      <c r="R1400">
        <v>49</v>
      </c>
      <c r="S1400" s="18">
        <f t="shared" si="216"/>
        <v>9</v>
      </c>
      <c r="T1400" s="17">
        <f t="shared" si="217"/>
        <v>0</v>
      </c>
      <c r="U1400" s="17">
        <f t="shared" si="218"/>
        <v>0</v>
      </c>
      <c r="V1400" s="17">
        <f t="shared" si="219"/>
        <v>0</v>
      </c>
      <c r="W1400" s="17">
        <f t="shared" si="220"/>
        <v>49</v>
      </c>
      <c r="X1400" s="17">
        <f t="shared" si="221"/>
        <v>117</v>
      </c>
      <c r="Y1400" s="19">
        <f t="shared" si="222"/>
        <v>0</v>
      </c>
      <c r="Z1400">
        <v>121</v>
      </c>
      <c r="AA1400">
        <v>24</v>
      </c>
      <c r="AB1400">
        <v>356</v>
      </c>
      <c r="AC1400">
        <v>1622</v>
      </c>
      <c r="AD1400">
        <v>0</v>
      </c>
      <c r="AE1400">
        <v>0</v>
      </c>
      <c r="AF1400">
        <v>0</v>
      </c>
      <c r="AG1400">
        <v>753</v>
      </c>
      <c r="AH1400">
        <v>753</v>
      </c>
      <c r="AI1400">
        <v>0</v>
      </c>
      <c r="AJ1400">
        <v>0</v>
      </c>
      <c r="AK1400">
        <v>2268</v>
      </c>
      <c r="AL1400">
        <v>2268</v>
      </c>
      <c r="AM1400">
        <v>0</v>
      </c>
      <c r="AN1400">
        <v>0</v>
      </c>
      <c r="AO1400">
        <v>75</v>
      </c>
      <c r="AP1400">
        <v>25</v>
      </c>
      <c r="AQ1400">
        <v>75</v>
      </c>
      <c r="AR1400">
        <v>50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147</v>
      </c>
      <c r="BA1400">
        <v>147</v>
      </c>
      <c r="BB1400">
        <v>0</v>
      </c>
      <c r="BC1400">
        <v>0</v>
      </c>
      <c r="BD1400">
        <v>0</v>
      </c>
      <c r="BE1400">
        <f t="shared" si="223"/>
        <v>8183</v>
      </c>
      <c r="BF1400">
        <v>5366</v>
      </c>
      <c r="BG1400">
        <v>5366</v>
      </c>
      <c r="BH1400" t="s">
        <v>82</v>
      </c>
      <c r="BI1400" t="s">
        <v>855</v>
      </c>
      <c r="BJ1400">
        <v>2002</v>
      </c>
      <c r="BK1400">
        <v>3243</v>
      </c>
      <c r="BL1400">
        <v>5366</v>
      </c>
      <c r="BM1400">
        <v>0</v>
      </c>
      <c r="BN1400">
        <v>0</v>
      </c>
      <c r="BO1400">
        <v>0</v>
      </c>
      <c r="BP1400">
        <v>3684</v>
      </c>
      <c r="BQ1400">
        <v>3684</v>
      </c>
      <c r="BR1400">
        <f t="shared" si="224"/>
        <v>-117</v>
      </c>
      <c r="BS1400">
        <f t="shared" si="225"/>
        <v>215</v>
      </c>
    </row>
    <row r="1401" spans="1:74" x14ac:dyDescent="0.25">
      <c r="A1401" s="5" t="s">
        <v>1337</v>
      </c>
      <c r="B1401" s="5" t="s">
        <v>359</v>
      </c>
      <c r="C1401" s="5" t="s">
        <v>61</v>
      </c>
      <c r="D1401" s="1" t="s">
        <v>139</v>
      </c>
      <c r="E1401">
        <v>0</v>
      </c>
      <c r="F1401">
        <v>39</v>
      </c>
      <c r="G1401">
        <v>0</v>
      </c>
      <c r="H1401">
        <v>0</v>
      </c>
      <c r="I1401">
        <v>80</v>
      </c>
      <c r="J1401">
        <v>1180</v>
      </c>
      <c r="K1401">
        <v>237</v>
      </c>
      <c r="L1401">
        <v>10</v>
      </c>
      <c r="M1401">
        <v>0</v>
      </c>
      <c r="N1401">
        <v>0</v>
      </c>
      <c r="O1401">
        <v>0</v>
      </c>
      <c r="P1401">
        <v>351</v>
      </c>
      <c r="Q1401">
        <v>156</v>
      </c>
      <c r="R1401">
        <v>39</v>
      </c>
      <c r="S1401" s="18">
        <f t="shared" si="216"/>
        <v>9</v>
      </c>
      <c r="T1401" s="17">
        <f t="shared" si="217"/>
        <v>0</v>
      </c>
      <c r="U1401" s="17">
        <f t="shared" si="218"/>
        <v>0</v>
      </c>
      <c r="V1401" s="17">
        <f t="shared" si="219"/>
        <v>0</v>
      </c>
      <c r="W1401" s="17">
        <f t="shared" si="220"/>
        <v>39</v>
      </c>
      <c r="X1401" s="17">
        <f t="shared" si="221"/>
        <v>117</v>
      </c>
      <c r="Y1401" s="19">
        <f t="shared" si="222"/>
        <v>0</v>
      </c>
      <c r="Z1401">
        <v>39</v>
      </c>
      <c r="AA1401">
        <v>0</v>
      </c>
      <c r="AB1401">
        <v>0</v>
      </c>
      <c r="AC1401">
        <v>1498</v>
      </c>
      <c r="AD1401">
        <v>0</v>
      </c>
      <c r="AE1401">
        <v>0</v>
      </c>
      <c r="AF1401">
        <v>0</v>
      </c>
      <c r="AG1401">
        <v>80</v>
      </c>
      <c r="AH1401">
        <v>80</v>
      </c>
      <c r="AI1401">
        <v>0</v>
      </c>
      <c r="AJ1401">
        <v>0</v>
      </c>
      <c r="AK1401">
        <v>1180</v>
      </c>
      <c r="AL1401">
        <v>1180</v>
      </c>
      <c r="AM1401">
        <v>0</v>
      </c>
      <c r="AN1401">
        <v>0</v>
      </c>
      <c r="AO1401">
        <v>237</v>
      </c>
      <c r="AP1401">
        <v>141</v>
      </c>
      <c r="AQ1401">
        <v>237</v>
      </c>
      <c r="AR1401">
        <v>96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10</v>
      </c>
      <c r="BA1401">
        <v>10</v>
      </c>
      <c r="BB1401">
        <v>0</v>
      </c>
      <c r="BC1401">
        <v>0</v>
      </c>
      <c r="BD1401">
        <v>0</v>
      </c>
      <c r="BE1401">
        <f t="shared" si="223"/>
        <v>4749</v>
      </c>
      <c r="BF1401">
        <v>3044</v>
      </c>
      <c r="BG1401">
        <v>3044</v>
      </c>
      <c r="BH1401" t="s">
        <v>82</v>
      </c>
      <c r="BI1401" t="s">
        <v>1447</v>
      </c>
      <c r="BJ1401">
        <v>1498</v>
      </c>
      <c r="BK1401">
        <v>1507</v>
      </c>
      <c r="BL1401">
        <v>3044</v>
      </c>
      <c r="BM1401">
        <v>0</v>
      </c>
      <c r="BN1401">
        <v>0</v>
      </c>
      <c r="BO1401">
        <v>0</v>
      </c>
      <c r="BP1401">
        <v>1858</v>
      </c>
      <c r="BQ1401">
        <v>1858</v>
      </c>
      <c r="BR1401">
        <f t="shared" si="224"/>
        <v>-117</v>
      </c>
      <c r="BS1401">
        <f t="shared" si="225"/>
        <v>195</v>
      </c>
    </row>
    <row r="1402" spans="1:74" x14ac:dyDescent="0.25">
      <c r="A1402" s="5" t="s">
        <v>61</v>
      </c>
      <c r="B1402" s="5" t="s">
        <v>207</v>
      </c>
      <c r="C1402" s="5" t="s">
        <v>207</v>
      </c>
      <c r="D1402" s="1" t="s">
        <v>117</v>
      </c>
      <c r="E1402">
        <v>0</v>
      </c>
      <c r="F1402">
        <v>15</v>
      </c>
      <c r="G1402">
        <v>0</v>
      </c>
      <c r="H1402">
        <v>0</v>
      </c>
      <c r="I1402">
        <v>269</v>
      </c>
      <c r="J1402">
        <v>0</v>
      </c>
      <c r="K1402">
        <v>0</v>
      </c>
      <c r="L1402">
        <v>0</v>
      </c>
      <c r="M1402">
        <v>135</v>
      </c>
      <c r="N1402">
        <v>0</v>
      </c>
      <c r="O1402">
        <v>0</v>
      </c>
      <c r="P1402">
        <v>0</v>
      </c>
      <c r="Q1402">
        <v>133</v>
      </c>
      <c r="R1402">
        <v>15</v>
      </c>
      <c r="S1402" s="18">
        <f t="shared" si="216"/>
        <v>9</v>
      </c>
      <c r="T1402" s="17">
        <f t="shared" si="217"/>
        <v>15</v>
      </c>
      <c r="U1402" s="17">
        <f t="shared" si="218"/>
        <v>0</v>
      </c>
      <c r="V1402" s="17">
        <f t="shared" si="219"/>
        <v>0</v>
      </c>
      <c r="W1402" s="17">
        <f t="shared" si="220"/>
        <v>0</v>
      </c>
      <c r="X1402" s="17">
        <f t="shared" si="221"/>
        <v>118</v>
      </c>
      <c r="Y1402" s="19">
        <f t="shared" si="222"/>
        <v>0</v>
      </c>
      <c r="Z1402">
        <v>15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269</v>
      </c>
      <c r="AH1402">
        <v>269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f t="shared" si="223"/>
        <v>538</v>
      </c>
      <c r="BF1402">
        <v>284</v>
      </c>
      <c r="BG1402">
        <v>284</v>
      </c>
      <c r="BH1402" t="s">
        <v>109</v>
      </c>
      <c r="BI1402" t="s">
        <v>305</v>
      </c>
      <c r="BJ1402">
        <v>0</v>
      </c>
      <c r="BK1402">
        <v>269</v>
      </c>
      <c r="BL1402">
        <v>284</v>
      </c>
      <c r="BM1402">
        <v>135</v>
      </c>
      <c r="BN1402">
        <v>0</v>
      </c>
      <c r="BO1402">
        <v>0</v>
      </c>
      <c r="BP1402">
        <v>269</v>
      </c>
      <c r="BQ1402">
        <v>404</v>
      </c>
      <c r="BR1402">
        <f t="shared" si="224"/>
        <v>-118</v>
      </c>
      <c r="BS1402">
        <f t="shared" si="225"/>
        <v>148</v>
      </c>
    </row>
    <row r="1403" spans="1:74" x14ac:dyDescent="0.25">
      <c r="A1403" s="5" t="s">
        <v>1017</v>
      </c>
      <c r="B1403" s="5" t="s">
        <v>61</v>
      </c>
      <c r="C1403" s="5" t="s">
        <v>61</v>
      </c>
      <c r="D1403" s="1" t="s">
        <v>125</v>
      </c>
      <c r="E1403">
        <v>0</v>
      </c>
      <c r="F1403">
        <v>0</v>
      </c>
      <c r="G1403">
        <v>0</v>
      </c>
      <c r="H1403">
        <v>0</v>
      </c>
      <c r="I1403">
        <v>211</v>
      </c>
      <c r="J1403">
        <v>140</v>
      </c>
      <c r="K1403">
        <v>240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118</v>
      </c>
      <c r="R1403">
        <v>0</v>
      </c>
      <c r="S1403" s="18" t="e">
        <f t="shared" si="216"/>
        <v>#DIV/0!</v>
      </c>
      <c r="T1403" s="17" t="e">
        <f t="shared" si="217"/>
        <v>#DIV/0!</v>
      </c>
      <c r="U1403" s="17" t="e">
        <f t="shared" si="218"/>
        <v>#DIV/0!</v>
      </c>
      <c r="V1403" s="17" t="e">
        <f t="shared" si="219"/>
        <v>#DIV/0!</v>
      </c>
      <c r="W1403" s="17" t="e">
        <f t="shared" si="220"/>
        <v>#DIV/0!</v>
      </c>
      <c r="X1403" s="17" t="e">
        <f t="shared" si="221"/>
        <v>#DIV/0!</v>
      </c>
      <c r="Y1403" s="19" t="e">
        <f t="shared" si="222"/>
        <v>#DIV/0!</v>
      </c>
      <c r="Z1403">
        <v>0</v>
      </c>
      <c r="AA1403">
        <v>0</v>
      </c>
      <c r="AB1403">
        <v>0</v>
      </c>
      <c r="AC1403">
        <v>280</v>
      </c>
      <c r="AD1403">
        <v>50</v>
      </c>
      <c r="AE1403">
        <v>0</v>
      </c>
      <c r="AF1403">
        <v>0</v>
      </c>
      <c r="AG1403">
        <v>161</v>
      </c>
      <c r="AH1403">
        <v>211</v>
      </c>
      <c r="AI1403">
        <v>0</v>
      </c>
      <c r="AJ1403">
        <v>0</v>
      </c>
      <c r="AK1403">
        <v>140</v>
      </c>
      <c r="AL1403">
        <v>140</v>
      </c>
      <c r="AM1403">
        <v>0</v>
      </c>
      <c r="AN1403">
        <v>0</v>
      </c>
      <c r="AO1403">
        <v>240</v>
      </c>
      <c r="AP1403">
        <v>215</v>
      </c>
      <c r="AQ1403">
        <v>240</v>
      </c>
      <c r="AR1403">
        <v>25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f t="shared" si="223"/>
        <v>1702</v>
      </c>
      <c r="BF1403">
        <v>871</v>
      </c>
      <c r="BG1403">
        <v>871</v>
      </c>
      <c r="BH1403" t="s">
        <v>82</v>
      </c>
      <c r="BI1403" t="s">
        <v>1046</v>
      </c>
      <c r="BJ1403">
        <v>280</v>
      </c>
      <c r="BK1403">
        <v>591</v>
      </c>
      <c r="BL1403">
        <v>871</v>
      </c>
      <c r="BM1403">
        <v>50</v>
      </c>
      <c r="BN1403">
        <v>0</v>
      </c>
      <c r="BO1403">
        <v>0</v>
      </c>
      <c r="BP1403">
        <v>541</v>
      </c>
      <c r="BQ1403">
        <v>591</v>
      </c>
      <c r="BR1403">
        <f t="shared" si="224"/>
        <v>-118</v>
      </c>
      <c r="BS1403">
        <f t="shared" si="225"/>
        <v>118</v>
      </c>
    </row>
    <row r="1404" spans="1:74" x14ac:dyDescent="0.25">
      <c r="A1404" s="5" t="s">
        <v>1337</v>
      </c>
      <c r="B1404" s="5" t="s">
        <v>61</v>
      </c>
      <c r="C1404" s="5" t="s">
        <v>61</v>
      </c>
      <c r="D1404" s="1" t="s">
        <v>88</v>
      </c>
      <c r="E1404">
        <v>0</v>
      </c>
      <c r="F1404">
        <v>0</v>
      </c>
      <c r="G1404">
        <v>0</v>
      </c>
      <c r="H1404">
        <v>0</v>
      </c>
      <c r="I1404">
        <v>335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118</v>
      </c>
      <c r="R1404">
        <v>0</v>
      </c>
      <c r="S1404" s="18" t="e">
        <f t="shared" si="216"/>
        <v>#DIV/0!</v>
      </c>
      <c r="T1404" s="17" t="e">
        <f t="shared" si="217"/>
        <v>#DIV/0!</v>
      </c>
      <c r="U1404" s="17" t="e">
        <f t="shared" si="218"/>
        <v>#DIV/0!</v>
      </c>
      <c r="V1404" s="17" t="e">
        <f t="shared" si="219"/>
        <v>#DIV/0!</v>
      </c>
      <c r="W1404" s="17" t="e">
        <f t="shared" si="220"/>
        <v>#DIV/0!</v>
      </c>
      <c r="X1404" s="17" t="e">
        <f t="shared" si="221"/>
        <v>#DIV/0!</v>
      </c>
      <c r="Y1404" s="19" t="e">
        <f t="shared" si="222"/>
        <v>#DIV/0!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335</v>
      </c>
      <c r="AH1404">
        <v>335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f t="shared" si="223"/>
        <v>670</v>
      </c>
      <c r="BF1404">
        <v>335</v>
      </c>
      <c r="BG1404">
        <v>335</v>
      </c>
      <c r="BH1404" t="s">
        <v>109</v>
      </c>
      <c r="BI1404" t="s">
        <v>1348</v>
      </c>
      <c r="BJ1404">
        <v>0</v>
      </c>
      <c r="BK1404">
        <v>335</v>
      </c>
      <c r="BL1404">
        <v>335</v>
      </c>
      <c r="BM1404">
        <v>0</v>
      </c>
      <c r="BN1404">
        <v>0</v>
      </c>
      <c r="BO1404">
        <v>0</v>
      </c>
      <c r="BP1404">
        <v>335</v>
      </c>
      <c r="BQ1404">
        <v>335</v>
      </c>
      <c r="BR1404">
        <f t="shared" si="224"/>
        <v>-118</v>
      </c>
      <c r="BS1404">
        <f t="shared" si="225"/>
        <v>118</v>
      </c>
    </row>
    <row r="1405" spans="1:74" x14ac:dyDescent="0.25">
      <c r="A1405" s="5" t="s">
        <v>1337</v>
      </c>
      <c r="B1405" s="5" t="s">
        <v>359</v>
      </c>
      <c r="C1405" s="5" t="s">
        <v>61</v>
      </c>
      <c r="D1405" s="1" t="s">
        <v>129</v>
      </c>
      <c r="E1405">
        <v>15</v>
      </c>
      <c r="F1405">
        <v>0</v>
      </c>
      <c r="G1405">
        <v>0</v>
      </c>
      <c r="H1405">
        <v>0</v>
      </c>
      <c r="I1405">
        <v>9</v>
      </c>
      <c r="J1405">
        <v>2577</v>
      </c>
      <c r="K1405">
        <v>687</v>
      </c>
      <c r="L1405">
        <v>615</v>
      </c>
      <c r="M1405">
        <v>0</v>
      </c>
      <c r="N1405">
        <v>0</v>
      </c>
      <c r="O1405">
        <v>0</v>
      </c>
      <c r="P1405">
        <v>0</v>
      </c>
      <c r="Q1405">
        <v>118</v>
      </c>
      <c r="R1405">
        <v>0</v>
      </c>
      <c r="S1405" s="18" t="e">
        <f t="shared" si="216"/>
        <v>#DIV/0!</v>
      </c>
      <c r="T1405" s="17" t="e">
        <f t="shared" si="217"/>
        <v>#DIV/0!</v>
      </c>
      <c r="U1405" s="17" t="e">
        <f t="shared" si="218"/>
        <v>#DIV/0!</v>
      </c>
      <c r="V1405" s="17" t="e">
        <f t="shared" si="219"/>
        <v>#DIV/0!</v>
      </c>
      <c r="W1405" s="17" t="e">
        <f t="shared" si="220"/>
        <v>#DIV/0!</v>
      </c>
      <c r="X1405" s="17" t="e">
        <f t="shared" si="221"/>
        <v>#DIV/0!</v>
      </c>
      <c r="Y1405" s="19" t="e">
        <f t="shared" si="222"/>
        <v>#DIV/0!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9</v>
      </c>
      <c r="AH1405">
        <v>9</v>
      </c>
      <c r="AI1405">
        <v>0</v>
      </c>
      <c r="AJ1405">
        <v>2577</v>
      </c>
      <c r="AK1405">
        <v>0</v>
      </c>
      <c r="AL1405">
        <v>2577</v>
      </c>
      <c r="AM1405">
        <v>0</v>
      </c>
      <c r="AN1405">
        <v>0</v>
      </c>
      <c r="AO1405">
        <v>687</v>
      </c>
      <c r="AP1405">
        <v>589</v>
      </c>
      <c r="AQ1405">
        <v>687</v>
      </c>
      <c r="AR1405">
        <v>98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615</v>
      </c>
      <c r="BA1405">
        <v>615</v>
      </c>
      <c r="BB1405">
        <v>0</v>
      </c>
      <c r="BC1405">
        <v>0</v>
      </c>
      <c r="BD1405">
        <v>0</v>
      </c>
      <c r="BE1405">
        <f t="shared" si="223"/>
        <v>8463</v>
      </c>
      <c r="BF1405">
        <v>3903</v>
      </c>
      <c r="BG1405">
        <v>3903</v>
      </c>
      <c r="BH1405" t="s">
        <v>199</v>
      </c>
      <c r="BI1405" t="s">
        <v>1443</v>
      </c>
      <c r="BJ1405">
        <v>15</v>
      </c>
      <c r="BK1405">
        <v>3888</v>
      </c>
      <c r="BL1405">
        <v>3903</v>
      </c>
      <c r="BM1405">
        <v>0</v>
      </c>
      <c r="BN1405">
        <v>2577</v>
      </c>
      <c r="BO1405">
        <v>0</v>
      </c>
      <c r="BP1405">
        <v>1311</v>
      </c>
      <c r="BQ1405">
        <v>3888</v>
      </c>
      <c r="BR1405">
        <f t="shared" si="224"/>
        <v>-118</v>
      </c>
      <c r="BS1405">
        <f t="shared" si="225"/>
        <v>118</v>
      </c>
    </row>
    <row r="1406" spans="1:74" x14ac:dyDescent="0.25">
      <c r="A1406" s="5" t="s">
        <v>2090</v>
      </c>
      <c r="B1406" s="5" t="s">
        <v>61</v>
      </c>
      <c r="C1406" s="6" t="s">
        <v>61</v>
      </c>
      <c r="D1406" s="1" t="s">
        <v>355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189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118</v>
      </c>
      <c r="R1406">
        <v>0</v>
      </c>
      <c r="S1406" s="18" t="e">
        <f t="shared" si="216"/>
        <v>#DIV/0!</v>
      </c>
      <c r="T1406" s="17" t="e">
        <f t="shared" si="217"/>
        <v>#DIV/0!</v>
      </c>
      <c r="U1406" s="17" t="e">
        <f t="shared" si="218"/>
        <v>#DIV/0!</v>
      </c>
      <c r="V1406" s="17" t="e">
        <f t="shared" si="219"/>
        <v>#DIV/0!</v>
      </c>
      <c r="W1406" s="17" t="e">
        <f t="shared" si="220"/>
        <v>#DIV/0!</v>
      </c>
      <c r="X1406" s="17" t="e">
        <f t="shared" si="221"/>
        <v>#DIV/0!</v>
      </c>
      <c r="Y1406" s="19" t="e">
        <f t="shared" si="222"/>
        <v>#DIV/0!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189</v>
      </c>
      <c r="AP1406">
        <v>159</v>
      </c>
      <c r="AQ1406">
        <v>189</v>
      </c>
      <c r="AR1406">
        <v>30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f t="shared" si="223"/>
        <v>567</v>
      </c>
      <c r="BF1406">
        <v>189</v>
      </c>
      <c r="BG1406">
        <v>189</v>
      </c>
      <c r="BH1406" t="s">
        <v>190</v>
      </c>
      <c r="BI1406" t="s">
        <v>2161</v>
      </c>
      <c r="BJ1406">
        <v>0</v>
      </c>
      <c r="BK1406">
        <v>189</v>
      </c>
      <c r="BL1406">
        <v>189</v>
      </c>
      <c r="BM1406">
        <v>0</v>
      </c>
      <c r="BN1406">
        <v>0</v>
      </c>
      <c r="BO1406">
        <v>0</v>
      </c>
      <c r="BP1406">
        <v>189</v>
      </c>
      <c r="BQ1406">
        <v>189</v>
      </c>
      <c r="BR1406">
        <f t="shared" si="224"/>
        <v>-118</v>
      </c>
      <c r="BS1406">
        <f t="shared" si="225"/>
        <v>118</v>
      </c>
    </row>
    <row r="1407" spans="1:74" x14ac:dyDescent="0.25">
      <c r="A1407" s="5" t="s">
        <v>875</v>
      </c>
      <c r="B1407" s="5" t="s">
        <v>207</v>
      </c>
      <c r="C1407" s="7" t="s">
        <v>61</v>
      </c>
      <c r="D1407" s="1" t="s">
        <v>165</v>
      </c>
      <c r="E1407">
        <v>0</v>
      </c>
      <c r="F1407">
        <v>75</v>
      </c>
      <c r="G1407">
        <v>0</v>
      </c>
      <c r="H1407">
        <v>0</v>
      </c>
      <c r="I1407">
        <v>126</v>
      </c>
      <c r="J1407">
        <v>1850</v>
      </c>
      <c r="K1407">
        <v>307</v>
      </c>
      <c r="L1407">
        <v>0</v>
      </c>
      <c r="M1407">
        <v>0</v>
      </c>
      <c r="N1407">
        <v>0</v>
      </c>
      <c r="O1407">
        <v>0</v>
      </c>
      <c r="P1407">
        <v>585</v>
      </c>
      <c r="Q1407">
        <v>184</v>
      </c>
      <c r="R1407">
        <v>65</v>
      </c>
      <c r="S1407" s="18">
        <f t="shared" si="216"/>
        <v>9</v>
      </c>
      <c r="T1407" s="17">
        <f t="shared" si="217"/>
        <v>0</v>
      </c>
      <c r="U1407" s="17">
        <f t="shared" si="218"/>
        <v>0</v>
      </c>
      <c r="V1407" s="17">
        <f t="shared" si="219"/>
        <v>0</v>
      </c>
      <c r="W1407" s="17">
        <f t="shared" si="220"/>
        <v>65</v>
      </c>
      <c r="X1407" s="17">
        <f t="shared" si="221"/>
        <v>119</v>
      </c>
      <c r="Y1407" s="19">
        <f t="shared" si="222"/>
        <v>0</v>
      </c>
      <c r="Z1407">
        <v>75</v>
      </c>
      <c r="AA1407">
        <v>6</v>
      </c>
      <c r="AB1407">
        <v>528</v>
      </c>
      <c r="AC1407">
        <v>2016</v>
      </c>
      <c r="AD1407">
        <v>0</v>
      </c>
      <c r="AE1407">
        <v>0</v>
      </c>
      <c r="AF1407">
        <v>0</v>
      </c>
      <c r="AG1407">
        <v>126</v>
      </c>
      <c r="AH1407">
        <v>126</v>
      </c>
      <c r="AI1407">
        <v>0</v>
      </c>
      <c r="AJ1407">
        <v>0</v>
      </c>
      <c r="AK1407">
        <v>1850</v>
      </c>
      <c r="AL1407">
        <v>1850</v>
      </c>
      <c r="AM1407">
        <v>0</v>
      </c>
      <c r="AN1407">
        <v>0</v>
      </c>
      <c r="AO1407">
        <v>307</v>
      </c>
      <c r="AP1407">
        <v>90</v>
      </c>
      <c r="AQ1407">
        <v>307</v>
      </c>
      <c r="AR1407">
        <v>217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f t="shared" si="223"/>
        <v>6889</v>
      </c>
      <c r="BF1407">
        <v>4908</v>
      </c>
      <c r="BG1407">
        <v>4908</v>
      </c>
      <c r="BH1407" t="s">
        <v>82</v>
      </c>
      <c r="BI1407" t="s">
        <v>1015</v>
      </c>
      <c r="BJ1407">
        <v>2550</v>
      </c>
      <c r="BK1407">
        <v>2283</v>
      </c>
      <c r="BL1407">
        <v>4908</v>
      </c>
      <c r="BM1407">
        <v>0</v>
      </c>
      <c r="BN1407">
        <v>0</v>
      </c>
      <c r="BO1407">
        <v>0</v>
      </c>
      <c r="BP1407">
        <v>2868</v>
      </c>
      <c r="BQ1407">
        <v>2868</v>
      </c>
      <c r="BR1407">
        <f t="shared" si="224"/>
        <v>-119</v>
      </c>
      <c r="BS1407">
        <f t="shared" si="225"/>
        <v>249</v>
      </c>
    </row>
    <row r="1408" spans="1:74" x14ac:dyDescent="0.25">
      <c r="A1408" s="5" t="s">
        <v>2090</v>
      </c>
      <c r="B1408" s="5" t="s">
        <v>61</v>
      </c>
      <c r="C1408" s="5" t="s">
        <v>61</v>
      </c>
      <c r="D1408" s="1" t="s">
        <v>111</v>
      </c>
      <c r="E1408">
        <v>0</v>
      </c>
      <c r="F1408">
        <v>0</v>
      </c>
      <c r="G1408">
        <v>0</v>
      </c>
      <c r="H1408">
        <v>0</v>
      </c>
      <c r="I1408">
        <v>40</v>
      </c>
      <c r="J1408">
        <v>1529</v>
      </c>
      <c r="K1408">
        <v>113</v>
      </c>
      <c r="L1408">
        <v>91</v>
      </c>
      <c r="M1408">
        <v>0</v>
      </c>
      <c r="N1408">
        <v>0</v>
      </c>
      <c r="O1408">
        <v>0</v>
      </c>
      <c r="P1408">
        <v>0</v>
      </c>
      <c r="Q1408">
        <v>119</v>
      </c>
      <c r="R1408">
        <v>0</v>
      </c>
      <c r="S1408" s="18" t="e">
        <f t="shared" si="216"/>
        <v>#DIV/0!</v>
      </c>
      <c r="T1408" s="17" t="e">
        <f t="shared" si="217"/>
        <v>#DIV/0!</v>
      </c>
      <c r="U1408" s="17" t="e">
        <f t="shared" si="218"/>
        <v>#DIV/0!</v>
      </c>
      <c r="V1408" s="17" t="e">
        <f t="shared" si="219"/>
        <v>#DIV/0!</v>
      </c>
      <c r="W1408" s="17" t="e">
        <f t="shared" si="220"/>
        <v>#DIV/0!</v>
      </c>
      <c r="X1408" s="17" t="e">
        <f t="shared" si="221"/>
        <v>#DIV/0!</v>
      </c>
      <c r="Y1408" s="19" t="e">
        <f t="shared" si="222"/>
        <v>#DIV/0!</v>
      </c>
      <c r="Z1408">
        <v>0</v>
      </c>
      <c r="AA1408">
        <v>0</v>
      </c>
      <c r="AB1408">
        <v>172</v>
      </c>
      <c r="AC1408">
        <v>269</v>
      </c>
      <c r="AD1408">
        <v>0</v>
      </c>
      <c r="AE1408">
        <v>0</v>
      </c>
      <c r="AF1408">
        <v>0</v>
      </c>
      <c r="AG1408">
        <v>40</v>
      </c>
      <c r="AH1408">
        <v>40</v>
      </c>
      <c r="AI1408">
        <v>0</v>
      </c>
      <c r="AJ1408">
        <v>0</v>
      </c>
      <c r="AK1408">
        <v>1529</v>
      </c>
      <c r="AL1408">
        <v>1529</v>
      </c>
      <c r="AM1408">
        <v>0</v>
      </c>
      <c r="AN1408">
        <v>0</v>
      </c>
      <c r="AO1408">
        <v>113</v>
      </c>
      <c r="AP1408">
        <v>13</v>
      </c>
      <c r="AQ1408">
        <v>113</v>
      </c>
      <c r="AR1408">
        <v>100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91</v>
      </c>
      <c r="BA1408">
        <v>91</v>
      </c>
      <c r="BB1408">
        <v>0</v>
      </c>
      <c r="BC1408">
        <v>0</v>
      </c>
      <c r="BD1408">
        <v>0</v>
      </c>
      <c r="BE1408">
        <f t="shared" si="223"/>
        <v>3928</v>
      </c>
      <c r="BF1408">
        <v>2214</v>
      </c>
      <c r="BG1408">
        <v>2214</v>
      </c>
      <c r="BH1408" t="s">
        <v>82</v>
      </c>
      <c r="BI1408" t="s">
        <v>2113</v>
      </c>
      <c r="BJ1408">
        <v>441</v>
      </c>
      <c r="BK1408">
        <v>1773</v>
      </c>
      <c r="BL1408">
        <v>2214</v>
      </c>
      <c r="BM1408">
        <v>0</v>
      </c>
      <c r="BN1408">
        <v>0</v>
      </c>
      <c r="BO1408">
        <v>0</v>
      </c>
      <c r="BP1408">
        <v>1773</v>
      </c>
      <c r="BQ1408">
        <v>1773</v>
      </c>
      <c r="BR1408">
        <f t="shared" si="224"/>
        <v>-119</v>
      </c>
      <c r="BS1408">
        <f t="shared" si="225"/>
        <v>119</v>
      </c>
    </row>
    <row r="1409" spans="1:74" x14ac:dyDescent="0.25">
      <c r="A1409" s="5" t="s">
        <v>1946</v>
      </c>
      <c r="B1409" s="5" t="s">
        <v>207</v>
      </c>
      <c r="C1409" s="5" t="s">
        <v>207</v>
      </c>
      <c r="D1409" s="1" t="s">
        <v>79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75</v>
      </c>
      <c r="K1409">
        <v>1900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23</v>
      </c>
      <c r="R1409">
        <v>0</v>
      </c>
      <c r="S1409" s="18" t="e">
        <f t="shared" si="216"/>
        <v>#DIV/0!</v>
      </c>
      <c r="T1409" s="17" t="e">
        <f t="shared" si="217"/>
        <v>#DIV/0!</v>
      </c>
      <c r="U1409" s="17" t="e">
        <f t="shared" si="218"/>
        <v>#DIV/0!</v>
      </c>
      <c r="V1409" s="17" t="e">
        <f t="shared" si="219"/>
        <v>#DIV/0!</v>
      </c>
      <c r="W1409" s="17" t="e">
        <f t="shared" si="220"/>
        <v>#DIV/0!</v>
      </c>
      <c r="X1409" s="17" t="e">
        <f t="shared" si="221"/>
        <v>#DIV/0!</v>
      </c>
      <c r="Y1409" s="19" t="e">
        <f t="shared" si="222"/>
        <v>#DIV/0!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75</v>
      </c>
      <c r="AL1409">
        <v>75</v>
      </c>
      <c r="AM1409">
        <v>0</v>
      </c>
      <c r="AN1409">
        <v>0</v>
      </c>
      <c r="AO1409">
        <v>1900</v>
      </c>
      <c r="AP1409">
        <v>1250</v>
      </c>
      <c r="AQ1409">
        <v>1900</v>
      </c>
      <c r="AR1409">
        <v>650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f t="shared" si="223"/>
        <v>5850</v>
      </c>
      <c r="BF1409">
        <v>1975</v>
      </c>
      <c r="BG1409">
        <v>1975</v>
      </c>
      <c r="BH1409" t="s">
        <v>63</v>
      </c>
      <c r="BI1409" t="s">
        <v>2048</v>
      </c>
      <c r="BJ1409">
        <v>0</v>
      </c>
      <c r="BK1409">
        <v>1975</v>
      </c>
      <c r="BL1409">
        <v>1975</v>
      </c>
      <c r="BM1409">
        <v>0</v>
      </c>
      <c r="BN1409">
        <v>0</v>
      </c>
      <c r="BO1409">
        <v>0</v>
      </c>
      <c r="BP1409">
        <v>1975</v>
      </c>
      <c r="BQ1409">
        <v>1975</v>
      </c>
      <c r="BR1409">
        <f t="shared" si="224"/>
        <v>-23</v>
      </c>
      <c r="BS1409">
        <f t="shared" si="225"/>
        <v>23</v>
      </c>
      <c r="BU1409">
        <f>R1409*9</f>
        <v>0</v>
      </c>
      <c r="BV1409">
        <f>IF(BU1409&gt;BG1409, 1, 0)</f>
        <v>0</v>
      </c>
    </row>
    <row r="1410" spans="1:74" x14ac:dyDescent="0.25">
      <c r="A1410" s="5" t="s">
        <v>207</v>
      </c>
      <c r="B1410" s="5" t="s">
        <v>359</v>
      </c>
      <c r="C1410" s="5" t="s">
        <v>61</v>
      </c>
      <c r="D1410" s="1" t="s">
        <v>117</v>
      </c>
      <c r="E1410">
        <v>0</v>
      </c>
      <c r="F1410">
        <v>0</v>
      </c>
      <c r="G1410">
        <v>0</v>
      </c>
      <c r="H1410">
        <v>0</v>
      </c>
      <c r="I1410">
        <v>800</v>
      </c>
      <c r="J1410">
        <v>150</v>
      </c>
      <c r="K1410">
        <v>0</v>
      </c>
      <c r="L1410">
        <v>17</v>
      </c>
      <c r="M1410">
        <v>0</v>
      </c>
      <c r="N1410">
        <v>0</v>
      </c>
      <c r="O1410">
        <v>0</v>
      </c>
      <c r="P1410">
        <v>0</v>
      </c>
      <c r="Q1410">
        <v>120</v>
      </c>
      <c r="R1410">
        <v>0</v>
      </c>
      <c r="S1410" s="18" t="e">
        <f t="shared" ref="S1410:S1473" si="226">(M1410+N1410+O1410+P1410)/R1410</f>
        <v>#DIV/0!</v>
      </c>
      <c r="T1410" s="17" t="e">
        <f t="shared" ref="T1410:T1473" si="227">M1410/$S1410</f>
        <v>#DIV/0!</v>
      </c>
      <c r="U1410" s="17" t="e">
        <f t="shared" ref="U1410:U1473" si="228">N1410/$S1410</f>
        <v>#DIV/0!</v>
      </c>
      <c r="V1410" s="17" t="e">
        <f t="shared" ref="V1410:V1473" si="229">O1410/$S1410</f>
        <v>#DIV/0!</v>
      </c>
      <c r="W1410" s="17" t="e">
        <f t="shared" ref="W1410:W1473" si="230">P1410/$S1410</f>
        <v>#DIV/0!</v>
      </c>
      <c r="X1410" s="17" t="e">
        <f t="shared" ref="X1410:X1473" si="231">Q1410-T1410-U1410-W1410</f>
        <v>#DIV/0!</v>
      </c>
      <c r="Y1410" s="19" t="e">
        <f t="shared" ref="Y1410:Y1473" si="232">V1410/X1410</f>
        <v>#DIV/0!</v>
      </c>
      <c r="Z1410">
        <v>0</v>
      </c>
      <c r="AA1410">
        <v>0</v>
      </c>
      <c r="AB1410">
        <v>0</v>
      </c>
      <c r="AC1410">
        <v>950</v>
      </c>
      <c r="AD1410">
        <v>800</v>
      </c>
      <c r="AE1410">
        <v>0</v>
      </c>
      <c r="AF1410">
        <v>0</v>
      </c>
      <c r="AG1410">
        <v>0</v>
      </c>
      <c r="AH1410">
        <v>800</v>
      </c>
      <c r="AI1410">
        <v>150</v>
      </c>
      <c r="AJ1410">
        <v>0</v>
      </c>
      <c r="AK1410">
        <v>0</v>
      </c>
      <c r="AL1410">
        <v>150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17</v>
      </c>
      <c r="AY1410">
        <v>0</v>
      </c>
      <c r="AZ1410">
        <v>0</v>
      </c>
      <c r="BA1410">
        <v>17</v>
      </c>
      <c r="BB1410">
        <v>0</v>
      </c>
      <c r="BC1410">
        <v>0</v>
      </c>
      <c r="BD1410">
        <v>0</v>
      </c>
      <c r="BE1410">
        <f t="shared" ref="BE1410:BE1473" si="233">SUM(AC1410:BD1410)</f>
        <v>2884</v>
      </c>
      <c r="BF1410">
        <v>1917</v>
      </c>
      <c r="BG1410">
        <v>1917</v>
      </c>
      <c r="BH1410" t="s">
        <v>190</v>
      </c>
      <c r="BI1410" t="s">
        <v>616</v>
      </c>
      <c r="BJ1410">
        <v>950</v>
      </c>
      <c r="BK1410">
        <v>967</v>
      </c>
      <c r="BL1410">
        <v>1917</v>
      </c>
      <c r="BM1410">
        <v>967</v>
      </c>
      <c r="BN1410">
        <v>0</v>
      </c>
      <c r="BO1410">
        <v>0</v>
      </c>
      <c r="BP1410">
        <v>0</v>
      </c>
      <c r="BQ1410">
        <v>967</v>
      </c>
      <c r="BR1410">
        <f t="shared" ref="BR1410:BR1473" si="234">R1410-Q1410</f>
        <v>-120</v>
      </c>
      <c r="BS1410">
        <f t="shared" ref="BS1410:BS1473" si="235">R1410+Q1410</f>
        <v>120</v>
      </c>
    </row>
    <row r="1411" spans="1:74" x14ac:dyDescent="0.25">
      <c r="A1411" s="5" t="s">
        <v>875</v>
      </c>
      <c r="B1411" s="5" t="s">
        <v>61</v>
      </c>
      <c r="C1411" s="5" t="s">
        <v>207</v>
      </c>
      <c r="D1411" s="1" t="s">
        <v>98</v>
      </c>
      <c r="E1411">
        <v>0</v>
      </c>
      <c r="F1411">
        <v>0</v>
      </c>
      <c r="G1411">
        <v>0</v>
      </c>
      <c r="H1411">
        <v>0</v>
      </c>
      <c r="I1411">
        <v>670</v>
      </c>
      <c r="J1411">
        <v>1783</v>
      </c>
      <c r="K1411">
        <v>400</v>
      </c>
      <c r="L1411">
        <v>15</v>
      </c>
      <c r="M1411">
        <v>0</v>
      </c>
      <c r="N1411">
        <v>0</v>
      </c>
      <c r="O1411">
        <v>0</v>
      </c>
      <c r="P1411">
        <v>0</v>
      </c>
      <c r="Q1411">
        <v>120</v>
      </c>
      <c r="R1411">
        <v>0</v>
      </c>
      <c r="S1411" s="18" t="e">
        <f t="shared" si="226"/>
        <v>#DIV/0!</v>
      </c>
      <c r="T1411" s="17" t="e">
        <f t="shared" si="227"/>
        <v>#DIV/0!</v>
      </c>
      <c r="U1411" s="17" t="e">
        <f t="shared" si="228"/>
        <v>#DIV/0!</v>
      </c>
      <c r="V1411" s="17" t="e">
        <f t="shared" si="229"/>
        <v>#DIV/0!</v>
      </c>
      <c r="W1411" s="17" t="e">
        <f t="shared" si="230"/>
        <v>#DIV/0!</v>
      </c>
      <c r="X1411" s="17" t="e">
        <f t="shared" si="231"/>
        <v>#DIV/0!</v>
      </c>
      <c r="Y1411" s="19" t="e">
        <f t="shared" si="232"/>
        <v>#DIV/0!</v>
      </c>
      <c r="Z1411">
        <v>0</v>
      </c>
      <c r="AA1411">
        <v>10</v>
      </c>
      <c r="AB1411">
        <v>188</v>
      </c>
      <c r="AC1411">
        <v>1456</v>
      </c>
      <c r="AD1411">
        <v>0</v>
      </c>
      <c r="AE1411">
        <v>0</v>
      </c>
      <c r="AF1411">
        <v>0</v>
      </c>
      <c r="AG1411">
        <v>670</v>
      </c>
      <c r="AH1411">
        <v>670</v>
      </c>
      <c r="AI1411">
        <v>0</v>
      </c>
      <c r="AJ1411">
        <v>0</v>
      </c>
      <c r="AK1411">
        <v>1783</v>
      </c>
      <c r="AL1411">
        <v>1783</v>
      </c>
      <c r="AM1411">
        <v>0</v>
      </c>
      <c r="AN1411">
        <v>0</v>
      </c>
      <c r="AO1411">
        <v>400</v>
      </c>
      <c r="AP1411">
        <v>322</v>
      </c>
      <c r="AQ1411">
        <v>400</v>
      </c>
      <c r="AR1411">
        <v>78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15</v>
      </c>
      <c r="BA1411">
        <v>15</v>
      </c>
      <c r="BB1411">
        <v>0</v>
      </c>
      <c r="BC1411">
        <v>0</v>
      </c>
      <c r="BD1411">
        <v>0</v>
      </c>
      <c r="BE1411">
        <f t="shared" si="233"/>
        <v>7592</v>
      </c>
      <c r="BF1411">
        <v>4522</v>
      </c>
      <c r="BG1411">
        <v>4522</v>
      </c>
      <c r="BH1411" t="s">
        <v>82</v>
      </c>
      <c r="BI1411" t="s">
        <v>892</v>
      </c>
      <c r="BJ1411">
        <v>1654</v>
      </c>
      <c r="BK1411">
        <v>2868</v>
      </c>
      <c r="BL1411">
        <v>4522</v>
      </c>
      <c r="BM1411">
        <v>0</v>
      </c>
      <c r="BN1411">
        <v>0</v>
      </c>
      <c r="BO1411">
        <v>0</v>
      </c>
      <c r="BP1411">
        <v>2868</v>
      </c>
      <c r="BQ1411">
        <v>2868</v>
      </c>
      <c r="BR1411">
        <f t="shared" si="234"/>
        <v>-120</v>
      </c>
      <c r="BS1411">
        <f t="shared" si="235"/>
        <v>120</v>
      </c>
    </row>
    <row r="1412" spans="1:74" x14ac:dyDescent="0.25">
      <c r="A1412" s="5" t="s">
        <v>1017</v>
      </c>
      <c r="B1412" s="5" t="s">
        <v>207</v>
      </c>
      <c r="C1412" s="5" t="s">
        <v>61</v>
      </c>
      <c r="D1412" s="1" t="s">
        <v>108</v>
      </c>
      <c r="E1412">
        <v>0</v>
      </c>
      <c r="F1412">
        <v>0</v>
      </c>
      <c r="G1412">
        <v>0</v>
      </c>
      <c r="H1412">
        <v>0</v>
      </c>
      <c r="I1412">
        <v>345</v>
      </c>
      <c r="J1412">
        <v>2030</v>
      </c>
      <c r="K1412">
        <v>300</v>
      </c>
      <c r="L1412">
        <v>45</v>
      </c>
      <c r="M1412">
        <v>0</v>
      </c>
      <c r="N1412">
        <v>0</v>
      </c>
      <c r="O1412">
        <v>0</v>
      </c>
      <c r="P1412">
        <v>0</v>
      </c>
      <c r="Q1412">
        <v>120</v>
      </c>
      <c r="R1412">
        <v>0</v>
      </c>
      <c r="S1412" s="18" t="e">
        <f t="shared" si="226"/>
        <v>#DIV/0!</v>
      </c>
      <c r="T1412" s="17" t="e">
        <f t="shared" si="227"/>
        <v>#DIV/0!</v>
      </c>
      <c r="U1412" s="17" t="e">
        <f t="shared" si="228"/>
        <v>#DIV/0!</v>
      </c>
      <c r="V1412" s="17" t="e">
        <f t="shared" si="229"/>
        <v>#DIV/0!</v>
      </c>
      <c r="W1412" s="17" t="e">
        <f t="shared" si="230"/>
        <v>#DIV/0!</v>
      </c>
      <c r="X1412" s="17" t="e">
        <f t="shared" si="231"/>
        <v>#DIV/0!</v>
      </c>
      <c r="Y1412" s="19" t="e">
        <f t="shared" si="232"/>
        <v>#DIV/0!</v>
      </c>
      <c r="Z1412">
        <v>0</v>
      </c>
      <c r="AA1412">
        <v>0</v>
      </c>
      <c r="AB1412">
        <v>168</v>
      </c>
      <c r="AC1412">
        <v>1323</v>
      </c>
      <c r="AD1412">
        <v>0</v>
      </c>
      <c r="AE1412">
        <v>0</v>
      </c>
      <c r="AF1412">
        <v>0</v>
      </c>
      <c r="AG1412">
        <v>345</v>
      </c>
      <c r="AH1412">
        <v>345</v>
      </c>
      <c r="AI1412">
        <v>0</v>
      </c>
      <c r="AJ1412">
        <v>0</v>
      </c>
      <c r="AK1412">
        <v>2030</v>
      </c>
      <c r="AL1412">
        <v>2030</v>
      </c>
      <c r="AM1412">
        <v>0</v>
      </c>
      <c r="AN1412">
        <v>0</v>
      </c>
      <c r="AO1412">
        <v>300</v>
      </c>
      <c r="AP1412">
        <v>190</v>
      </c>
      <c r="AQ1412">
        <v>300</v>
      </c>
      <c r="AR1412">
        <v>110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45</v>
      </c>
      <c r="BA1412">
        <v>45</v>
      </c>
      <c r="BB1412">
        <v>0</v>
      </c>
      <c r="BC1412">
        <v>0</v>
      </c>
      <c r="BD1412">
        <v>0</v>
      </c>
      <c r="BE1412">
        <f t="shared" si="233"/>
        <v>7063</v>
      </c>
      <c r="BF1412">
        <v>4211</v>
      </c>
      <c r="BG1412">
        <v>4211</v>
      </c>
      <c r="BH1412" t="s">
        <v>82</v>
      </c>
      <c r="BI1412" t="s">
        <v>1106</v>
      </c>
      <c r="BJ1412">
        <v>1491</v>
      </c>
      <c r="BK1412">
        <v>2720</v>
      </c>
      <c r="BL1412">
        <v>4211</v>
      </c>
      <c r="BM1412">
        <v>0</v>
      </c>
      <c r="BN1412">
        <v>0</v>
      </c>
      <c r="BO1412">
        <v>0</v>
      </c>
      <c r="BP1412">
        <v>2720</v>
      </c>
      <c r="BQ1412">
        <v>2720</v>
      </c>
      <c r="BR1412">
        <f t="shared" si="234"/>
        <v>-120</v>
      </c>
      <c r="BS1412">
        <f t="shared" si="235"/>
        <v>120</v>
      </c>
    </row>
    <row r="1413" spans="1:74" x14ac:dyDescent="0.25">
      <c r="A1413" s="5" t="s">
        <v>1661</v>
      </c>
      <c r="B1413" s="5" t="s">
        <v>61</v>
      </c>
      <c r="C1413" s="5" t="s">
        <v>61</v>
      </c>
      <c r="D1413" s="1" t="s">
        <v>88</v>
      </c>
      <c r="E1413">
        <v>0</v>
      </c>
      <c r="F1413">
        <v>380</v>
      </c>
      <c r="G1413">
        <v>0</v>
      </c>
      <c r="H1413">
        <v>0</v>
      </c>
      <c r="I1413">
        <v>73</v>
      </c>
      <c r="J1413">
        <v>1092</v>
      </c>
      <c r="K1413">
        <v>362</v>
      </c>
      <c r="L1413">
        <v>62</v>
      </c>
      <c r="M1413">
        <v>0</v>
      </c>
      <c r="N1413">
        <v>0</v>
      </c>
      <c r="O1413">
        <v>0</v>
      </c>
      <c r="P1413">
        <v>3321</v>
      </c>
      <c r="Q1413">
        <v>489</v>
      </c>
      <c r="R1413">
        <v>369</v>
      </c>
      <c r="S1413" s="18">
        <f t="shared" si="226"/>
        <v>9</v>
      </c>
      <c r="T1413" s="17">
        <f t="shared" si="227"/>
        <v>0</v>
      </c>
      <c r="U1413" s="17">
        <f t="shared" si="228"/>
        <v>0</v>
      </c>
      <c r="V1413" s="17">
        <f t="shared" si="229"/>
        <v>0</v>
      </c>
      <c r="W1413" s="17">
        <f t="shared" si="230"/>
        <v>369</v>
      </c>
      <c r="X1413" s="17">
        <f t="shared" si="231"/>
        <v>120</v>
      </c>
      <c r="Y1413" s="19">
        <f t="shared" si="232"/>
        <v>0</v>
      </c>
      <c r="Z1413">
        <v>380</v>
      </c>
      <c r="AA1413">
        <v>0</v>
      </c>
      <c r="AB1413">
        <v>180</v>
      </c>
      <c r="AC1413">
        <v>3990</v>
      </c>
      <c r="AD1413">
        <v>0</v>
      </c>
      <c r="AE1413">
        <v>0</v>
      </c>
      <c r="AF1413">
        <v>0</v>
      </c>
      <c r="AG1413">
        <v>73</v>
      </c>
      <c r="AH1413">
        <v>73</v>
      </c>
      <c r="AI1413">
        <v>0</v>
      </c>
      <c r="AJ1413">
        <v>0</v>
      </c>
      <c r="AK1413">
        <v>1092</v>
      </c>
      <c r="AL1413">
        <v>1092</v>
      </c>
      <c r="AM1413">
        <v>0</v>
      </c>
      <c r="AN1413">
        <v>0</v>
      </c>
      <c r="AO1413">
        <v>362</v>
      </c>
      <c r="AP1413">
        <v>126</v>
      </c>
      <c r="AQ1413">
        <v>362</v>
      </c>
      <c r="AR1413">
        <v>236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62</v>
      </c>
      <c r="BA1413">
        <v>62</v>
      </c>
      <c r="BB1413">
        <v>0</v>
      </c>
      <c r="BC1413">
        <v>0</v>
      </c>
      <c r="BD1413">
        <v>0</v>
      </c>
      <c r="BE1413">
        <f t="shared" si="233"/>
        <v>7530</v>
      </c>
      <c r="BF1413">
        <v>6139</v>
      </c>
      <c r="BG1413">
        <v>6139</v>
      </c>
      <c r="BH1413" t="s">
        <v>82</v>
      </c>
      <c r="BI1413" t="s">
        <v>95</v>
      </c>
      <c r="BJ1413">
        <v>4170</v>
      </c>
      <c r="BK1413">
        <v>1589</v>
      </c>
      <c r="BL1413">
        <v>6139</v>
      </c>
      <c r="BM1413">
        <v>0</v>
      </c>
      <c r="BN1413">
        <v>0</v>
      </c>
      <c r="BO1413">
        <v>0</v>
      </c>
      <c r="BP1413">
        <v>4910</v>
      </c>
      <c r="BQ1413">
        <v>4910</v>
      </c>
      <c r="BR1413">
        <f t="shared" si="234"/>
        <v>-120</v>
      </c>
      <c r="BS1413">
        <f t="shared" si="235"/>
        <v>858</v>
      </c>
    </row>
    <row r="1414" spans="1:74" x14ac:dyDescent="0.25">
      <c r="A1414" s="5" t="s">
        <v>1661</v>
      </c>
      <c r="B1414" s="5" t="s">
        <v>61</v>
      </c>
      <c r="C1414" s="5" t="s">
        <v>627</v>
      </c>
      <c r="D1414" s="1" t="s">
        <v>69</v>
      </c>
      <c r="E1414">
        <v>0</v>
      </c>
      <c r="F1414">
        <v>0</v>
      </c>
      <c r="G1414">
        <v>0</v>
      </c>
      <c r="H1414">
        <v>659</v>
      </c>
      <c r="I1414">
        <v>1353</v>
      </c>
      <c r="J1414">
        <v>15092</v>
      </c>
      <c r="K1414">
        <v>3250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120</v>
      </c>
      <c r="R1414">
        <v>0</v>
      </c>
      <c r="S1414" s="18" t="e">
        <f t="shared" si="226"/>
        <v>#DIV/0!</v>
      </c>
      <c r="T1414" s="17" t="e">
        <f t="shared" si="227"/>
        <v>#DIV/0!</v>
      </c>
      <c r="U1414" s="17" t="e">
        <f t="shared" si="228"/>
        <v>#DIV/0!</v>
      </c>
      <c r="V1414" s="17" t="e">
        <f t="shared" si="229"/>
        <v>#DIV/0!</v>
      </c>
      <c r="W1414" s="17" t="e">
        <f t="shared" si="230"/>
        <v>#DIV/0!</v>
      </c>
      <c r="X1414" s="17" t="e">
        <f t="shared" si="231"/>
        <v>#DIV/0!</v>
      </c>
      <c r="Y1414" s="19" t="e">
        <f t="shared" si="232"/>
        <v>#DIV/0!</v>
      </c>
      <c r="Z1414">
        <v>0</v>
      </c>
      <c r="AA1414">
        <v>6</v>
      </c>
      <c r="AB1414">
        <v>0</v>
      </c>
      <c r="AC1414">
        <v>250</v>
      </c>
      <c r="AD1414">
        <v>0</v>
      </c>
      <c r="AE1414">
        <v>1353</v>
      </c>
      <c r="AF1414">
        <v>0</v>
      </c>
      <c r="AG1414">
        <v>0</v>
      </c>
      <c r="AH1414">
        <v>1353</v>
      </c>
      <c r="AI1414">
        <v>0</v>
      </c>
      <c r="AJ1414">
        <v>15092</v>
      </c>
      <c r="AK1414">
        <v>0</v>
      </c>
      <c r="AL1414">
        <v>15092</v>
      </c>
      <c r="AM1414">
        <v>0</v>
      </c>
      <c r="AN1414">
        <v>3250</v>
      </c>
      <c r="AO1414">
        <v>0</v>
      </c>
      <c r="AP1414">
        <v>2970</v>
      </c>
      <c r="AQ1414">
        <v>3250</v>
      </c>
      <c r="AR1414">
        <v>280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659</v>
      </c>
      <c r="BC1414">
        <v>0</v>
      </c>
      <c r="BD1414">
        <v>659</v>
      </c>
      <c r="BE1414">
        <f t="shared" si="233"/>
        <v>44208</v>
      </c>
      <c r="BF1414">
        <v>20610</v>
      </c>
      <c r="BG1414">
        <v>20610</v>
      </c>
      <c r="BH1414" t="s">
        <v>199</v>
      </c>
      <c r="BI1414" t="s">
        <v>1754</v>
      </c>
      <c r="BJ1414">
        <v>256</v>
      </c>
      <c r="BK1414">
        <v>20354</v>
      </c>
      <c r="BL1414">
        <v>20610</v>
      </c>
      <c r="BM1414">
        <v>0</v>
      </c>
      <c r="BN1414">
        <v>20354</v>
      </c>
      <c r="BO1414">
        <v>0</v>
      </c>
      <c r="BP1414">
        <v>0</v>
      </c>
      <c r="BQ1414">
        <v>20354</v>
      </c>
      <c r="BR1414">
        <f t="shared" si="234"/>
        <v>-120</v>
      </c>
      <c r="BS1414">
        <f t="shared" si="235"/>
        <v>120</v>
      </c>
    </row>
    <row r="1415" spans="1:74" x14ac:dyDescent="0.25">
      <c r="A1415" s="5" t="s">
        <v>1135</v>
      </c>
      <c r="B1415" s="5" t="s">
        <v>61</v>
      </c>
      <c r="C1415" s="5" t="s">
        <v>61</v>
      </c>
      <c r="D1415" s="1" t="s">
        <v>65</v>
      </c>
      <c r="E1415">
        <v>0</v>
      </c>
      <c r="F1415">
        <v>0</v>
      </c>
      <c r="G1415">
        <v>0</v>
      </c>
      <c r="H1415">
        <v>0</v>
      </c>
      <c r="I1415">
        <v>300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34</v>
      </c>
      <c r="R1415">
        <v>0</v>
      </c>
      <c r="S1415" s="18" t="e">
        <f t="shared" si="226"/>
        <v>#DIV/0!</v>
      </c>
      <c r="T1415" s="17" t="e">
        <f t="shared" si="227"/>
        <v>#DIV/0!</v>
      </c>
      <c r="U1415" s="17" t="e">
        <f t="shared" si="228"/>
        <v>#DIV/0!</v>
      </c>
      <c r="V1415" s="17" t="e">
        <f t="shared" si="229"/>
        <v>#DIV/0!</v>
      </c>
      <c r="W1415" s="17" t="e">
        <f t="shared" si="230"/>
        <v>#DIV/0!</v>
      </c>
      <c r="X1415" s="17" t="e">
        <f t="shared" si="231"/>
        <v>#DIV/0!</v>
      </c>
      <c r="Y1415" s="19" t="e">
        <f t="shared" si="232"/>
        <v>#DIV/0!</v>
      </c>
      <c r="Z1415">
        <v>0</v>
      </c>
      <c r="AA1415">
        <v>0</v>
      </c>
      <c r="AB1415">
        <v>0</v>
      </c>
      <c r="AC1415">
        <v>0</v>
      </c>
      <c r="AD1415">
        <v>300</v>
      </c>
      <c r="AE1415">
        <v>0</v>
      </c>
      <c r="AF1415">
        <v>0</v>
      </c>
      <c r="AG1415">
        <v>0</v>
      </c>
      <c r="AH1415">
        <v>300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f t="shared" si="233"/>
        <v>600</v>
      </c>
      <c r="BF1415">
        <v>300</v>
      </c>
      <c r="BG1415">
        <v>300</v>
      </c>
      <c r="BH1415" t="s">
        <v>63</v>
      </c>
      <c r="BI1415" t="s">
        <v>1136</v>
      </c>
      <c r="BJ1415">
        <v>0</v>
      </c>
      <c r="BK1415">
        <v>300</v>
      </c>
      <c r="BL1415">
        <v>300</v>
      </c>
      <c r="BM1415">
        <v>300</v>
      </c>
      <c r="BN1415">
        <v>0</v>
      </c>
      <c r="BO1415">
        <v>0</v>
      </c>
      <c r="BP1415">
        <v>0</v>
      </c>
      <c r="BQ1415">
        <v>300</v>
      </c>
      <c r="BR1415">
        <f t="shared" si="234"/>
        <v>-34</v>
      </c>
      <c r="BS1415">
        <f t="shared" si="235"/>
        <v>34</v>
      </c>
      <c r="BU1415">
        <f>R1415*9</f>
        <v>0</v>
      </c>
      <c r="BV1415">
        <f>IF(BU1415&gt;BG1415, 1, 0)</f>
        <v>0</v>
      </c>
    </row>
    <row r="1416" spans="1:74" x14ac:dyDescent="0.25">
      <c r="A1416" s="5" t="s">
        <v>1661</v>
      </c>
      <c r="B1416" s="5" t="s">
        <v>359</v>
      </c>
      <c r="C1416" s="5" t="s">
        <v>207</v>
      </c>
      <c r="D1416" s="1" t="s">
        <v>125</v>
      </c>
      <c r="E1416">
        <v>0</v>
      </c>
      <c r="F1416">
        <v>0</v>
      </c>
      <c r="G1416">
        <v>0</v>
      </c>
      <c r="H1416">
        <v>0</v>
      </c>
      <c r="I1416">
        <v>41</v>
      </c>
      <c r="J1416">
        <v>1452</v>
      </c>
      <c r="K1416">
        <v>383</v>
      </c>
      <c r="L1416">
        <v>48</v>
      </c>
      <c r="M1416">
        <v>0</v>
      </c>
      <c r="N1416">
        <v>0</v>
      </c>
      <c r="O1416">
        <v>0</v>
      </c>
      <c r="P1416">
        <v>0</v>
      </c>
      <c r="Q1416">
        <v>120</v>
      </c>
      <c r="R1416">
        <v>0</v>
      </c>
      <c r="S1416" s="18" t="e">
        <f t="shared" si="226"/>
        <v>#DIV/0!</v>
      </c>
      <c r="T1416" s="17" t="e">
        <f t="shared" si="227"/>
        <v>#DIV/0!</v>
      </c>
      <c r="U1416" s="17" t="e">
        <f t="shared" si="228"/>
        <v>#DIV/0!</v>
      </c>
      <c r="V1416" s="17" t="e">
        <f t="shared" si="229"/>
        <v>#DIV/0!</v>
      </c>
      <c r="W1416" s="17" t="e">
        <f t="shared" si="230"/>
        <v>#DIV/0!</v>
      </c>
      <c r="X1416" s="17" t="e">
        <f t="shared" si="231"/>
        <v>#DIV/0!</v>
      </c>
      <c r="Y1416" s="19" t="e">
        <f t="shared" si="232"/>
        <v>#DIV/0!</v>
      </c>
      <c r="Z1416">
        <v>0</v>
      </c>
      <c r="AA1416">
        <v>0</v>
      </c>
      <c r="AB1416">
        <v>0</v>
      </c>
      <c r="AC1416">
        <v>300</v>
      </c>
      <c r="AD1416">
        <v>0</v>
      </c>
      <c r="AE1416">
        <v>0</v>
      </c>
      <c r="AF1416">
        <v>0</v>
      </c>
      <c r="AG1416">
        <v>41</v>
      </c>
      <c r="AH1416">
        <v>41</v>
      </c>
      <c r="AI1416">
        <v>0</v>
      </c>
      <c r="AJ1416">
        <v>0</v>
      </c>
      <c r="AK1416">
        <v>1452</v>
      </c>
      <c r="AL1416">
        <v>1452</v>
      </c>
      <c r="AM1416">
        <v>0</v>
      </c>
      <c r="AN1416">
        <v>0</v>
      </c>
      <c r="AO1416">
        <v>383</v>
      </c>
      <c r="AP1416">
        <v>248</v>
      </c>
      <c r="AQ1416">
        <v>383</v>
      </c>
      <c r="AR1416">
        <v>135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48</v>
      </c>
      <c r="BA1416">
        <v>48</v>
      </c>
      <c r="BB1416">
        <v>0</v>
      </c>
      <c r="BC1416">
        <v>0</v>
      </c>
      <c r="BD1416">
        <v>0</v>
      </c>
      <c r="BE1416">
        <f t="shared" si="233"/>
        <v>4531</v>
      </c>
      <c r="BF1416">
        <v>2224</v>
      </c>
      <c r="BG1416">
        <v>2224</v>
      </c>
      <c r="BH1416" t="s">
        <v>82</v>
      </c>
      <c r="BI1416" t="s">
        <v>1911</v>
      </c>
      <c r="BJ1416">
        <v>300</v>
      </c>
      <c r="BK1416">
        <v>1924</v>
      </c>
      <c r="BL1416">
        <v>2224</v>
      </c>
      <c r="BM1416">
        <v>0</v>
      </c>
      <c r="BN1416">
        <v>0</v>
      </c>
      <c r="BO1416">
        <v>0</v>
      </c>
      <c r="BP1416">
        <v>1924</v>
      </c>
      <c r="BQ1416">
        <v>1924</v>
      </c>
      <c r="BR1416">
        <f t="shared" si="234"/>
        <v>-120</v>
      </c>
      <c r="BS1416">
        <f t="shared" si="235"/>
        <v>120</v>
      </c>
    </row>
    <row r="1417" spans="1:74" x14ac:dyDescent="0.25">
      <c r="A1417" s="5" t="s">
        <v>61</v>
      </c>
      <c r="B1417" s="5" t="s">
        <v>207</v>
      </c>
      <c r="C1417" s="5" t="s">
        <v>207</v>
      </c>
      <c r="D1417" s="1" t="s">
        <v>104</v>
      </c>
      <c r="E1417">
        <v>0</v>
      </c>
      <c r="F1417">
        <v>19</v>
      </c>
      <c r="G1417">
        <v>0</v>
      </c>
      <c r="H1417">
        <v>0</v>
      </c>
      <c r="I1417">
        <v>43</v>
      </c>
      <c r="J1417">
        <v>1019</v>
      </c>
      <c r="K1417">
        <v>44</v>
      </c>
      <c r="L1417">
        <v>10</v>
      </c>
      <c r="M1417">
        <v>0</v>
      </c>
      <c r="N1417">
        <v>0</v>
      </c>
      <c r="O1417">
        <v>0</v>
      </c>
      <c r="P1417">
        <v>171</v>
      </c>
      <c r="Q1417">
        <v>140</v>
      </c>
      <c r="R1417">
        <v>19</v>
      </c>
      <c r="S1417" s="18">
        <f t="shared" si="226"/>
        <v>9</v>
      </c>
      <c r="T1417" s="17">
        <f t="shared" si="227"/>
        <v>0</v>
      </c>
      <c r="U1417" s="17">
        <f t="shared" si="228"/>
        <v>0</v>
      </c>
      <c r="V1417" s="17">
        <f t="shared" si="229"/>
        <v>0</v>
      </c>
      <c r="W1417" s="17">
        <f t="shared" si="230"/>
        <v>19</v>
      </c>
      <c r="X1417" s="17">
        <f t="shared" si="231"/>
        <v>121</v>
      </c>
      <c r="Y1417" s="19">
        <f t="shared" si="232"/>
        <v>0</v>
      </c>
      <c r="Z1417">
        <v>19</v>
      </c>
      <c r="AA1417">
        <v>0</v>
      </c>
      <c r="AB1417">
        <v>0</v>
      </c>
      <c r="AC1417">
        <v>1205</v>
      </c>
      <c r="AD1417">
        <v>0</v>
      </c>
      <c r="AE1417">
        <v>0</v>
      </c>
      <c r="AF1417">
        <v>0</v>
      </c>
      <c r="AG1417">
        <v>43</v>
      </c>
      <c r="AH1417">
        <v>43</v>
      </c>
      <c r="AI1417">
        <v>0</v>
      </c>
      <c r="AJ1417">
        <v>0</v>
      </c>
      <c r="AK1417">
        <v>1019</v>
      </c>
      <c r="AL1417">
        <v>1019</v>
      </c>
      <c r="AM1417">
        <v>0</v>
      </c>
      <c r="AN1417">
        <v>0</v>
      </c>
      <c r="AO1417">
        <v>44</v>
      </c>
      <c r="AP1417">
        <v>13</v>
      </c>
      <c r="AQ1417">
        <v>44</v>
      </c>
      <c r="AR1417">
        <v>31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10</v>
      </c>
      <c r="BA1417">
        <v>10</v>
      </c>
      <c r="BB1417">
        <v>0</v>
      </c>
      <c r="BC1417">
        <v>0</v>
      </c>
      <c r="BD1417">
        <v>0</v>
      </c>
      <c r="BE1417">
        <f t="shared" si="233"/>
        <v>3481</v>
      </c>
      <c r="BF1417">
        <v>2340</v>
      </c>
      <c r="BG1417">
        <v>2340</v>
      </c>
      <c r="BH1417" t="s">
        <v>82</v>
      </c>
      <c r="BI1417" t="s">
        <v>299</v>
      </c>
      <c r="BJ1417">
        <v>1205</v>
      </c>
      <c r="BK1417">
        <v>1116</v>
      </c>
      <c r="BL1417">
        <v>2340</v>
      </c>
      <c r="BM1417">
        <v>0</v>
      </c>
      <c r="BN1417">
        <v>0</v>
      </c>
      <c r="BO1417">
        <v>0</v>
      </c>
      <c r="BP1417">
        <v>1287</v>
      </c>
      <c r="BQ1417">
        <v>1287</v>
      </c>
      <c r="BR1417">
        <f t="shared" si="234"/>
        <v>-121</v>
      </c>
      <c r="BS1417">
        <f t="shared" si="235"/>
        <v>159</v>
      </c>
    </row>
    <row r="1418" spans="1:74" x14ac:dyDescent="0.25">
      <c r="A1418" s="5" t="s">
        <v>207</v>
      </c>
      <c r="B1418" s="5" t="s">
        <v>61</v>
      </c>
      <c r="C1418" s="5" t="s">
        <v>359</v>
      </c>
      <c r="D1418" s="1" t="s">
        <v>139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1067</v>
      </c>
      <c r="K1418">
        <v>270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121</v>
      </c>
      <c r="R1418">
        <v>0</v>
      </c>
      <c r="S1418" s="18" t="e">
        <f t="shared" si="226"/>
        <v>#DIV/0!</v>
      </c>
      <c r="T1418" s="17" t="e">
        <f t="shared" si="227"/>
        <v>#DIV/0!</v>
      </c>
      <c r="U1418" s="17" t="e">
        <f t="shared" si="228"/>
        <v>#DIV/0!</v>
      </c>
      <c r="V1418" s="17" t="e">
        <f t="shared" si="229"/>
        <v>#DIV/0!</v>
      </c>
      <c r="W1418" s="17" t="e">
        <f t="shared" si="230"/>
        <v>#DIV/0!</v>
      </c>
      <c r="X1418" s="17" t="e">
        <f t="shared" si="231"/>
        <v>#DIV/0!</v>
      </c>
      <c r="Y1418" s="19" t="e">
        <f t="shared" si="232"/>
        <v>#DIV/0!</v>
      </c>
      <c r="Z1418">
        <v>0</v>
      </c>
      <c r="AA1418">
        <v>50</v>
      </c>
      <c r="AB1418">
        <v>0</v>
      </c>
      <c r="AC1418">
        <v>700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1067</v>
      </c>
      <c r="AL1418">
        <v>1067</v>
      </c>
      <c r="AM1418">
        <v>0</v>
      </c>
      <c r="AN1418">
        <v>0</v>
      </c>
      <c r="AO1418">
        <v>270</v>
      </c>
      <c r="AP1418">
        <v>270</v>
      </c>
      <c r="AQ1418">
        <v>270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f t="shared" si="233"/>
        <v>3644</v>
      </c>
      <c r="BF1418">
        <v>2087</v>
      </c>
      <c r="BG1418">
        <v>2087</v>
      </c>
      <c r="BH1418" t="s">
        <v>82</v>
      </c>
      <c r="BI1418" t="s">
        <v>534</v>
      </c>
      <c r="BJ1418">
        <v>750</v>
      </c>
      <c r="BK1418">
        <v>1337</v>
      </c>
      <c r="BL1418">
        <v>2087</v>
      </c>
      <c r="BM1418">
        <v>0</v>
      </c>
      <c r="BN1418">
        <v>0</v>
      </c>
      <c r="BO1418">
        <v>0</v>
      </c>
      <c r="BP1418">
        <v>1337</v>
      </c>
      <c r="BQ1418">
        <v>1337</v>
      </c>
      <c r="BR1418">
        <f t="shared" si="234"/>
        <v>-121</v>
      </c>
      <c r="BS1418">
        <f t="shared" si="235"/>
        <v>121</v>
      </c>
    </row>
    <row r="1419" spans="1:74" x14ac:dyDescent="0.25">
      <c r="A1419" s="5" t="s">
        <v>207</v>
      </c>
      <c r="B1419" s="5" t="s">
        <v>207</v>
      </c>
      <c r="C1419" s="5" t="s">
        <v>61</v>
      </c>
      <c r="D1419" s="1" t="s">
        <v>117</v>
      </c>
      <c r="E1419">
        <v>0</v>
      </c>
      <c r="F1419">
        <v>11121</v>
      </c>
      <c r="G1419">
        <v>0</v>
      </c>
      <c r="H1419">
        <v>0</v>
      </c>
      <c r="I1419">
        <v>2111</v>
      </c>
      <c r="J1419">
        <v>3020</v>
      </c>
      <c r="K1419">
        <v>3855</v>
      </c>
      <c r="L1419">
        <v>44</v>
      </c>
      <c r="M1419">
        <v>0</v>
      </c>
      <c r="N1419">
        <v>0</v>
      </c>
      <c r="O1419">
        <v>0</v>
      </c>
      <c r="P1419">
        <v>15867</v>
      </c>
      <c r="Q1419">
        <v>1884</v>
      </c>
      <c r="R1419">
        <v>1763</v>
      </c>
      <c r="S1419" s="18">
        <f t="shared" si="226"/>
        <v>9</v>
      </c>
      <c r="T1419" s="17">
        <f t="shared" si="227"/>
        <v>0</v>
      </c>
      <c r="U1419" s="17">
        <f t="shared" si="228"/>
        <v>0</v>
      </c>
      <c r="V1419" s="17">
        <f t="shared" si="229"/>
        <v>0</v>
      </c>
      <c r="W1419" s="17">
        <f t="shared" si="230"/>
        <v>1763</v>
      </c>
      <c r="X1419" s="17">
        <f t="shared" si="231"/>
        <v>121</v>
      </c>
      <c r="Y1419" s="19">
        <f t="shared" si="232"/>
        <v>0</v>
      </c>
      <c r="Z1419">
        <v>11121</v>
      </c>
      <c r="AA1419">
        <v>0</v>
      </c>
      <c r="AB1419">
        <v>0</v>
      </c>
      <c r="AC1419">
        <v>14654</v>
      </c>
      <c r="AD1419">
        <v>0</v>
      </c>
      <c r="AE1419">
        <v>0</v>
      </c>
      <c r="AF1419">
        <v>0</v>
      </c>
      <c r="AG1419">
        <v>2111</v>
      </c>
      <c r="AH1419">
        <v>2111</v>
      </c>
      <c r="AI1419">
        <v>0</v>
      </c>
      <c r="AJ1419">
        <v>0</v>
      </c>
      <c r="AK1419">
        <v>3020</v>
      </c>
      <c r="AL1419">
        <v>3020</v>
      </c>
      <c r="AM1419">
        <v>0</v>
      </c>
      <c r="AN1419">
        <v>0</v>
      </c>
      <c r="AO1419">
        <v>3855</v>
      </c>
      <c r="AP1419">
        <v>2707</v>
      </c>
      <c r="AQ1419">
        <v>3855</v>
      </c>
      <c r="AR1419">
        <v>1148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44</v>
      </c>
      <c r="BA1419">
        <v>44</v>
      </c>
      <c r="BB1419">
        <v>0</v>
      </c>
      <c r="BC1419">
        <v>0</v>
      </c>
      <c r="BD1419">
        <v>0</v>
      </c>
      <c r="BE1419">
        <f t="shared" si="233"/>
        <v>36569</v>
      </c>
      <c r="BF1419">
        <v>34805</v>
      </c>
      <c r="BG1419">
        <v>34805</v>
      </c>
      <c r="BH1419" t="s">
        <v>560</v>
      </c>
      <c r="BI1419" t="s">
        <v>568</v>
      </c>
      <c r="BJ1419">
        <v>14654</v>
      </c>
      <c r="BK1419">
        <v>9030</v>
      </c>
      <c r="BL1419">
        <v>34805</v>
      </c>
      <c r="BM1419">
        <v>0</v>
      </c>
      <c r="BN1419">
        <v>0</v>
      </c>
      <c r="BO1419">
        <v>0</v>
      </c>
      <c r="BP1419">
        <v>24897</v>
      </c>
      <c r="BQ1419">
        <v>24897</v>
      </c>
      <c r="BR1419">
        <f t="shared" si="234"/>
        <v>-121</v>
      </c>
      <c r="BS1419">
        <f t="shared" si="235"/>
        <v>3647</v>
      </c>
    </row>
    <row r="1420" spans="1:74" x14ac:dyDescent="0.25">
      <c r="A1420" s="5" t="s">
        <v>359</v>
      </c>
      <c r="B1420" s="5" t="s">
        <v>359</v>
      </c>
      <c r="C1420" s="5" t="s">
        <v>61</v>
      </c>
      <c r="D1420" s="1" t="s">
        <v>123</v>
      </c>
      <c r="E1420">
        <v>0</v>
      </c>
      <c r="F1420">
        <v>88</v>
      </c>
      <c r="G1420">
        <v>0</v>
      </c>
      <c r="H1420">
        <v>0</v>
      </c>
      <c r="I1420">
        <v>70</v>
      </c>
      <c r="J1420">
        <v>2300</v>
      </c>
      <c r="K1420">
        <v>75</v>
      </c>
      <c r="L1420">
        <v>0</v>
      </c>
      <c r="M1420">
        <v>0</v>
      </c>
      <c r="N1420">
        <v>0</v>
      </c>
      <c r="O1420">
        <v>0</v>
      </c>
      <c r="P1420">
        <v>198</v>
      </c>
      <c r="Q1420">
        <v>143</v>
      </c>
      <c r="R1420">
        <v>22</v>
      </c>
      <c r="S1420" s="18">
        <f t="shared" si="226"/>
        <v>9</v>
      </c>
      <c r="T1420" s="17">
        <f t="shared" si="227"/>
        <v>0</v>
      </c>
      <c r="U1420" s="17">
        <f t="shared" si="228"/>
        <v>0</v>
      </c>
      <c r="V1420" s="17">
        <f t="shared" si="229"/>
        <v>0</v>
      </c>
      <c r="W1420" s="17">
        <f t="shared" si="230"/>
        <v>22</v>
      </c>
      <c r="X1420" s="17">
        <f t="shared" si="231"/>
        <v>121</v>
      </c>
      <c r="Y1420" s="19">
        <f t="shared" si="232"/>
        <v>0</v>
      </c>
      <c r="Z1420">
        <v>88</v>
      </c>
      <c r="AA1420">
        <v>4</v>
      </c>
      <c r="AB1420">
        <v>269</v>
      </c>
      <c r="AC1420">
        <v>1535</v>
      </c>
      <c r="AD1420">
        <v>0</v>
      </c>
      <c r="AE1420">
        <v>0</v>
      </c>
      <c r="AF1420">
        <v>0</v>
      </c>
      <c r="AG1420">
        <v>70</v>
      </c>
      <c r="AH1420">
        <v>70</v>
      </c>
      <c r="AI1420">
        <v>0</v>
      </c>
      <c r="AJ1420">
        <v>0</v>
      </c>
      <c r="AK1420">
        <v>2300</v>
      </c>
      <c r="AL1420">
        <v>2300</v>
      </c>
      <c r="AM1420">
        <v>0</v>
      </c>
      <c r="AN1420">
        <v>0</v>
      </c>
      <c r="AO1420">
        <v>75</v>
      </c>
      <c r="AP1420">
        <v>40</v>
      </c>
      <c r="AQ1420">
        <v>75</v>
      </c>
      <c r="AR1420">
        <v>35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f t="shared" si="233"/>
        <v>6500</v>
      </c>
      <c r="BF1420">
        <v>4341</v>
      </c>
      <c r="BG1420">
        <v>4341</v>
      </c>
      <c r="BH1420" t="s">
        <v>82</v>
      </c>
      <c r="BI1420" t="s">
        <v>785</v>
      </c>
      <c r="BJ1420">
        <v>1808</v>
      </c>
      <c r="BK1420">
        <v>2445</v>
      </c>
      <c r="BL1420">
        <v>4341</v>
      </c>
      <c r="BM1420">
        <v>0</v>
      </c>
      <c r="BN1420">
        <v>0</v>
      </c>
      <c r="BO1420">
        <v>0</v>
      </c>
      <c r="BP1420">
        <v>2643</v>
      </c>
      <c r="BQ1420">
        <v>2643</v>
      </c>
      <c r="BR1420">
        <f t="shared" si="234"/>
        <v>-121</v>
      </c>
      <c r="BS1420">
        <f t="shared" si="235"/>
        <v>165</v>
      </c>
    </row>
    <row r="1421" spans="1:74" x14ac:dyDescent="0.25">
      <c r="A1421" s="5" t="s">
        <v>2090</v>
      </c>
      <c r="B1421" s="5" t="s">
        <v>207</v>
      </c>
      <c r="C1421" s="5" t="s">
        <v>61</v>
      </c>
      <c r="D1421" s="1" t="s">
        <v>88</v>
      </c>
      <c r="E1421">
        <v>0</v>
      </c>
      <c r="F1421">
        <v>13251</v>
      </c>
      <c r="G1421">
        <v>0</v>
      </c>
      <c r="H1421">
        <v>0</v>
      </c>
      <c r="I1421">
        <v>38</v>
      </c>
      <c r="J1421">
        <v>0</v>
      </c>
      <c r="K1421">
        <v>540</v>
      </c>
      <c r="L1421">
        <v>0</v>
      </c>
      <c r="M1421">
        <v>0</v>
      </c>
      <c r="N1421">
        <v>0</v>
      </c>
      <c r="O1421" s="16">
        <v>4309.6438791732908</v>
      </c>
      <c r="P1421">
        <v>9544.3561208267092</v>
      </c>
      <c r="Q1421">
        <v>1300</v>
      </c>
      <c r="R1421">
        <v>1887</v>
      </c>
      <c r="S1421" s="18">
        <f t="shared" si="226"/>
        <v>7.3418124006359298</v>
      </c>
      <c r="T1421" s="17">
        <f t="shared" si="227"/>
        <v>0</v>
      </c>
      <c r="U1421" s="17">
        <f t="shared" si="228"/>
        <v>0</v>
      </c>
      <c r="V1421" s="17">
        <f t="shared" si="229"/>
        <v>587</v>
      </c>
      <c r="W1421" s="17">
        <f t="shared" si="230"/>
        <v>1300</v>
      </c>
      <c r="X1421" s="17">
        <f t="shared" si="231"/>
        <v>0</v>
      </c>
      <c r="Y1421" s="19" t="e">
        <f t="shared" si="232"/>
        <v>#DIV/0!</v>
      </c>
      <c r="Z1421">
        <v>13251</v>
      </c>
      <c r="AA1421">
        <v>25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38</v>
      </c>
      <c r="AH1421">
        <v>38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540</v>
      </c>
      <c r="AP1421">
        <v>0</v>
      </c>
      <c r="AQ1421">
        <v>540</v>
      </c>
      <c r="AR1421">
        <v>540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f t="shared" si="233"/>
        <v>1696</v>
      </c>
      <c r="BF1421">
        <v>13854</v>
      </c>
      <c r="BG1421">
        <v>13854</v>
      </c>
      <c r="BH1421" t="s">
        <v>546</v>
      </c>
      <c r="BI1421" t="s">
        <v>2223</v>
      </c>
      <c r="BJ1421">
        <v>25</v>
      </c>
      <c r="BK1421">
        <v>578</v>
      </c>
      <c r="BL1421">
        <v>13854</v>
      </c>
      <c r="BM1421">
        <v>0</v>
      </c>
      <c r="BN1421">
        <v>0</v>
      </c>
      <c r="BO1421">
        <v>4309.6438791732908</v>
      </c>
      <c r="BP1421">
        <v>10122.356120826709</v>
      </c>
      <c r="BQ1421">
        <v>14432</v>
      </c>
      <c r="BR1421">
        <f t="shared" si="234"/>
        <v>587</v>
      </c>
      <c r="BS1421">
        <f t="shared" si="235"/>
        <v>3187</v>
      </c>
    </row>
    <row r="1422" spans="1:74" x14ac:dyDescent="0.25">
      <c r="A1422" s="5" t="s">
        <v>1017</v>
      </c>
      <c r="B1422" s="5" t="s">
        <v>207</v>
      </c>
      <c r="C1422" s="5" t="s">
        <v>207</v>
      </c>
      <c r="D1422" s="1" t="s">
        <v>73</v>
      </c>
      <c r="E1422">
        <v>0</v>
      </c>
      <c r="F1422">
        <v>53</v>
      </c>
      <c r="G1422">
        <v>0</v>
      </c>
      <c r="H1422">
        <v>0</v>
      </c>
      <c r="I1422">
        <v>650</v>
      </c>
      <c r="J1422">
        <v>0</v>
      </c>
      <c r="K1422">
        <v>0</v>
      </c>
      <c r="L1422">
        <v>0</v>
      </c>
      <c r="M1422">
        <v>63</v>
      </c>
      <c r="N1422">
        <v>0</v>
      </c>
      <c r="O1422">
        <v>0</v>
      </c>
      <c r="P1422">
        <v>0</v>
      </c>
      <c r="Q1422">
        <v>128</v>
      </c>
      <c r="R1422">
        <v>7</v>
      </c>
      <c r="S1422" s="18">
        <f t="shared" si="226"/>
        <v>9</v>
      </c>
      <c r="T1422" s="17">
        <f t="shared" si="227"/>
        <v>7</v>
      </c>
      <c r="U1422" s="17">
        <f t="shared" si="228"/>
        <v>0</v>
      </c>
      <c r="V1422" s="17">
        <f t="shared" si="229"/>
        <v>0</v>
      </c>
      <c r="W1422" s="17">
        <f t="shared" si="230"/>
        <v>0</v>
      </c>
      <c r="X1422" s="17">
        <f t="shared" si="231"/>
        <v>121</v>
      </c>
      <c r="Y1422" s="19">
        <f t="shared" si="232"/>
        <v>0</v>
      </c>
      <c r="Z1422">
        <v>53</v>
      </c>
      <c r="AA1422">
        <v>0</v>
      </c>
      <c r="AB1422">
        <v>0</v>
      </c>
      <c r="AC1422">
        <v>0</v>
      </c>
      <c r="AD1422">
        <v>650</v>
      </c>
      <c r="AE1422">
        <v>0</v>
      </c>
      <c r="AF1422">
        <v>0</v>
      </c>
      <c r="AG1422">
        <v>0</v>
      </c>
      <c r="AH1422">
        <v>650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f t="shared" si="233"/>
        <v>1300</v>
      </c>
      <c r="BF1422">
        <v>703</v>
      </c>
      <c r="BG1422">
        <v>703</v>
      </c>
      <c r="BH1422" t="s">
        <v>109</v>
      </c>
      <c r="BI1422" t="s">
        <v>1113</v>
      </c>
      <c r="BJ1422">
        <v>0</v>
      </c>
      <c r="BK1422">
        <v>650</v>
      </c>
      <c r="BL1422">
        <v>703</v>
      </c>
      <c r="BM1422">
        <v>713</v>
      </c>
      <c r="BN1422">
        <v>0</v>
      </c>
      <c r="BO1422">
        <v>0</v>
      </c>
      <c r="BP1422">
        <v>0</v>
      </c>
      <c r="BQ1422">
        <v>713</v>
      </c>
      <c r="BR1422">
        <f t="shared" si="234"/>
        <v>-121</v>
      </c>
      <c r="BS1422">
        <f t="shared" si="235"/>
        <v>135</v>
      </c>
    </row>
    <row r="1423" spans="1:74" x14ac:dyDescent="0.25">
      <c r="A1423" s="5" t="s">
        <v>61</v>
      </c>
      <c r="B1423" s="5" t="s">
        <v>207</v>
      </c>
      <c r="C1423" s="5" t="s">
        <v>61</v>
      </c>
      <c r="D1423" s="1" t="s">
        <v>73</v>
      </c>
      <c r="E1423">
        <v>0</v>
      </c>
      <c r="F1423">
        <v>0</v>
      </c>
      <c r="G1423">
        <v>0</v>
      </c>
      <c r="H1423">
        <v>0</v>
      </c>
      <c r="I1423">
        <v>226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35</v>
      </c>
      <c r="R1423">
        <v>0</v>
      </c>
      <c r="S1423" s="18" t="e">
        <f t="shared" si="226"/>
        <v>#DIV/0!</v>
      </c>
      <c r="T1423" s="17" t="e">
        <f t="shared" si="227"/>
        <v>#DIV/0!</v>
      </c>
      <c r="U1423" s="17" t="e">
        <f t="shared" si="228"/>
        <v>#DIV/0!</v>
      </c>
      <c r="V1423" s="17" t="e">
        <f t="shared" si="229"/>
        <v>#DIV/0!</v>
      </c>
      <c r="W1423" s="17" t="e">
        <f t="shared" si="230"/>
        <v>#DIV/0!</v>
      </c>
      <c r="X1423" s="17" t="e">
        <f t="shared" si="231"/>
        <v>#DIV/0!</v>
      </c>
      <c r="Y1423" s="19" t="e">
        <f t="shared" si="232"/>
        <v>#DIV/0!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226</v>
      </c>
      <c r="AH1423">
        <v>226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f t="shared" si="233"/>
        <v>452</v>
      </c>
      <c r="BF1423">
        <v>226</v>
      </c>
      <c r="BG1423">
        <v>226</v>
      </c>
      <c r="BH1423" t="s">
        <v>63</v>
      </c>
      <c r="BI1423" t="s">
        <v>213</v>
      </c>
      <c r="BJ1423">
        <v>0</v>
      </c>
      <c r="BK1423">
        <v>226</v>
      </c>
      <c r="BL1423">
        <v>226</v>
      </c>
      <c r="BM1423">
        <v>0</v>
      </c>
      <c r="BN1423">
        <v>0</v>
      </c>
      <c r="BO1423">
        <v>0</v>
      </c>
      <c r="BP1423">
        <v>226</v>
      </c>
      <c r="BQ1423">
        <v>226</v>
      </c>
      <c r="BR1423">
        <f t="shared" si="234"/>
        <v>-35</v>
      </c>
      <c r="BS1423">
        <f t="shared" si="235"/>
        <v>35</v>
      </c>
      <c r="BU1423">
        <f>R1423*9</f>
        <v>0</v>
      </c>
      <c r="BV1423">
        <f>IF(BU1423&gt;BG1423, 1, 0)</f>
        <v>0</v>
      </c>
    </row>
    <row r="1424" spans="1:74" x14ac:dyDescent="0.25">
      <c r="A1424" s="5" t="s">
        <v>61</v>
      </c>
      <c r="B1424" s="5" t="s">
        <v>61</v>
      </c>
      <c r="C1424" s="5" t="s">
        <v>61</v>
      </c>
      <c r="D1424" s="1" t="s">
        <v>115</v>
      </c>
      <c r="E1424">
        <v>0</v>
      </c>
      <c r="F1424">
        <v>10</v>
      </c>
      <c r="G1424">
        <v>0</v>
      </c>
      <c r="H1424">
        <v>0</v>
      </c>
      <c r="I1424">
        <v>685</v>
      </c>
      <c r="J1424">
        <v>0</v>
      </c>
      <c r="K1424">
        <v>422</v>
      </c>
      <c r="L1424">
        <v>0</v>
      </c>
      <c r="M1424">
        <v>0</v>
      </c>
      <c r="N1424">
        <v>0</v>
      </c>
      <c r="O1424">
        <v>0</v>
      </c>
      <c r="P1424">
        <v>45</v>
      </c>
      <c r="Q1424">
        <v>127</v>
      </c>
      <c r="R1424">
        <v>5</v>
      </c>
      <c r="S1424" s="18">
        <f t="shared" si="226"/>
        <v>9</v>
      </c>
      <c r="T1424" s="17">
        <f t="shared" si="227"/>
        <v>0</v>
      </c>
      <c r="U1424" s="17">
        <f t="shared" si="228"/>
        <v>0</v>
      </c>
      <c r="V1424" s="17">
        <f t="shared" si="229"/>
        <v>0</v>
      </c>
      <c r="W1424" s="17">
        <f t="shared" si="230"/>
        <v>5</v>
      </c>
      <c r="X1424" s="17">
        <f t="shared" si="231"/>
        <v>122</v>
      </c>
      <c r="Y1424" s="19">
        <f t="shared" si="232"/>
        <v>0</v>
      </c>
      <c r="Z1424">
        <v>10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685</v>
      </c>
      <c r="AH1424">
        <v>685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422</v>
      </c>
      <c r="AP1424">
        <v>0</v>
      </c>
      <c r="AQ1424">
        <v>422</v>
      </c>
      <c r="AR1424">
        <v>422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f t="shared" si="233"/>
        <v>2636</v>
      </c>
      <c r="BF1424">
        <v>1117</v>
      </c>
      <c r="BG1424">
        <v>1117</v>
      </c>
      <c r="BH1424" t="s">
        <v>109</v>
      </c>
      <c r="BI1424" t="s">
        <v>116</v>
      </c>
      <c r="BJ1424">
        <v>0</v>
      </c>
      <c r="BK1424">
        <v>1107</v>
      </c>
      <c r="BL1424">
        <v>1117</v>
      </c>
      <c r="BM1424">
        <v>0</v>
      </c>
      <c r="BN1424">
        <v>0</v>
      </c>
      <c r="BO1424">
        <v>0</v>
      </c>
      <c r="BP1424">
        <v>1152</v>
      </c>
      <c r="BQ1424">
        <v>1152</v>
      </c>
      <c r="BR1424">
        <f t="shared" si="234"/>
        <v>-122</v>
      </c>
      <c r="BS1424">
        <f t="shared" si="235"/>
        <v>132</v>
      </c>
    </row>
    <row r="1425" spans="1:74" x14ac:dyDescent="0.25">
      <c r="A1425" s="5" t="s">
        <v>61</v>
      </c>
      <c r="B1425" s="5" t="s">
        <v>61</v>
      </c>
      <c r="C1425" s="5" t="s">
        <v>61</v>
      </c>
      <c r="D1425" s="1" t="s">
        <v>165</v>
      </c>
      <c r="E1425">
        <v>0</v>
      </c>
      <c r="F1425">
        <v>75</v>
      </c>
      <c r="G1425">
        <v>0</v>
      </c>
      <c r="H1425">
        <v>0</v>
      </c>
      <c r="I1425">
        <v>120</v>
      </c>
      <c r="J1425">
        <v>0</v>
      </c>
      <c r="K1425">
        <v>0</v>
      </c>
      <c r="L1425">
        <v>0</v>
      </c>
      <c r="M1425">
        <v>342</v>
      </c>
      <c r="N1425">
        <v>0</v>
      </c>
      <c r="O1425">
        <v>0</v>
      </c>
      <c r="P1425">
        <v>0</v>
      </c>
      <c r="Q1425">
        <v>160</v>
      </c>
      <c r="R1425">
        <v>38</v>
      </c>
      <c r="S1425" s="18">
        <f t="shared" si="226"/>
        <v>9</v>
      </c>
      <c r="T1425" s="17">
        <f t="shared" si="227"/>
        <v>38</v>
      </c>
      <c r="U1425" s="17">
        <f t="shared" si="228"/>
        <v>0</v>
      </c>
      <c r="V1425" s="17">
        <f t="shared" si="229"/>
        <v>0</v>
      </c>
      <c r="W1425" s="17">
        <f t="shared" si="230"/>
        <v>0</v>
      </c>
      <c r="X1425" s="17">
        <f t="shared" si="231"/>
        <v>122</v>
      </c>
      <c r="Y1425" s="19">
        <f t="shared" si="232"/>
        <v>0</v>
      </c>
      <c r="Z1425">
        <v>75</v>
      </c>
      <c r="AA1425">
        <v>0</v>
      </c>
      <c r="AB1425">
        <v>0</v>
      </c>
      <c r="AC1425">
        <v>0</v>
      </c>
      <c r="AD1425">
        <v>120</v>
      </c>
      <c r="AE1425">
        <v>0</v>
      </c>
      <c r="AF1425">
        <v>0</v>
      </c>
      <c r="AG1425">
        <v>0</v>
      </c>
      <c r="AH1425">
        <v>120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f t="shared" si="233"/>
        <v>240</v>
      </c>
      <c r="BF1425">
        <v>195</v>
      </c>
      <c r="BG1425">
        <v>195</v>
      </c>
      <c r="BH1425" t="s">
        <v>109</v>
      </c>
      <c r="BI1425" t="s">
        <v>166</v>
      </c>
      <c r="BJ1425">
        <v>0</v>
      </c>
      <c r="BK1425">
        <v>120</v>
      </c>
      <c r="BL1425">
        <v>195</v>
      </c>
      <c r="BM1425">
        <v>462</v>
      </c>
      <c r="BN1425">
        <v>0</v>
      </c>
      <c r="BO1425">
        <v>0</v>
      </c>
      <c r="BP1425">
        <v>0</v>
      </c>
      <c r="BQ1425">
        <v>462</v>
      </c>
      <c r="BR1425">
        <f t="shared" si="234"/>
        <v>-122</v>
      </c>
      <c r="BS1425">
        <f t="shared" si="235"/>
        <v>198</v>
      </c>
    </row>
    <row r="1426" spans="1:74" x14ac:dyDescent="0.25">
      <c r="A1426" s="5" t="s">
        <v>875</v>
      </c>
      <c r="B1426" s="5" t="s">
        <v>61</v>
      </c>
      <c r="C1426" s="5" t="s">
        <v>207</v>
      </c>
      <c r="D1426" s="1" t="s">
        <v>75</v>
      </c>
      <c r="E1426">
        <v>0</v>
      </c>
      <c r="F1426">
        <v>0</v>
      </c>
      <c r="G1426">
        <v>0</v>
      </c>
      <c r="H1426">
        <v>0</v>
      </c>
      <c r="I1426">
        <v>200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35</v>
      </c>
      <c r="R1426">
        <v>0</v>
      </c>
      <c r="S1426" s="18" t="e">
        <f t="shared" si="226"/>
        <v>#DIV/0!</v>
      </c>
      <c r="T1426" s="17" t="e">
        <f t="shared" si="227"/>
        <v>#DIV/0!</v>
      </c>
      <c r="U1426" s="17" t="e">
        <f t="shared" si="228"/>
        <v>#DIV/0!</v>
      </c>
      <c r="V1426" s="17" t="e">
        <f t="shared" si="229"/>
        <v>#DIV/0!</v>
      </c>
      <c r="W1426" s="17" t="e">
        <f t="shared" si="230"/>
        <v>#DIV/0!</v>
      </c>
      <c r="X1426" s="17" t="e">
        <f t="shared" si="231"/>
        <v>#DIV/0!</v>
      </c>
      <c r="Y1426" s="19" t="e">
        <f t="shared" si="232"/>
        <v>#DIV/0!</v>
      </c>
      <c r="Z1426">
        <v>0</v>
      </c>
      <c r="AA1426">
        <v>0</v>
      </c>
      <c r="AB1426">
        <v>0</v>
      </c>
      <c r="AC1426">
        <v>0</v>
      </c>
      <c r="AD1426">
        <v>200</v>
      </c>
      <c r="AE1426">
        <v>0</v>
      </c>
      <c r="AF1426">
        <v>0</v>
      </c>
      <c r="AG1426">
        <v>0</v>
      </c>
      <c r="AH1426">
        <v>200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f t="shared" si="233"/>
        <v>400</v>
      </c>
      <c r="BF1426">
        <v>200</v>
      </c>
      <c r="BG1426">
        <v>200</v>
      </c>
      <c r="BH1426" t="s">
        <v>63</v>
      </c>
      <c r="BI1426" t="s">
        <v>882</v>
      </c>
      <c r="BJ1426">
        <v>0</v>
      </c>
      <c r="BK1426">
        <v>200</v>
      </c>
      <c r="BL1426">
        <v>200</v>
      </c>
      <c r="BM1426">
        <v>200</v>
      </c>
      <c r="BN1426">
        <v>0</v>
      </c>
      <c r="BO1426">
        <v>0</v>
      </c>
      <c r="BP1426">
        <v>0</v>
      </c>
      <c r="BQ1426">
        <v>200</v>
      </c>
      <c r="BR1426">
        <f t="shared" si="234"/>
        <v>-35</v>
      </c>
      <c r="BS1426">
        <f t="shared" si="235"/>
        <v>35</v>
      </c>
      <c r="BU1426">
        <f>R1426*9</f>
        <v>0</v>
      </c>
      <c r="BV1426">
        <f>IF(BU1426&gt;BG1426, 1, 0)</f>
        <v>0</v>
      </c>
    </row>
    <row r="1427" spans="1:74" x14ac:dyDescent="0.25">
      <c r="A1427" s="5" t="s">
        <v>1661</v>
      </c>
      <c r="B1427" s="5" t="s">
        <v>207</v>
      </c>
      <c r="C1427" s="5" t="s">
        <v>207</v>
      </c>
      <c r="D1427" s="1" t="s">
        <v>84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225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37</v>
      </c>
      <c r="R1427">
        <v>0</v>
      </c>
      <c r="S1427" s="18" t="e">
        <f t="shared" si="226"/>
        <v>#DIV/0!</v>
      </c>
      <c r="T1427" s="17" t="e">
        <f t="shared" si="227"/>
        <v>#DIV/0!</v>
      </c>
      <c r="U1427" s="17" t="e">
        <f t="shared" si="228"/>
        <v>#DIV/0!</v>
      </c>
      <c r="V1427" s="17" t="e">
        <f t="shared" si="229"/>
        <v>#DIV/0!</v>
      </c>
      <c r="W1427" s="17" t="e">
        <f t="shared" si="230"/>
        <v>#DIV/0!</v>
      </c>
      <c r="X1427" s="17" t="e">
        <f t="shared" si="231"/>
        <v>#DIV/0!</v>
      </c>
      <c r="Y1427" s="19" t="e">
        <f t="shared" si="232"/>
        <v>#DIV/0!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225</v>
      </c>
      <c r="AL1427">
        <v>225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f t="shared" si="233"/>
        <v>450</v>
      </c>
      <c r="BF1427">
        <v>225</v>
      </c>
      <c r="BG1427">
        <v>225</v>
      </c>
      <c r="BH1427" t="s">
        <v>63</v>
      </c>
      <c r="BI1427" t="s">
        <v>1804</v>
      </c>
      <c r="BJ1427">
        <v>0</v>
      </c>
      <c r="BK1427">
        <v>225</v>
      </c>
      <c r="BL1427">
        <v>225</v>
      </c>
      <c r="BM1427">
        <v>0</v>
      </c>
      <c r="BN1427">
        <v>0</v>
      </c>
      <c r="BO1427">
        <v>0</v>
      </c>
      <c r="BP1427">
        <v>225</v>
      </c>
      <c r="BQ1427">
        <v>225</v>
      </c>
      <c r="BR1427">
        <f t="shared" si="234"/>
        <v>-37</v>
      </c>
      <c r="BS1427">
        <f t="shared" si="235"/>
        <v>37</v>
      </c>
      <c r="BU1427">
        <f>R1427*9</f>
        <v>0</v>
      </c>
      <c r="BV1427">
        <f>IF(BU1427&gt;BG1427, 1, 0)</f>
        <v>0</v>
      </c>
    </row>
    <row r="1428" spans="1:74" x14ac:dyDescent="0.25">
      <c r="A1428" s="5" t="s">
        <v>207</v>
      </c>
      <c r="B1428" s="5" t="s">
        <v>359</v>
      </c>
      <c r="C1428" s="5" t="s">
        <v>61</v>
      </c>
      <c r="D1428" s="1" t="s">
        <v>71</v>
      </c>
      <c r="E1428">
        <v>0</v>
      </c>
      <c r="F1428">
        <v>0</v>
      </c>
      <c r="G1428">
        <v>0</v>
      </c>
      <c r="H1428">
        <v>0</v>
      </c>
      <c r="I1428">
        <v>140</v>
      </c>
      <c r="J1428">
        <v>450</v>
      </c>
      <c r="K1428">
        <v>10</v>
      </c>
      <c r="L1428">
        <v>6</v>
      </c>
      <c r="M1428">
        <v>0</v>
      </c>
      <c r="N1428">
        <v>0</v>
      </c>
      <c r="O1428">
        <v>0</v>
      </c>
      <c r="P1428">
        <v>0</v>
      </c>
      <c r="Q1428">
        <v>40</v>
      </c>
      <c r="R1428">
        <v>0</v>
      </c>
      <c r="S1428" s="18" t="e">
        <f t="shared" si="226"/>
        <v>#DIV/0!</v>
      </c>
      <c r="T1428" s="17" t="e">
        <f t="shared" si="227"/>
        <v>#DIV/0!</v>
      </c>
      <c r="U1428" s="17" t="e">
        <f t="shared" si="228"/>
        <v>#DIV/0!</v>
      </c>
      <c r="V1428" s="17" t="e">
        <f t="shared" si="229"/>
        <v>#DIV/0!</v>
      </c>
      <c r="W1428" s="17" t="e">
        <f t="shared" si="230"/>
        <v>#DIV/0!</v>
      </c>
      <c r="X1428" s="17" t="e">
        <f t="shared" si="231"/>
        <v>#DIV/0!</v>
      </c>
      <c r="Y1428" s="19" t="e">
        <f t="shared" si="232"/>
        <v>#DIV/0!</v>
      </c>
      <c r="Z1428">
        <v>0</v>
      </c>
      <c r="AA1428">
        <v>0</v>
      </c>
      <c r="AB1428">
        <v>0</v>
      </c>
      <c r="AC1428">
        <v>41</v>
      </c>
      <c r="AD1428">
        <v>140</v>
      </c>
      <c r="AE1428">
        <v>0</v>
      </c>
      <c r="AF1428">
        <v>0</v>
      </c>
      <c r="AG1428">
        <v>0</v>
      </c>
      <c r="AH1428">
        <v>140</v>
      </c>
      <c r="AI1428">
        <v>450</v>
      </c>
      <c r="AJ1428">
        <v>0</v>
      </c>
      <c r="AK1428">
        <v>0</v>
      </c>
      <c r="AL1428">
        <v>450</v>
      </c>
      <c r="AM1428">
        <v>10</v>
      </c>
      <c r="AN1428">
        <v>0</v>
      </c>
      <c r="AO1428">
        <v>0</v>
      </c>
      <c r="AP1428">
        <v>5</v>
      </c>
      <c r="AQ1428">
        <v>10</v>
      </c>
      <c r="AR1428">
        <v>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6</v>
      </c>
      <c r="AY1428">
        <v>0</v>
      </c>
      <c r="AZ1428">
        <v>0</v>
      </c>
      <c r="BA1428">
        <v>6</v>
      </c>
      <c r="BB1428">
        <v>0</v>
      </c>
      <c r="BC1428">
        <v>0</v>
      </c>
      <c r="BD1428">
        <v>0</v>
      </c>
      <c r="BE1428">
        <f t="shared" si="233"/>
        <v>1263</v>
      </c>
      <c r="BF1428">
        <v>647</v>
      </c>
      <c r="BG1428">
        <v>647</v>
      </c>
      <c r="BH1428" t="s">
        <v>63</v>
      </c>
      <c r="BI1428" t="s">
        <v>598</v>
      </c>
      <c r="BJ1428">
        <v>41</v>
      </c>
      <c r="BK1428">
        <v>606</v>
      </c>
      <c r="BL1428">
        <v>647</v>
      </c>
      <c r="BM1428">
        <v>606</v>
      </c>
      <c r="BN1428">
        <v>0</v>
      </c>
      <c r="BO1428">
        <v>0</v>
      </c>
      <c r="BP1428">
        <v>0</v>
      </c>
      <c r="BQ1428">
        <v>606</v>
      </c>
      <c r="BR1428">
        <f t="shared" si="234"/>
        <v>-40</v>
      </c>
      <c r="BS1428">
        <f t="shared" si="235"/>
        <v>40</v>
      </c>
      <c r="BU1428">
        <f>R1428*9</f>
        <v>0</v>
      </c>
      <c r="BV1428">
        <f>IF(BU1428&gt;BG1428, 1, 0)</f>
        <v>0</v>
      </c>
    </row>
    <row r="1429" spans="1:74" x14ac:dyDescent="0.25">
      <c r="A1429" s="5" t="s">
        <v>1135</v>
      </c>
      <c r="B1429" s="5" t="s">
        <v>61</v>
      </c>
      <c r="C1429" s="5" t="s">
        <v>61</v>
      </c>
      <c r="D1429" s="1" t="s">
        <v>69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824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40</v>
      </c>
      <c r="R1429">
        <v>0</v>
      </c>
      <c r="S1429" s="18" t="e">
        <f t="shared" si="226"/>
        <v>#DIV/0!</v>
      </c>
      <c r="T1429" s="17" t="e">
        <f t="shared" si="227"/>
        <v>#DIV/0!</v>
      </c>
      <c r="U1429" s="17" t="e">
        <f t="shared" si="228"/>
        <v>#DIV/0!</v>
      </c>
      <c r="V1429" s="17" t="e">
        <f t="shared" si="229"/>
        <v>#DIV/0!</v>
      </c>
      <c r="W1429" s="17" t="e">
        <f t="shared" si="230"/>
        <v>#DIV/0!</v>
      </c>
      <c r="X1429" s="17" t="e">
        <f t="shared" si="231"/>
        <v>#DIV/0!</v>
      </c>
      <c r="Y1429" s="19" t="e">
        <f t="shared" si="232"/>
        <v>#DIV/0!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824</v>
      </c>
      <c r="AL1429">
        <v>824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f t="shared" si="233"/>
        <v>1648</v>
      </c>
      <c r="BF1429">
        <v>824</v>
      </c>
      <c r="BG1429">
        <v>824</v>
      </c>
      <c r="BH1429" t="s">
        <v>63</v>
      </c>
      <c r="BI1429" t="s">
        <v>1138</v>
      </c>
      <c r="BJ1429">
        <v>0</v>
      </c>
      <c r="BK1429">
        <v>824</v>
      </c>
      <c r="BL1429">
        <v>824</v>
      </c>
      <c r="BM1429">
        <v>0</v>
      </c>
      <c r="BN1429">
        <v>0</v>
      </c>
      <c r="BO1429">
        <v>0</v>
      </c>
      <c r="BP1429">
        <v>824</v>
      </c>
      <c r="BQ1429">
        <v>824</v>
      </c>
      <c r="BR1429">
        <f t="shared" si="234"/>
        <v>-40</v>
      </c>
      <c r="BS1429">
        <f t="shared" si="235"/>
        <v>40</v>
      </c>
      <c r="BU1429">
        <f>R1429*9</f>
        <v>0</v>
      </c>
      <c r="BV1429">
        <f>IF(BU1429&gt;BG1429, 1, 0)</f>
        <v>0</v>
      </c>
    </row>
    <row r="1430" spans="1:74" x14ac:dyDescent="0.25">
      <c r="A1430" s="5" t="s">
        <v>1661</v>
      </c>
      <c r="B1430" s="5" t="s">
        <v>207</v>
      </c>
      <c r="C1430" s="5" t="s">
        <v>61</v>
      </c>
      <c r="D1430" s="1" t="s">
        <v>92</v>
      </c>
      <c r="E1430">
        <v>0</v>
      </c>
      <c r="F1430">
        <v>22</v>
      </c>
      <c r="G1430">
        <v>0</v>
      </c>
      <c r="H1430">
        <v>0</v>
      </c>
      <c r="I1430">
        <v>445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99</v>
      </c>
      <c r="Q1430">
        <v>134</v>
      </c>
      <c r="R1430">
        <v>11</v>
      </c>
      <c r="S1430" s="18">
        <f t="shared" si="226"/>
        <v>9</v>
      </c>
      <c r="T1430" s="17">
        <f t="shared" si="227"/>
        <v>0</v>
      </c>
      <c r="U1430" s="17">
        <f t="shared" si="228"/>
        <v>0</v>
      </c>
      <c r="V1430" s="17">
        <f t="shared" si="229"/>
        <v>0</v>
      </c>
      <c r="W1430" s="17">
        <f t="shared" si="230"/>
        <v>11</v>
      </c>
      <c r="X1430" s="17">
        <f t="shared" si="231"/>
        <v>123</v>
      </c>
      <c r="Y1430" s="19">
        <f t="shared" si="232"/>
        <v>0</v>
      </c>
      <c r="Z1430">
        <v>22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445</v>
      </c>
      <c r="AH1430">
        <v>445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f t="shared" si="233"/>
        <v>890</v>
      </c>
      <c r="BF1430">
        <v>467</v>
      </c>
      <c r="BG1430">
        <v>467</v>
      </c>
      <c r="BH1430" t="s">
        <v>109</v>
      </c>
      <c r="BI1430" t="s">
        <v>1770</v>
      </c>
      <c r="BJ1430">
        <v>0</v>
      </c>
      <c r="BK1430">
        <v>445</v>
      </c>
      <c r="BL1430">
        <v>467</v>
      </c>
      <c r="BM1430">
        <v>0</v>
      </c>
      <c r="BN1430">
        <v>0</v>
      </c>
      <c r="BO1430">
        <v>0</v>
      </c>
      <c r="BP1430">
        <v>544</v>
      </c>
      <c r="BQ1430">
        <v>544</v>
      </c>
      <c r="BR1430">
        <f t="shared" si="234"/>
        <v>-123</v>
      </c>
      <c r="BS1430">
        <f t="shared" si="235"/>
        <v>145</v>
      </c>
    </row>
    <row r="1431" spans="1:74" x14ac:dyDescent="0.25">
      <c r="A1431" s="5" t="s">
        <v>207</v>
      </c>
      <c r="B1431" s="5" t="s">
        <v>359</v>
      </c>
      <c r="C1431" s="5" t="s">
        <v>61</v>
      </c>
      <c r="D1431" s="1" t="s">
        <v>73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44</v>
      </c>
      <c r="R1431">
        <v>0</v>
      </c>
      <c r="S1431" s="18" t="e">
        <f t="shared" si="226"/>
        <v>#DIV/0!</v>
      </c>
      <c r="T1431" s="17" t="e">
        <f t="shared" si="227"/>
        <v>#DIV/0!</v>
      </c>
      <c r="U1431" s="17" t="e">
        <f t="shared" si="228"/>
        <v>#DIV/0!</v>
      </c>
      <c r="V1431" s="17" t="e">
        <f t="shared" si="229"/>
        <v>#DIV/0!</v>
      </c>
      <c r="W1431" s="17" t="e">
        <f t="shared" si="230"/>
        <v>#DIV/0!</v>
      </c>
      <c r="X1431" s="17" t="e">
        <f t="shared" si="231"/>
        <v>#DIV/0!</v>
      </c>
      <c r="Y1431" s="19" t="e">
        <f t="shared" si="232"/>
        <v>#DIV/0!</v>
      </c>
      <c r="Z1431">
        <v>33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196</v>
      </c>
      <c r="AL1431">
        <v>196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f t="shared" si="233"/>
        <v>392</v>
      </c>
      <c r="BF1431">
        <v>0</v>
      </c>
      <c r="BG1431">
        <v>229</v>
      </c>
      <c r="BH1431" t="s">
        <v>63</v>
      </c>
      <c r="BI1431" t="s">
        <v>599</v>
      </c>
      <c r="BJ1431">
        <v>0</v>
      </c>
      <c r="BK1431">
        <v>196</v>
      </c>
      <c r="BL1431">
        <v>229</v>
      </c>
      <c r="BM1431">
        <v>0</v>
      </c>
      <c r="BN1431">
        <v>0</v>
      </c>
      <c r="BO1431">
        <v>0</v>
      </c>
      <c r="BP1431">
        <v>196</v>
      </c>
      <c r="BQ1431">
        <v>196</v>
      </c>
      <c r="BR1431">
        <f t="shared" si="234"/>
        <v>-44</v>
      </c>
      <c r="BS1431">
        <f t="shared" si="235"/>
        <v>44</v>
      </c>
      <c r="BU1431">
        <f>R1431*9</f>
        <v>0</v>
      </c>
      <c r="BV1431">
        <f>IF(BU1431&gt;BG1431, 1, 0)</f>
        <v>0</v>
      </c>
    </row>
    <row r="1432" spans="1:74" x14ac:dyDescent="0.25">
      <c r="A1432" s="5" t="s">
        <v>207</v>
      </c>
      <c r="B1432" s="5" t="s">
        <v>61</v>
      </c>
      <c r="C1432" s="5" t="s">
        <v>61</v>
      </c>
      <c r="D1432" s="1" t="s">
        <v>86</v>
      </c>
      <c r="E1432">
        <v>0</v>
      </c>
      <c r="F1432">
        <v>103</v>
      </c>
      <c r="G1432">
        <v>0</v>
      </c>
      <c r="H1432">
        <v>0</v>
      </c>
      <c r="I1432">
        <v>200</v>
      </c>
      <c r="J1432">
        <v>0</v>
      </c>
      <c r="K1432">
        <v>0</v>
      </c>
      <c r="L1432">
        <v>0</v>
      </c>
      <c r="M1432">
        <v>927</v>
      </c>
      <c r="N1432">
        <v>0</v>
      </c>
      <c r="O1432">
        <v>0</v>
      </c>
      <c r="P1432">
        <v>0</v>
      </c>
      <c r="Q1432">
        <v>227</v>
      </c>
      <c r="R1432">
        <v>103</v>
      </c>
      <c r="S1432" s="18">
        <f t="shared" si="226"/>
        <v>9</v>
      </c>
      <c r="T1432" s="17">
        <f t="shared" si="227"/>
        <v>103</v>
      </c>
      <c r="U1432" s="17">
        <f t="shared" si="228"/>
        <v>0</v>
      </c>
      <c r="V1432" s="17">
        <f t="shared" si="229"/>
        <v>0</v>
      </c>
      <c r="W1432" s="17">
        <f t="shared" si="230"/>
        <v>0</v>
      </c>
      <c r="X1432" s="17">
        <f t="shared" si="231"/>
        <v>124</v>
      </c>
      <c r="Y1432" s="19">
        <f t="shared" si="232"/>
        <v>0</v>
      </c>
      <c r="Z1432">
        <v>103</v>
      </c>
      <c r="AA1432">
        <v>0</v>
      </c>
      <c r="AB1432">
        <v>0</v>
      </c>
      <c r="AC1432">
        <v>0</v>
      </c>
      <c r="AD1432">
        <v>200</v>
      </c>
      <c r="AE1432">
        <v>0</v>
      </c>
      <c r="AF1432">
        <v>0</v>
      </c>
      <c r="AG1432">
        <v>0</v>
      </c>
      <c r="AH1432">
        <v>200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f t="shared" si="233"/>
        <v>400</v>
      </c>
      <c r="BF1432">
        <v>303</v>
      </c>
      <c r="BG1432">
        <v>303</v>
      </c>
      <c r="BH1432" t="s">
        <v>109</v>
      </c>
      <c r="BI1432" t="s">
        <v>437</v>
      </c>
      <c r="BJ1432">
        <v>0</v>
      </c>
      <c r="BK1432">
        <v>200</v>
      </c>
      <c r="BL1432">
        <v>303</v>
      </c>
      <c r="BM1432">
        <v>1127</v>
      </c>
      <c r="BN1432">
        <v>0</v>
      </c>
      <c r="BO1432">
        <v>0</v>
      </c>
      <c r="BP1432">
        <v>0</v>
      </c>
      <c r="BQ1432">
        <v>1127</v>
      </c>
      <c r="BR1432">
        <f t="shared" si="234"/>
        <v>-124</v>
      </c>
      <c r="BS1432">
        <f t="shared" si="235"/>
        <v>330</v>
      </c>
    </row>
    <row r="1433" spans="1:74" x14ac:dyDescent="0.25">
      <c r="A1433" s="5" t="s">
        <v>1451</v>
      </c>
      <c r="B1433" s="6" t="s">
        <v>359</v>
      </c>
      <c r="C1433" s="6" t="s">
        <v>61</v>
      </c>
      <c r="D1433" s="1" t="s">
        <v>113</v>
      </c>
      <c r="E1433">
        <v>0</v>
      </c>
      <c r="F1433">
        <v>196</v>
      </c>
      <c r="G1433">
        <v>0</v>
      </c>
      <c r="H1433">
        <v>0</v>
      </c>
      <c r="I1433">
        <v>120</v>
      </c>
      <c r="J1433">
        <v>1030</v>
      </c>
      <c r="K1433">
        <v>220</v>
      </c>
      <c r="L1433">
        <v>0</v>
      </c>
      <c r="M1433">
        <v>0</v>
      </c>
      <c r="N1433">
        <v>0</v>
      </c>
      <c r="O1433">
        <v>0</v>
      </c>
      <c r="P1433">
        <v>675</v>
      </c>
      <c r="Q1433">
        <v>199</v>
      </c>
      <c r="R1433">
        <v>75</v>
      </c>
      <c r="S1433" s="18">
        <f t="shared" si="226"/>
        <v>9</v>
      </c>
      <c r="T1433" s="17">
        <f t="shared" si="227"/>
        <v>0</v>
      </c>
      <c r="U1433" s="17">
        <f t="shared" si="228"/>
        <v>0</v>
      </c>
      <c r="V1433" s="17">
        <f t="shared" si="229"/>
        <v>0</v>
      </c>
      <c r="W1433" s="17">
        <f t="shared" si="230"/>
        <v>75</v>
      </c>
      <c r="X1433" s="17">
        <f t="shared" si="231"/>
        <v>124</v>
      </c>
      <c r="Y1433" s="19">
        <f t="shared" si="232"/>
        <v>0</v>
      </c>
      <c r="Z1433">
        <v>196</v>
      </c>
      <c r="AA1433">
        <v>5</v>
      </c>
      <c r="AB1433">
        <v>260</v>
      </c>
      <c r="AC1433">
        <v>1926</v>
      </c>
      <c r="AD1433">
        <v>0</v>
      </c>
      <c r="AE1433">
        <v>0</v>
      </c>
      <c r="AF1433">
        <v>0</v>
      </c>
      <c r="AG1433">
        <v>120</v>
      </c>
      <c r="AH1433">
        <v>120</v>
      </c>
      <c r="AI1433">
        <v>0</v>
      </c>
      <c r="AJ1433">
        <v>0</v>
      </c>
      <c r="AK1433">
        <v>1030</v>
      </c>
      <c r="AL1433">
        <v>1030</v>
      </c>
      <c r="AM1433">
        <v>0</v>
      </c>
      <c r="AN1433">
        <v>0</v>
      </c>
      <c r="AO1433">
        <v>220</v>
      </c>
      <c r="AP1433">
        <v>30</v>
      </c>
      <c r="AQ1433">
        <v>220</v>
      </c>
      <c r="AR1433">
        <v>190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f t="shared" si="233"/>
        <v>4886</v>
      </c>
      <c r="BF1433">
        <v>3757</v>
      </c>
      <c r="BG1433">
        <v>3757</v>
      </c>
      <c r="BH1433" t="s">
        <v>82</v>
      </c>
      <c r="BI1433" t="s">
        <v>1621</v>
      </c>
      <c r="BJ1433">
        <v>2191</v>
      </c>
      <c r="BK1433">
        <v>1370</v>
      </c>
      <c r="BL1433">
        <v>3757</v>
      </c>
      <c r="BM1433">
        <v>0</v>
      </c>
      <c r="BN1433">
        <v>0</v>
      </c>
      <c r="BO1433">
        <v>0</v>
      </c>
      <c r="BP1433">
        <v>2045</v>
      </c>
      <c r="BQ1433">
        <v>2045</v>
      </c>
      <c r="BR1433">
        <f t="shared" si="234"/>
        <v>-124</v>
      </c>
      <c r="BS1433">
        <f t="shared" si="235"/>
        <v>274</v>
      </c>
    </row>
    <row r="1434" spans="1:74" x14ac:dyDescent="0.25">
      <c r="A1434" s="5" t="s">
        <v>1661</v>
      </c>
      <c r="B1434" s="7" t="s">
        <v>61</v>
      </c>
      <c r="C1434" s="7" t="s">
        <v>359</v>
      </c>
      <c r="D1434" s="1" t="s">
        <v>145</v>
      </c>
      <c r="E1434">
        <v>0</v>
      </c>
      <c r="F1434">
        <v>0</v>
      </c>
      <c r="G1434">
        <v>0</v>
      </c>
      <c r="H1434">
        <v>0</v>
      </c>
      <c r="I1434">
        <v>292</v>
      </c>
      <c r="J1434">
        <v>1328</v>
      </c>
      <c r="K1434">
        <v>130</v>
      </c>
      <c r="L1434">
        <v>10</v>
      </c>
      <c r="M1434">
        <v>0</v>
      </c>
      <c r="N1434">
        <v>0</v>
      </c>
      <c r="O1434">
        <v>0</v>
      </c>
      <c r="P1434">
        <v>0</v>
      </c>
      <c r="Q1434">
        <v>124</v>
      </c>
      <c r="R1434">
        <v>0</v>
      </c>
      <c r="S1434" s="18" t="e">
        <f t="shared" si="226"/>
        <v>#DIV/0!</v>
      </c>
      <c r="T1434" s="17" t="e">
        <f t="shared" si="227"/>
        <v>#DIV/0!</v>
      </c>
      <c r="U1434" s="17" t="e">
        <f t="shared" si="228"/>
        <v>#DIV/0!</v>
      </c>
      <c r="V1434" s="17" t="e">
        <f t="shared" si="229"/>
        <v>#DIV/0!</v>
      </c>
      <c r="W1434" s="17" t="e">
        <f t="shared" si="230"/>
        <v>#DIV/0!</v>
      </c>
      <c r="X1434" s="17" t="e">
        <f t="shared" si="231"/>
        <v>#DIV/0!</v>
      </c>
      <c r="Y1434" s="19" t="e">
        <f t="shared" si="232"/>
        <v>#DIV/0!</v>
      </c>
      <c r="Z1434">
        <v>0</v>
      </c>
      <c r="AA1434">
        <v>0</v>
      </c>
      <c r="AB1434">
        <v>0</v>
      </c>
      <c r="AC1434">
        <v>240</v>
      </c>
      <c r="AD1434">
        <v>0</v>
      </c>
      <c r="AE1434">
        <v>0</v>
      </c>
      <c r="AF1434">
        <v>0</v>
      </c>
      <c r="AG1434">
        <v>292</v>
      </c>
      <c r="AH1434">
        <v>292</v>
      </c>
      <c r="AI1434">
        <v>0</v>
      </c>
      <c r="AJ1434">
        <v>0</v>
      </c>
      <c r="AK1434">
        <v>1328</v>
      </c>
      <c r="AL1434">
        <v>1328</v>
      </c>
      <c r="AM1434">
        <v>0</v>
      </c>
      <c r="AN1434">
        <v>0</v>
      </c>
      <c r="AO1434">
        <v>130</v>
      </c>
      <c r="AP1434">
        <v>30</v>
      </c>
      <c r="AQ1434">
        <v>130</v>
      </c>
      <c r="AR1434">
        <v>100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10</v>
      </c>
      <c r="BA1434">
        <v>10</v>
      </c>
      <c r="BB1434">
        <v>0</v>
      </c>
      <c r="BC1434">
        <v>0</v>
      </c>
      <c r="BD1434">
        <v>0</v>
      </c>
      <c r="BE1434">
        <f t="shared" si="233"/>
        <v>3890</v>
      </c>
      <c r="BF1434">
        <v>2000</v>
      </c>
      <c r="BG1434">
        <v>2000</v>
      </c>
      <c r="BH1434" t="s">
        <v>82</v>
      </c>
      <c r="BI1434" t="s">
        <v>1748</v>
      </c>
      <c r="BJ1434">
        <v>240</v>
      </c>
      <c r="BK1434">
        <v>1760</v>
      </c>
      <c r="BL1434">
        <v>2000</v>
      </c>
      <c r="BM1434">
        <v>0</v>
      </c>
      <c r="BN1434">
        <v>0</v>
      </c>
      <c r="BO1434">
        <v>0</v>
      </c>
      <c r="BP1434">
        <v>1760</v>
      </c>
      <c r="BQ1434">
        <v>1760</v>
      </c>
      <c r="BR1434">
        <f t="shared" si="234"/>
        <v>-124</v>
      </c>
      <c r="BS1434">
        <f t="shared" si="235"/>
        <v>124</v>
      </c>
    </row>
    <row r="1435" spans="1:74" x14ac:dyDescent="0.25">
      <c r="A1435" s="5" t="s">
        <v>2090</v>
      </c>
      <c r="B1435" s="5" t="s">
        <v>61</v>
      </c>
      <c r="C1435" s="5" t="s">
        <v>61</v>
      </c>
      <c r="D1435" s="1" t="s">
        <v>963</v>
      </c>
      <c r="E1435">
        <v>90</v>
      </c>
      <c r="F1435">
        <v>0</v>
      </c>
      <c r="G1435">
        <v>0</v>
      </c>
      <c r="H1435">
        <v>0</v>
      </c>
      <c r="I1435">
        <v>169</v>
      </c>
      <c r="J1435">
        <v>3014</v>
      </c>
      <c r="K1435">
        <v>238</v>
      </c>
      <c r="L1435">
        <v>675</v>
      </c>
      <c r="M1435">
        <v>0</v>
      </c>
      <c r="N1435">
        <v>0</v>
      </c>
      <c r="O1435">
        <v>0</v>
      </c>
      <c r="P1435">
        <v>0</v>
      </c>
      <c r="Q1435">
        <v>124</v>
      </c>
      <c r="R1435">
        <v>0</v>
      </c>
      <c r="S1435" s="18" t="e">
        <f t="shared" si="226"/>
        <v>#DIV/0!</v>
      </c>
      <c r="T1435" s="17" t="e">
        <f t="shared" si="227"/>
        <v>#DIV/0!</v>
      </c>
      <c r="U1435" s="17" t="e">
        <f t="shared" si="228"/>
        <v>#DIV/0!</v>
      </c>
      <c r="V1435" s="17" t="e">
        <f t="shared" si="229"/>
        <v>#DIV/0!</v>
      </c>
      <c r="W1435" s="17" t="e">
        <f t="shared" si="230"/>
        <v>#DIV/0!</v>
      </c>
      <c r="X1435" s="17" t="e">
        <f t="shared" si="231"/>
        <v>#DIV/0!</v>
      </c>
      <c r="Y1435" s="19" t="e">
        <f t="shared" si="232"/>
        <v>#DIV/0!</v>
      </c>
      <c r="Z1435">
        <v>0</v>
      </c>
      <c r="AA1435">
        <v>0</v>
      </c>
      <c r="AB1435">
        <v>0</v>
      </c>
      <c r="AC1435">
        <v>699</v>
      </c>
      <c r="AD1435">
        <v>0</v>
      </c>
      <c r="AE1435">
        <v>0</v>
      </c>
      <c r="AF1435">
        <v>0</v>
      </c>
      <c r="AG1435">
        <v>169</v>
      </c>
      <c r="AH1435">
        <v>169</v>
      </c>
      <c r="AI1435">
        <v>0</v>
      </c>
      <c r="AJ1435">
        <v>0</v>
      </c>
      <c r="AK1435">
        <v>3014</v>
      </c>
      <c r="AL1435">
        <v>3014</v>
      </c>
      <c r="AM1435">
        <v>0</v>
      </c>
      <c r="AN1435">
        <v>0</v>
      </c>
      <c r="AO1435">
        <v>238</v>
      </c>
      <c r="AP1435">
        <v>64</v>
      </c>
      <c r="AQ1435">
        <v>238</v>
      </c>
      <c r="AR1435">
        <v>174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675</v>
      </c>
      <c r="BA1435">
        <v>675</v>
      </c>
      <c r="BB1435">
        <v>0</v>
      </c>
      <c r="BC1435">
        <v>0</v>
      </c>
      <c r="BD1435">
        <v>0</v>
      </c>
      <c r="BE1435">
        <f t="shared" si="233"/>
        <v>9129</v>
      </c>
      <c r="BF1435">
        <v>4885</v>
      </c>
      <c r="BG1435">
        <v>4885</v>
      </c>
      <c r="BH1435" t="s">
        <v>199</v>
      </c>
      <c r="BI1435" t="s">
        <v>2171</v>
      </c>
      <c r="BJ1435">
        <v>789</v>
      </c>
      <c r="BK1435">
        <v>4096</v>
      </c>
      <c r="BL1435">
        <v>4885</v>
      </c>
      <c r="BM1435">
        <v>0</v>
      </c>
      <c r="BN1435">
        <v>0</v>
      </c>
      <c r="BO1435">
        <v>0</v>
      </c>
      <c r="BP1435">
        <v>4096</v>
      </c>
      <c r="BQ1435">
        <v>4096</v>
      </c>
      <c r="BR1435">
        <f t="shared" si="234"/>
        <v>-124</v>
      </c>
      <c r="BS1435">
        <f t="shared" si="235"/>
        <v>124</v>
      </c>
    </row>
    <row r="1436" spans="1:74" x14ac:dyDescent="0.25">
      <c r="A1436" s="5" t="s">
        <v>61</v>
      </c>
      <c r="B1436" s="5" t="s">
        <v>207</v>
      </c>
      <c r="C1436" s="5" t="s">
        <v>61</v>
      </c>
      <c r="D1436" s="1" t="s">
        <v>77</v>
      </c>
      <c r="E1436">
        <v>0</v>
      </c>
      <c r="F1436">
        <v>0</v>
      </c>
      <c r="G1436">
        <v>0</v>
      </c>
      <c r="H1436">
        <v>0</v>
      </c>
      <c r="I1436">
        <v>421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125</v>
      </c>
      <c r="R1436">
        <v>0</v>
      </c>
      <c r="S1436" s="18" t="e">
        <f t="shared" si="226"/>
        <v>#DIV/0!</v>
      </c>
      <c r="T1436" s="17" t="e">
        <f t="shared" si="227"/>
        <v>#DIV/0!</v>
      </c>
      <c r="U1436" s="17" t="e">
        <f t="shared" si="228"/>
        <v>#DIV/0!</v>
      </c>
      <c r="V1436" s="17" t="e">
        <f t="shared" si="229"/>
        <v>#DIV/0!</v>
      </c>
      <c r="W1436" s="17" t="e">
        <f t="shared" si="230"/>
        <v>#DIV/0!</v>
      </c>
      <c r="X1436" s="17" t="e">
        <f t="shared" si="231"/>
        <v>#DIV/0!</v>
      </c>
      <c r="Y1436" s="19" t="e">
        <f t="shared" si="232"/>
        <v>#DIV/0!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421</v>
      </c>
      <c r="AH1436">
        <v>421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f t="shared" si="233"/>
        <v>842</v>
      </c>
      <c r="BF1436">
        <v>421</v>
      </c>
      <c r="BG1436">
        <v>421</v>
      </c>
      <c r="BH1436" t="s">
        <v>109</v>
      </c>
      <c r="BI1436" t="s">
        <v>215</v>
      </c>
      <c r="BJ1436">
        <v>0</v>
      </c>
      <c r="BK1436">
        <v>421</v>
      </c>
      <c r="BL1436">
        <v>421</v>
      </c>
      <c r="BM1436">
        <v>0</v>
      </c>
      <c r="BN1436">
        <v>0</v>
      </c>
      <c r="BO1436">
        <v>0</v>
      </c>
      <c r="BP1436">
        <v>421</v>
      </c>
      <c r="BQ1436">
        <v>421</v>
      </c>
      <c r="BR1436">
        <f t="shared" si="234"/>
        <v>-125</v>
      </c>
      <c r="BS1436">
        <f t="shared" si="235"/>
        <v>125</v>
      </c>
    </row>
    <row r="1437" spans="1:74" x14ac:dyDescent="0.25">
      <c r="A1437" s="5" t="s">
        <v>359</v>
      </c>
      <c r="B1437" s="5" t="s">
        <v>61</v>
      </c>
      <c r="C1437" s="5" t="s">
        <v>61</v>
      </c>
      <c r="D1437" s="1" t="s">
        <v>135</v>
      </c>
      <c r="E1437">
        <v>0</v>
      </c>
      <c r="F1437">
        <v>0</v>
      </c>
      <c r="G1437">
        <v>0</v>
      </c>
      <c r="H1437">
        <v>0</v>
      </c>
      <c r="I1437">
        <v>530</v>
      </c>
      <c r="J1437">
        <v>1464</v>
      </c>
      <c r="K1437">
        <v>415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125</v>
      </c>
      <c r="R1437">
        <v>0</v>
      </c>
      <c r="S1437" s="18" t="e">
        <f t="shared" si="226"/>
        <v>#DIV/0!</v>
      </c>
      <c r="T1437" s="17" t="e">
        <f t="shared" si="227"/>
        <v>#DIV/0!</v>
      </c>
      <c r="U1437" s="17" t="e">
        <f t="shared" si="228"/>
        <v>#DIV/0!</v>
      </c>
      <c r="V1437" s="17" t="e">
        <f t="shared" si="229"/>
        <v>#DIV/0!</v>
      </c>
      <c r="W1437" s="17" t="e">
        <f t="shared" si="230"/>
        <v>#DIV/0!</v>
      </c>
      <c r="X1437" s="17" t="e">
        <f t="shared" si="231"/>
        <v>#DIV/0!</v>
      </c>
      <c r="Y1437" s="19" t="e">
        <f t="shared" si="232"/>
        <v>#DIV/0!</v>
      </c>
      <c r="Z1437">
        <v>0</v>
      </c>
      <c r="AA1437">
        <v>2</v>
      </c>
      <c r="AB1437">
        <v>200</v>
      </c>
      <c r="AC1437">
        <v>1436</v>
      </c>
      <c r="AD1437">
        <v>0</v>
      </c>
      <c r="AE1437">
        <v>0</v>
      </c>
      <c r="AF1437">
        <v>0</v>
      </c>
      <c r="AG1437">
        <v>530</v>
      </c>
      <c r="AH1437">
        <v>530</v>
      </c>
      <c r="AI1437">
        <v>0</v>
      </c>
      <c r="AJ1437">
        <v>0</v>
      </c>
      <c r="AK1437">
        <v>1464</v>
      </c>
      <c r="AL1437">
        <v>1464</v>
      </c>
      <c r="AM1437">
        <v>0</v>
      </c>
      <c r="AN1437">
        <v>0</v>
      </c>
      <c r="AO1437">
        <v>415</v>
      </c>
      <c r="AP1437">
        <v>340</v>
      </c>
      <c r="AQ1437">
        <v>415</v>
      </c>
      <c r="AR1437">
        <v>75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f t="shared" si="233"/>
        <v>6669</v>
      </c>
      <c r="BF1437">
        <v>4047</v>
      </c>
      <c r="BG1437">
        <v>4047</v>
      </c>
      <c r="BH1437" t="s">
        <v>82</v>
      </c>
      <c r="BI1437" t="s">
        <v>730</v>
      </c>
      <c r="BJ1437">
        <v>1638</v>
      </c>
      <c r="BK1437">
        <v>2409</v>
      </c>
      <c r="BL1437">
        <v>4047</v>
      </c>
      <c r="BM1437">
        <v>0</v>
      </c>
      <c r="BN1437">
        <v>0</v>
      </c>
      <c r="BO1437">
        <v>0</v>
      </c>
      <c r="BP1437">
        <v>2409</v>
      </c>
      <c r="BQ1437">
        <v>2409</v>
      </c>
      <c r="BR1437">
        <f t="shared" si="234"/>
        <v>-125</v>
      </c>
      <c r="BS1437">
        <f t="shared" si="235"/>
        <v>125</v>
      </c>
    </row>
    <row r="1438" spans="1:74" x14ac:dyDescent="0.25">
      <c r="A1438" s="5" t="s">
        <v>1017</v>
      </c>
      <c r="B1438" s="5" t="s">
        <v>207</v>
      </c>
      <c r="C1438" s="5" t="s">
        <v>61</v>
      </c>
      <c r="D1438" s="1" t="s">
        <v>69</v>
      </c>
      <c r="E1438">
        <v>0</v>
      </c>
      <c r="F1438">
        <v>135</v>
      </c>
      <c r="G1438">
        <v>0</v>
      </c>
      <c r="H1438">
        <v>0</v>
      </c>
      <c r="I1438">
        <v>200</v>
      </c>
      <c r="J1438">
        <v>0</v>
      </c>
      <c r="K1438">
        <v>150</v>
      </c>
      <c r="L1438">
        <v>30</v>
      </c>
      <c r="M1438">
        <v>0</v>
      </c>
      <c r="N1438">
        <v>0</v>
      </c>
      <c r="O1438">
        <v>0</v>
      </c>
      <c r="P1438">
        <v>0</v>
      </c>
      <c r="Q1438">
        <v>45</v>
      </c>
      <c r="R1438">
        <v>0</v>
      </c>
      <c r="S1438" s="18" t="e">
        <f t="shared" si="226"/>
        <v>#DIV/0!</v>
      </c>
      <c r="T1438" s="17" t="e">
        <f t="shared" si="227"/>
        <v>#DIV/0!</v>
      </c>
      <c r="U1438" s="17" t="e">
        <f t="shared" si="228"/>
        <v>#DIV/0!</v>
      </c>
      <c r="V1438" s="17" t="e">
        <f t="shared" si="229"/>
        <v>#DIV/0!</v>
      </c>
      <c r="W1438" s="17" t="e">
        <f t="shared" si="230"/>
        <v>#DIV/0!</v>
      </c>
      <c r="X1438" s="17" t="e">
        <f t="shared" si="231"/>
        <v>#DIV/0!</v>
      </c>
      <c r="Y1438" s="19" t="e">
        <f t="shared" si="232"/>
        <v>#DIV/0!</v>
      </c>
      <c r="Z1438">
        <v>135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200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150</v>
      </c>
      <c r="AP1438">
        <v>150</v>
      </c>
      <c r="AQ1438">
        <v>150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30</v>
      </c>
      <c r="BA1438">
        <v>30</v>
      </c>
      <c r="BB1438">
        <v>0</v>
      </c>
      <c r="BC1438">
        <v>0</v>
      </c>
      <c r="BD1438">
        <v>0</v>
      </c>
      <c r="BE1438">
        <f t="shared" si="233"/>
        <v>910</v>
      </c>
      <c r="BF1438">
        <v>515</v>
      </c>
      <c r="BG1438">
        <v>515</v>
      </c>
      <c r="BH1438" t="s">
        <v>63</v>
      </c>
      <c r="BI1438" t="s">
        <v>1087</v>
      </c>
      <c r="BJ1438">
        <v>0</v>
      </c>
      <c r="BK1438">
        <v>380</v>
      </c>
      <c r="BL1438">
        <v>515</v>
      </c>
      <c r="BM1438">
        <v>0</v>
      </c>
      <c r="BN1438">
        <v>0</v>
      </c>
      <c r="BO1438">
        <v>0</v>
      </c>
      <c r="BP1438">
        <v>380</v>
      </c>
      <c r="BQ1438">
        <v>380</v>
      </c>
      <c r="BR1438">
        <f t="shared" si="234"/>
        <v>-45</v>
      </c>
      <c r="BS1438">
        <f t="shared" si="235"/>
        <v>45</v>
      </c>
      <c r="BU1438">
        <f>R1438*9</f>
        <v>0</v>
      </c>
      <c r="BV1438">
        <f>IF(BU1438&gt;BG1438, 1, 0)</f>
        <v>0</v>
      </c>
    </row>
    <row r="1439" spans="1:74" x14ac:dyDescent="0.25">
      <c r="A1439" s="5" t="s">
        <v>359</v>
      </c>
      <c r="B1439" s="5" t="s">
        <v>359</v>
      </c>
      <c r="C1439" s="5" t="s">
        <v>61</v>
      </c>
      <c r="D1439" s="1" t="s">
        <v>96</v>
      </c>
      <c r="E1439">
        <v>0</v>
      </c>
      <c r="F1439">
        <v>1125</v>
      </c>
      <c r="G1439">
        <v>0</v>
      </c>
      <c r="H1439">
        <v>0</v>
      </c>
      <c r="I1439">
        <v>2162</v>
      </c>
      <c r="J1439">
        <v>1050</v>
      </c>
      <c r="K1439">
        <v>2105</v>
      </c>
      <c r="L1439">
        <v>0</v>
      </c>
      <c r="M1439">
        <v>0</v>
      </c>
      <c r="N1439">
        <v>0</v>
      </c>
      <c r="O1439">
        <v>0</v>
      </c>
      <c r="P1439">
        <v>5229</v>
      </c>
      <c r="Q1439">
        <v>706</v>
      </c>
      <c r="R1439">
        <v>581</v>
      </c>
      <c r="S1439" s="18">
        <f t="shared" si="226"/>
        <v>9</v>
      </c>
      <c r="T1439" s="17">
        <f t="shared" si="227"/>
        <v>0</v>
      </c>
      <c r="U1439" s="17">
        <f t="shared" si="228"/>
        <v>0</v>
      </c>
      <c r="V1439" s="17">
        <f t="shared" si="229"/>
        <v>0</v>
      </c>
      <c r="W1439" s="17">
        <f t="shared" si="230"/>
        <v>581</v>
      </c>
      <c r="X1439" s="17">
        <f t="shared" si="231"/>
        <v>125</v>
      </c>
      <c r="Y1439" s="19">
        <f t="shared" si="232"/>
        <v>0</v>
      </c>
      <c r="Z1439">
        <v>1125</v>
      </c>
      <c r="AA1439">
        <v>4</v>
      </c>
      <c r="AB1439">
        <v>573</v>
      </c>
      <c r="AC1439">
        <v>44195</v>
      </c>
      <c r="AD1439">
        <v>0</v>
      </c>
      <c r="AE1439">
        <v>0</v>
      </c>
      <c r="AF1439">
        <v>0</v>
      </c>
      <c r="AG1439">
        <v>2162</v>
      </c>
      <c r="AH1439">
        <v>2162</v>
      </c>
      <c r="AI1439">
        <v>0</v>
      </c>
      <c r="AJ1439">
        <v>0</v>
      </c>
      <c r="AK1439">
        <v>1050</v>
      </c>
      <c r="AL1439">
        <v>1050</v>
      </c>
      <c r="AM1439">
        <v>0</v>
      </c>
      <c r="AN1439">
        <v>0</v>
      </c>
      <c r="AO1439">
        <v>2105</v>
      </c>
      <c r="AP1439">
        <v>410</v>
      </c>
      <c r="AQ1439">
        <v>2105</v>
      </c>
      <c r="AR1439">
        <v>1695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f t="shared" si="233"/>
        <v>56934</v>
      </c>
      <c r="BF1439">
        <v>51214</v>
      </c>
      <c r="BG1439">
        <v>51214</v>
      </c>
      <c r="BH1439" t="s">
        <v>82</v>
      </c>
      <c r="BI1439" t="s">
        <v>772</v>
      </c>
      <c r="BJ1439">
        <v>44772</v>
      </c>
      <c r="BK1439">
        <v>5317</v>
      </c>
      <c r="BL1439">
        <v>51214</v>
      </c>
      <c r="BM1439">
        <v>0</v>
      </c>
      <c r="BN1439">
        <v>0</v>
      </c>
      <c r="BO1439">
        <v>0</v>
      </c>
      <c r="BP1439">
        <v>10546</v>
      </c>
      <c r="BQ1439">
        <v>10546</v>
      </c>
      <c r="BR1439">
        <f t="shared" si="234"/>
        <v>-125</v>
      </c>
      <c r="BS1439">
        <f t="shared" si="235"/>
        <v>1287</v>
      </c>
    </row>
    <row r="1440" spans="1:74" x14ac:dyDescent="0.25">
      <c r="A1440" s="5" t="s">
        <v>875</v>
      </c>
      <c r="B1440" s="5" t="s">
        <v>61</v>
      </c>
      <c r="C1440" s="5" t="s">
        <v>207</v>
      </c>
      <c r="D1440" s="1" t="s">
        <v>115</v>
      </c>
      <c r="E1440">
        <v>40</v>
      </c>
      <c r="F1440">
        <v>0</v>
      </c>
      <c r="G1440">
        <v>0</v>
      </c>
      <c r="H1440">
        <v>0</v>
      </c>
      <c r="I1440">
        <v>206</v>
      </c>
      <c r="J1440">
        <v>1700</v>
      </c>
      <c r="K1440">
        <v>75</v>
      </c>
      <c r="L1440">
        <v>25</v>
      </c>
      <c r="M1440">
        <v>0</v>
      </c>
      <c r="N1440">
        <v>0</v>
      </c>
      <c r="O1440">
        <v>0</v>
      </c>
      <c r="P1440">
        <v>0</v>
      </c>
      <c r="Q1440">
        <v>125</v>
      </c>
      <c r="R1440">
        <v>0</v>
      </c>
      <c r="S1440" s="18" t="e">
        <f t="shared" si="226"/>
        <v>#DIV/0!</v>
      </c>
      <c r="T1440" s="17" t="e">
        <f t="shared" si="227"/>
        <v>#DIV/0!</v>
      </c>
      <c r="U1440" s="17" t="e">
        <f t="shared" si="228"/>
        <v>#DIV/0!</v>
      </c>
      <c r="V1440" s="17" t="e">
        <f t="shared" si="229"/>
        <v>#DIV/0!</v>
      </c>
      <c r="W1440" s="17" t="e">
        <f t="shared" si="230"/>
        <v>#DIV/0!</v>
      </c>
      <c r="X1440" s="17" t="e">
        <f t="shared" si="231"/>
        <v>#DIV/0!</v>
      </c>
      <c r="Y1440" s="19" t="e">
        <f t="shared" si="232"/>
        <v>#DIV/0!</v>
      </c>
      <c r="Z1440">
        <v>0</v>
      </c>
      <c r="AA1440">
        <v>0</v>
      </c>
      <c r="AB1440">
        <v>0</v>
      </c>
      <c r="AC1440">
        <v>1500</v>
      </c>
      <c r="AD1440">
        <v>0</v>
      </c>
      <c r="AE1440">
        <v>0</v>
      </c>
      <c r="AF1440">
        <v>0</v>
      </c>
      <c r="AG1440">
        <v>206</v>
      </c>
      <c r="AH1440">
        <v>206</v>
      </c>
      <c r="AI1440">
        <v>0</v>
      </c>
      <c r="AJ1440">
        <v>0</v>
      </c>
      <c r="AK1440">
        <v>1700</v>
      </c>
      <c r="AL1440">
        <v>1700</v>
      </c>
      <c r="AM1440">
        <v>0</v>
      </c>
      <c r="AN1440">
        <v>0</v>
      </c>
      <c r="AO1440">
        <v>75</v>
      </c>
      <c r="AP1440">
        <v>50</v>
      </c>
      <c r="AQ1440">
        <v>75</v>
      </c>
      <c r="AR1440">
        <v>25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25</v>
      </c>
      <c r="BA1440">
        <v>25</v>
      </c>
      <c r="BB1440">
        <v>0</v>
      </c>
      <c r="BC1440">
        <v>0</v>
      </c>
      <c r="BD1440">
        <v>0</v>
      </c>
      <c r="BE1440">
        <f t="shared" si="233"/>
        <v>5587</v>
      </c>
      <c r="BF1440">
        <v>3546</v>
      </c>
      <c r="BG1440">
        <v>3546</v>
      </c>
      <c r="BH1440" t="s">
        <v>82</v>
      </c>
      <c r="BI1440" t="s">
        <v>899</v>
      </c>
      <c r="BJ1440">
        <v>1540</v>
      </c>
      <c r="BK1440">
        <v>2006</v>
      </c>
      <c r="BL1440">
        <v>3546</v>
      </c>
      <c r="BM1440">
        <v>0</v>
      </c>
      <c r="BN1440">
        <v>0</v>
      </c>
      <c r="BO1440">
        <v>0</v>
      </c>
      <c r="BP1440">
        <v>2006</v>
      </c>
      <c r="BQ1440">
        <v>2006</v>
      </c>
      <c r="BR1440">
        <f t="shared" si="234"/>
        <v>-125</v>
      </c>
      <c r="BS1440">
        <f t="shared" si="235"/>
        <v>125</v>
      </c>
    </row>
    <row r="1441" spans="1:71" x14ac:dyDescent="0.25">
      <c r="A1441" s="5" t="s">
        <v>1946</v>
      </c>
      <c r="B1441" s="5" t="s">
        <v>61</v>
      </c>
      <c r="C1441" s="5" t="s">
        <v>61</v>
      </c>
      <c r="D1441" s="1" t="s">
        <v>143</v>
      </c>
      <c r="E1441">
        <v>0</v>
      </c>
      <c r="F1441">
        <v>300</v>
      </c>
      <c r="G1441">
        <v>0</v>
      </c>
      <c r="H1441">
        <v>0</v>
      </c>
      <c r="I1441">
        <v>350</v>
      </c>
      <c r="J1441">
        <v>0</v>
      </c>
      <c r="K1441">
        <v>100</v>
      </c>
      <c r="L1441">
        <v>0</v>
      </c>
      <c r="M1441">
        <v>1080</v>
      </c>
      <c r="N1441">
        <v>0</v>
      </c>
      <c r="O1441">
        <v>0</v>
      </c>
      <c r="P1441">
        <v>0</v>
      </c>
      <c r="Q1441">
        <v>245</v>
      </c>
      <c r="R1441">
        <v>120</v>
      </c>
      <c r="S1441" s="18">
        <f t="shared" si="226"/>
        <v>9</v>
      </c>
      <c r="T1441" s="17">
        <f t="shared" si="227"/>
        <v>120</v>
      </c>
      <c r="U1441" s="17">
        <f t="shared" si="228"/>
        <v>0</v>
      </c>
      <c r="V1441" s="17">
        <f t="shared" si="229"/>
        <v>0</v>
      </c>
      <c r="W1441" s="17">
        <f t="shared" si="230"/>
        <v>0</v>
      </c>
      <c r="X1441" s="17">
        <f t="shared" si="231"/>
        <v>125</v>
      </c>
      <c r="Y1441" s="19">
        <f t="shared" si="232"/>
        <v>0</v>
      </c>
      <c r="Z1441">
        <v>300</v>
      </c>
      <c r="AA1441">
        <v>0</v>
      </c>
      <c r="AB1441">
        <v>0</v>
      </c>
      <c r="AC1441">
        <v>0</v>
      </c>
      <c r="AD1441">
        <v>350</v>
      </c>
      <c r="AE1441">
        <v>0</v>
      </c>
      <c r="AF1441">
        <v>0</v>
      </c>
      <c r="AG1441">
        <v>0</v>
      </c>
      <c r="AH1441">
        <v>350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100</v>
      </c>
      <c r="AP1441">
        <v>0</v>
      </c>
      <c r="AQ1441">
        <v>100</v>
      </c>
      <c r="AR1441">
        <v>100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f t="shared" si="233"/>
        <v>1000</v>
      </c>
      <c r="BF1441">
        <v>750</v>
      </c>
      <c r="BG1441">
        <v>750</v>
      </c>
      <c r="BH1441" t="s">
        <v>109</v>
      </c>
      <c r="BI1441" t="s">
        <v>1984</v>
      </c>
      <c r="BJ1441">
        <v>0</v>
      </c>
      <c r="BK1441">
        <v>450</v>
      </c>
      <c r="BL1441">
        <v>750</v>
      </c>
      <c r="BM1441">
        <v>1430</v>
      </c>
      <c r="BN1441">
        <v>0</v>
      </c>
      <c r="BO1441">
        <v>0</v>
      </c>
      <c r="BP1441">
        <v>100</v>
      </c>
      <c r="BQ1441">
        <v>1530</v>
      </c>
      <c r="BR1441">
        <f t="shared" si="234"/>
        <v>-125</v>
      </c>
      <c r="BS1441">
        <f t="shared" si="235"/>
        <v>365</v>
      </c>
    </row>
    <row r="1442" spans="1:71" x14ac:dyDescent="0.25">
      <c r="A1442" s="5" t="s">
        <v>1337</v>
      </c>
      <c r="B1442" s="5" t="s">
        <v>61</v>
      </c>
      <c r="C1442" s="5" t="s">
        <v>61</v>
      </c>
      <c r="D1442" s="1" t="s">
        <v>92</v>
      </c>
      <c r="E1442">
        <v>0</v>
      </c>
      <c r="F1442">
        <v>43</v>
      </c>
      <c r="G1442">
        <v>0</v>
      </c>
      <c r="H1442">
        <v>0</v>
      </c>
      <c r="I1442">
        <v>437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387</v>
      </c>
      <c r="Q1442">
        <v>169</v>
      </c>
      <c r="R1442">
        <v>43</v>
      </c>
      <c r="S1442" s="18">
        <f t="shared" si="226"/>
        <v>9</v>
      </c>
      <c r="T1442" s="17">
        <f t="shared" si="227"/>
        <v>0</v>
      </c>
      <c r="U1442" s="17">
        <f t="shared" si="228"/>
        <v>0</v>
      </c>
      <c r="V1442" s="17">
        <f t="shared" si="229"/>
        <v>0</v>
      </c>
      <c r="W1442" s="17">
        <f t="shared" si="230"/>
        <v>43</v>
      </c>
      <c r="X1442" s="17">
        <f t="shared" si="231"/>
        <v>126</v>
      </c>
      <c r="Y1442" s="19">
        <f t="shared" si="232"/>
        <v>0</v>
      </c>
      <c r="Z1442">
        <v>43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437</v>
      </c>
      <c r="AH1442">
        <v>437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f t="shared" si="233"/>
        <v>874</v>
      </c>
      <c r="BF1442">
        <v>480</v>
      </c>
      <c r="BG1442">
        <v>480</v>
      </c>
      <c r="BH1442" t="s">
        <v>109</v>
      </c>
      <c r="BI1442" t="s">
        <v>1350</v>
      </c>
      <c r="BJ1442">
        <v>0</v>
      </c>
      <c r="BK1442">
        <v>437</v>
      </c>
      <c r="BL1442">
        <v>480</v>
      </c>
      <c r="BM1442">
        <v>0</v>
      </c>
      <c r="BN1442">
        <v>0</v>
      </c>
      <c r="BO1442">
        <v>0</v>
      </c>
      <c r="BP1442">
        <v>824</v>
      </c>
      <c r="BQ1442">
        <v>824</v>
      </c>
      <c r="BR1442">
        <f t="shared" si="234"/>
        <v>-126</v>
      </c>
      <c r="BS1442">
        <f t="shared" si="235"/>
        <v>212</v>
      </c>
    </row>
    <row r="1443" spans="1:71" x14ac:dyDescent="0.25">
      <c r="A1443" s="5" t="s">
        <v>1337</v>
      </c>
      <c r="B1443" s="5" t="s">
        <v>359</v>
      </c>
      <c r="C1443" s="5" t="s">
        <v>61</v>
      </c>
      <c r="D1443" s="1" t="s">
        <v>147</v>
      </c>
      <c r="E1443">
        <v>0</v>
      </c>
      <c r="F1443">
        <v>48</v>
      </c>
      <c r="G1443">
        <v>0</v>
      </c>
      <c r="H1443">
        <v>0</v>
      </c>
      <c r="I1443">
        <v>615</v>
      </c>
      <c r="J1443">
        <v>0</v>
      </c>
      <c r="K1443">
        <v>0</v>
      </c>
      <c r="L1443">
        <v>0</v>
      </c>
      <c r="M1443">
        <v>405</v>
      </c>
      <c r="N1443">
        <v>0</v>
      </c>
      <c r="O1443">
        <v>0</v>
      </c>
      <c r="P1443">
        <v>0</v>
      </c>
      <c r="Q1443">
        <v>171</v>
      </c>
      <c r="R1443">
        <v>45</v>
      </c>
      <c r="S1443" s="18">
        <f t="shared" si="226"/>
        <v>9</v>
      </c>
      <c r="T1443" s="17">
        <f t="shared" si="227"/>
        <v>45</v>
      </c>
      <c r="U1443" s="17">
        <f t="shared" si="228"/>
        <v>0</v>
      </c>
      <c r="V1443" s="17">
        <f t="shared" si="229"/>
        <v>0</v>
      </c>
      <c r="W1443" s="17">
        <f t="shared" si="230"/>
        <v>0</v>
      </c>
      <c r="X1443" s="17">
        <f t="shared" si="231"/>
        <v>126</v>
      </c>
      <c r="Y1443" s="19">
        <f t="shared" si="232"/>
        <v>0</v>
      </c>
      <c r="Z1443">
        <v>48</v>
      </c>
      <c r="AA1443">
        <v>0</v>
      </c>
      <c r="AB1443">
        <v>0</v>
      </c>
      <c r="AC1443">
        <v>0</v>
      </c>
      <c r="AD1443">
        <v>615</v>
      </c>
      <c r="AE1443">
        <v>0</v>
      </c>
      <c r="AF1443">
        <v>0</v>
      </c>
      <c r="AG1443">
        <v>0</v>
      </c>
      <c r="AH1443">
        <v>615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f t="shared" si="233"/>
        <v>1230</v>
      </c>
      <c r="BF1443">
        <v>663</v>
      </c>
      <c r="BG1443">
        <v>663</v>
      </c>
      <c r="BH1443" t="s">
        <v>109</v>
      </c>
      <c r="BI1443" t="s">
        <v>1450</v>
      </c>
      <c r="BJ1443">
        <v>0</v>
      </c>
      <c r="BK1443">
        <v>615</v>
      </c>
      <c r="BL1443">
        <v>663</v>
      </c>
      <c r="BM1443">
        <v>1020</v>
      </c>
      <c r="BN1443">
        <v>0</v>
      </c>
      <c r="BO1443">
        <v>0</v>
      </c>
      <c r="BP1443">
        <v>0</v>
      </c>
      <c r="BQ1443">
        <v>1020</v>
      </c>
      <c r="BR1443">
        <f t="shared" si="234"/>
        <v>-126</v>
      </c>
      <c r="BS1443">
        <f t="shared" si="235"/>
        <v>216</v>
      </c>
    </row>
    <row r="1444" spans="1:71" x14ac:dyDescent="0.25">
      <c r="A1444" s="5" t="s">
        <v>875</v>
      </c>
      <c r="B1444" s="5" t="s">
        <v>61</v>
      </c>
      <c r="C1444" s="5" t="s">
        <v>207</v>
      </c>
      <c r="D1444" s="1" t="s">
        <v>953</v>
      </c>
      <c r="E1444">
        <v>0</v>
      </c>
      <c r="F1444">
        <v>650</v>
      </c>
      <c r="G1444">
        <v>0</v>
      </c>
      <c r="H1444">
        <v>0</v>
      </c>
      <c r="I1444">
        <v>251</v>
      </c>
      <c r="J1444">
        <v>0</v>
      </c>
      <c r="K1444">
        <v>37</v>
      </c>
      <c r="L1444">
        <v>0</v>
      </c>
      <c r="M1444">
        <v>0</v>
      </c>
      <c r="N1444">
        <v>0</v>
      </c>
      <c r="O1444">
        <v>0</v>
      </c>
      <c r="P1444">
        <v>585</v>
      </c>
      <c r="Q1444">
        <v>192</v>
      </c>
      <c r="R1444">
        <v>65</v>
      </c>
      <c r="S1444" s="18">
        <f t="shared" si="226"/>
        <v>9</v>
      </c>
      <c r="T1444" s="17">
        <f t="shared" si="227"/>
        <v>0</v>
      </c>
      <c r="U1444" s="17">
        <f t="shared" si="228"/>
        <v>0</v>
      </c>
      <c r="V1444" s="17">
        <f t="shared" si="229"/>
        <v>0</v>
      </c>
      <c r="W1444" s="17">
        <f t="shared" si="230"/>
        <v>65</v>
      </c>
      <c r="X1444" s="17">
        <f t="shared" si="231"/>
        <v>127</v>
      </c>
      <c r="Y1444" s="19">
        <f t="shared" si="232"/>
        <v>0</v>
      </c>
      <c r="Z1444">
        <v>650</v>
      </c>
      <c r="AA1444">
        <v>0</v>
      </c>
      <c r="AB1444">
        <v>260</v>
      </c>
      <c r="AC1444">
        <v>767</v>
      </c>
      <c r="AD1444">
        <v>0</v>
      </c>
      <c r="AE1444">
        <v>0</v>
      </c>
      <c r="AF1444">
        <v>0</v>
      </c>
      <c r="AG1444">
        <v>251</v>
      </c>
      <c r="AH1444">
        <v>251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37</v>
      </c>
      <c r="AP1444">
        <v>0</v>
      </c>
      <c r="AQ1444">
        <v>37</v>
      </c>
      <c r="AR1444">
        <v>37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f t="shared" si="233"/>
        <v>1380</v>
      </c>
      <c r="BF1444">
        <v>1965</v>
      </c>
      <c r="BG1444">
        <v>1965</v>
      </c>
      <c r="BH1444" t="s">
        <v>82</v>
      </c>
      <c r="BI1444" t="s">
        <v>954</v>
      </c>
      <c r="BJ1444">
        <v>1027</v>
      </c>
      <c r="BK1444">
        <v>288</v>
      </c>
      <c r="BL1444">
        <v>1965</v>
      </c>
      <c r="BM1444">
        <v>0</v>
      </c>
      <c r="BN1444">
        <v>0</v>
      </c>
      <c r="BO1444">
        <v>0</v>
      </c>
      <c r="BP1444">
        <v>873</v>
      </c>
      <c r="BQ1444">
        <v>873</v>
      </c>
      <c r="BR1444">
        <f t="shared" si="234"/>
        <v>-127</v>
      </c>
      <c r="BS1444">
        <f t="shared" si="235"/>
        <v>257</v>
      </c>
    </row>
    <row r="1445" spans="1:71" x14ac:dyDescent="0.25">
      <c r="A1445" s="5" t="s">
        <v>1337</v>
      </c>
      <c r="B1445" s="5" t="s">
        <v>207</v>
      </c>
      <c r="C1445" s="5" t="s">
        <v>61</v>
      </c>
      <c r="D1445" s="1" t="s">
        <v>102</v>
      </c>
      <c r="E1445">
        <v>0</v>
      </c>
      <c r="F1445">
        <v>62</v>
      </c>
      <c r="G1445">
        <v>0</v>
      </c>
      <c r="H1445">
        <v>0</v>
      </c>
      <c r="I1445">
        <v>293</v>
      </c>
      <c r="J1445">
        <v>0</v>
      </c>
      <c r="K1445">
        <v>0</v>
      </c>
      <c r="L1445">
        <v>0</v>
      </c>
      <c r="M1445">
        <v>558</v>
      </c>
      <c r="N1445">
        <v>0</v>
      </c>
      <c r="O1445">
        <v>0</v>
      </c>
      <c r="P1445">
        <v>0</v>
      </c>
      <c r="Q1445">
        <v>189</v>
      </c>
      <c r="R1445">
        <v>62</v>
      </c>
      <c r="S1445" s="18">
        <f t="shared" si="226"/>
        <v>9</v>
      </c>
      <c r="T1445" s="17">
        <f t="shared" si="227"/>
        <v>62</v>
      </c>
      <c r="U1445" s="17">
        <f t="shared" si="228"/>
        <v>0</v>
      </c>
      <c r="V1445" s="17">
        <f t="shared" si="229"/>
        <v>0</v>
      </c>
      <c r="W1445" s="17">
        <f t="shared" si="230"/>
        <v>0</v>
      </c>
      <c r="X1445" s="17">
        <f t="shared" si="231"/>
        <v>127</v>
      </c>
      <c r="Y1445" s="19">
        <f t="shared" si="232"/>
        <v>0</v>
      </c>
      <c r="Z1445">
        <v>62</v>
      </c>
      <c r="AA1445">
        <v>0</v>
      </c>
      <c r="AB1445">
        <v>0</v>
      </c>
      <c r="AC1445">
        <v>0</v>
      </c>
      <c r="AD1445">
        <v>293</v>
      </c>
      <c r="AE1445">
        <v>0</v>
      </c>
      <c r="AF1445">
        <v>0</v>
      </c>
      <c r="AG1445">
        <v>0</v>
      </c>
      <c r="AH1445">
        <v>293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f t="shared" si="233"/>
        <v>586</v>
      </c>
      <c r="BF1445">
        <v>355</v>
      </c>
      <c r="BG1445">
        <v>355</v>
      </c>
      <c r="BH1445" t="s">
        <v>109</v>
      </c>
      <c r="BI1445" t="s">
        <v>1389</v>
      </c>
      <c r="BJ1445">
        <v>0</v>
      </c>
      <c r="BK1445">
        <v>293</v>
      </c>
      <c r="BL1445">
        <v>355</v>
      </c>
      <c r="BM1445">
        <v>851</v>
      </c>
      <c r="BN1445">
        <v>0</v>
      </c>
      <c r="BO1445">
        <v>0</v>
      </c>
      <c r="BP1445">
        <v>0</v>
      </c>
      <c r="BQ1445">
        <v>851</v>
      </c>
      <c r="BR1445">
        <f t="shared" si="234"/>
        <v>-127</v>
      </c>
      <c r="BS1445">
        <f t="shared" si="235"/>
        <v>251</v>
      </c>
    </row>
    <row r="1446" spans="1:71" x14ac:dyDescent="0.25">
      <c r="A1446" s="5" t="s">
        <v>1661</v>
      </c>
      <c r="B1446" s="5" t="s">
        <v>61</v>
      </c>
      <c r="C1446" s="5" t="s">
        <v>207</v>
      </c>
      <c r="D1446" s="1" t="s">
        <v>86</v>
      </c>
      <c r="E1446">
        <v>0</v>
      </c>
      <c r="F1446">
        <v>4128</v>
      </c>
      <c r="G1446">
        <v>0</v>
      </c>
      <c r="H1446">
        <v>0</v>
      </c>
      <c r="I1446">
        <v>132</v>
      </c>
      <c r="J1446">
        <v>13737</v>
      </c>
      <c r="K1446">
        <v>89</v>
      </c>
      <c r="L1446">
        <v>713</v>
      </c>
      <c r="M1446">
        <v>0</v>
      </c>
      <c r="N1446">
        <v>0</v>
      </c>
      <c r="O1446">
        <v>0</v>
      </c>
      <c r="P1446">
        <v>17055</v>
      </c>
      <c r="Q1446">
        <v>2022</v>
      </c>
      <c r="R1446">
        <v>1895</v>
      </c>
      <c r="S1446" s="18">
        <f t="shared" si="226"/>
        <v>9</v>
      </c>
      <c r="T1446" s="17">
        <f t="shared" si="227"/>
        <v>0</v>
      </c>
      <c r="U1446" s="17">
        <f t="shared" si="228"/>
        <v>0</v>
      </c>
      <c r="V1446" s="17">
        <f t="shared" si="229"/>
        <v>0</v>
      </c>
      <c r="W1446" s="17">
        <f t="shared" si="230"/>
        <v>1895</v>
      </c>
      <c r="X1446" s="17">
        <f t="shared" si="231"/>
        <v>127</v>
      </c>
      <c r="Y1446" s="19">
        <f t="shared" si="232"/>
        <v>0</v>
      </c>
      <c r="Z1446">
        <v>4128</v>
      </c>
      <c r="AA1446">
        <v>0</v>
      </c>
      <c r="AB1446">
        <v>0</v>
      </c>
      <c r="AC1446">
        <v>0</v>
      </c>
      <c r="AD1446">
        <v>0</v>
      </c>
      <c r="AE1446">
        <v>132</v>
      </c>
      <c r="AF1446">
        <v>0</v>
      </c>
      <c r="AG1446">
        <v>0</v>
      </c>
      <c r="AH1446">
        <v>132</v>
      </c>
      <c r="AI1446">
        <v>0</v>
      </c>
      <c r="AJ1446">
        <v>13737</v>
      </c>
      <c r="AK1446">
        <v>0</v>
      </c>
      <c r="AL1446">
        <v>13737</v>
      </c>
      <c r="AM1446">
        <v>0</v>
      </c>
      <c r="AN1446">
        <v>89</v>
      </c>
      <c r="AO1446">
        <v>0</v>
      </c>
      <c r="AP1446">
        <v>89</v>
      </c>
      <c r="AQ1446">
        <v>89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713</v>
      </c>
      <c r="AZ1446">
        <v>0</v>
      </c>
      <c r="BA1446">
        <v>713</v>
      </c>
      <c r="BB1446">
        <v>0</v>
      </c>
      <c r="BC1446">
        <v>0</v>
      </c>
      <c r="BD1446">
        <v>0</v>
      </c>
      <c r="BE1446">
        <f t="shared" si="233"/>
        <v>29431</v>
      </c>
      <c r="BF1446">
        <v>18799</v>
      </c>
      <c r="BG1446">
        <v>18799</v>
      </c>
      <c r="BH1446" t="s">
        <v>199</v>
      </c>
      <c r="BI1446" t="s">
        <v>1709</v>
      </c>
      <c r="BJ1446">
        <v>0</v>
      </c>
      <c r="BK1446">
        <v>14671</v>
      </c>
      <c r="BL1446">
        <v>18799</v>
      </c>
      <c r="BM1446">
        <v>0</v>
      </c>
      <c r="BN1446">
        <v>14671</v>
      </c>
      <c r="BO1446">
        <v>0</v>
      </c>
      <c r="BP1446">
        <v>17055</v>
      </c>
      <c r="BQ1446">
        <v>31726</v>
      </c>
      <c r="BR1446">
        <f t="shared" si="234"/>
        <v>-127</v>
      </c>
      <c r="BS1446">
        <f t="shared" si="235"/>
        <v>3917</v>
      </c>
    </row>
    <row r="1447" spans="1:71" x14ac:dyDescent="0.25">
      <c r="A1447" s="5" t="s">
        <v>1661</v>
      </c>
      <c r="B1447" s="5" t="s">
        <v>359</v>
      </c>
      <c r="C1447" s="5" t="s">
        <v>207</v>
      </c>
      <c r="D1447" s="1" t="s">
        <v>145</v>
      </c>
      <c r="E1447">
        <v>0</v>
      </c>
      <c r="F1447">
        <v>98</v>
      </c>
      <c r="G1447">
        <v>0</v>
      </c>
      <c r="H1447">
        <v>0</v>
      </c>
      <c r="I1447">
        <v>190</v>
      </c>
      <c r="J1447">
        <v>520</v>
      </c>
      <c r="K1447">
        <v>1006</v>
      </c>
      <c r="L1447">
        <v>64</v>
      </c>
      <c r="M1447">
        <v>0</v>
      </c>
      <c r="N1447">
        <v>0</v>
      </c>
      <c r="O1447">
        <v>0</v>
      </c>
      <c r="P1447">
        <v>324</v>
      </c>
      <c r="Q1447">
        <v>163</v>
      </c>
      <c r="R1447">
        <v>36</v>
      </c>
      <c r="S1447" s="18">
        <f t="shared" si="226"/>
        <v>9</v>
      </c>
      <c r="T1447" s="17">
        <f t="shared" si="227"/>
        <v>0</v>
      </c>
      <c r="U1447" s="17">
        <f t="shared" si="228"/>
        <v>0</v>
      </c>
      <c r="V1447" s="17">
        <f t="shared" si="229"/>
        <v>0</v>
      </c>
      <c r="W1447" s="17">
        <f t="shared" si="230"/>
        <v>36</v>
      </c>
      <c r="X1447" s="17">
        <f t="shared" si="231"/>
        <v>127</v>
      </c>
      <c r="Y1447" s="19">
        <f t="shared" si="232"/>
        <v>0</v>
      </c>
      <c r="Z1447">
        <v>98</v>
      </c>
      <c r="AA1447">
        <v>0</v>
      </c>
      <c r="AB1447">
        <v>0</v>
      </c>
      <c r="AC1447">
        <v>2376</v>
      </c>
      <c r="AD1447">
        <v>0</v>
      </c>
      <c r="AE1447">
        <v>0</v>
      </c>
      <c r="AF1447">
        <v>0</v>
      </c>
      <c r="AG1447">
        <v>190</v>
      </c>
      <c r="AH1447">
        <v>190</v>
      </c>
      <c r="AI1447">
        <v>0</v>
      </c>
      <c r="AJ1447">
        <v>0</v>
      </c>
      <c r="AK1447">
        <v>520</v>
      </c>
      <c r="AL1447">
        <v>520</v>
      </c>
      <c r="AM1447">
        <v>0</v>
      </c>
      <c r="AN1447">
        <v>0</v>
      </c>
      <c r="AO1447">
        <v>1006</v>
      </c>
      <c r="AP1447">
        <v>474</v>
      </c>
      <c r="AQ1447">
        <v>1006</v>
      </c>
      <c r="AR1447">
        <v>532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64</v>
      </c>
      <c r="BA1447">
        <v>64</v>
      </c>
      <c r="BB1447">
        <v>0</v>
      </c>
      <c r="BC1447">
        <v>0</v>
      </c>
      <c r="BD1447">
        <v>0</v>
      </c>
      <c r="BE1447">
        <f t="shared" si="233"/>
        <v>6942</v>
      </c>
      <c r="BF1447">
        <v>5239</v>
      </c>
      <c r="BG1447">
        <v>5239</v>
      </c>
      <c r="BH1447" t="s">
        <v>82</v>
      </c>
      <c r="BI1447" t="s">
        <v>1919</v>
      </c>
      <c r="BJ1447">
        <v>2376</v>
      </c>
      <c r="BK1447">
        <v>1780</v>
      </c>
      <c r="BL1447">
        <v>4254</v>
      </c>
      <c r="BM1447">
        <v>0</v>
      </c>
      <c r="BN1447">
        <v>0</v>
      </c>
      <c r="BO1447">
        <v>0</v>
      </c>
      <c r="BP1447">
        <v>2104</v>
      </c>
      <c r="BQ1447">
        <v>2104</v>
      </c>
      <c r="BR1447">
        <f t="shared" si="234"/>
        <v>-127</v>
      </c>
      <c r="BS1447">
        <f t="shared" si="235"/>
        <v>199</v>
      </c>
    </row>
    <row r="1448" spans="1:71" x14ac:dyDescent="0.25">
      <c r="A1448" s="5" t="s">
        <v>2294</v>
      </c>
      <c r="B1448" s="5" t="s">
        <v>207</v>
      </c>
      <c r="C1448" s="5" t="s">
        <v>61</v>
      </c>
      <c r="D1448" s="1" t="s">
        <v>102</v>
      </c>
      <c r="E1448">
        <v>37</v>
      </c>
      <c r="F1448">
        <v>108</v>
      </c>
      <c r="G1448">
        <v>0</v>
      </c>
      <c r="H1448">
        <v>0</v>
      </c>
      <c r="I1448">
        <v>156</v>
      </c>
      <c r="J1448">
        <v>0</v>
      </c>
      <c r="K1448">
        <v>379</v>
      </c>
      <c r="L1448">
        <v>50</v>
      </c>
      <c r="M1448">
        <v>0</v>
      </c>
      <c r="N1448">
        <v>0</v>
      </c>
      <c r="O1448">
        <v>0</v>
      </c>
      <c r="P1448">
        <v>0</v>
      </c>
      <c r="Q1448">
        <v>127</v>
      </c>
      <c r="R1448">
        <v>0</v>
      </c>
      <c r="S1448" s="18" t="e">
        <f t="shared" si="226"/>
        <v>#DIV/0!</v>
      </c>
      <c r="T1448" s="17" t="e">
        <f t="shared" si="227"/>
        <v>#DIV/0!</v>
      </c>
      <c r="U1448" s="17" t="e">
        <f t="shared" si="228"/>
        <v>#DIV/0!</v>
      </c>
      <c r="V1448" s="17" t="e">
        <f t="shared" si="229"/>
        <v>#DIV/0!</v>
      </c>
      <c r="W1448" s="17" t="e">
        <f t="shared" si="230"/>
        <v>#DIV/0!</v>
      </c>
      <c r="X1448" s="17" t="e">
        <f t="shared" si="231"/>
        <v>#DIV/0!</v>
      </c>
      <c r="Y1448" s="19" t="e">
        <f t="shared" si="232"/>
        <v>#DIV/0!</v>
      </c>
      <c r="Z1448">
        <v>0</v>
      </c>
      <c r="AA1448">
        <v>3</v>
      </c>
      <c r="AB1448">
        <v>0</v>
      </c>
      <c r="AC1448">
        <v>310</v>
      </c>
      <c r="AD1448">
        <v>0</v>
      </c>
      <c r="AE1448">
        <v>0</v>
      </c>
      <c r="AF1448">
        <v>0</v>
      </c>
      <c r="AG1448">
        <v>156</v>
      </c>
      <c r="AH1448">
        <v>156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379</v>
      </c>
      <c r="AP1448">
        <v>379</v>
      </c>
      <c r="AQ1448">
        <v>379</v>
      </c>
      <c r="AR1448">
        <v>25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50</v>
      </c>
      <c r="BA1448">
        <v>50</v>
      </c>
      <c r="BB1448">
        <v>0</v>
      </c>
      <c r="BC1448">
        <v>0</v>
      </c>
      <c r="BD1448">
        <v>0</v>
      </c>
      <c r="BE1448">
        <f t="shared" si="233"/>
        <v>1884</v>
      </c>
      <c r="BF1448">
        <v>935</v>
      </c>
      <c r="BG1448">
        <v>935</v>
      </c>
      <c r="BH1448" t="s">
        <v>82</v>
      </c>
      <c r="BI1448" t="s">
        <v>2341</v>
      </c>
      <c r="BJ1448">
        <v>350</v>
      </c>
      <c r="BK1448">
        <v>585</v>
      </c>
      <c r="BL1448">
        <v>935</v>
      </c>
      <c r="BM1448">
        <v>0</v>
      </c>
      <c r="BN1448">
        <v>0</v>
      </c>
      <c r="BO1448">
        <v>0</v>
      </c>
      <c r="BP1448">
        <v>585</v>
      </c>
      <c r="BQ1448">
        <v>585</v>
      </c>
      <c r="BR1448">
        <f t="shared" si="234"/>
        <v>-127</v>
      </c>
      <c r="BS1448">
        <f t="shared" si="235"/>
        <v>127</v>
      </c>
    </row>
    <row r="1449" spans="1:71" x14ac:dyDescent="0.25">
      <c r="A1449" s="5" t="s">
        <v>207</v>
      </c>
      <c r="B1449" s="5" t="s">
        <v>61</v>
      </c>
      <c r="C1449" s="5" t="s">
        <v>61</v>
      </c>
      <c r="D1449" s="1" t="s">
        <v>125</v>
      </c>
      <c r="E1449">
        <v>0</v>
      </c>
      <c r="F1449">
        <v>18</v>
      </c>
      <c r="G1449">
        <v>0</v>
      </c>
      <c r="H1449">
        <v>0</v>
      </c>
      <c r="I1449">
        <v>392</v>
      </c>
      <c r="J1449">
        <v>4068</v>
      </c>
      <c r="K1449">
        <v>216</v>
      </c>
      <c r="L1449">
        <v>56</v>
      </c>
      <c r="M1449">
        <v>0</v>
      </c>
      <c r="N1449">
        <v>0</v>
      </c>
      <c r="O1449">
        <v>0</v>
      </c>
      <c r="P1449">
        <v>162</v>
      </c>
      <c r="Q1449">
        <v>146</v>
      </c>
      <c r="R1449">
        <v>18</v>
      </c>
      <c r="S1449" s="18">
        <f t="shared" si="226"/>
        <v>9</v>
      </c>
      <c r="T1449" s="17">
        <f t="shared" si="227"/>
        <v>0</v>
      </c>
      <c r="U1449" s="17">
        <f t="shared" si="228"/>
        <v>0</v>
      </c>
      <c r="V1449" s="17">
        <f t="shared" si="229"/>
        <v>0</v>
      </c>
      <c r="W1449" s="17">
        <f t="shared" si="230"/>
        <v>18</v>
      </c>
      <c r="X1449" s="17">
        <f t="shared" si="231"/>
        <v>128</v>
      </c>
      <c r="Y1449" s="19">
        <f t="shared" si="232"/>
        <v>0</v>
      </c>
      <c r="Z1449">
        <v>18</v>
      </c>
      <c r="AA1449">
        <v>4</v>
      </c>
      <c r="AB1449">
        <v>298</v>
      </c>
      <c r="AC1449">
        <v>2631</v>
      </c>
      <c r="AD1449">
        <v>0</v>
      </c>
      <c r="AE1449">
        <v>0</v>
      </c>
      <c r="AF1449">
        <v>0</v>
      </c>
      <c r="AG1449">
        <v>392</v>
      </c>
      <c r="AH1449">
        <v>392</v>
      </c>
      <c r="AI1449">
        <v>0</v>
      </c>
      <c r="AJ1449">
        <v>0</v>
      </c>
      <c r="AK1449">
        <v>4068</v>
      </c>
      <c r="AL1449">
        <v>4068</v>
      </c>
      <c r="AM1449">
        <v>0</v>
      </c>
      <c r="AN1449">
        <v>0</v>
      </c>
      <c r="AO1449">
        <v>216</v>
      </c>
      <c r="AP1449">
        <v>67</v>
      </c>
      <c r="AQ1449">
        <v>216</v>
      </c>
      <c r="AR1449">
        <v>149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56</v>
      </c>
      <c r="BA1449">
        <v>56</v>
      </c>
      <c r="BB1449">
        <v>0</v>
      </c>
      <c r="BC1449">
        <v>0</v>
      </c>
      <c r="BD1449">
        <v>0</v>
      </c>
      <c r="BE1449">
        <f t="shared" si="233"/>
        <v>12311</v>
      </c>
      <c r="BF1449">
        <v>7683</v>
      </c>
      <c r="BG1449">
        <v>7683</v>
      </c>
      <c r="BH1449" t="s">
        <v>82</v>
      </c>
      <c r="BI1449" t="s">
        <v>456</v>
      </c>
      <c r="BJ1449">
        <v>2933</v>
      </c>
      <c r="BK1449">
        <v>4732</v>
      </c>
      <c r="BL1449">
        <v>7683</v>
      </c>
      <c r="BM1449">
        <v>0</v>
      </c>
      <c r="BN1449">
        <v>0</v>
      </c>
      <c r="BO1449">
        <v>0</v>
      </c>
      <c r="BP1449">
        <v>4894</v>
      </c>
      <c r="BQ1449">
        <v>4894</v>
      </c>
      <c r="BR1449">
        <f t="shared" si="234"/>
        <v>-128</v>
      </c>
      <c r="BS1449">
        <f t="shared" si="235"/>
        <v>164</v>
      </c>
    </row>
    <row r="1450" spans="1:71" x14ac:dyDescent="0.25">
      <c r="A1450" s="5" t="s">
        <v>875</v>
      </c>
      <c r="B1450" s="5" t="s">
        <v>61</v>
      </c>
      <c r="C1450" s="5" t="s">
        <v>207</v>
      </c>
      <c r="D1450" s="1" t="s">
        <v>106</v>
      </c>
      <c r="E1450">
        <v>0</v>
      </c>
      <c r="F1450">
        <v>0</v>
      </c>
      <c r="G1450">
        <v>0</v>
      </c>
      <c r="H1450">
        <v>0</v>
      </c>
      <c r="I1450">
        <v>15</v>
      </c>
      <c r="J1450">
        <v>2800</v>
      </c>
      <c r="K1450">
        <v>104</v>
      </c>
      <c r="L1450">
        <v>20</v>
      </c>
      <c r="M1450">
        <v>0</v>
      </c>
      <c r="N1450">
        <v>0</v>
      </c>
      <c r="O1450">
        <v>0</v>
      </c>
      <c r="P1450">
        <v>0</v>
      </c>
      <c r="Q1450">
        <v>129</v>
      </c>
      <c r="R1450">
        <v>0</v>
      </c>
      <c r="S1450" s="18" t="e">
        <f t="shared" si="226"/>
        <v>#DIV/0!</v>
      </c>
      <c r="T1450" s="17" t="e">
        <f t="shared" si="227"/>
        <v>#DIV/0!</v>
      </c>
      <c r="U1450" s="17" t="e">
        <f t="shared" si="228"/>
        <v>#DIV/0!</v>
      </c>
      <c r="V1450" s="17" t="e">
        <f t="shared" si="229"/>
        <v>#DIV/0!</v>
      </c>
      <c r="W1450" s="17" t="e">
        <f t="shared" si="230"/>
        <v>#DIV/0!</v>
      </c>
      <c r="X1450" s="17" t="e">
        <f t="shared" si="231"/>
        <v>#DIV/0!</v>
      </c>
      <c r="Y1450" s="19" t="e">
        <f t="shared" si="232"/>
        <v>#DIV/0!</v>
      </c>
      <c r="Z1450">
        <v>0</v>
      </c>
      <c r="AA1450">
        <v>0</v>
      </c>
      <c r="AB1450">
        <v>200</v>
      </c>
      <c r="AC1450">
        <v>450</v>
      </c>
      <c r="AD1450">
        <v>0</v>
      </c>
      <c r="AE1450">
        <v>0</v>
      </c>
      <c r="AF1450">
        <v>0</v>
      </c>
      <c r="AG1450">
        <v>15</v>
      </c>
      <c r="AH1450">
        <v>15</v>
      </c>
      <c r="AI1450">
        <v>0</v>
      </c>
      <c r="AJ1450">
        <v>0</v>
      </c>
      <c r="AK1450">
        <v>2800</v>
      </c>
      <c r="AL1450">
        <v>2800</v>
      </c>
      <c r="AM1450">
        <v>0</v>
      </c>
      <c r="AN1450">
        <v>0</v>
      </c>
      <c r="AO1450">
        <v>104</v>
      </c>
      <c r="AP1450">
        <v>35</v>
      </c>
      <c r="AQ1450">
        <v>104</v>
      </c>
      <c r="AR1450">
        <v>35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20</v>
      </c>
      <c r="BA1450">
        <v>20</v>
      </c>
      <c r="BB1450">
        <v>0</v>
      </c>
      <c r="BC1450">
        <v>0</v>
      </c>
      <c r="BD1450">
        <v>0</v>
      </c>
      <c r="BE1450">
        <f t="shared" si="233"/>
        <v>6398</v>
      </c>
      <c r="BF1450">
        <v>4389</v>
      </c>
      <c r="BG1450">
        <v>4389</v>
      </c>
      <c r="BH1450" t="s">
        <v>82</v>
      </c>
      <c r="BI1450" t="s">
        <v>896</v>
      </c>
      <c r="BJ1450">
        <v>650</v>
      </c>
      <c r="BK1450">
        <v>2939</v>
      </c>
      <c r="BL1450">
        <v>3589</v>
      </c>
      <c r="BM1450">
        <v>0</v>
      </c>
      <c r="BN1450">
        <v>0</v>
      </c>
      <c r="BO1450">
        <v>0</v>
      </c>
      <c r="BP1450">
        <v>2939</v>
      </c>
      <c r="BQ1450">
        <v>2939</v>
      </c>
      <c r="BR1450">
        <f t="shared" si="234"/>
        <v>-129</v>
      </c>
      <c r="BS1450">
        <f t="shared" si="235"/>
        <v>129</v>
      </c>
    </row>
    <row r="1451" spans="1:71" x14ac:dyDescent="0.25">
      <c r="A1451" s="5" t="s">
        <v>1017</v>
      </c>
      <c r="B1451" s="5" t="s">
        <v>61</v>
      </c>
      <c r="C1451" s="5" t="s">
        <v>207</v>
      </c>
      <c r="D1451" s="1" t="s">
        <v>86</v>
      </c>
      <c r="E1451">
        <v>0</v>
      </c>
      <c r="F1451">
        <v>2700</v>
      </c>
      <c r="G1451">
        <v>0</v>
      </c>
      <c r="H1451">
        <v>0</v>
      </c>
      <c r="I1451">
        <v>240</v>
      </c>
      <c r="J1451">
        <v>0</v>
      </c>
      <c r="K1451">
        <v>27</v>
      </c>
      <c r="L1451">
        <v>0</v>
      </c>
      <c r="M1451">
        <v>6003</v>
      </c>
      <c r="N1451">
        <v>0</v>
      </c>
      <c r="O1451">
        <v>0</v>
      </c>
      <c r="P1451">
        <v>0</v>
      </c>
      <c r="Q1451">
        <v>796</v>
      </c>
      <c r="R1451">
        <v>667</v>
      </c>
      <c r="S1451" s="18">
        <f t="shared" si="226"/>
        <v>9</v>
      </c>
      <c r="T1451" s="17">
        <f t="shared" si="227"/>
        <v>667</v>
      </c>
      <c r="U1451" s="17">
        <f t="shared" si="228"/>
        <v>0</v>
      </c>
      <c r="V1451" s="17">
        <f t="shared" si="229"/>
        <v>0</v>
      </c>
      <c r="W1451" s="17">
        <f t="shared" si="230"/>
        <v>0</v>
      </c>
      <c r="X1451" s="17">
        <f t="shared" si="231"/>
        <v>129</v>
      </c>
      <c r="Y1451" s="19">
        <f t="shared" si="232"/>
        <v>0</v>
      </c>
      <c r="Z1451">
        <v>2700</v>
      </c>
      <c r="AA1451">
        <v>0</v>
      </c>
      <c r="AB1451">
        <v>0</v>
      </c>
      <c r="AC1451">
        <v>0</v>
      </c>
      <c r="AD1451">
        <v>240</v>
      </c>
      <c r="AE1451">
        <v>0</v>
      </c>
      <c r="AF1451">
        <v>0</v>
      </c>
      <c r="AG1451">
        <v>0</v>
      </c>
      <c r="AH1451">
        <v>240</v>
      </c>
      <c r="AI1451">
        <v>0</v>
      </c>
      <c r="AJ1451">
        <v>0</v>
      </c>
      <c r="AK1451">
        <v>0</v>
      </c>
      <c r="AL1451">
        <v>0</v>
      </c>
      <c r="AM1451">
        <v>27</v>
      </c>
      <c r="AN1451">
        <v>0</v>
      </c>
      <c r="AO1451">
        <v>0</v>
      </c>
      <c r="AP1451">
        <v>0</v>
      </c>
      <c r="AQ1451">
        <v>27</v>
      </c>
      <c r="AR1451">
        <v>27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f t="shared" si="233"/>
        <v>561</v>
      </c>
      <c r="BF1451">
        <v>2967</v>
      </c>
      <c r="BG1451">
        <v>2967</v>
      </c>
      <c r="BH1451" t="s">
        <v>190</v>
      </c>
      <c r="BI1451" t="s">
        <v>1057</v>
      </c>
      <c r="BJ1451">
        <v>0</v>
      </c>
      <c r="BK1451">
        <v>267</v>
      </c>
      <c r="BL1451">
        <v>2967</v>
      </c>
      <c r="BM1451">
        <v>6270</v>
      </c>
      <c r="BN1451">
        <v>0</v>
      </c>
      <c r="BO1451">
        <v>0</v>
      </c>
      <c r="BP1451">
        <v>0</v>
      </c>
      <c r="BQ1451">
        <v>6270</v>
      </c>
      <c r="BR1451">
        <f t="shared" si="234"/>
        <v>-129</v>
      </c>
      <c r="BS1451">
        <f t="shared" si="235"/>
        <v>1463</v>
      </c>
    </row>
    <row r="1452" spans="1:71" x14ac:dyDescent="0.25">
      <c r="A1452" s="5" t="s">
        <v>1661</v>
      </c>
      <c r="B1452" s="5" t="s">
        <v>61</v>
      </c>
      <c r="C1452" s="5" t="s">
        <v>61</v>
      </c>
      <c r="D1452" s="1" t="s">
        <v>92</v>
      </c>
      <c r="E1452">
        <v>50</v>
      </c>
      <c r="F1452">
        <v>0</v>
      </c>
      <c r="G1452">
        <v>0</v>
      </c>
      <c r="H1452">
        <v>0</v>
      </c>
      <c r="I1452">
        <v>24</v>
      </c>
      <c r="J1452">
        <v>2200</v>
      </c>
      <c r="K1452">
        <v>176</v>
      </c>
      <c r="L1452">
        <v>41</v>
      </c>
      <c r="M1452">
        <v>0</v>
      </c>
      <c r="N1452">
        <v>0</v>
      </c>
      <c r="O1452">
        <v>0</v>
      </c>
      <c r="P1452">
        <v>0</v>
      </c>
      <c r="Q1452">
        <v>129</v>
      </c>
      <c r="R1452">
        <v>0</v>
      </c>
      <c r="S1452" s="18" t="e">
        <f t="shared" si="226"/>
        <v>#DIV/0!</v>
      </c>
      <c r="T1452" s="17" t="e">
        <f t="shared" si="227"/>
        <v>#DIV/0!</v>
      </c>
      <c r="U1452" s="17" t="e">
        <f t="shared" si="228"/>
        <v>#DIV/0!</v>
      </c>
      <c r="V1452" s="17" t="e">
        <f t="shared" si="229"/>
        <v>#DIV/0!</v>
      </c>
      <c r="W1452" s="17" t="e">
        <f t="shared" si="230"/>
        <v>#DIV/0!</v>
      </c>
      <c r="X1452" s="17" t="e">
        <f t="shared" si="231"/>
        <v>#DIV/0!</v>
      </c>
      <c r="Y1452" s="19" t="e">
        <f t="shared" si="232"/>
        <v>#DIV/0!</v>
      </c>
      <c r="Z1452">
        <v>0</v>
      </c>
      <c r="AA1452">
        <v>0</v>
      </c>
      <c r="AB1452">
        <v>0</v>
      </c>
      <c r="AC1452">
        <v>970</v>
      </c>
      <c r="AD1452">
        <v>0</v>
      </c>
      <c r="AE1452">
        <v>0</v>
      </c>
      <c r="AF1452">
        <v>0</v>
      </c>
      <c r="AG1452">
        <v>24</v>
      </c>
      <c r="AH1452">
        <v>24</v>
      </c>
      <c r="AI1452">
        <v>0</v>
      </c>
      <c r="AJ1452">
        <v>0</v>
      </c>
      <c r="AK1452">
        <v>2200</v>
      </c>
      <c r="AL1452">
        <v>2200</v>
      </c>
      <c r="AM1452">
        <v>0</v>
      </c>
      <c r="AN1452">
        <v>0</v>
      </c>
      <c r="AO1452">
        <v>176</v>
      </c>
      <c r="AP1452">
        <v>40</v>
      </c>
      <c r="AQ1452">
        <v>176</v>
      </c>
      <c r="AR1452">
        <v>136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41</v>
      </c>
      <c r="BA1452">
        <v>41</v>
      </c>
      <c r="BB1452">
        <v>0</v>
      </c>
      <c r="BC1452">
        <v>0</v>
      </c>
      <c r="BD1452">
        <v>0</v>
      </c>
      <c r="BE1452">
        <f t="shared" si="233"/>
        <v>6028</v>
      </c>
      <c r="BF1452">
        <v>3461</v>
      </c>
      <c r="BG1452">
        <v>3461</v>
      </c>
      <c r="BH1452" t="s">
        <v>82</v>
      </c>
      <c r="BI1452" t="s">
        <v>296</v>
      </c>
      <c r="BJ1452">
        <v>1020</v>
      </c>
      <c r="BK1452">
        <v>2441</v>
      </c>
      <c r="BL1452">
        <v>3461</v>
      </c>
      <c r="BM1452">
        <v>0</v>
      </c>
      <c r="BN1452">
        <v>0</v>
      </c>
      <c r="BO1452">
        <v>0</v>
      </c>
      <c r="BP1452">
        <v>2441</v>
      </c>
      <c r="BQ1452">
        <v>2441</v>
      </c>
      <c r="BR1452">
        <f t="shared" si="234"/>
        <v>-129</v>
      </c>
      <c r="BS1452">
        <f t="shared" si="235"/>
        <v>129</v>
      </c>
    </row>
    <row r="1453" spans="1:71" x14ac:dyDescent="0.25">
      <c r="A1453" s="5" t="s">
        <v>61</v>
      </c>
      <c r="B1453" s="5" t="s">
        <v>207</v>
      </c>
      <c r="C1453" s="5" t="s">
        <v>207</v>
      </c>
      <c r="D1453" s="1" t="s">
        <v>108</v>
      </c>
      <c r="E1453">
        <v>0</v>
      </c>
      <c r="F1453">
        <v>20</v>
      </c>
      <c r="G1453">
        <v>0</v>
      </c>
      <c r="H1453">
        <v>0</v>
      </c>
      <c r="I1453">
        <v>24</v>
      </c>
      <c r="J1453">
        <v>0</v>
      </c>
      <c r="K1453">
        <v>0</v>
      </c>
      <c r="L1453">
        <v>0</v>
      </c>
      <c r="M1453">
        <v>180</v>
      </c>
      <c r="N1453">
        <v>0</v>
      </c>
      <c r="O1453">
        <v>0</v>
      </c>
      <c r="P1453">
        <v>0</v>
      </c>
      <c r="Q1453">
        <v>150</v>
      </c>
      <c r="R1453">
        <v>20</v>
      </c>
      <c r="S1453" s="18">
        <f t="shared" si="226"/>
        <v>9</v>
      </c>
      <c r="T1453" s="17">
        <f t="shared" si="227"/>
        <v>20</v>
      </c>
      <c r="U1453" s="17">
        <f t="shared" si="228"/>
        <v>0</v>
      </c>
      <c r="V1453" s="17">
        <f t="shared" si="229"/>
        <v>0</v>
      </c>
      <c r="W1453" s="17">
        <f t="shared" si="230"/>
        <v>0</v>
      </c>
      <c r="X1453" s="17">
        <f t="shared" si="231"/>
        <v>130</v>
      </c>
      <c r="Y1453" s="19">
        <f t="shared" si="232"/>
        <v>0</v>
      </c>
      <c r="Z1453">
        <v>20</v>
      </c>
      <c r="AA1453">
        <v>0</v>
      </c>
      <c r="AB1453">
        <v>0</v>
      </c>
      <c r="AC1453">
        <v>0</v>
      </c>
      <c r="AD1453">
        <v>24</v>
      </c>
      <c r="AE1453">
        <v>0</v>
      </c>
      <c r="AF1453">
        <v>0</v>
      </c>
      <c r="AG1453">
        <v>0</v>
      </c>
      <c r="AH1453">
        <v>24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f t="shared" si="233"/>
        <v>48</v>
      </c>
      <c r="BF1453">
        <v>44</v>
      </c>
      <c r="BG1453">
        <v>44</v>
      </c>
      <c r="BH1453" t="s">
        <v>109</v>
      </c>
      <c r="BI1453" t="s">
        <v>301</v>
      </c>
      <c r="BJ1453">
        <v>0</v>
      </c>
      <c r="BK1453">
        <v>24</v>
      </c>
      <c r="BL1453">
        <v>44</v>
      </c>
      <c r="BM1453">
        <v>204</v>
      </c>
      <c r="BN1453">
        <v>0</v>
      </c>
      <c r="BO1453">
        <v>0</v>
      </c>
      <c r="BP1453">
        <v>0</v>
      </c>
      <c r="BQ1453">
        <v>204</v>
      </c>
      <c r="BR1453">
        <f t="shared" si="234"/>
        <v>-130</v>
      </c>
      <c r="BS1453">
        <f t="shared" si="235"/>
        <v>170</v>
      </c>
    </row>
    <row r="1454" spans="1:71" x14ac:dyDescent="0.25">
      <c r="A1454" s="5" t="s">
        <v>61</v>
      </c>
      <c r="B1454" s="5" t="s">
        <v>359</v>
      </c>
      <c r="C1454" s="5" t="s">
        <v>61</v>
      </c>
      <c r="D1454" s="1" t="s">
        <v>113</v>
      </c>
      <c r="E1454">
        <v>0</v>
      </c>
      <c r="F1454">
        <v>480</v>
      </c>
      <c r="G1454">
        <v>0</v>
      </c>
      <c r="H1454">
        <v>0</v>
      </c>
      <c r="I1454">
        <v>180</v>
      </c>
      <c r="J1454">
        <v>0</v>
      </c>
      <c r="K1454">
        <v>0</v>
      </c>
      <c r="L1454">
        <v>0</v>
      </c>
      <c r="M1454">
        <v>2313</v>
      </c>
      <c r="N1454">
        <v>0</v>
      </c>
      <c r="O1454">
        <v>0</v>
      </c>
      <c r="P1454">
        <v>0</v>
      </c>
      <c r="Q1454">
        <v>387</v>
      </c>
      <c r="R1454">
        <v>257</v>
      </c>
      <c r="S1454" s="18">
        <f t="shared" si="226"/>
        <v>9</v>
      </c>
      <c r="T1454" s="17">
        <f t="shared" si="227"/>
        <v>257</v>
      </c>
      <c r="U1454" s="17">
        <f t="shared" si="228"/>
        <v>0</v>
      </c>
      <c r="V1454" s="17">
        <f t="shared" si="229"/>
        <v>0</v>
      </c>
      <c r="W1454" s="17">
        <f t="shared" si="230"/>
        <v>0</v>
      </c>
      <c r="X1454" s="17">
        <f t="shared" si="231"/>
        <v>130</v>
      </c>
      <c r="Y1454" s="19">
        <f t="shared" si="232"/>
        <v>0</v>
      </c>
      <c r="Z1454">
        <v>480</v>
      </c>
      <c r="AA1454">
        <v>0</v>
      </c>
      <c r="AB1454">
        <v>0</v>
      </c>
      <c r="AC1454">
        <v>0</v>
      </c>
      <c r="AD1454">
        <v>180</v>
      </c>
      <c r="AE1454">
        <v>0</v>
      </c>
      <c r="AF1454">
        <v>0</v>
      </c>
      <c r="AG1454">
        <v>0</v>
      </c>
      <c r="AH1454">
        <v>180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f t="shared" si="233"/>
        <v>360</v>
      </c>
      <c r="BF1454">
        <v>660</v>
      </c>
      <c r="BG1454">
        <v>660</v>
      </c>
      <c r="BH1454" t="s">
        <v>109</v>
      </c>
      <c r="BI1454" t="s">
        <v>384</v>
      </c>
      <c r="BJ1454">
        <v>0</v>
      </c>
      <c r="BK1454">
        <v>180</v>
      </c>
      <c r="BL1454">
        <v>660</v>
      </c>
      <c r="BM1454">
        <v>2493</v>
      </c>
      <c r="BN1454">
        <v>0</v>
      </c>
      <c r="BO1454">
        <v>0</v>
      </c>
      <c r="BP1454">
        <v>0</v>
      </c>
      <c r="BQ1454">
        <v>2493</v>
      </c>
      <c r="BR1454">
        <f t="shared" si="234"/>
        <v>-130</v>
      </c>
      <c r="BS1454">
        <f t="shared" si="235"/>
        <v>644</v>
      </c>
    </row>
    <row r="1455" spans="1:71" x14ac:dyDescent="0.25">
      <c r="A1455" s="5" t="s">
        <v>207</v>
      </c>
      <c r="B1455" s="5" t="s">
        <v>61</v>
      </c>
      <c r="C1455" s="5" t="s">
        <v>61</v>
      </c>
      <c r="D1455" s="1" t="s">
        <v>71</v>
      </c>
      <c r="E1455">
        <v>0</v>
      </c>
      <c r="F1455">
        <v>460</v>
      </c>
      <c r="G1455">
        <v>0</v>
      </c>
      <c r="H1455">
        <v>0</v>
      </c>
      <c r="I1455">
        <v>540</v>
      </c>
      <c r="J1455">
        <v>0</v>
      </c>
      <c r="K1455">
        <v>0</v>
      </c>
      <c r="L1455">
        <v>0</v>
      </c>
      <c r="M1455">
        <v>4140</v>
      </c>
      <c r="N1455">
        <v>0</v>
      </c>
      <c r="O1455">
        <v>0</v>
      </c>
      <c r="P1455">
        <v>0</v>
      </c>
      <c r="Q1455">
        <v>590</v>
      </c>
      <c r="R1455">
        <v>460</v>
      </c>
      <c r="S1455" s="18">
        <f t="shared" si="226"/>
        <v>9</v>
      </c>
      <c r="T1455" s="17">
        <f t="shared" si="227"/>
        <v>460</v>
      </c>
      <c r="U1455" s="17">
        <f t="shared" si="228"/>
        <v>0</v>
      </c>
      <c r="V1455" s="17">
        <f t="shared" si="229"/>
        <v>0</v>
      </c>
      <c r="W1455" s="17">
        <f t="shared" si="230"/>
        <v>0</v>
      </c>
      <c r="X1455" s="17">
        <f t="shared" si="231"/>
        <v>130</v>
      </c>
      <c r="Y1455" s="19">
        <f t="shared" si="232"/>
        <v>0</v>
      </c>
      <c r="Z1455">
        <v>460</v>
      </c>
      <c r="AA1455">
        <v>0</v>
      </c>
      <c r="AB1455">
        <v>0</v>
      </c>
      <c r="AC1455">
        <v>120</v>
      </c>
      <c r="AD1455">
        <v>540</v>
      </c>
      <c r="AE1455">
        <v>0</v>
      </c>
      <c r="AF1455">
        <v>0</v>
      </c>
      <c r="AG1455">
        <v>0</v>
      </c>
      <c r="AH1455">
        <v>540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f t="shared" si="233"/>
        <v>1200</v>
      </c>
      <c r="BF1455">
        <v>1120</v>
      </c>
      <c r="BG1455">
        <v>1120</v>
      </c>
      <c r="BH1455" t="s">
        <v>109</v>
      </c>
      <c r="BI1455" t="s">
        <v>430</v>
      </c>
      <c r="BJ1455">
        <v>120</v>
      </c>
      <c r="BK1455">
        <v>540</v>
      </c>
      <c r="BL1455">
        <v>1120</v>
      </c>
      <c r="BM1455">
        <v>4680</v>
      </c>
      <c r="BN1455">
        <v>0</v>
      </c>
      <c r="BO1455">
        <v>0</v>
      </c>
      <c r="BP1455">
        <v>0</v>
      </c>
      <c r="BQ1455">
        <v>4680</v>
      </c>
      <c r="BR1455">
        <f t="shared" si="234"/>
        <v>-130</v>
      </c>
      <c r="BS1455">
        <f t="shared" si="235"/>
        <v>1050</v>
      </c>
    </row>
    <row r="1456" spans="1:71" x14ac:dyDescent="0.25">
      <c r="A1456" s="5" t="s">
        <v>1661</v>
      </c>
      <c r="B1456" s="5" t="s">
        <v>207</v>
      </c>
      <c r="C1456" s="5" t="s">
        <v>61</v>
      </c>
      <c r="D1456" s="1" t="s">
        <v>106</v>
      </c>
      <c r="E1456">
        <v>0</v>
      </c>
      <c r="F1456">
        <v>11940</v>
      </c>
      <c r="G1456">
        <v>0</v>
      </c>
      <c r="H1456">
        <v>0</v>
      </c>
      <c r="I1456">
        <v>40</v>
      </c>
      <c r="J1456">
        <v>0</v>
      </c>
      <c r="K1456">
        <v>115</v>
      </c>
      <c r="L1456">
        <v>0</v>
      </c>
      <c r="M1456">
        <v>0</v>
      </c>
      <c r="N1456">
        <v>0</v>
      </c>
      <c r="O1456">
        <v>0</v>
      </c>
      <c r="P1456">
        <v>4662</v>
      </c>
      <c r="Q1456">
        <v>648</v>
      </c>
      <c r="R1456">
        <v>518</v>
      </c>
      <c r="S1456" s="18">
        <f t="shared" si="226"/>
        <v>9</v>
      </c>
      <c r="T1456" s="17">
        <f t="shared" si="227"/>
        <v>0</v>
      </c>
      <c r="U1456" s="17">
        <f t="shared" si="228"/>
        <v>0</v>
      </c>
      <c r="V1456" s="17">
        <f t="shared" si="229"/>
        <v>0</v>
      </c>
      <c r="W1456" s="17">
        <f t="shared" si="230"/>
        <v>518</v>
      </c>
      <c r="X1456" s="17">
        <f t="shared" si="231"/>
        <v>130</v>
      </c>
      <c r="Y1456" s="19">
        <f t="shared" si="232"/>
        <v>0</v>
      </c>
      <c r="Z1456">
        <v>11940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40</v>
      </c>
      <c r="AH1456">
        <v>40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115</v>
      </c>
      <c r="AP1456">
        <v>6</v>
      </c>
      <c r="AQ1456">
        <v>115</v>
      </c>
      <c r="AR1456">
        <v>109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f t="shared" si="233"/>
        <v>425</v>
      </c>
      <c r="BF1456">
        <v>12095</v>
      </c>
      <c r="BG1456">
        <v>12095</v>
      </c>
      <c r="BH1456" t="s">
        <v>190</v>
      </c>
      <c r="BI1456" t="s">
        <v>1777</v>
      </c>
      <c r="BJ1456">
        <v>0</v>
      </c>
      <c r="BK1456">
        <v>155</v>
      </c>
      <c r="BL1456">
        <v>12095</v>
      </c>
      <c r="BM1456">
        <v>0</v>
      </c>
      <c r="BN1456">
        <v>0</v>
      </c>
      <c r="BO1456">
        <v>0</v>
      </c>
      <c r="BP1456">
        <v>4817</v>
      </c>
      <c r="BQ1456">
        <v>4817</v>
      </c>
      <c r="BR1456">
        <f t="shared" si="234"/>
        <v>-130</v>
      </c>
      <c r="BS1456">
        <f t="shared" si="235"/>
        <v>1166</v>
      </c>
    </row>
    <row r="1457" spans="1:74" x14ac:dyDescent="0.25">
      <c r="A1457" s="5" t="s">
        <v>61</v>
      </c>
      <c r="B1457" s="5" t="s">
        <v>61</v>
      </c>
      <c r="C1457" s="5" t="s">
        <v>61</v>
      </c>
      <c r="D1457" s="1" t="s">
        <v>137</v>
      </c>
      <c r="E1457">
        <v>0</v>
      </c>
      <c r="F1457">
        <v>60</v>
      </c>
      <c r="G1457">
        <v>0</v>
      </c>
      <c r="H1457">
        <v>0</v>
      </c>
      <c r="I1457">
        <v>180</v>
      </c>
      <c r="J1457">
        <v>0</v>
      </c>
      <c r="K1457">
        <v>0</v>
      </c>
      <c r="L1457">
        <v>0</v>
      </c>
      <c r="M1457">
        <v>297</v>
      </c>
      <c r="N1457">
        <v>0</v>
      </c>
      <c r="O1457">
        <v>0</v>
      </c>
      <c r="P1457">
        <v>0</v>
      </c>
      <c r="Q1457">
        <v>164</v>
      </c>
      <c r="R1457">
        <v>33</v>
      </c>
      <c r="S1457" s="18">
        <f t="shared" si="226"/>
        <v>9</v>
      </c>
      <c r="T1457" s="17">
        <f t="shared" si="227"/>
        <v>33</v>
      </c>
      <c r="U1457" s="17">
        <f t="shared" si="228"/>
        <v>0</v>
      </c>
      <c r="V1457" s="17">
        <f t="shared" si="229"/>
        <v>0</v>
      </c>
      <c r="W1457" s="17">
        <f t="shared" si="230"/>
        <v>0</v>
      </c>
      <c r="X1457" s="17">
        <f t="shared" si="231"/>
        <v>131</v>
      </c>
      <c r="Y1457" s="19">
        <f t="shared" si="232"/>
        <v>0</v>
      </c>
      <c r="Z1457">
        <v>60</v>
      </c>
      <c r="AA1457">
        <v>0</v>
      </c>
      <c r="AB1457">
        <v>0</v>
      </c>
      <c r="AC1457">
        <v>0</v>
      </c>
      <c r="AD1457">
        <v>180</v>
      </c>
      <c r="AE1457">
        <v>0</v>
      </c>
      <c r="AF1457">
        <v>0</v>
      </c>
      <c r="AG1457">
        <v>0</v>
      </c>
      <c r="AH1457">
        <v>180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f t="shared" si="233"/>
        <v>360</v>
      </c>
      <c r="BF1457">
        <v>240</v>
      </c>
      <c r="BG1457">
        <v>240</v>
      </c>
      <c r="BH1457" t="s">
        <v>109</v>
      </c>
      <c r="BI1457" t="s">
        <v>138</v>
      </c>
      <c r="BJ1457">
        <v>0</v>
      </c>
      <c r="BK1457">
        <v>180</v>
      </c>
      <c r="BL1457">
        <v>240</v>
      </c>
      <c r="BM1457">
        <v>477</v>
      </c>
      <c r="BN1457">
        <v>0</v>
      </c>
      <c r="BO1457">
        <v>0</v>
      </c>
      <c r="BP1457">
        <v>0</v>
      </c>
      <c r="BQ1457">
        <v>477</v>
      </c>
      <c r="BR1457">
        <f t="shared" si="234"/>
        <v>-131</v>
      </c>
      <c r="BS1457">
        <f t="shared" si="235"/>
        <v>197</v>
      </c>
    </row>
    <row r="1458" spans="1:74" x14ac:dyDescent="0.25">
      <c r="A1458" s="5" t="s">
        <v>61</v>
      </c>
      <c r="B1458" s="5" t="s">
        <v>61</v>
      </c>
      <c r="C1458" s="5" t="s">
        <v>61</v>
      </c>
      <c r="D1458" s="1" t="s">
        <v>157</v>
      </c>
      <c r="E1458">
        <v>0</v>
      </c>
      <c r="F1458">
        <v>85</v>
      </c>
      <c r="G1458">
        <v>0</v>
      </c>
      <c r="H1458">
        <v>0</v>
      </c>
      <c r="I1458">
        <v>155</v>
      </c>
      <c r="J1458">
        <v>0</v>
      </c>
      <c r="K1458">
        <v>0</v>
      </c>
      <c r="L1458">
        <v>0</v>
      </c>
      <c r="M1458">
        <v>423</v>
      </c>
      <c r="N1458">
        <v>0</v>
      </c>
      <c r="O1458">
        <v>0</v>
      </c>
      <c r="P1458">
        <v>0</v>
      </c>
      <c r="Q1458">
        <v>178</v>
      </c>
      <c r="R1458">
        <v>47</v>
      </c>
      <c r="S1458" s="18">
        <f t="shared" si="226"/>
        <v>9</v>
      </c>
      <c r="T1458" s="17">
        <f t="shared" si="227"/>
        <v>47</v>
      </c>
      <c r="U1458" s="17">
        <f t="shared" si="228"/>
        <v>0</v>
      </c>
      <c r="V1458" s="17">
        <f t="shared" si="229"/>
        <v>0</v>
      </c>
      <c r="W1458" s="17">
        <f t="shared" si="230"/>
        <v>0</v>
      </c>
      <c r="X1458" s="17">
        <f t="shared" si="231"/>
        <v>131</v>
      </c>
      <c r="Y1458" s="19">
        <f t="shared" si="232"/>
        <v>0</v>
      </c>
      <c r="Z1458">
        <v>85</v>
      </c>
      <c r="AA1458">
        <v>0</v>
      </c>
      <c r="AB1458">
        <v>0</v>
      </c>
      <c r="AC1458">
        <v>0</v>
      </c>
      <c r="AD1458">
        <v>155</v>
      </c>
      <c r="AE1458">
        <v>0</v>
      </c>
      <c r="AF1458">
        <v>0</v>
      </c>
      <c r="AG1458">
        <v>0</v>
      </c>
      <c r="AH1458">
        <v>155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f t="shared" si="233"/>
        <v>310</v>
      </c>
      <c r="BF1458">
        <v>240</v>
      </c>
      <c r="BG1458">
        <v>240</v>
      </c>
      <c r="BH1458" t="s">
        <v>109</v>
      </c>
      <c r="BI1458" t="s">
        <v>158</v>
      </c>
      <c r="BJ1458">
        <v>0</v>
      </c>
      <c r="BK1458">
        <v>155</v>
      </c>
      <c r="BL1458">
        <v>240</v>
      </c>
      <c r="BM1458">
        <v>578</v>
      </c>
      <c r="BN1458">
        <v>0</v>
      </c>
      <c r="BO1458">
        <v>0</v>
      </c>
      <c r="BP1458">
        <v>0</v>
      </c>
      <c r="BQ1458">
        <v>578</v>
      </c>
      <c r="BR1458">
        <f t="shared" si="234"/>
        <v>-131</v>
      </c>
      <c r="BS1458">
        <f t="shared" si="235"/>
        <v>225</v>
      </c>
    </row>
    <row r="1459" spans="1:74" x14ac:dyDescent="0.25">
      <c r="A1459" s="5" t="s">
        <v>61</v>
      </c>
      <c r="B1459" s="5" t="s">
        <v>207</v>
      </c>
      <c r="C1459" s="5" t="s">
        <v>61</v>
      </c>
      <c r="D1459" s="1" t="s">
        <v>157</v>
      </c>
      <c r="E1459">
        <v>0</v>
      </c>
      <c r="F1459">
        <v>142</v>
      </c>
      <c r="G1459">
        <v>0</v>
      </c>
      <c r="H1459">
        <v>0</v>
      </c>
      <c r="I1459">
        <v>265</v>
      </c>
      <c r="J1459">
        <v>0</v>
      </c>
      <c r="K1459">
        <v>19</v>
      </c>
      <c r="L1459">
        <v>0</v>
      </c>
      <c r="M1459">
        <v>1278</v>
      </c>
      <c r="N1459">
        <v>0</v>
      </c>
      <c r="O1459">
        <v>0</v>
      </c>
      <c r="P1459">
        <v>0</v>
      </c>
      <c r="Q1459">
        <v>273</v>
      </c>
      <c r="R1459">
        <v>142</v>
      </c>
      <c r="S1459" s="18">
        <f t="shared" si="226"/>
        <v>9</v>
      </c>
      <c r="T1459" s="17">
        <f t="shared" si="227"/>
        <v>142</v>
      </c>
      <c r="U1459" s="17">
        <f t="shared" si="228"/>
        <v>0</v>
      </c>
      <c r="V1459" s="17">
        <f t="shared" si="229"/>
        <v>0</v>
      </c>
      <c r="W1459" s="17">
        <f t="shared" si="230"/>
        <v>0</v>
      </c>
      <c r="X1459" s="17">
        <f t="shared" si="231"/>
        <v>131</v>
      </c>
      <c r="Y1459" s="19">
        <f t="shared" si="232"/>
        <v>0</v>
      </c>
      <c r="Z1459">
        <v>142</v>
      </c>
      <c r="AA1459">
        <v>0</v>
      </c>
      <c r="AB1459">
        <v>0</v>
      </c>
      <c r="AC1459">
        <v>0</v>
      </c>
      <c r="AD1459">
        <v>265</v>
      </c>
      <c r="AE1459">
        <v>0</v>
      </c>
      <c r="AF1459">
        <v>0</v>
      </c>
      <c r="AG1459">
        <v>0</v>
      </c>
      <c r="AH1459">
        <v>265</v>
      </c>
      <c r="AI1459">
        <v>0</v>
      </c>
      <c r="AJ1459">
        <v>0</v>
      </c>
      <c r="AK1459">
        <v>0</v>
      </c>
      <c r="AL1459">
        <v>0</v>
      </c>
      <c r="AM1459">
        <v>19</v>
      </c>
      <c r="AN1459">
        <v>0</v>
      </c>
      <c r="AO1459">
        <v>0</v>
      </c>
      <c r="AP1459">
        <v>11</v>
      </c>
      <c r="AQ1459">
        <v>19</v>
      </c>
      <c r="AR1459">
        <v>8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f t="shared" si="233"/>
        <v>587</v>
      </c>
      <c r="BF1459">
        <v>426</v>
      </c>
      <c r="BG1459">
        <v>426</v>
      </c>
      <c r="BH1459" t="s">
        <v>109</v>
      </c>
      <c r="BI1459" t="s">
        <v>255</v>
      </c>
      <c r="BJ1459">
        <v>0</v>
      </c>
      <c r="BK1459">
        <v>284</v>
      </c>
      <c r="BL1459">
        <v>426</v>
      </c>
      <c r="BM1459">
        <v>1562</v>
      </c>
      <c r="BN1459">
        <v>0</v>
      </c>
      <c r="BO1459">
        <v>0</v>
      </c>
      <c r="BP1459">
        <v>0</v>
      </c>
      <c r="BQ1459">
        <v>1562</v>
      </c>
      <c r="BR1459">
        <f t="shared" si="234"/>
        <v>-131</v>
      </c>
      <c r="BS1459">
        <f t="shared" si="235"/>
        <v>415</v>
      </c>
    </row>
    <row r="1460" spans="1:74" x14ac:dyDescent="0.25">
      <c r="A1460" s="5" t="s">
        <v>61</v>
      </c>
      <c r="B1460" s="5" t="s">
        <v>207</v>
      </c>
      <c r="C1460" s="5" t="s">
        <v>207</v>
      </c>
      <c r="D1460" s="1" t="s">
        <v>90</v>
      </c>
      <c r="E1460">
        <v>0</v>
      </c>
      <c r="F1460">
        <v>0</v>
      </c>
      <c r="G1460">
        <v>0</v>
      </c>
      <c r="H1460">
        <v>0</v>
      </c>
      <c r="I1460">
        <v>30</v>
      </c>
      <c r="J1460">
        <v>0</v>
      </c>
      <c r="K1460">
        <v>618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131</v>
      </c>
      <c r="R1460">
        <v>0</v>
      </c>
      <c r="S1460" s="18" t="e">
        <f t="shared" si="226"/>
        <v>#DIV/0!</v>
      </c>
      <c r="T1460" s="17" t="e">
        <f t="shared" si="227"/>
        <v>#DIV/0!</v>
      </c>
      <c r="U1460" s="17" t="e">
        <f t="shared" si="228"/>
        <v>#DIV/0!</v>
      </c>
      <c r="V1460" s="17" t="e">
        <f t="shared" si="229"/>
        <v>#DIV/0!</v>
      </c>
      <c r="W1460" s="17" t="e">
        <f t="shared" si="230"/>
        <v>#DIV/0!</v>
      </c>
      <c r="X1460" s="17" t="e">
        <f t="shared" si="231"/>
        <v>#DIV/0!</v>
      </c>
      <c r="Y1460" s="19" t="e">
        <f t="shared" si="232"/>
        <v>#DIV/0!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30</v>
      </c>
      <c r="AH1460">
        <v>30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618</v>
      </c>
      <c r="AP1460">
        <v>365</v>
      </c>
      <c r="AQ1460">
        <v>618</v>
      </c>
      <c r="AR1460">
        <v>253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f t="shared" si="233"/>
        <v>1914</v>
      </c>
      <c r="BF1460">
        <v>648</v>
      </c>
      <c r="BG1460">
        <v>648</v>
      </c>
      <c r="BH1460" t="s">
        <v>82</v>
      </c>
      <c r="BI1460" t="s">
        <v>292</v>
      </c>
      <c r="BJ1460">
        <v>0</v>
      </c>
      <c r="BK1460">
        <v>648</v>
      </c>
      <c r="BL1460">
        <v>648</v>
      </c>
      <c r="BM1460">
        <v>0</v>
      </c>
      <c r="BN1460">
        <v>0</v>
      </c>
      <c r="BO1460">
        <v>0</v>
      </c>
      <c r="BP1460">
        <v>648</v>
      </c>
      <c r="BQ1460">
        <v>648</v>
      </c>
      <c r="BR1460">
        <f t="shared" si="234"/>
        <v>-131</v>
      </c>
      <c r="BS1460">
        <f t="shared" si="235"/>
        <v>131</v>
      </c>
    </row>
    <row r="1461" spans="1:74" x14ac:dyDescent="0.25">
      <c r="A1461" s="5" t="s">
        <v>207</v>
      </c>
      <c r="B1461" s="5" t="s">
        <v>61</v>
      </c>
      <c r="C1461" s="5" t="s">
        <v>207</v>
      </c>
      <c r="D1461" s="1" t="s">
        <v>115</v>
      </c>
      <c r="E1461">
        <v>0</v>
      </c>
      <c r="F1461">
        <v>25</v>
      </c>
      <c r="G1461">
        <v>0</v>
      </c>
      <c r="H1461">
        <v>0</v>
      </c>
      <c r="I1461">
        <v>50</v>
      </c>
      <c r="J1461">
        <v>1500</v>
      </c>
      <c r="K1461">
        <v>450</v>
      </c>
      <c r="L1461">
        <v>35</v>
      </c>
      <c r="M1461">
        <v>63</v>
      </c>
      <c r="N1461">
        <v>0</v>
      </c>
      <c r="O1461">
        <v>0</v>
      </c>
      <c r="P1461">
        <v>0</v>
      </c>
      <c r="Q1461">
        <v>138</v>
      </c>
      <c r="R1461">
        <v>7</v>
      </c>
      <c r="S1461" s="18">
        <f t="shared" si="226"/>
        <v>9</v>
      </c>
      <c r="T1461" s="17">
        <f t="shared" si="227"/>
        <v>7</v>
      </c>
      <c r="U1461" s="17">
        <f t="shared" si="228"/>
        <v>0</v>
      </c>
      <c r="V1461" s="17">
        <f t="shared" si="229"/>
        <v>0</v>
      </c>
      <c r="W1461" s="17">
        <f t="shared" si="230"/>
        <v>0</v>
      </c>
      <c r="X1461" s="17">
        <f t="shared" si="231"/>
        <v>131</v>
      </c>
      <c r="Y1461" s="19">
        <f t="shared" si="232"/>
        <v>0</v>
      </c>
      <c r="Z1461">
        <v>25</v>
      </c>
      <c r="AA1461">
        <v>0</v>
      </c>
      <c r="AB1461">
        <v>0</v>
      </c>
      <c r="AC1461">
        <v>300</v>
      </c>
      <c r="AD1461">
        <v>0</v>
      </c>
      <c r="AE1461">
        <v>0</v>
      </c>
      <c r="AF1461">
        <v>0</v>
      </c>
      <c r="AG1461">
        <v>50</v>
      </c>
      <c r="AH1461">
        <v>50</v>
      </c>
      <c r="AI1461">
        <v>0</v>
      </c>
      <c r="AJ1461">
        <v>0</v>
      </c>
      <c r="AK1461">
        <v>1500</v>
      </c>
      <c r="AL1461">
        <v>1500</v>
      </c>
      <c r="AM1461">
        <v>300</v>
      </c>
      <c r="AN1461">
        <v>0</v>
      </c>
      <c r="AO1461">
        <v>150</v>
      </c>
      <c r="AP1461">
        <v>50</v>
      </c>
      <c r="AQ1461">
        <v>450</v>
      </c>
      <c r="AR1461">
        <v>400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35</v>
      </c>
      <c r="BA1461">
        <v>35</v>
      </c>
      <c r="BB1461">
        <v>0</v>
      </c>
      <c r="BC1461">
        <v>0</v>
      </c>
      <c r="BD1461">
        <v>0</v>
      </c>
      <c r="BE1461">
        <f t="shared" si="233"/>
        <v>4820</v>
      </c>
      <c r="BF1461">
        <v>2360</v>
      </c>
      <c r="BG1461">
        <v>2360</v>
      </c>
      <c r="BH1461" t="s">
        <v>190</v>
      </c>
      <c r="BI1461" t="s">
        <v>487</v>
      </c>
      <c r="BJ1461">
        <v>300</v>
      </c>
      <c r="BK1461">
        <v>2035</v>
      </c>
      <c r="BL1461">
        <v>2360</v>
      </c>
      <c r="BM1461">
        <v>363</v>
      </c>
      <c r="BN1461">
        <v>0</v>
      </c>
      <c r="BO1461">
        <v>0</v>
      </c>
      <c r="BP1461">
        <v>1735</v>
      </c>
      <c r="BQ1461">
        <v>2098</v>
      </c>
      <c r="BR1461">
        <f t="shared" si="234"/>
        <v>-131</v>
      </c>
      <c r="BS1461">
        <f t="shared" si="235"/>
        <v>145</v>
      </c>
    </row>
    <row r="1462" spans="1:74" x14ac:dyDescent="0.25">
      <c r="A1462" s="5" t="s">
        <v>2090</v>
      </c>
      <c r="B1462" s="5" t="s">
        <v>61</v>
      </c>
      <c r="C1462" s="5" t="s">
        <v>61</v>
      </c>
      <c r="D1462" s="1" t="s">
        <v>115</v>
      </c>
      <c r="E1462">
        <v>56</v>
      </c>
      <c r="F1462">
        <v>436</v>
      </c>
      <c r="G1462">
        <v>0</v>
      </c>
      <c r="H1462">
        <v>0</v>
      </c>
      <c r="I1462">
        <v>50</v>
      </c>
      <c r="J1462">
        <v>2451</v>
      </c>
      <c r="K1462">
        <v>51</v>
      </c>
      <c r="L1462">
        <v>101</v>
      </c>
      <c r="M1462">
        <v>0</v>
      </c>
      <c r="N1462">
        <v>0</v>
      </c>
      <c r="O1462">
        <v>0</v>
      </c>
      <c r="P1462">
        <v>810</v>
      </c>
      <c r="Q1462">
        <v>222</v>
      </c>
      <c r="R1462">
        <v>90</v>
      </c>
      <c r="S1462" s="18">
        <f t="shared" si="226"/>
        <v>9</v>
      </c>
      <c r="T1462" s="17">
        <f t="shared" si="227"/>
        <v>0</v>
      </c>
      <c r="U1462" s="17">
        <f t="shared" si="228"/>
        <v>0</v>
      </c>
      <c r="V1462" s="17">
        <f t="shared" si="229"/>
        <v>0</v>
      </c>
      <c r="W1462" s="17">
        <f t="shared" si="230"/>
        <v>90</v>
      </c>
      <c r="X1462" s="17">
        <f t="shared" si="231"/>
        <v>132</v>
      </c>
      <c r="Y1462" s="19">
        <f t="shared" si="232"/>
        <v>0</v>
      </c>
      <c r="Z1462">
        <v>436</v>
      </c>
      <c r="AA1462">
        <v>5</v>
      </c>
      <c r="AB1462">
        <v>137</v>
      </c>
      <c r="AC1462">
        <v>1512</v>
      </c>
      <c r="AD1462">
        <v>0</v>
      </c>
      <c r="AE1462">
        <v>0</v>
      </c>
      <c r="AF1462">
        <v>0</v>
      </c>
      <c r="AG1462">
        <v>50</v>
      </c>
      <c r="AH1462">
        <v>50</v>
      </c>
      <c r="AI1462">
        <v>0</v>
      </c>
      <c r="AJ1462">
        <v>0</v>
      </c>
      <c r="AK1462">
        <v>2451</v>
      </c>
      <c r="AL1462">
        <v>2451</v>
      </c>
      <c r="AM1462">
        <v>0</v>
      </c>
      <c r="AN1462">
        <v>0</v>
      </c>
      <c r="AO1462">
        <v>51</v>
      </c>
      <c r="AP1462">
        <v>1</v>
      </c>
      <c r="AQ1462">
        <v>51</v>
      </c>
      <c r="AR1462">
        <v>50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101</v>
      </c>
      <c r="BA1462">
        <v>101</v>
      </c>
      <c r="BB1462">
        <v>0</v>
      </c>
      <c r="BC1462">
        <v>0</v>
      </c>
      <c r="BD1462">
        <v>0</v>
      </c>
      <c r="BE1462">
        <f t="shared" si="233"/>
        <v>6869</v>
      </c>
      <c r="BF1462">
        <v>4799</v>
      </c>
      <c r="BG1462">
        <v>4799</v>
      </c>
      <c r="BH1462" t="s">
        <v>82</v>
      </c>
      <c r="BI1462" t="s">
        <v>296</v>
      </c>
      <c r="BJ1462">
        <v>1710</v>
      </c>
      <c r="BK1462">
        <v>2653</v>
      </c>
      <c r="BL1462">
        <v>4799</v>
      </c>
      <c r="BM1462">
        <v>0</v>
      </c>
      <c r="BN1462">
        <v>0</v>
      </c>
      <c r="BO1462">
        <v>0</v>
      </c>
      <c r="BP1462">
        <v>3463</v>
      </c>
      <c r="BQ1462">
        <v>3463</v>
      </c>
      <c r="BR1462">
        <f t="shared" si="234"/>
        <v>-132</v>
      </c>
      <c r="BS1462">
        <f t="shared" si="235"/>
        <v>312</v>
      </c>
    </row>
    <row r="1463" spans="1:74" x14ac:dyDescent="0.25">
      <c r="A1463" s="5" t="s">
        <v>61</v>
      </c>
      <c r="B1463" s="5" t="s">
        <v>207</v>
      </c>
      <c r="C1463" s="5" t="s">
        <v>61</v>
      </c>
      <c r="D1463" s="1" t="s">
        <v>179</v>
      </c>
      <c r="E1463">
        <v>0</v>
      </c>
      <c r="F1463">
        <v>44</v>
      </c>
      <c r="G1463">
        <v>0</v>
      </c>
      <c r="H1463">
        <v>0</v>
      </c>
      <c r="I1463">
        <v>228</v>
      </c>
      <c r="J1463">
        <v>0</v>
      </c>
      <c r="K1463">
        <v>0</v>
      </c>
      <c r="L1463">
        <v>0</v>
      </c>
      <c r="M1463">
        <v>396</v>
      </c>
      <c r="N1463">
        <v>0</v>
      </c>
      <c r="O1463">
        <v>0</v>
      </c>
      <c r="P1463">
        <v>0</v>
      </c>
      <c r="Q1463">
        <v>177</v>
      </c>
      <c r="R1463">
        <v>44</v>
      </c>
      <c r="S1463" s="18">
        <f t="shared" si="226"/>
        <v>9</v>
      </c>
      <c r="T1463" s="17">
        <f t="shared" si="227"/>
        <v>44</v>
      </c>
      <c r="U1463" s="17">
        <f t="shared" si="228"/>
        <v>0</v>
      </c>
      <c r="V1463" s="17">
        <f t="shared" si="229"/>
        <v>0</v>
      </c>
      <c r="W1463" s="17">
        <f t="shared" si="230"/>
        <v>0</v>
      </c>
      <c r="X1463" s="17">
        <f t="shared" si="231"/>
        <v>133</v>
      </c>
      <c r="Y1463" s="19">
        <f t="shared" si="232"/>
        <v>0</v>
      </c>
      <c r="Z1463">
        <v>44</v>
      </c>
      <c r="AA1463">
        <v>0</v>
      </c>
      <c r="AB1463">
        <v>0</v>
      </c>
      <c r="AC1463">
        <v>0</v>
      </c>
      <c r="AD1463">
        <v>228</v>
      </c>
      <c r="AE1463">
        <v>0</v>
      </c>
      <c r="AF1463">
        <v>0</v>
      </c>
      <c r="AG1463">
        <v>0</v>
      </c>
      <c r="AH1463">
        <v>228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f t="shared" si="233"/>
        <v>456</v>
      </c>
      <c r="BF1463">
        <v>272</v>
      </c>
      <c r="BG1463">
        <v>272</v>
      </c>
      <c r="BH1463" t="s">
        <v>109</v>
      </c>
      <c r="BI1463" t="s">
        <v>266</v>
      </c>
      <c r="BJ1463">
        <v>0</v>
      </c>
      <c r="BK1463">
        <v>228</v>
      </c>
      <c r="BL1463">
        <v>272</v>
      </c>
      <c r="BM1463">
        <v>624</v>
      </c>
      <c r="BN1463">
        <v>0</v>
      </c>
      <c r="BO1463">
        <v>0</v>
      </c>
      <c r="BP1463">
        <v>0</v>
      </c>
      <c r="BQ1463">
        <v>624</v>
      </c>
      <c r="BR1463">
        <f t="shared" si="234"/>
        <v>-133</v>
      </c>
      <c r="BS1463">
        <f t="shared" si="235"/>
        <v>221</v>
      </c>
    </row>
    <row r="1464" spans="1:74" x14ac:dyDescent="0.25">
      <c r="A1464" s="5" t="s">
        <v>359</v>
      </c>
      <c r="B1464" s="5" t="s">
        <v>207</v>
      </c>
      <c r="C1464" s="5" t="s">
        <v>61</v>
      </c>
      <c r="D1464" s="1" t="s">
        <v>69</v>
      </c>
      <c r="E1464">
        <v>0</v>
      </c>
      <c r="F1464">
        <v>0</v>
      </c>
      <c r="G1464">
        <v>0</v>
      </c>
      <c r="H1464">
        <v>0</v>
      </c>
      <c r="I1464">
        <v>330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50</v>
      </c>
      <c r="R1464">
        <v>0</v>
      </c>
      <c r="S1464" s="18" t="e">
        <f t="shared" si="226"/>
        <v>#DIV/0!</v>
      </c>
      <c r="T1464" s="17" t="e">
        <f t="shared" si="227"/>
        <v>#DIV/0!</v>
      </c>
      <c r="U1464" s="17" t="e">
        <f t="shared" si="228"/>
        <v>#DIV/0!</v>
      </c>
      <c r="V1464" s="17" t="e">
        <f t="shared" si="229"/>
        <v>#DIV/0!</v>
      </c>
      <c r="W1464" s="17" t="e">
        <f t="shared" si="230"/>
        <v>#DIV/0!</v>
      </c>
      <c r="X1464" s="17" t="e">
        <f t="shared" si="231"/>
        <v>#DIV/0!</v>
      </c>
      <c r="Y1464" s="19" t="e">
        <f t="shared" si="232"/>
        <v>#DIV/0!</v>
      </c>
      <c r="Z1464">
        <v>0</v>
      </c>
      <c r="AA1464">
        <v>0</v>
      </c>
      <c r="AB1464">
        <v>0</v>
      </c>
      <c r="AC1464">
        <v>0</v>
      </c>
      <c r="AD1464">
        <v>330</v>
      </c>
      <c r="AE1464">
        <v>0</v>
      </c>
      <c r="AF1464">
        <v>0</v>
      </c>
      <c r="AG1464">
        <v>0</v>
      </c>
      <c r="AH1464">
        <v>330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f t="shared" si="233"/>
        <v>660</v>
      </c>
      <c r="BF1464">
        <v>330</v>
      </c>
      <c r="BG1464">
        <v>330</v>
      </c>
      <c r="BH1464" t="s">
        <v>63</v>
      </c>
      <c r="BI1464" t="s">
        <v>734</v>
      </c>
      <c r="BJ1464">
        <v>0</v>
      </c>
      <c r="BK1464">
        <v>330</v>
      </c>
      <c r="BL1464">
        <v>330</v>
      </c>
      <c r="BM1464">
        <v>330</v>
      </c>
      <c r="BN1464">
        <v>0</v>
      </c>
      <c r="BO1464">
        <v>0</v>
      </c>
      <c r="BP1464">
        <v>0</v>
      </c>
      <c r="BQ1464">
        <v>330</v>
      </c>
      <c r="BR1464">
        <f t="shared" si="234"/>
        <v>-50</v>
      </c>
      <c r="BS1464">
        <f t="shared" si="235"/>
        <v>50</v>
      </c>
      <c r="BU1464">
        <f>R1464*9</f>
        <v>0</v>
      </c>
      <c r="BV1464">
        <f>IF(BU1464&gt;BG1464, 1, 0)</f>
        <v>0</v>
      </c>
    </row>
    <row r="1465" spans="1:74" x14ac:dyDescent="0.25">
      <c r="A1465" s="5" t="s">
        <v>1017</v>
      </c>
      <c r="B1465" s="5" t="s">
        <v>61</v>
      </c>
      <c r="C1465" s="5" t="s">
        <v>207</v>
      </c>
      <c r="D1465" s="1" t="s">
        <v>131</v>
      </c>
      <c r="E1465">
        <v>0</v>
      </c>
      <c r="F1465">
        <v>402</v>
      </c>
      <c r="G1465">
        <v>0</v>
      </c>
      <c r="H1465">
        <v>0</v>
      </c>
      <c r="I1465">
        <v>1017</v>
      </c>
      <c r="J1465">
        <v>2584</v>
      </c>
      <c r="K1465">
        <v>125</v>
      </c>
      <c r="L1465">
        <v>0</v>
      </c>
      <c r="M1465">
        <v>0</v>
      </c>
      <c r="N1465">
        <v>0</v>
      </c>
      <c r="O1465">
        <v>0</v>
      </c>
      <c r="P1465">
        <v>603</v>
      </c>
      <c r="Q1465">
        <v>200</v>
      </c>
      <c r="R1465">
        <v>67</v>
      </c>
      <c r="S1465" s="18">
        <f t="shared" si="226"/>
        <v>9</v>
      </c>
      <c r="T1465" s="17">
        <f t="shared" si="227"/>
        <v>0</v>
      </c>
      <c r="U1465" s="17">
        <f t="shared" si="228"/>
        <v>0</v>
      </c>
      <c r="V1465" s="17">
        <f t="shared" si="229"/>
        <v>0</v>
      </c>
      <c r="W1465" s="17">
        <f t="shared" si="230"/>
        <v>67</v>
      </c>
      <c r="X1465" s="17">
        <f t="shared" si="231"/>
        <v>133</v>
      </c>
      <c r="Y1465" s="19">
        <f t="shared" si="232"/>
        <v>0</v>
      </c>
      <c r="Z1465">
        <v>402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1017</v>
      </c>
      <c r="AH1465">
        <v>1017</v>
      </c>
      <c r="AI1465">
        <v>0</v>
      </c>
      <c r="AJ1465">
        <v>0</v>
      </c>
      <c r="AK1465">
        <v>2584</v>
      </c>
      <c r="AL1465">
        <v>2584</v>
      </c>
      <c r="AM1465">
        <v>0</v>
      </c>
      <c r="AN1465">
        <v>0</v>
      </c>
      <c r="AO1465">
        <v>125</v>
      </c>
      <c r="AP1465">
        <v>0</v>
      </c>
      <c r="AQ1465">
        <v>125</v>
      </c>
      <c r="AR1465">
        <v>125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f t="shared" si="233"/>
        <v>7577</v>
      </c>
      <c r="BF1465">
        <v>4128</v>
      </c>
      <c r="BG1465">
        <v>4128</v>
      </c>
      <c r="BH1465" t="s">
        <v>82</v>
      </c>
      <c r="BI1465" t="s">
        <v>1077</v>
      </c>
      <c r="BJ1465">
        <v>0</v>
      </c>
      <c r="BK1465">
        <v>3726</v>
      </c>
      <c r="BL1465">
        <v>4128</v>
      </c>
      <c r="BM1465">
        <v>0</v>
      </c>
      <c r="BN1465">
        <v>0</v>
      </c>
      <c r="BO1465">
        <v>0</v>
      </c>
      <c r="BP1465">
        <v>4329</v>
      </c>
      <c r="BQ1465">
        <v>4329</v>
      </c>
      <c r="BR1465">
        <f t="shared" si="234"/>
        <v>-133</v>
      </c>
      <c r="BS1465">
        <f t="shared" si="235"/>
        <v>267</v>
      </c>
    </row>
    <row r="1466" spans="1:74" x14ac:dyDescent="0.25">
      <c r="A1466" s="5" t="s">
        <v>207</v>
      </c>
      <c r="B1466" s="5" t="s">
        <v>61</v>
      </c>
      <c r="C1466" s="5" t="s">
        <v>207</v>
      </c>
      <c r="D1466" s="1" t="s">
        <v>62</v>
      </c>
      <c r="E1466">
        <v>0</v>
      </c>
      <c r="F1466">
        <v>0</v>
      </c>
      <c r="G1466">
        <v>0</v>
      </c>
      <c r="H1466">
        <v>0</v>
      </c>
      <c r="I1466">
        <v>43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55</v>
      </c>
      <c r="R1466">
        <v>0</v>
      </c>
      <c r="S1466" s="18" t="e">
        <f t="shared" si="226"/>
        <v>#DIV/0!</v>
      </c>
      <c r="T1466" s="17" t="e">
        <f t="shared" si="227"/>
        <v>#DIV/0!</v>
      </c>
      <c r="U1466" s="17" t="e">
        <f t="shared" si="228"/>
        <v>#DIV/0!</v>
      </c>
      <c r="V1466" s="17" t="e">
        <f t="shared" si="229"/>
        <v>#DIV/0!</v>
      </c>
      <c r="W1466" s="17" t="e">
        <f t="shared" si="230"/>
        <v>#DIV/0!</v>
      </c>
      <c r="X1466" s="17" t="e">
        <f t="shared" si="231"/>
        <v>#DIV/0!</v>
      </c>
      <c r="Y1466" s="19" t="e">
        <f t="shared" si="232"/>
        <v>#DIV/0!</v>
      </c>
      <c r="Z1466">
        <v>0</v>
      </c>
      <c r="AA1466">
        <v>0</v>
      </c>
      <c r="AB1466">
        <v>0</v>
      </c>
      <c r="AC1466">
        <v>69</v>
      </c>
      <c r="AD1466">
        <v>0</v>
      </c>
      <c r="AE1466">
        <v>0</v>
      </c>
      <c r="AF1466">
        <v>0</v>
      </c>
      <c r="AG1466">
        <v>43</v>
      </c>
      <c r="AH1466">
        <v>43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f t="shared" si="233"/>
        <v>155</v>
      </c>
      <c r="BF1466">
        <v>112</v>
      </c>
      <c r="BG1466">
        <v>112</v>
      </c>
      <c r="BH1466" t="s">
        <v>63</v>
      </c>
      <c r="BI1466" t="s">
        <v>462</v>
      </c>
      <c r="BJ1466">
        <v>69</v>
      </c>
      <c r="BK1466">
        <v>43</v>
      </c>
      <c r="BL1466">
        <v>112</v>
      </c>
      <c r="BM1466">
        <v>0</v>
      </c>
      <c r="BN1466">
        <v>0</v>
      </c>
      <c r="BO1466">
        <v>0</v>
      </c>
      <c r="BP1466">
        <v>43</v>
      </c>
      <c r="BQ1466">
        <v>43</v>
      </c>
      <c r="BR1466">
        <f t="shared" si="234"/>
        <v>-55</v>
      </c>
      <c r="BS1466">
        <f t="shared" si="235"/>
        <v>55</v>
      </c>
      <c r="BU1466">
        <f>R1466*9</f>
        <v>0</v>
      </c>
      <c r="BV1466">
        <f>IF(BU1466&gt;BG1466, 1, 0)</f>
        <v>0</v>
      </c>
    </row>
    <row r="1467" spans="1:74" x14ac:dyDescent="0.25">
      <c r="A1467" s="5" t="s">
        <v>1661</v>
      </c>
      <c r="B1467" s="5" t="s">
        <v>207</v>
      </c>
      <c r="C1467" s="6" t="s">
        <v>207</v>
      </c>
      <c r="D1467" s="1" t="s">
        <v>98</v>
      </c>
      <c r="E1467">
        <v>0</v>
      </c>
      <c r="F1467">
        <v>0</v>
      </c>
      <c r="G1467">
        <v>0</v>
      </c>
      <c r="H1467">
        <v>0</v>
      </c>
      <c r="I1467">
        <v>175</v>
      </c>
      <c r="J1467">
        <v>1460</v>
      </c>
      <c r="K1467">
        <v>161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133</v>
      </c>
      <c r="R1467">
        <v>0</v>
      </c>
      <c r="S1467" s="18" t="e">
        <f t="shared" si="226"/>
        <v>#DIV/0!</v>
      </c>
      <c r="T1467" s="17" t="e">
        <f t="shared" si="227"/>
        <v>#DIV/0!</v>
      </c>
      <c r="U1467" s="17" t="e">
        <f t="shared" si="228"/>
        <v>#DIV/0!</v>
      </c>
      <c r="V1467" s="17" t="e">
        <f t="shared" si="229"/>
        <v>#DIV/0!</v>
      </c>
      <c r="W1467" s="17" t="e">
        <f t="shared" si="230"/>
        <v>#DIV/0!</v>
      </c>
      <c r="X1467" s="17" t="e">
        <f t="shared" si="231"/>
        <v>#DIV/0!</v>
      </c>
      <c r="Y1467" s="19" t="e">
        <f t="shared" si="232"/>
        <v>#DIV/0!</v>
      </c>
      <c r="Z1467">
        <v>0</v>
      </c>
      <c r="AA1467">
        <v>0</v>
      </c>
      <c r="AB1467">
        <v>0</v>
      </c>
      <c r="AC1467">
        <v>850</v>
      </c>
      <c r="AD1467">
        <v>0</v>
      </c>
      <c r="AE1467">
        <v>0</v>
      </c>
      <c r="AF1467">
        <v>0</v>
      </c>
      <c r="AG1467">
        <v>175</v>
      </c>
      <c r="AH1467">
        <v>175</v>
      </c>
      <c r="AI1467">
        <v>0</v>
      </c>
      <c r="AJ1467">
        <v>0</v>
      </c>
      <c r="AK1467">
        <v>1460</v>
      </c>
      <c r="AL1467">
        <v>1460</v>
      </c>
      <c r="AM1467">
        <v>0</v>
      </c>
      <c r="AN1467">
        <v>0</v>
      </c>
      <c r="AO1467">
        <v>161</v>
      </c>
      <c r="AP1467">
        <v>95</v>
      </c>
      <c r="AQ1467">
        <v>161</v>
      </c>
      <c r="AR1467">
        <v>66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f t="shared" si="233"/>
        <v>4603</v>
      </c>
      <c r="BF1467">
        <v>2646</v>
      </c>
      <c r="BG1467">
        <v>2646</v>
      </c>
      <c r="BH1467" t="s">
        <v>82</v>
      </c>
      <c r="BI1467" t="s">
        <v>1809</v>
      </c>
      <c r="BJ1467">
        <v>850</v>
      </c>
      <c r="BK1467">
        <v>1796</v>
      </c>
      <c r="BL1467">
        <v>2646</v>
      </c>
      <c r="BM1467">
        <v>0</v>
      </c>
      <c r="BN1467">
        <v>0</v>
      </c>
      <c r="BO1467">
        <v>0</v>
      </c>
      <c r="BP1467">
        <v>1796</v>
      </c>
      <c r="BQ1467">
        <v>1796</v>
      </c>
      <c r="BR1467">
        <f t="shared" si="234"/>
        <v>-133</v>
      </c>
      <c r="BS1467">
        <f t="shared" si="235"/>
        <v>133</v>
      </c>
    </row>
    <row r="1468" spans="1:74" x14ac:dyDescent="0.25">
      <c r="A1468" s="5" t="s">
        <v>61</v>
      </c>
      <c r="B1468" s="5" t="s">
        <v>207</v>
      </c>
      <c r="C1468" s="7" t="s">
        <v>61</v>
      </c>
      <c r="D1468" s="1" t="s">
        <v>79</v>
      </c>
      <c r="E1468">
        <v>0</v>
      </c>
      <c r="F1468">
        <v>421</v>
      </c>
      <c r="G1468">
        <v>0</v>
      </c>
      <c r="H1468">
        <v>0</v>
      </c>
      <c r="I1468">
        <v>258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3789</v>
      </c>
      <c r="Q1468">
        <v>555</v>
      </c>
      <c r="R1468">
        <v>421</v>
      </c>
      <c r="S1468" s="18">
        <f t="shared" si="226"/>
        <v>9</v>
      </c>
      <c r="T1468" s="17">
        <f t="shared" si="227"/>
        <v>0</v>
      </c>
      <c r="U1468" s="17">
        <f t="shared" si="228"/>
        <v>0</v>
      </c>
      <c r="V1468" s="17">
        <f t="shared" si="229"/>
        <v>0</v>
      </c>
      <c r="W1468" s="17">
        <f t="shared" si="230"/>
        <v>421</v>
      </c>
      <c r="X1468" s="17">
        <f t="shared" si="231"/>
        <v>134</v>
      </c>
      <c r="Y1468" s="19">
        <f t="shared" si="232"/>
        <v>0</v>
      </c>
      <c r="Z1468">
        <v>421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258</v>
      </c>
      <c r="AH1468">
        <v>258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f t="shared" si="233"/>
        <v>516</v>
      </c>
      <c r="BF1468">
        <v>679</v>
      </c>
      <c r="BG1468">
        <v>679</v>
      </c>
      <c r="BH1468" t="s">
        <v>109</v>
      </c>
      <c r="BI1468" t="s">
        <v>216</v>
      </c>
      <c r="BJ1468">
        <v>0</v>
      </c>
      <c r="BK1468">
        <v>258</v>
      </c>
      <c r="BL1468">
        <v>679</v>
      </c>
      <c r="BM1468">
        <v>0</v>
      </c>
      <c r="BN1468">
        <v>0</v>
      </c>
      <c r="BO1468">
        <v>0</v>
      </c>
      <c r="BP1468">
        <v>4047</v>
      </c>
      <c r="BQ1468">
        <v>4047</v>
      </c>
      <c r="BR1468">
        <f t="shared" si="234"/>
        <v>-134</v>
      </c>
      <c r="BS1468">
        <f t="shared" si="235"/>
        <v>976</v>
      </c>
    </row>
    <row r="1469" spans="1:74" x14ac:dyDescent="0.25">
      <c r="A1469" s="5" t="s">
        <v>359</v>
      </c>
      <c r="B1469" s="5" t="s">
        <v>207</v>
      </c>
      <c r="C1469" s="5" t="s">
        <v>61</v>
      </c>
      <c r="D1469" s="1" t="s">
        <v>90</v>
      </c>
      <c r="E1469">
        <v>0</v>
      </c>
      <c r="F1469">
        <v>0</v>
      </c>
      <c r="G1469">
        <v>0</v>
      </c>
      <c r="H1469">
        <v>0</v>
      </c>
      <c r="I1469">
        <v>140</v>
      </c>
      <c r="J1469">
        <v>2400</v>
      </c>
      <c r="K1469">
        <v>70</v>
      </c>
      <c r="L1469">
        <v>20</v>
      </c>
      <c r="M1469">
        <v>0</v>
      </c>
      <c r="N1469">
        <v>0</v>
      </c>
      <c r="O1469">
        <v>0</v>
      </c>
      <c r="P1469">
        <v>0</v>
      </c>
      <c r="Q1469">
        <v>134</v>
      </c>
      <c r="R1469">
        <v>0</v>
      </c>
      <c r="S1469" s="18" t="e">
        <f t="shared" si="226"/>
        <v>#DIV/0!</v>
      </c>
      <c r="T1469" s="17" t="e">
        <f t="shared" si="227"/>
        <v>#DIV/0!</v>
      </c>
      <c r="U1469" s="17" t="e">
        <f t="shared" si="228"/>
        <v>#DIV/0!</v>
      </c>
      <c r="V1469" s="17" t="e">
        <f t="shared" si="229"/>
        <v>#DIV/0!</v>
      </c>
      <c r="W1469" s="17" t="e">
        <f t="shared" si="230"/>
        <v>#DIV/0!</v>
      </c>
      <c r="X1469" s="17" t="e">
        <f t="shared" si="231"/>
        <v>#DIV/0!</v>
      </c>
      <c r="Y1469" s="19" t="e">
        <f t="shared" si="232"/>
        <v>#DIV/0!</v>
      </c>
      <c r="Z1469">
        <v>0</v>
      </c>
      <c r="AA1469">
        <v>2</v>
      </c>
      <c r="AB1469">
        <v>153</v>
      </c>
      <c r="AC1469">
        <v>812</v>
      </c>
      <c r="AD1469">
        <v>0</v>
      </c>
      <c r="AE1469">
        <v>0</v>
      </c>
      <c r="AF1469">
        <v>0</v>
      </c>
      <c r="AG1469">
        <v>140</v>
      </c>
      <c r="AH1469">
        <v>140</v>
      </c>
      <c r="AI1469">
        <v>0</v>
      </c>
      <c r="AJ1469">
        <v>0</v>
      </c>
      <c r="AK1469">
        <v>2400</v>
      </c>
      <c r="AL1469">
        <v>2400</v>
      </c>
      <c r="AM1469">
        <v>0</v>
      </c>
      <c r="AN1469">
        <v>0</v>
      </c>
      <c r="AO1469">
        <v>70</v>
      </c>
      <c r="AP1469">
        <v>0</v>
      </c>
      <c r="AQ1469">
        <v>70</v>
      </c>
      <c r="AR1469">
        <v>70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20</v>
      </c>
      <c r="BA1469">
        <v>20</v>
      </c>
      <c r="BB1469">
        <v>0</v>
      </c>
      <c r="BC1469">
        <v>0</v>
      </c>
      <c r="BD1469">
        <v>0</v>
      </c>
      <c r="BE1469">
        <f t="shared" si="233"/>
        <v>6142</v>
      </c>
      <c r="BF1469">
        <v>3597</v>
      </c>
      <c r="BG1469">
        <v>3597</v>
      </c>
      <c r="BH1469" t="s">
        <v>82</v>
      </c>
      <c r="BI1469" t="s">
        <v>743</v>
      </c>
      <c r="BJ1469">
        <v>967</v>
      </c>
      <c r="BK1469">
        <v>2630</v>
      </c>
      <c r="BL1469">
        <v>3597</v>
      </c>
      <c r="BM1469">
        <v>0</v>
      </c>
      <c r="BN1469">
        <v>0</v>
      </c>
      <c r="BO1469">
        <v>0</v>
      </c>
      <c r="BP1469">
        <v>2630</v>
      </c>
      <c r="BQ1469">
        <v>2630</v>
      </c>
      <c r="BR1469">
        <f t="shared" si="234"/>
        <v>-134</v>
      </c>
      <c r="BS1469">
        <f t="shared" si="235"/>
        <v>134</v>
      </c>
    </row>
    <row r="1470" spans="1:74" x14ac:dyDescent="0.25">
      <c r="A1470" s="5" t="s">
        <v>61</v>
      </c>
      <c r="B1470" s="5" t="s">
        <v>207</v>
      </c>
      <c r="C1470" s="5" t="s">
        <v>61</v>
      </c>
      <c r="D1470" s="1" t="s">
        <v>65</v>
      </c>
      <c r="E1470">
        <v>0</v>
      </c>
      <c r="F1470">
        <v>0</v>
      </c>
      <c r="G1470">
        <v>0</v>
      </c>
      <c r="H1470">
        <v>0</v>
      </c>
      <c r="I1470">
        <v>670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56</v>
      </c>
      <c r="R1470">
        <v>0</v>
      </c>
      <c r="S1470" s="18" t="e">
        <f t="shared" si="226"/>
        <v>#DIV/0!</v>
      </c>
      <c r="T1470" s="17" t="e">
        <f t="shared" si="227"/>
        <v>#DIV/0!</v>
      </c>
      <c r="U1470" s="17" t="e">
        <f t="shared" si="228"/>
        <v>#DIV/0!</v>
      </c>
      <c r="V1470" s="17" t="e">
        <f t="shared" si="229"/>
        <v>#DIV/0!</v>
      </c>
      <c r="W1470" s="17" t="e">
        <f t="shared" si="230"/>
        <v>#DIV/0!</v>
      </c>
      <c r="X1470" s="17" t="e">
        <f t="shared" si="231"/>
        <v>#DIV/0!</v>
      </c>
      <c r="Y1470" s="19" t="e">
        <f t="shared" si="232"/>
        <v>#DIV/0!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670</v>
      </c>
      <c r="AH1470">
        <v>670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f t="shared" si="233"/>
        <v>1340</v>
      </c>
      <c r="BF1470">
        <v>670</v>
      </c>
      <c r="BG1470">
        <v>670</v>
      </c>
      <c r="BH1470" t="s">
        <v>63</v>
      </c>
      <c r="BI1470" t="s">
        <v>209</v>
      </c>
      <c r="BJ1470">
        <v>0</v>
      </c>
      <c r="BK1470">
        <v>670</v>
      </c>
      <c r="BL1470">
        <v>670</v>
      </c>
      <c r="BM1470">
        <v>0</v>
      </c>
      <c r="BN1470">
        <v>0</v>
      </c>
      <c r="BO1470">
        <v>0</v>
      </c>
      <c r="BP1470">
        <v>670</v>
      </c>
      <c r="BQ1470">
        <v>670</v>
      </c>
      <c r="BR1470">
        <f t="shared" si="234"/>
        <v>-56</v>
      </c>
      <c r="BS1470">
        <f t="shared" si="235"/>
        <v>56</v>
      </c>
      <c r="BU1470">
        <f>R1470*9</f>
        <v>0</v>
      </c>
      <c r="BV1470">
        <f>IF(BU1470&gt;BG1470, 1, 0)</f>
        <v>0</v>
      </c>
    </row>
    <row r="1471" spans="1:74" x14ac:dyDescent="0.25">
      <c r="A1471" s="5" t="s">
        <v>61</v>
      </c>
      <c r="B1471" s="5" t="s">
        <v>207</v>
      </c>
      <c r="C1471" s="5" t="s">
        <v>61</v>
      </c>
      <c r="D1471" s="1" t="s">
        <v>117</v>
      </c>
      <c r="E1471">
        <v>0</v>
      </c>
      <c r="F1471">
        <v>95</v>
      </c>
      <c r="G1471">
        <v>0</v>
      </c>
      <c r="H1471">
        <v>0</v>
      </c>
      <c r="I1471">
        <v>480</v>
      </c>
      <c r="J1471">
        <v>0</v>
      </c>
      <c r="K1471">
        <v>475</v>
      </c>
      <c r="L1471">
        <v>0</v>
      </c>
      <c r="M1471">
        <v>0</v>
      </c>
      <c r="N1471">
        <v>0</v>
      </c>
      <c r="O1471">
        <v>0</v>
      </c>
      <c r="P1471">
        <v>540</v>
      </c>
      <c r="Q1471">
        <v>195</v>
      </c>
      <c r="R1471">
        <v>60</v>
      </c>
      <c r="S1471" s="18">
        <f t="shared" si="226"/>
        <v>9</v>
      </c>
      <c r="T1471" s="17">
        <f t="shared" si="227"/>
        <v>0</v>
      </c>
      <c r="U1471" s="17">
        <f t="shared" si="228"/>
        <v>0</v>
      </c>
      <c r="V1471" s="17">
        <f t="shared" si="229"/>
        <v>0</v>
      </c>
      <c r="W1471" s="17">
        <f t="shared" si="230"/>
        <v>60</v>
      </c>
      <c r="X1471" s="17">
        <f t="shared" si="231"/>
        <v>135</v>
      </c>
      <c r="Y1471" s="19">
        <f t="shared" si="232"/>
        <v>0</v>
      </c>
      <c r="Z1471">
        <v>95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480</v>
      </c>
      <c r="AH1471">
        <v>480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475</v>
      </c>
      <c r="AP1471">
        <v>60</v>
      </c>
      <c r="AQ1471">
        <v>475</v>
      </c>
      <c r="AR1471">
        <v>415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f t="shared" si="233"/>
        <v>2385</v>
      </c>
      <c r="BF1471">
        <v>1050</v>
      </c>
      <c r="BG1471">
        <v>1050</v>
      </c>
      <c r="BH1471" t="s">
        <v>109</v>
      </c>
      <c r="BI1471" t="s">
        <v>235</v>
      </c>
      <c r="BJ1471">
        <v>0</v>
      </c>
      <c r="BK1471">
        <v>955</v>
      </c>
      <c r="BL1471">
        <v>1050</v>
      </c>
      <c r="BM1471">
        <v>0</v>
      </c>
      <c r="BN1471">
        <v>0</v>
      </c>
      <c r="BO1471">
        <v>0</v>
      </c>
      <c r="BP1471">
        <v>1495</v>
      </c>
      <c r="BQ1471">
        <v>1495</v>
      </c>
      <c r="BR1471">
        <f t="shared" si="234"/>
        <v>-135</v>
      </c>
      <c r="BS1471">
        <f t="shared" si="235"/>
        <v>255</v>
      </c>
    </row>
    <row r="1472" spans="1:74" x14ac:dyDescent="0.25">
      <c r="A1472" s="5" t="s">
        <v>61</v>
      </c>
      <c r="B1472" s="5" t="s">
        <v>207</v>
      </c>
      <c r="C1472" s="5" t="s">
        <v>207</v>
      </c>
      <c r="D1472" s="1" t="s">
        <v>113</v>
      </c>
      <c r="E1472">
        <v>0</v>
      </c>
      <c r="F1472">
        <v>7</v>
      </c>
      <c r="G1472">
        <v>0</v>
      </c>
      <c r="H1472">
        <v>0</v>
      </c>
      <c r="I1472">
        <v>85</v>
      </c>
      <c r="J1472">
        <v>0</v>
      </c>
      <c r="K1472">
        <v>0</v>
      </c>
      <c r="L1472">
        <v>0</v>
      </c>
      <c r="M1472">
        <v>63</v>
      </c>
      <c r="N1472">
        <v>0</v>
      </c>
      <c r="O1472">
        <v>0</v>
      </c>
      <c r="P1472">
        <v>0</v>
      </c>
      <c r="Q1472">
        <v>142</v>
      </c>
      <c r="R1472">
        <v>7</v>
      </c>
      <c r="S1472" s="18">
        <f t="shared" si="226"/>
        <v>9</v>
      </c>
      <c r="T1472" s="17">
        <f t="shared" si="227"/>
        <v>7</v>
      </c>
      <c r="U1472" s="17">
        <f t="shared" si="228"/>
        <v>0</v>
      </c>
      <c r="V1472" s="17">
        <f t="shared" si="229"/>
        <v>0</v>
      </c>
      <c r="W1472" s="17">
        <f t="shared" si="230"/>
        <v>0</v>
      </c>
      <c r="X1472" s="17">
        <f t="shared" si="231"/>
        <v>135</v>
      </c>
      <c r="Y1472" s="19">
        <f t="shared" si="232"/>
        <v>0</v>
      </c>
      <c r="Z1472">
        <v>7</v>
      </c>
      <c r="AA1472">
        <v>0</v>
      </c>
      <c r="AB1472">
        <v>0</v>
      </c>
      <c r="AC1472">
        <v>0</v>
      </c>
      <c r="AD1472">
        <v>85</v>
      </c>
      <c r="AE1472">
        <v>0</v>
      </c>
      <c r="AF1472">
        <v>0</v>
      </c>
      <c r="AG1472">
        <v>0</v>
      </c>
      <c r="AH1472">
        <v>85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f t="shared" si="233"/>
        <v>170</v>
      </c>
      <c r="BF1472">
        <v>92</v>
      </c>
      <c r="BG1472">
        <v>92</v>
      </c>
      <c r="BH1472" t="s">
        <v>109</v>
      </c>
      <c r="BI1472" t="s">
        <v>303</v>
      </c>
      <c r="BJ1472">
        <v>0</v>
      </c>
      <c r="BK1472">
        <v>85</v>
      </c>
      <c r="BL1472">
        <v>92</v>
      </c>
      <c r="BM1472">
        <v>148</v>
      </c>
      <c r="BN1472">
        <v>0</v>
      </c>
      <c r="BO1472">
        <v>0</v>
      </c>
      <c r="BP1472">
        <v>0</v>
      </c>
      <c r="BQ1472">
        <v>148</v>
      </c>
      <c r="BR1472">
        <f t="shared" si="234"/>
        <v>-135</v>
      </c>
      <c r="BS1472">
        <f t="shared" si="235"/>
        <v>149</v>
      </c>
    </row>
    <row r="1473" spans="1:74" x14ac:dyDescent="0.25">
      <c r="A1473" s="5" t="s">
        <v>207</v>
      </c>
      <c r="B1473" s="5" t="s">
        <v>627</v>
      </c>
      <c r="C1473" s="5" t="s">
        <v>61</v>
      </c>
      <c r="D1473" s="1" t="s">
        <v>119</v>
      </c>
      <c r="E1473">
        <v>0</v>
      </c>
      <c r="F1473">
        <v>20</v>
      </c>
      <c r="G1473">
        <v>0</v>
      </c>
      <c r="H1473">
        <v>0</v>
      </c>
      <c r="I1473">
        <v>550</v>
      </c>
      <c r="J1473">
        <v>2100</v>
      </c>
      <c r="K1473">
        <v>204</v>
      </c>
      <c r="L1473">
        <v>15</v>
      </c>
      <c r="M1473">
        <v>0</v>
      </c>
      <c r="N1473">
        <v>0</v>
      </c>
      <c r="O1473">
        <v>0</v>
      </c>
      <c r="P1473">
        <v>90</v>
      </c>
      <c r="Q1473">
        <v>145</v>
      </c>
      <c r="R1473">
        <v>10</v>
      </c>
      <c r="S1473" s="18">
        <f t="shared" si="226"/>
        <v>9</v>
      </c>
      <c r="T1473" s="17">
        <f t="shared" si="227"/>
        <v>0</v>
      </c>
      <c r="U1473" s="17">
        <f t="shared" si="228"/>
        <v>0</v>
      </c>
      <c r="V1473" s="17">
        <f t="shared" si="229"/>
        <v>0</v>
      </c>
      <c r="W1473" s="17">
        <f t="shared" si="230"/>
        <v>10</v>
      </c>
      <c r="X1473" s="17">
        <f t="shared" si="231"/>
        <v>135</v>
      </c>
      <c r="Y1473" s="19">
        <f t="shared" si="232"/>
        <v>0</v>
      </c>
      <c r="Z1473">
        <v>20</v>
      </c>
      <c r="AA1473">
        <v>6</v>
      </c>
      <c r="AB1473">
        <v>250</v>
      </c>
      <c r="AC1473">
        <v>2592</v>
      </c>
      <c r="AD1473">
        <v>0</v>
      </c>
      <c r="AE1473">
        <v>0</v>
      </c>
      <c r="AF1473">
        <v>0</v>
      </c>
      <c r="AG1473">
        <v>550</v>
      </c>
      <c r="AH1473">
        <v>550</v>
      </c>
      <c r="AI1473">
        <v>0</v>
      </c>
      <c r="AJ1473">
        <v>0</v>
      </c>
      <c r="AK1473">
        <v>2100</v>
      </c>
      <c r="AL1473">
        <v>2100</v>
      </c>
      <c r="AM1473">
        <v>0</v>
      </c>
      <c r="AN1473">
        <v>0</v>
      </c>
      <c r="AO1473">
        <v>204</v>
      </c>
      <c r="AP1473">
        <v>108</v>
      </c>
      <c r="AQ1473">
        <v>204</v>
      </c>
      <c r="AR1473">
        <v>96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15</v>
      </c>
      <c r="BA1473">
        <v>15</v>
      </c>
      <c r="BB1473">
        <v>0</v>
      </c>
      <c r="BC1473">
        <v>0</v>
      </c>
      <c r="BD1473">
        <v>0</v>
      </c>
      <c r="BE1473">
        <f t="shared" si="233"/>
        <v>8534</v>
      </c>
      <c r="BF1473">
        <v>5737</v>
      </c>
      <c r="BG1473">
        <v>5737</v>
      </c>
      <c r="BH1473" t="s">
        <v>82</v>
      </c>
      <c r="BI1473" t="s">
        <v>653</v>
      </c>
      <c r="BJ1473">
        <v>2848</v>
      </c>
      <c r="BK1473">
        <v>2869</v>
      </c>
      <c r="BL1473">
        <v>5737</v>
      </c>
      <c r="BM1473">
        <v>0</v>
      </c>
      <c r="BN1473">
        <v>0</v>
      </c>
      <c r="BO1473">
        <v>0</v>
      </c>
      <c r="BP1473">
        <v>2959</v>
      </c>
      <c r="BQ1473">
        <v>2959</v>
      </c>
      <c r="BR1473">
        <f t="shared" si="234"/>
        <v>-135</v>
      </c>
      <c r="BS1473">
        <f t="shared" si="235"/>
        <v>155</v>
      </c>
    </row>
    <row r="1474" spans="1:74" x14ac:dyDescent="0.25">
      <c r="A1474" s="5" t="s">
        <v>359</v>
      </c>
      <c r="B1474" s="5" t="s">
        <v>627</v>
      </c>
      <c r="C1474" s="5" t="s">
        <v>61</v>
      </c>
      <c r="D1474" s="1" t="s">
        <v>73</v>
      </c>
      <c r="E1474">
        <v>0</v>
      </c>
      <c r="F1474">
        <v>0</v>
      </c>
      <c r="G1474">
        <v>0</v>
      </c>
      <c r="H1474">
        <v>0</v>
      </c>
      <c r="I1474">
        <v>840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135</v>
      </c>
      <c r="R1474">
        <v>0</v>
      </c>
      <c r="S1474" s="18" t="e">
        <f t="shared" ref="S1474:S1537" si="236">(M1474+N1474+O1474+P1474)/R1474</f>
        <v>#DIV/0!</v>
      </c>
      <c r="T1474" s="17" t="e">
        <f t="shared" ref="T1474:T1537" si="237">M1474/$S1474</f>
        <v>#DIV/0!</v>
      </c>
      <c r="U1474" s="17" t="e">
        <f t="shared" ref="U1474:U1537" si="238">N1474/$S1474</f>
        <v>#DIV/0!</v>
      </c>
      <c r="V1474" s="17" t="e">
        <f t="shared" ref="V1474:V1537" si="239">O1474/$S1474</f>
        <v>#DIV/0!</v>
      </c>
      <c r="W1474" s="17" t="e">
        <f t="shared" ref="W1474:W1537" si="240">P1474/$S1474</f>
        <v>#DIV/0!</v>
      </c>
      <c r="X1474" s="17" t="e">
        <f t="shared" ref="X1474:X1537" si="241">Q1474-T1474-U1474-W1474</f>
        <v>#DIV/0!</v>
      </c>
      <c r="Y1474" s="19" t="e">
        <f t="shared" ref="Y1474:Y1537" si="242">V1474/X1474</f>
        <v>#DIV/0!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840</v>
      </c>
      <c r="AH1474">
        <v>840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f t="shared" ref="BE1474:BE1537" si="243">SUM(AC1474:BD1474)</f>
        <v>1680</v>
      </c>
      <c r="BF1474">
        <v>840</v>
      </c>
      <c r="BG1474">
        <v>840</v>
      </c>
      <c r="BH1474" t="s">
        <v>109</v>
      </c>
      <c r="BI1474" t="s">
        <v>797</v>
      </c>
      <c r="BJ1474">
        <v>0</v>
      </c>
      <c r="BK1474">
        <v>840</v>
      </c>
      <c r="BL1474">
        <v>840</v>
      </c>
      <c r="BM1474">
        <v>0</v>
      </c>
      <c r="BN1474">
        <v>0</v>
      </c>
      <c r="BO1474">
        <v>0</v>
      </c>
      <c r="BP1474">
        <v>840</v>
      </c>
      <c r="BQ1474">
        <v>840</v>
      </c>
      <c r="BR1474">
        <f t="shared" ref="BR1474:BR1537" si="244">R1474-Q1474</f>
        <v>-135</v>
      </c>
      <c r="BS1474">
        <f t="shared" ref="BS1474:BS1537" si="245">R1474+Q1474</f>
        <v>135</v>
      </c>
    </row>
    <row r="1475" spans="1:74" x14ac:dyDescent="0.25">
      <c r="A1475" s="5" t="s">
        <v>1017</v>
      </c>
      <c r="B1475" s="5" t="s">
        <v>61</v>
      </c>
      <c r="C1475" s="5" t="s">
        <v>207</v>
      </c>
      <c r="D1475" s="1" t="s">
        <v>108</v>
      </c>
      <c r="E1475">
        <v>0</v>
      </c>
      <c r="F1475">
        <v>0</v>
      </c>
      <c r="G1475">
        <v>0</v>
      </c>
      <c r="H1475">
        <v>0</v>
      </c>
      <c r="I1475">
        <v>159</v>
      </c>
      <c r="J1475">
        <v>1572</v>
      </c>
      <c r="K1475">
        <v>39</v>
      </c>
      <c r="L1475">
        <v>20</v>
      </c>
      <c r="M1475">
        <v>0</v>
      </c>
      <c r="N1475">
        <v>0</v>
      </c>
      <c r="O1475">
        <v>0</v>
      </c>
      <c r="P1475">
        <v>0</v>
      </c>
      <c r="Q1475">
        <v>136</v>
      </c>
      <c r="R1475">
        <v>0</v>
      </c>
      <c r="S1475" s="18" t="e">
        <f t="shared" si="236"/>
        <v>#DIV/0!</v>
      </c>
      <c r="T1475" s="17" t="e">
        <f t="shared" si="237"/>
        <v>#DIV/0!</v>
      </c>
      <c r="U1475" s="17" t="e">
        <f t="shared" si="238"/>
        <v>#DIV/0!</v>
      </c>
      <c r="V1475" s="17" t="e">
        <f t="shared" si="239"/>
        <v>#DIV/0!</v>
      </c>
      <c r="W1475" s="17" t="e">
        <f t="shared" si="240"/>
        <v>#DIV/0!</v>
      </c>
      <c r="X1475" s="17" t="e">
        <f t="shared" si="241"/>
        <v>#DIV/0!</v>
      </c>
      <c r="Y1475" s="19" t="e">
        <f t="shared" si="242"/>
        <v>#DIV/0!</v>
      </c>
      <c r="Z1475">
        <v>0</v>
      </c>
      <c r="AA1475">
        <v>0</v>
      </c>
      <c r="AB1475">
        <v>192</v>
      </c>
      <c r="AC1475">
        <v>0</v>
      </c>
      <c r="AD1475">
        <v>0</v>
      </c>
      <c r="AE1475">
        <v>0</v>
      </c>
      <c r="AF1475">
        <v>0</v>
      </c>
      <c r="AG1475">
        <v>159</v>
      </c>
      <c r="AH1475">
        <v>159</v>
      </c>
      <c r="AI1475">
        <v>0</v>
      </c>
      <c r="AJ1475">
        <v>0</v>
      </c>
      <c r="AK1475">
        <v>1572</v>
      </c>
      <c r="AL1475">
        <v>1572</v>
      </c>
      <c r="AM1475">
        <v>0</v>
      </c>
      <c r="AN1475">
        <v>0</v>
      </c>
      <c r="AO1475">
        <v>39</v>
      </c>
      <c r="AP1475">
        <v>6</v>
      </c>
      <c r="AQ1475">
        <v>39</v>
      </c>
      <c r="AR1475">
        <v>33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20</v>
      </c>
      <c r="BA1475">
        <v>20</v>
      </c>
      <c r="BB1475">
        <v>0</v>
      </c>
      <c r="BC1475">
        <v>0</v>
      </c>
      <c r="BD1475">
        <v>0</v>
      </c>
      <c r="BE1475">
        <f t="shared" si="243"/>
        <v>3619</v>
      </c>
      <c r="BF1475">
        <v>1982</v>
      </c>
      <c r="BG1475">
        <v>1982</v>
      </c>
      <c r="BH1475" t="s">
        <v>82</v>
      </c>
      <c r="BI1475" t="s">
        <v>1066</v>
      </c>
      <c r="BJ1475">
        <v>192</v>
      </c>
      <c r="BK1475">
        <v>1790</v>
      </c>
      <c r="BL1475">
        <v>1982</v>
      </c>
      <c r="BM1475">
        <v>0</v>
      </c>
      <c r="BN1475">
        <v>0</v>
      </c>
      <c r="BO1475">
        <v>0</v>
      </c>
      <c r="BP1475">
        <v>1790</v>
      </c>
      <c r="BQ1475">
        <v>1790</v>
      </c>
      <c r="BR1475">
        <f t="shared" si="244"/>
        <v>-136</v>
      </c>
      <c r="BS1475">
        <f t="shared" si="245"/>
        <v>136</v>
      </c>
    </row>
    <row r="1476" spans="1:74" x14ac:dyDescent="0.25">
      <c r="A1476" s="5" t="s">
        <v>875</v>
      </c>
      <c r="B1476" s="5" t="s">
        <v>61</v>
      </c>
      <c r="C1476" s="5" t="s">
        <v>207</v>
      </c>
      <c r="D1476" s="1" t="s">
        <v>141</v>
      </c>
      <c r="E1476">
        <v>0</v>
      </c>
      <c r="F1476">
        <v>105</v>
      </c>
      <c r="G1476">
        <v>0</v>
      </c>
      <c r="H1476">
        <v>0</v>
      </c>
      <c r="I1476">
        <v>750</v>
      </c>
      <c r="J1476">
        <v>0</v>
      </c>
      <c r="K1476">
        <v>0</v>
      </c>
      <c r="L1476">
        <v>0</v>
      </c>
      <c r="M1476">
        <v>315</v>
      </c>
      <c r="N1476">
        <v>0</v>
      </c>
      <c r="O1476">
        <v>0</v>
      </c>
      <c r="P1476">
        <v>0</v>
      </c>
      <c r="Q1476">
        <v>172</v>
      </c>
      <c r="R1476">
        <v>35</v>
      </c>
      <c r="S1476" s="18">
        <f t="shared" si="236"/>
        <v>9</v>
      </c>
      <c r="T1476" s="17">
        <f t="shared" si="237"/>
        <v>35</v>
      </c>
      <c r="U1476" s="17">
        <f t="shared" si="238"/>
        <v>0</v>
      </c>
      <c r="V1476" s="17">
        <f t="shared" si="239"/>
        <v>0</v>
      </c>
      <c r="W1476" s="17">
        <f t="shared" si="240"/>
        <v>0</v>
      </c>
      <c r="X1476" s="17">
        <f t="shared" si="241"/>
        <v>137</v>
      </c>
      <c r="Y1476" s="19">
        <f t="shared" si="242"/>
        <v>0</v>
      </c>
      <c r="Z1476">
        <v>105</v>
      </c>
      <c r="AA1476">
        <v>0</v>
      </c>
      <c r="AB1476">
        <v>0</v>
      </c>
      <c r="AC1476">
        <v>0</v>
      </c>
      <c r="AD1476">
        <v>310</v>
      </c>
      <c r="AE1476">
        <v>0</v>
      </c>
      <c r="AF1476">
        <v>0</v>
      </c>
      <c r="AG1476">
        <v>440</v>
      </c>
      <c r="AH1476">
        <v>750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f t="shared" si="243"/>
        <v>1500</v>
      </c>
      <c r="BF1476">
        <v>855</v>
      </c>
      <c r="BG1476">
        <v>855</v>
      </c>
      <c r="BH1476" t="s">
        <v>109</v>
      </c>
      <c r="BI1476" t="s">
        <v>910</v>
      </c>
      <c r="BJ1476">
        <v>0</v>
      </c>
      <c r="BK1476">
        <v>750</v>
      </c>
      <c r="BL1476">
        <v>855</v>
      </c>
      <c r="BM1476">
        <v>625</v>
      </c>
      <c r="BN1476">
        <v>0</v>
      </c>
      <c r="BO1476">
        <v>0</v>
      </c>
      <c r="BP1476">
        <v>440</v>
      </c>
      <c r="BQ1476">
        <v>1065</v>
      </c>
      <c r="BR1476">
        <f t="shared" si="244"/>
        <v>-137</v>
      </c>
      <c r="BS1476">
        <f t="shared" si="245"/>
        <v>207</v>
      </c>
    </row>
    <row r="1477" spans="1:74" x14ac:dyDescent="0.25">
      <c r="A1477" s="5" t="s">
        <v>1451</v>
      </c>
      <c r="B1477" s="5" t="s">
        <v>207</v>
      </c>
      <c r="C1477" s="5" t="s">
        <v>207</v>
      </c>
      <c r="D1477" s="1" t="s">
        <v>137</v>
      </c>
      <c r="E1477">
        <v>0</v>
      </c>
      <c r="F1477">
        <v>141</v>
      </c>
      <c r="G1477">
        <v>0</v>
      </c>
      <c r="H1477">
        <v>0</v>
      </c>
      <c r="I1477">
        <v>276</v>
      </c>
      <c r="J1477">
        <v>0</v>
      </c>
      <c r="K1477">
        <v>765</v>
      </c>
      <c r="L1477">
        <v>0</v>
      </c>
      <c r="M1477">
        <v>945</v>
      </c>
      <c r="N1477">
        <v>0</v>
      </c>
      <c r="O1477">
        <v>0</v>
      </c>
      <c r="P1477">
        <v>153</v>
      </c>
      <c r="Q1477">
        <v>259</v>
      </c>
      <c r="R1477">
        <v>122</v>
      </c>
      <c r="S1477" s="18">
        <f t="shared" si="236"/>
        <v>9</v>
      </c>
      <c r="T1477" s="17">
        <f t="shared" si="237"/>
        <v>105</v>
      </c>
      <c r="U1477" s="17">
        <f t="shared" si="238"/>
        <v>0</v>
      </c>
      <c r="V1477" s="17">
        <f t="shared" si="239"/>
        <v>0</v>
      </c>
      <c r="W1477" s="17">
        <f t="shared" si="240"/>
        <v>17</v>
      </c>
      <c r="X1477" s="17">
        <f t="shared" si="241"/>
        <v>137</v>
      </c>
      <c r="Y1477" s="19">
        <f t="shared" si="242"/>
        <v>0</v>
      </c>
      <c r="Z1477">
        <v>141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276</v>
      </c>
      <c r="AH1477">
        <v>276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765</v>
      </c>
      <c r="AP1477">
        <v>397</v>
      </c>
      <c r="AQ1477">
        <v>765</v>
      </c>
      <c r="AR1477">
        <v>368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f t="shared" si="243"/>
        <v>2847</v>
      </c>
      <c r="BF1477">
        <v>1182</v>
      </c>
      <c r="BG1477">
        <v>1182</v>
      </c>
      <c r="BH1477" t="s">
        <v>109</v>
      </c>
      <c r="BI1477" t="s">
        <v>1430</v>
      </c>
      <c r="BJ1477">
        <v>0</v>
      </c>
      <c r="BK1477">
        <v>1041</v>
      </c>
      <c r="BL1477">
        <v>1182</v>
      </c>
      <c r="BM1477">
        <v>945</v>
      </c>
      <c r="BN1477">
        <v>0</v>
      </c>
      <c r="BO1477">
        <v>0</v>
      </c>
      <c r="BP1477">
        <v>1194</v>
      </c>
      <c r="BQ1477">
        <v>2139</v>
      </c>
      <c r="BR1477">
        <f t="shared" si="244"/>
        <v>-137</v>
      </c>
      <c r="BS1477">
        <f t="shared" si="245"/>
        <v>381</v>
      </c>
    </row>
    <row r="1478" spans="1:74" x14ac:dyDescent="0.25">
      <c r="A1478" s="5" t="s">
        <v>1451</v>
      </c>
      <c r="B1478" s="5" t="s">
        <v>359</v>
      </c>
      <c r="C1478" s="5" t="s">
        <v>61</v>
      </c>
      <c r="D1478" s="1" t="s">
        <v>129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987</v>
      </c>
      <c r="K1478">
        <v>310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137</v>
      </c>
      <c r="R1478">
        <v>0</v>
      </c>
      <c r="S1478" s="18" t="e">
        <f t="shared" si="236"/>
        <v>#DIV/0!</v>
      </c>
      <c r="T1478" s="17" t="e">
        <f t="shared" si="237"/>
        <v>#DIV/0!</v>
      </c>
      <c r="U1478" s="17" t="e">
        <f t="shared" si="238"/>
        <v>#DIV/0!</v>
      </c>
      <c r="V1478" s="17" t="e">
        <f t="shared" si="239"/>
        <v>#DIV/0!</v>
      </c>
      <c r="W1478" s="17" t="e">
        <f t="shared" si="240"/>
        <v>#DIV/0!</v>
      </c>
      <c r="X1478" s="17" t="e">
        <f t="shared" si="241"/>
        <v>#DIV/0!</v>
      </c>
      <c r="Y1478" s="19" t="e">
        <f t="shared" si="242"/>
        <v>#DIV/0!</v>
      </c>
      <c r="Z1478">
        <v>0</v>
      </c>
      <c r="AA1478">
        <v>0</v>
      </c>
      <c r="AB1478">
        <v>0</v>
      </c>
      <c r="AC1478">
        <v>780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987</v>
      </c>
      <c r="AL1478">
        <v>987</v>
      </c>
      <c r="AM1478">
        <v>0</v>
      </c>
      <c r="AN1478">
        <v>0</v>
      </c>
      <c r="AO1478">
        <v>310</v>
      </c>
      <c r="AP1478">
        <v>165</v>
      </c>
      <c r="AQ1478">
        <v>310</v>
      </c>
      <c r="AR1478">
        <v>145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f t="shared" si="243"/>
        <v>3684</v>
      </c>
      <c r="BF1478">
        <v>2077</v>
      </c>
      <c r="BG1478">
        <v>2077</v>
      </c>
      <c r="BH1478" t="s">
        <v>82</v>
      </c>
      <c r="BI1478" t="s">
        <v>1627</v>
      </c>
      <c r="BJ1478">
        <v>780</v>
      </c>
      <c r="BK1478">
        <v>1297</v>
      </c>
      <c r="BL1478">
        <v>2077</v>
      </c>
      <c r="BM1478">
        <v>0</v>
      </c>
      <c r="BN1478">
        <v>0</v>
      </c>
      <c r="BO1478">
        <v>0</v>
      </c>
      <c r="BP1478">
        <v>1297</v>
      </c>
      <c r="BQ1478">
        <v>1297</v>
      </c>
      <c r="BR1478">
        <f t="shared" si="244"/>
        <v>-137</v>
      </c>
      <c r="BS1478">
        <f t="shared" si="245"/>
        <v>137</v>
      </c>
    </row>
    <row r="1479" spans="1:74" x14ac:dyDescent="0.25">
      <c r="A1479" s="5" t="s">
        <v>1135</v>
      </c>
      <c r="B1479" s="5" t="s">
        <v>61</v>
      </c>
      <c r="C1479" s="5" t="s">
        <v>61</v>
      </c>
      <c r="D1479" s="1" t="s">
        <v>81</v>
      </c>
      <c r="E1479">
        <v>0</v>
      </c>
      <c r="F1479">
        <v>0</v>
      </c>
      <c r="G1479">
        <v>0</v>
      </c>
      <c r="H1479">
        <v>0</v>
      </c>
      <c r="I1479">
        <v>175</v>
      </c>
      <c r="J1479">
        <v>1203</v>
      </c>
      <c r="K1479">
        <v>125</v>
      </c>
      <c r="L1479">
        <v>15</v>
      </c>
      <c r="M1479">
        <v>0</v>
      </c>
      <c r="N1479">
        <v>0</v>
      </c>
      <c r="O1479">
        <v>0</v>
      </c>
      <c r="P1479">
        <v>0</v>
      </c>
      <c r="Q1479">
        <v>56</v>
      </c>
      <c r="R1479">
        <v>0</v>
      </c>
      <c r="S1479" s="18" t="e">
        <f t="shared" si="236"/>
        <v>#DIV/0!</v>
      </c>
      <c r="T1479" s="17" t="e">
        <f t="shared" si="237"/>
        <v>#DIV/0!</v>
      </c>
      <c r="U1479" s="17" t="e">
        <f t="shared" si="238"/>
        <v>#DIV/0!</v>
      </c>
      <c r="V1479" s="17" t="e">
        <f t="shared" si="239"/>
        <v>#DIV/0!</v>
      </c>
      <c r="W1479" s="17" t="e">
        <f t="shared" si="240"/>
        <v>#DIV/0!</v>
      </c>
      <c r="X1479" s="17" t="e">
        <f t="shared" si="241"/>
        <v>#DIV/0!</v>
      </c>
      <c r="Y1479" s="19" t="e">
        <f t="shared" si="242"/>
        <v>#DIV/0!</v>
      </c>
      <c r="Z1479">
        <v>0</v>
      </c>
      <c r="AA1479">
        <v>0</v>
      </c>
      <c r="AB1479">
        <v>0</v>
      </c>
      <c r="AC1479">
        <v>92</v>
      </c>
      <c r="AD1479">
        <v>0</v>
      </c>
      <c r="AE1479">
        <v>0</v>
      </c>
      <c r="AF1479">
        <v>0</v>
      </c>
      <c r="AG1479">
        <v>175</v>
      </c>
      <c r="AH1479">
        <v>175</v>
      </c>
      <c r="AI1479">
        <v>0</v>
      </c>
      <c r="AJ1479">
        <v>0</v>
      </c>
      <c r="AK1479">
        <v>1203</v>
      </c>
      <c r="AL1479">
        <v>1203</v>
      </c>
      <c r="AM1479">
        <v>0</v>
      </c>
      <c r="AN1479">
        <v>0</v>
      </c>
      <c r="AO1479">
        <v>125</v>
      </c>
      <c r="AP1479">
        <v>105</v>
      </c>
      <c r="AQ1479">
        <v>125</v>
      </c>
      <c r="AR1479">
        <v>20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15</v>
      </c>
      <c r="BA1479">
        <v>15</v>
      </c>
      <c r="BB1479">
        <v>0</v>
      </c>
      <c r="BC1479">
        <v>0</v>
      </c>
      <c r="BD1479">
        <v>0</v>
      </c>
      <c r="BE1479">
        <f t="shared" si="243"/>
        <v>3253</v>
      </c>
      <c r="BF1479">
        <v>1610</v>
      </c>
      <c r="BG1479">
        <v>1610</v>
      </c>
      <c r="BH1479" t="s">
        <v>63</v>
      </c>
      <c r="BI1479" t="s">
        <v>1143</v>
      </c>
      <c r="BJ1479">
        <v>92</v>
      </c>
      <c r="BK1479">
        <v>1518</v>
      </c>
      <c r="BL1479">
        <v>1610</v>
      </c>
      <c r="BM1479">
        <v>0</v>
      </c>
      <c r="BN1479">
        <v>0</v>
      </c>
      <c r="BO1479">
        <v>0</v>
      </c>
      <c r="BP1479">
        <v>1518</v>
      </c>
      <c r="BQ1479">
        <v>1518</v>
      </c>
      <c r="BR1479">
        <f t="shared" si="244"/>
        <v>-56</v>
      </c>
      <c r="BS1479">
        <f t="shared" si="245"/>
        <v>56</v>
      </c>
      <c r="BU1479">
        <f>R1479*9</f>
        <v>0</v>
      </c>
      <c r="BV1479">
        <f>IF(BU1479&gt;BG1479, 1, 0)</f>
        <v>0</v>
      </c>
    </row>
    <row r="1480" spans="1:74" x14ac:dyDescent="0.25">
      <c r="A1480" s="5" t="s">
        <v>207</v>
      </c>
      <c r="B1480" s="5" t="s">
        <v>61</v>
      </c>
      <c r="C1480" s="5" t="s">
        <v>61</v>
      </c>
      <c r="D1480" s="1" t="s">
        <v>133</v>
      </c>
      <c r="E1480">
        <v>0</v>
      </c>
      <c r="F1480">
        <v>0</v>
      </c>
      <c r="G1480">
        <v>0</v>
      </c>
      <c r="H1480">
        <v>0</v>
      </c>
      <c r="I1480">
        <v>170</v>
      </c>
      <c r="J1480">
        <v>1258</v>
      </c>
      <c r="K1480">
        <v>92</v>
      </c>
      <c r="L1480">
        <v>20</v>
      </c>
      <c r="M1480">
        <v>0</v>
      </c>
      <c r="N1480">
        <v>0</v>
      </c>
      <c r="O1480">
        <v>0</v>
      </c>
      <c r="P1480">
        <v>0</v>
      </c>
      <c r="Q1480">
        <v>138</v>
      </c>
      <c r="R1480">
        <v>0</v>
      </c>
      <c r="S1480" s="18" t="e">
        <f t="shared" si="236"/>
        <v>#DIV/0!</v>
      </c>
      <c r="T1480" s="17" t="e">
        <f t="shared" si="237"/>
        <v>#DIV/0!</v>
      </c>
      <c r="U1480" s="17" t="e">
        <f t="shared" si="238"/>
        <v>#DIV/0!</v>
      </c>
      <c r="V1480" s="17" t="e">
        <f t="shared" si="239"/>
        <v>#DIV/0!</v>
      </c>
      <c r="W1480" s="17" t="e">
        <f t="shared" si="240"/>
        <v>#DIV/0!</v>
      </c>
      <c r="X1480" s="17" t="e">
        <f t="shared" si="241"/>
        <v>#DIV/0!</v>
      </c>
      <c r="Y1480" s="19" t="e">
        <f t="shared" si="242"/>
        <v>#DIV/0!</v>
      </c>
      <c r="Z1480">
        <v>0</v>
      </c>
      <c r="AA1480">
        <v>0</v>
      </c>
      <c r="AB1480">
        <v>0</v>
      </c>
      <c r="AC1480">
        <v>1140</v>
      </c>
      <c r="AD1480">
        <v>0</v>
      </c>
      <c r="AE1480">
        <v>0</v>
      </c>
      <c r="AF1480">
        <v>0</v>
      </c>
      <c r="AG1480">
        <v>170</v>
      </c>
      <c r="AH1480">
        <v>170</v>
      </c>
      <c r="AI1480">
        <v>0</v>
      </c>
      <c r="AJ1480">
        <v>0</v>
      </c>
      <c r="AK1480">
        <v>1258</v>
      </c>
      <c r="AL1480">
        <v>1258</v>
      </c>
      <c r="AM1480">
        <v>0</v>
      </c>
      <c r="AN1480">
        <v>0</v>
      </c>
      <c r="AO1480">
        <v>92</v>
      </c>
      <c r="AP1480">
        <v>0</v>
      </c>
      <c r="AQ1480">
        <v>92</v>
      </c>
      <c r="AR1480">
        <v>92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20</v>
      </c>
      <c r="BA1480">
        <v>20</v>
      </c>
      <c r="BB1480">
        <v>0</v>
      </c>
      <c r="BC1480">
        <v>0</v>
      </c>
      <c r="BD1480">
        <v>0</v>
      </c>
      <c r="BE1480">
        <f t="shared" si="243"/>
        <v>4312</v>
      </c>
      <c r="BF1480">
        <v>2680</v>
      </c>
      <c r="BG1480">
        <v>2680</v>
      </c>
      <c r="BH1480" t="s">
        <v>82</v>
      </c>
      <c r="BI1480" t="s">
        <v>460</v>
      </c>
      <c r="BJ1480">
        <v>1140</v>
      </c>
      <c r="BK1480">
        <v>1540</v>
      </c>
      <c r="BL1480">
        <v>2680</v>
      </c>
      <c r="BM1480">
        <v>0</v>
      </c>
      <c r="BN1480">
        <v>0</v>
      </c>
      <c r="BO1480">
        <v>0</v>
      </c>
      <c r="BP1480">
        <v>1540</v>
      </c>
      <c r="BQ1480">
        <v>1540</v>
      </c>
      <c r="BR1480">
        <f t="shared" si="244"/>
        <v>-138</v>
      </c>
      <c r="BS1480">
        <f t="shared" si="245"/>
        <v>138</v>
      </c>
    </row>
    <row r="1481" spans="1:74" x14ac:dyDescent="0.25">
      <c r="A1481" s="5" t="s">
        <v>207</v>
      </c>
      <c r="B1481" s="5" t="s">
        <v>61</v>
      </c>
      <c r="C1481" s="5" t="s">
        <v>359</v>
      </c>
      <c r="D1481" s="1" t="s">
        <v>147</v>
      </c>
      <c r="E1481">
        <v>0</v>
      </c>
      <c r="F1481">
        <v>172</v>
      </c>
      <c r="G1481">
        <v>0</v>
      </c>
      <c r="H1481">
        <v>0</v>
      </c>
      <c r="I1481">
        <v>64</v>
      </c>
      <c r="J1481">
        <v>2800</v>
      </c>
      <c r="K1481">
        <v>203</v>
      </c>
      <c r="L1481">
        <v>186</v>
      </c>
      <c r="M1481">
        <v>0</v>
      </c>
      <c r="N1481">
        <v>0</v>
      </c>
      <c r="O1481">
        <v>0</v>
      </c>
      <c r="P1481">
        <v>387</v>
      </c>
      <c r="Q1481">
        <v>181</v>
      </c>
      <c r="R1481">
        <v>43</v>
      </c>
      <c r="S1481" s="18">
        <f t="shared" si="236"/>
        <v>9</v>
      </c>
      <c r="T1481" s="17">
        <f t="shared" si="237"/>
        <v>0</v>
      </c>
      <c r="U1481" s="17">
        <f t="shared" si="238"/>
        <v>0</v>
      </c>
      <c r="V1481" s="17">
        <f t="shared" si="239"/>
        <v>0</v>
      </c>
      <c r="W1481" s="17">
        <f t="shared" si="240"/>
        <v>43</v>
      </c>
      <c r="X1481" s="17">
        <f t="shared" si="241"/>
        <v>138</v>
      </c>
      <c r="Y1481" s="19">
        <f t="shared" si="242"/>
        <v>0</v>
      </c>
      <c r="Z1481">
        <v>172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64</v>
      </c>
      <c r="AH1481">
        <v>64</v>
      </c>
      <c r="AI1481">
        <v>0</v>
      </c>
      <c r="AJ1481">
        <v>0</v>
      </c>
      <c r="AK1481">
        <v>2800</v>
      </c>
      <c r="AL1481">
        <v>2800</v>
      </c>
      <c r="AM1481">
        <v>0</v>
      </c>
      <c r="AN1481">
        <v>0</v>
      </c>
      <c r="AO1481">
        <v>203</v>
      </c>
      <c r="AP1481">
        <v>87</v>
      </c>
      <c r="AQ1481">
        <v>203</v>
      </c>
      <c r="AR1481">
        <v>116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186</v>
      </c>
      <c r="BA1481">
        <v>186</v>
      </c>
      <c r="BB1481">
        <v>0</v>
      </c>
      <c r="BC1481">
        <v>0</v>
      </c>
      <c r="BD1481">
        <v>0</v>
      </c>
      <c r="BE1481">
        <f t="shared" si="243"/>
        <v>6709</v>
      </c>
      <c r="BF1481">
        <v>3425</v>
      </c>
      <c r="BG1481">
        <v>3425</v>
      </c>
      <c r="BH1481" t="s">
        <v>190</v>
      </c>
      <c r="BI1481" t="s">
        <v>538</v>
      </c>
      <c r="BJ1481">
        <v>0</v>
      </c>
      <c r="BK1481">
        <v>3253</v>
      </c>
      <c r="BL1481">
        <v>3425</v>
      </c>
      <c r="BM1481">
        <v>0</v>
      </c>
      <c r="BN1481">
        <v>0</v>
      </c>
      <c r="BO1481">
        <v>0</v>
      </c>
      <c r="BP1481">
        <v>3640</v>
      </c>
      <c r="BQ1481">
        <v>3640</v>
      </c>
      <c r="BR1481">
        <f t="shared" si="244"/>
        <v>-138</v>
      </c>
      <c r="BS1481">
        <f t="shared" si="245"/>
        <v>224</v>
      </c>
    </row>
    <row r="1482" spans="1:74" x14ac:dyDescent="0.25">
      <c r="A1482" s="5" t="s">
        <v>1661</v>
      </c>
      <c r="B1482" s="5" t="s">
        <v>207</v>
      </c>
      <c r="C1482" s="5" t="s">
        <v>207</v>
      </c>
      <c r="D1482" s="1" t="s">
        <v>75</v>
      </c>
      <c r="E1482">
        <v>0</v>
      </c>
      <c r="F1482">
        <v>0</v>
      </c>
      <c r="G1482">
        <v>0</v>
      </c>
      <c r="H1482">
        <v>0</v>
      </c>
      <c r="I1482">
        <v>70</v>
      </c>
      <c r="J1482">
        <v>0</v>
      </c>
      <c r="K1482">
        <v>238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57</v>
      </c>
      <c r="R1482">
        <v>0</v>
      </c>
      <c r="S1482" s="18" t="e">
        <f t="shared" si="236"/>
        <v>#DIV/0!</v>
      </c>
      <c r="T1482" s="17" t="e">
        <f t="shared" si="237"/>
        <v>#DIV/0!</v>
      </c>
      <c r="U1482" s="17" t="e">
        <f t="shared" si="238"/>
        <v>#DIV/0!</v>
      </c>
      <c r="V1482" s="17" t="e">
        <f t="shared" si="239"/>
        <v>#DIV/0!</v>
      </c>
      <c r="W1482" s="17" t="e">
        <f t="shared" si="240"/>
        <v>#DIV/0!</v>
      </c>
      <c r="X1482" s="17" t="e">
        <f t="shared" si="241"/>
        <v>#DIV/0!</v>
      </c>
      <c r="Y1482" s="19" t="e">
        <f t="shared" si="242"/>
        <v>#DIV/0!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70</v>
      </c>
      <c r="AH1482">
        <v>70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238</v>
      </c>
      <c r="AP1482">
        <v>79</v>
      </c>
      <c r="AQ1482">
        <v>238</v>
      </c>
      <c r="AR1482">
        <v>159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f t="shared" si="243"/>
        <v>854</v>
      </c>
      <c r="BF1482">
        <v>308</v>
      </c>
      <c r="BG1482">
        <v>308</v>
      </c>
      <c r="BH1482" t="s">
        <v>63</v>
      </c>
      <c r="BI1482" t="s">
        <v>1800</v>
      </c>
      <c r="BJ1482">
        <v>0</v>
      </c>
      <c r="BK1482">
        <v>308</v>
      </c>
      <c r="BL1482">
        <v>308</v>
      </c>
      <c r="BM1482">
        <v>0</v>
      </c>
      <c r="BN1482">
        <v>0</v>
      </c>
      <c r="BO1482">
        <v>0</v>
      </c>
      <c r="BP1482">
        <v>308</v>
      </c>
      <c r="BQ1482">
        <v>308</v>
      </c>
      <c r="BR1482">
        <f t="shared" si="244"/>
        <v>-57</v>
      </c>
      <c r="BS1482">
        <f t="shared" si="245"/>
        <v>57</v>
      </c>
      <c r="BU1482">
        <f>R1482*9</f>
        <v>0</v>
      </c>
      <c r="BV1482">
        <f>IF(BU1482&gt;BG1482, 1, 0)</f>
        <v>0</v>
      </c>
    </row>
    <row r="1483" spans="1:74" x14ac:dyDescent="0.25">
      <c r="A1483" s="5" t="s">
        <v>875</v>
      </c>
      <c r="B1483" s="5" t="s">
        <v>207</v>
      </c>
      <c r="C1483" s="5" t="s">
        <v>61</v>
      </c>
      <c r="D1483" s="1" t="s">
        <v>104</v>
      </c>
      <c r="E1483">
        <v>0</v>
      </c>
      <c r="F1483">
        <v>1125</v>
      </c>
      <c r="G1483">
        <v>0</v>
      </c>
      <c r="H1483">
        <v>0</v>
      </c>
      <c r="I1483">
        <v>286</v>
      </c>
      <c r="J1483">
        <v>451</v>
      </c>
      <c r="K1483">
        <v>2135</v>
      </c>
      <c r="L1483">
        <v>0</v>
      </c>
      <c r="M1483">
        <v>0</v>
      </c>
      <c r="N1483">
        <v>0</v>
      </c>
      <c r="O1483">
        <v>0</v>
      </c>
      <c r="P1483">
        <v>9774</v>
      </c>
      <c r="Q1483">
        <v>1225</v>
      </c>
      <c r="R1483">
        <v>1086</v>
      </c>
      <c r="S1483" s="18">
        <f t="shared" si="236"/>
        <v>9</v>
      </c>
      <c r="T1483" s="17">
        <f t="shared" si="237"/>
        <v>0</v>
      </c>
      <c r="U1483" s="17">
        <f t="shared" si="238"/>
        <v>0</v>
      </c>
      <c r="V1483" s="17">
        <f t="shared" si="239"/>
        <v>0</v>
      </c>
      <c r="W1483" s="17">
        <f t="shared" si="240"/>
        <v>1086</v>
      </c>
      <c r="X1483" s="17">
        <f t="shared" si="241"/>
        <v>139</v>
      </c>
      <c r="Y1483" s="19">
        <f t="shared" si="242"/>
        <v>0</v>
      </c>
      <c r="Z1483">
        <v>1125</v>
      </c>
      <c r="AA1483">
        <v>0</v>
      </c>
      <c r="AB1483">
        <v>0</v>
      </c>
      <c r="AC1483">
        <v>3117</v>
      </c>
      <c r="AD1483">
        <v>0</v>
      </c>
      <c r="AE1483">
        <v>0</v>
      </c>
      <c r="AF1483">
        <v>0</v>
      </c>
      <c r="AG1483">
        <v>286</v>
      </c>
      <c r="AH1483">
        <v>286</v>
      </c>
      <c r="AI1483">
        <v>0</v>
      </c>
      <c r="AJ1483">
        <v>0</v>
      </c>
      <c r="AK1483">
        <v>451</v>
      </c>
      <c r="AL1483">
        <v>451</v>
      </c>
      <c r="AM1483">
        <v>0</v>
      </c>
      <c r="AN1483">
        <v>0</v>
      </c>
      <c r="AO1483">
        <v>2135</v>
      </c>
      <c r="AP1483">
        <v>1461</v>
      </c>
      <c r="AQ1483">
        <v>2135</v>
      </c>
      <c r="AR1483">
        <v>674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f t="shared" si="243"/>
        <v>10996</v>
      </c>
      <c r="BF1483">
        <v>7114</v>
      </c>
      <c r="BG1483">
        <v>7114</v>
      </c>
      <c r="BH1483" t="s">
        <v>109</v>
      </c>
      <c r="BI1483" t="s">
        <v>985</v>
      </c>
      <c r="BJ1483">
        <v>3117</v>
      </c>
      <c r="BK1483">
        <v>2872</v>
      </c>
      <c r="BL1483">
        <v>7114</v>
      </c>
      <c r="BM1483">
        <v>0</v>
      </c>
      <c r="BN1483">
        <v>0</v>
      </c>
      <c r="BO1483">
        <v>0</v>
      </c>
      <c r="BP1483">
        <v>12646</v>
      </c>
      <c r="BQ1483">
        <v>12646</v>
      </c>
      <c r="BR1483">
        <f t="shared" si="244"/>
        <v>-139</v>
      </c>
      <c r="BS1483">
        <f t="shared" si="245"/>
        <v>2311</v>
      </c>
    </row>
    <row r="1484" spans="1:74" x14ac:dyDescent="0.25">
      <c r="A1484" s="5" t="s">
        <v>1661</v>
      </c>
      <c r="B1484" s="5" t="s">
        <v>61</v>
      </c>
      <c r="C1484" s="5" t="s">
        <v>359</v>
      </c>
      <c r="D1484" s="1" t="s">
        <v>151</v>
      </c>
      <c r="E1484">
        <v>0</v>
      </c>
      <c r="F1484">
        <v>0</v>
      </c>
      <c r="G1484">
        <v>0</v>
      </c>
      <c r="H1484">
        <v>0</v>
      </c>
      <c r="I1484">
        <v>86</v>
      </c>
      <c r="J1484">
        <v>895</v>
      </c>
      <c r="K1484">
        <v>116</v>
      </c>
      <c r="L1484">
        <v>7</v>
      </c>
      <c r="M1484">
        <v>0</v>
      </c>
      <c r="N1484">
        <v>0</v>
      </c>
      <c r="O1484">
        <v>0</v>
      </c>
      <c r="P1484">
        <v>0</v>
      </c>
      <c r="Q1484">
        <v>139</v>
      </c>
      <c r="R1484">
        <v>0</v>
      </c>
      <c r="S1484" s="18" t="e">
        <f t="shared" si="236"/>
        <v>#DIV/0!</v>
      </c>
      <c r="T1484" s="17" t="e">
        <f t="shared" si="237"/>
        <v>#DIV/0!</v>
      </c>
      <c r="U1484" s="17" t="e">
        <f t="shared" si="238"/>
        <v>#DIV/0!</v>
      </c>
      <c r="V1484" s="17" t="e">
        <f t="shared" si="239"/>
        <v>#DIV/0!</v>
      </c>
      <c r="W1484" s="17" t="e">
        <f t="shared" si="240"/>
        <v>#DIV/0!</v>
      </c>
      <c r="X1484" s="17" t="e">
        <f t="shared" si="241"/>
        <v>#DIV/0!</v>
      </c>
      <c r="Y1484" s="19" t="e">
        <f t="shared" si="242"/>
        <v>#DIV/0!</v>
      </c>
      <c r="Z1484">
        <v>0</v>
      </c>
      <c r="AA1484">
        <v>0</v>
      </c>
      <c r="AB1484">
        <v>0</v>
      </c>
      <c r="AC1484">
        <v>1464</v>
      </c>
      <c r="AD1484">
        <v>0</v>
      </c>
      <c r="AE1484">
        <v>0</v>
      </c>
      <c r="AF1484">
        <v>0</v>
      </c>
      <c r="AG1484">
        <v>86</v>
      </c>
      <c r="AH1484">
        <v>86</v>
      </c>
      <c r="AI1484">
        <v>0</v>
      </c>
      <c r="AJ1484">
        <v>0</v>
      </c>
      <c r="AK1484">
        <v>895</v>
      </c>
      <c r="AL1484">
        <v>895</v>
      </c>
      <c r="AM1484">
        <v>0</v>
      </c>
      <c r="AN1484">
        <v>0</v>
      </c>
      <c r="AO1484">
        <v>116</v>
      </c>
      <c r="AP1484">
        <v>100</v>
      </c>
      <c r="AQ1484">
        <v>116</v>
      </c>
      <c r="AR1484">
        <v>16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7</v>
      </c>
      <c r="BA1484">
        <v>7</v>
      </c>
      <c r="BB1484">
        <v>0</v>
      </c>
      <c r="BC1484">
        <v>0</v>
      </c>
      <c r="BD1484">
        <v>0</v>
      </c>
      <c r="BE1484">
        <f t="shared" si="243"/>
        <v>3788</v>
      </c>
      <c r="BF1484">
        <v>2568</v>
      </c>
      <c r="BG1484">
        <v>2568</v>
      </c>
      <c r="BH1484" t="s">
        <v>82</v>
      </c>
      <c r="BI1484" t="s">
        <v>657</v>
      </c>
      <c r="BJ1484">
        <v>1464</v>
      </c>
      <c r="BK1484">
        <v>1104</v>
      </c>
      <c r="BL1484">
        <v>2568</v>
      </c>
      <c r="BM1484">
        <v>0</v>
      </c>
      <c r="BN1484">
        <v>0</v>
      </c>
      <c r="BO1484">
        <v>0</v>
      </c>
      <c r="BP1484">
        <v>1104</v>
      </c>
      <c r="BQ1484">
        <v>1104</v>
      </c>
      <c r="BR1484">
        <f t="shared" si="244"/>
        <v>-139</v>
      </c>
      <c r="BS1484">
        <f t="shared" si="245"/>
        <v>139</v>
      </c>
    </row>
    <row r="1485" spans="1:74" x14ac:dyDescent="0.25">
      <c r="A1485" s="5" t="s">
        <v>207</v>
      </c>
      <c r="B1485" s="5" t="s">
        <v>61</v>
      </c>
      <c r="C1485" s="5" t="s">
        <v>61</v>
      </c>
      <c r="D1485" s="1" t="s">
        <v>111</v>
      </c>
      <c r="E1485">
        <v>58</v>
      </c>
      <c r="F1485">
        <v>30</v>
      </c>
      <c r="G1485">
        <v>0</v>
      </c>
      <c r="H1485">
        <v>0</v>
      </c>
      <c r="I1485">
        <v>439</v>
      </c>
      <c r="J1485">
        <v>2440</v>
      </c>
      <c r="K1485">
        <v>123</v>
      </c>
      <c r="L1485">
        <v>537</v>
      </c>
      <c r="M1485">
        <v>0</v>
      </c>
      <c r="N1485">
        <v>270</v>
      </c>
      <c r="O1485">
        <v>0</v>
      </c>
      <c r="P1485">
        <v>0</v>
      </c>
      <c r="Q1485">
        <v>170</v>
      </c>
      <c r="R1485">
        <v>30</v>
      </c>
      <c r="S1485" s="18">
        <f t="shared" si="236"/>
        <v>9</v>
      </c>
      <c r="T1485" s="17">
        <f t="shared" si="237"/>
        <v>0</v>
      </c>
      <c r="U1485" s="17">
        <f t="shared" si="238"/>
        <v>30</v>
      </c>
      <c r="V1485" s="17">
        <f t="shared" si="239"/>
        <v>0</v>
      </c>
      <c r="W1485" s="17">
        <f t="shared" si="240"/>
        <v>0</v>
      </c>
      <c r="X1485" s="17">
        <f t="shared" si="241"/>
        <v>140</v>
      </c>
      <c r="Y1485" s="19">
        <f t="shared" si="242"/>
        <v>0</v>
      </c>
      <c r="Z1485">
        <v>30</v>
      </c>
      <c r="AA1485">
        <v>0</v>
      </c>
      <c r="AB1485">
        <v>0</v>
      </c>
      <c r="AC1485">
        <v>0</v>
      </c>
      <c r="AD1485">
        <v>50</v>
      </c>
      <c r="AE1485">
        <v>0</v>
      </c>
      <c r="AF1485">
        <v>0</v>
      </c>
      <c r="AG1485">
        <v>389</v>
      </c>
      <c r="AH1485">
        <v>439</v>
      </c>
      <c r="AI1485">
        <v>65</v>
      </c>
      <c r="AJ1485">
        <v>0</v>
      </c>
      <c r="AK1485">
        <v>2375</v>
      </c>
      <c r="AL1485">
        <v>2440</v>
      </c>
      <c r="AM1485">
        <v>0</v>
      </c>
      <c r="AN1485">
        <v>0</v>
      </c>
      <c r="AO1485">
        <v>123</v>
      </c>
      <c r="AP1485">
        <v>0</v>
      </c>
      <c r="AQ1485">
        <v>123</v>
      </c>
      <c r="AR1485">
        <v>123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537</v>
      </c>
      <c r="BA1485">
        <v>537</v>
      </c>
      <c r="BB1485">
        <v>0</v>
      </c>
      <c r="BC1485">
        <v>0</v>
      </c>
      <c r="BD1485">
        <v>0</v>
      </c>
      <c r="BE1485">
        <f t="shared" si="243"/>
        <v>7201</v>
      </c>
      <c r="BF1485">
        <v>3627</v>
      </c>
      <c r="BG1485">
        <v>3627</v>
      </c>
      <c r="BH1485" t="s">
        <v>199</v>
      </c>
      <c r="BI1485" t="s">
        <v>449</v>
      </c>
      <c r="BJ1485">
        <v>58</v>
      </c>
      <c r="BK1485">
        <v>3539</v>
      </c>
      <c r="BL1485">
        <v>3627</v>
      </c>
      <c r="BM1485">
        <v>115</v>
      </c>
      <c r="BN1485">
        <v>270</v>
      </c>
      <c r="BO1485">
        <v>0</v>
      </c>
      <c r="BP1485">
        <v>3424</v>
      </c>
      <c r="BQ1485">
        <v>3809</v>
      </c>
      <c r="BR1485">
        <f t="shared" si="244"/>
        <v>-140</v>
      </c>
      <c r="BS1485">
        <f t="shared" si="245"/>
        <v>200</v>
      </c>
    </row>
    <row r="1486" spans="1:74" x14ac:dyDescent="0.25">
      <c r="A1486" s="5" t="s">
        <v>359</v>
      </c>
      <c r="B1486" s="5" t="s">
        <v>627</v>
      </c>
      <c r="C1486" s="5" t="s">
        <v>61</v>
      </c>
      <c r="D1486" s="1" t="s">
        <v>65</v>
      </c>
      <c r="E1486">
        <v>0</v>
      </c>
      <c r="F1486">
        <v>0</v>
      </c>
      <c r="G1486">
        <v>0</v>
      </c>
      <c r="H1486">
        <v>0</v>
      </c>
      <c r="I1486">
        <v>1830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60</v>
      </c>
      <c r="R1486">
        <v>0</v>
      </c>
      <c r="S1486" s="18" t="e">
        <f t="shared" si="236"/>
        <v>#DIV/0!</v>
      </c>
      <c r="T1486" s="17" t="e">
        <f t="shared" si="237"/>
        <v>#DIV/0!</v>
      </c>
      <c r="U1486" s="17" t="e">
        <f t="shared" si="238"/>
        <v>#DIV/0!</v>
      </c>
      <c r="V1486" s="17" t="e">
        <f t="shared" si="239"/>
        <v>#DIV/0!</v>
      </c>
      <c r="W1486" s="17" t="e">
        <f t="shared" si="240"/>
        <v>#DIV/0!</v>
      </c>
      <c r="X1486" s="17" t="e">
        <f t="shared" si="241"/>
        <v>#DIV/0!</v>
      </c>
      <c r="Y1486" s="19" t="e">
        <f t="shared" si="242"/>
        <v>#DIV/0!</v>
      </c>
      <c r="Z1486">
        <v>0</v>
      </c>
      <c r="AA1486">
        <v>0</v>
      </c>
      <c r="AB1486">
        <v>0</v>
      </c>
      <c r="AC1486">
        <v>20</v>
      </c>
      <c r="AD1486">
        <v>0</v>
      </c>
      <c r="AE1486">
        <v>0</v>
      </c>
      <c r="AF1486">
        <v>0</v>
      </c>
      <c r="AG1486">
        <v>1830</v>
      </c>
      <c r="AH1486">
        <v>1830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f t="shared" si="243"/>
        <v>3680</v>
      </c>
      <c r="BF1486">
        <v>1850</v>
      </c>
      <c r="BG1486">
        <v>1850</v>
      </c>
      <c r="BH1486" t="s">
        <v>63</v>
      </c>
      <c r="BI1486" t="s">
        <v>793</v>
      </c>
      <c r="BJ1486">
        <v>20</v>
      </c>
      <c r="BK1486">
        <v>1830</v>
      </c>
      <c r="BL1486">
        <v>1850</v>
      </c>
      <c r="BM1486">
        <v>0</v>
      </c>
      <c r="BN1486">
        <v>0</v>
      </c>
      <c r="BO1486">
        <v>0</v>
      </c>
      <c r="BP1486">
        <v>1830</v>
      </c>
      <c r="BQ1486">
        <v>1830</v>
      </c>
      <c r="BR1486">
        <f t="shared" si="244"/>
        <v>-60</v>
      </c>
      <c r="BS1486">
        <f t="shared" si="245"/>
        <v>60</v>
      </c>
      <c r="BU1486">
        <f>R1486*9</f>
        <v>0</v>
      </c>
      <c r="BV1486">
        <f>IF(BU1486&gt;BG1486, 1, 0)</f>
        <v>0</v>
      </c>
    </row>
    <row r="1487" spans="1:74" x14ac:dyDescent="0.25">
      <c r="A1487" s="5" t="s">
        <v>1451</v>
      </c>
      <c r="B1487" s="5" t="s">
        <v>359</v>
      </c>
      <c r="C1487" s="5" t="s">
        <v>61</v>
      </c>
      <c r="D1487" s="1" t="s">
        <v>69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1150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65</v>
      </c>
      <c r="R1487">
        <v>0</v>
      </c>
      <c r="S1487" s="18" t="e">
        <f t="shared" si="236"/>
        <v>#DIV/0!</v>
      </c>
      <c r="T1487" s="17" t="e">
        <f t="shared" si="237"/>
        <v>#DIV/0!</v>
      </c>
      <c r="U1487" s="17" t="e">
        <f t="shared" si="238"/>
        <v>#DIV/0!</v>
      </c>
      <c r="V1487" s="17" t="e">
        <f t="shared" si="239"/>
        <v>#DIV/0!</v>
      </c>
      <c r="W1487" s="17" t="e">
        <f t="shared" si="240"/>
        <v>#DIV/0!</v>
      </c>
      <c r="X1487" s="17" t="e">
        <f t="shared" si="241"/>
        <v>#DIV/0!</v>
      </c>
      <c r="Y1487" s="19" t="e">
        <f t="shared" si="242"/>
        <v>#DIV/0!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1150</v>
      </c>
      <c r="AL1487">
        <v>1150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f t="shared" si="243"/>
        <v>2300</v>
      </c>
      <c r="BF1487">
        <v>1150</v>
      </c>
      <c r="BG1487">
        <v>1150</v>
      </c>
      <c r="BH1487" t="s">
        <v>63</v>
      </c>
      <c r="BI1487" t="s">
        <v>1606</v>
      </c>
      <c r="BJ1487">
        <v>0</v>
      </c>
      <c r="BK1487">
        <v>1150</v>
      </c>
      <c r="BL1487">
        <v>1150</v>
      </c>
      <c r="BM1487">
        <v>0</v>
      </c>
      <c r="BN1487">
        <v>0</v>
      </c>
      <c r="BO1487">
        <v>0</v>
      </c>
      <c r="BP1487">
        <v>1150</v>
      </c>
      <c r="BQ1487">
        <v>1150</v>
      </c>
      <c r="BR1487">
        <f t="shared" si="244"/>
        <v>-65</v>
      </c>
      <c r="BS1487">
        <f t="shared" si="245"/>
        <v>65</v>
      </c>
      <c r="BU1487">
        <f>R1487*9</f>
        <v>0</v>
      </c>
      <c r="BV1487">
        <f>IF(BU1487&gt;BG1487, 1, 0)</f>
        <v>0</v>
      </c>
    </row>
    <row r="1488" spans="1:74" x14ac:dyDescent="0.25">
      <c r="A1488" s="5" t="s">
        <v>1661</v>
      </c>
      <c r="B1488" s="5" t="s">
        <v>359</v>
      </c>
      <c r="C1488" s="5" t="s">
        <v>359</v>
      </c>
      <c r="D1488" s="1" t="s">
        <v>71</v>
      </c>
      <c r="E1488">
        <v>0</v>
      </c>
      <c r="F1488">
        <v>0</v>
      </c>
      <c r="G1488">
        <v>0</v>
      </c>
      <c r="H1488">
        <v>0</v>
      </c>
      <c r="I1488">
        <v>250</v>
      </c>
      <c r="J1488">
        <v>380</v>
      </c>
      <c r="K1488">
        <v>159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66</v>
      </c>
      <c r="R1488">
        <v>0</v>
      </c>
      <c r="S1488" s="18" t="e">
        <f t="shared" si="236"/>
        <v>#DIV/0!</v>
      </c>
      <c r="T1488" s="17" t="e">
        <f t="shared" si="237"/>
        <v>#DIV/0!</v>
      </c>
      <c r="U1488" s="17" t="e">
        <f t="shared" si="238"/>
        <v>#DIV/0!</v>
      </c>
      <c r="V1488" s="17" t="e">
        <f t="shared" si="239"/>
        <v>#DIV/0!</v>
      </c>
      <c r="W1488" s="17" t="e">
        <f t="shared" si="240"/>
        <v>#DIV/0!</v>
      </c>
      <c r="X1488" s="17" t="e">
        <f t="shared" si="241"/>
        <v>#DIV/0!</v>
      </c>
      <c r="Y1488" s="19" t="e">
        <f t="shared" si="242"/>
        <v>#DIV/0!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250</v>
      </c>
      <c r="AH1488">
        <v>250</v>
      </c>
      <c r="AI1488">
        <v>0</v>
      </c>
      <c r="AJ1488">
        <v>0</v>
      </c>
      <c r="AK1488">
        <v>380</v>
      </c>
      <c r="AL1488">
        <v>380</v>
      </c>
      <c r="AM1488">
        <v>0</v>
      </c>
      <c r="AN1488">
        <v>0</v>
      </c>
      <c r="AO1488">
        <v>159</v>
      </c>
      <c r="AP1488">
        <v>20</v>
      </c>
      <c r="AQ1488">
        <v>159</v>
      </c>
      <c r="AR1488">
        <v>139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f t="shared" si="243"/>
        <v>1737</v>
      </c>
      <c r="BF1488">
        <v>789</v>
      </c>
      <c r="BG1488">
        <v>789</v>
      </c>
      <c r="BH1488" t="s">
        <v>63</v>
      </c>
      <c r="BI1488" t="s">
        <v>1761</v>
      </c>
      <c r="BJ1488">
        <v>0</v>
      </c>
      <c r="BK1488">
        <v>789</v>
      </c>
      <c r="BL1488">
        <v>789</v>
      </c>
      <c r="BM1488">
        <v>0</v>
      </c>
      <c r="BN1488">
        <v>0</v>
      </c>
      <c r="BO1488">
        <v>0</v>
      </c>
      <c r="BP1488">
        <v>789</v>
      </c>
      <c r="BQ1488">
        <v>789</v>
      </c>
      <c r="BR1488">
        <f t="shared" si="244"/>
        <v>-66</v>
      </c>
      <c r="BS1488">
        <f t="shared" si="245"/>
        <v>66</v>
      </c>
      <c r="BU1488">
        <f>R1488*9</f>
        <v>0</v>
      </c>
      <c r="BV1488">
        <f>IF(BU1488&gt;BG1488, 1, 0)</f>
        <v>0</v>
      </c>
    </row>
    <row r="1489" spans="1:74" x14ac:dyDescent="0.25">
      <c r="A1489" s="5" t="s">
        <v>61</v>
      </c>
      <c r="B1489" s="5" t="s">
        <v>359</v>
      </c>
      <c r="C1489" s="5" t="s">
        <v>61</v>
      </c>
      <c r="D1489" s="1" t="s">
        <v>123</v>
      </c>
      <c r="E1489">
        <v>0</v>
      </c>
      <c r="F1489">
        <v>15</v>
      </c>
      <c r="G1489">
        <v>0</v>
      </c>
      <c r="H1489">
        <v>0</v>
      </c>
      <c r="I1489">
        <v>710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135</v>
      </c>
      <c r="Q1489">
        <v>156</v>
      </c>
      <c r="R1489">
        <v>15</v>
      </c>
      <c r="S1489" s="18">
        <f t="shared" si="236"/>
        <v>9</v>
      </c>
      <c r="T1489" s="17">
        <f t="shared" si="237"/>
        <v>0</v>
      </c>
      <c r="U1489" s="17">
        <f t="shared" si="238"/>
        <v>0</v>
      </c>
      <c r="V1489" s="17">
        <f t="shared" si="239"/>
        <v>0</v>
      </c>
      <c r="W1489" s="17">
        <f t="shared" si="240"/>
        <v>15</v>
      </c>
      <c r="X1489" s="17">
        <f t="shared" si="241"/>
        <v>141</v>
      </c>
      <c r="Y1489" s="19">
        <f t="shared" si="242"/>
        <v>0</v>
      </c>
      <c r="Z1489">
        <v>15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710</v>
      </c>
      <c r="AH1489">
        <v>710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f t="shared" si="243"/>
        <v>1420</v>
      </c>
      <c r="BF1489">
        <v>725</v>
      </c>
      <c r="BG1489">
        <v>725</v>
      </c>
      <c r="BH1489" t="s">
        <v>109</v>
      </c>
      <c r="BI1489" t="s">
        <v>389</v>
      </c>
      <c r="BJ1489">
        <v>0</v>
      </c>
      <c r="BK1489">
        <v>710</v>
      </c>
      <c r="BL1489">
        <v>725</v>
      </c>
      <c r="BM1489">
        <v>0</v>
      </c>
      <c r="BN1489">
        <v>0</v>
      </c>
      <c r="BO1489">
        <v>0</v>
      </c>
      <c r="BP1489">
        <v>845</v>
      </c>
      <c r="BQ1489">
        <v>845</v>
      </c>
      <c r="BR1489">
        <f t="shared" si="244"/>
        <v>-141</v>
      </c>
      <c r="BS1489">
        <f t="shared" si="245"/>
        <v>171</v>
      </c>
    </row>
    <row r="1490" spans="1:74" x14ac:dyDescent="0.25">
      <c r="A1490" s="5" t="s">
        <v>207</v>
      </c>
      <c r="B1490" s="5" t="s">
        <v>627</v>
      </c>
      <c r="C1490" s="5" t="s">
        <v>61</v>
      </c>
      <c r="D1490" s="1" t="s">
        <v>123</v>
      </c>
      <c r="E1490">
        <v>0</v>
      </c>
      <c r="F1490">
        <v>1950</v>
      </c>
      <c r="G1490">
        <v>0</v>
      </c>
      <c r="H1490">
        <v>0</v>
      </c>
      <c r="I1490">
        <v>110</v>
      </c>
      <c r="J1490">
        <v>650</v>
      </c>
      <c r="K1490">
        <v>110</v>
      </c>
      <c r="L1490">
        <v>7</v>
      </c>
      <c r="M1490">
        <v>0</v>
      </c>
      <c r="N1490">
        <v>0</v>
      </c>
      <c r="O1490">
        <v>0</v>
      </c>
      <c r="P1490">
        <v>1665</v>
      </c>
      <c r="Q1490">
        <v>326</v>
      </c>
      <c r="R1490">
        <v>185</v>
      </c>
      <c r="S1490" s="18">
        <f t="shared" si="236"/>
        <v>9</v>
      </c>
      <c r="T1490" s="17">
        <f t="shared" si="237"/>
        <v>0</v>
      </c>
      <c r="U1490" s="17">
        <f t="shared" si="238"/>
        <v>0</v>
      </c>
      <c r="V1490" s="17">
        <f t="shared" si="239"/>
        <v>0</v>
      </c>
      <c r="W1490" s="17">
        <f t="shared" si="240"/>
        <v>185</v>
      </c>
      <c r="X1490" s="17">
        <f t="shared" si="241"/>
        <v>141</v>
      </c>
      <c r="Y1490" s="19">
        <f t="shared" si="242"/>
        <v>0</v>
      </c>
      <c r="Z1490">
        <v>1950</v>
      </c>
      <c r="AA1490">
        <v>2</v>
      </c>
      <c r="AB1490">
        <v>400</v>
      </c>
      <c r="AC1490">
        <v>320</v>
      </c>
      <c r="AD1490">
        <v>0</v>
      </c>
      <c r="AE1490">
        <v>0</v>
      </c>
      <c r="AF1490">
        <v>0</v>
      </c>
      <c r="AG1490">
        <v>110</v>
      </c>
      <c r="AH1490">
        <v>110</v>
      </c>
      <c r="AI1490">
        <v>0</v>
      </c>
      <c r="AJ1490">
        <v>0</v>
      </c>
      <c r="AK1490">
        <v>650</v>
      </c>
      <c r="AL1490">
        <v>650</v>
      </c>
      <c r="AM1490">
        <v>0</v>
      </c>
      <c r="AN1490">
        <v>0</v>
      </c>
      <c r="AO1490">
        <v>110</v>
      </c>
      <c r="AP1490">
        <v>0</v>
      </c>
      <c r="AQ1490">
        <v>110</v>
      </c>
      <c r="AR1490">
        <v>110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7</v>
      </c>
      <c r="BA1490">
        <v>7</v>
      </c>
      <c r="BB1490">
        <v>0</v>
      </c>
      <c r="BC1490">
        <v>0</v>
      </c>
      <c r="BD1490">
        <v>0</v>
      </c>
      <c r="BE1490">
        <f t="shared" si="243"/>
        <v>2184</v>
      </c>
      <c r="BF1490">
        <v>3549</v>
      </c>
      <c r="BG1490">
        <v>3549</v>
      </c>
      <c r="BH1490" t="s">
        <v>82</v>
      </c>
      <c r="BI1490" t="s">
        <v>655</v>
      </c>
      <c r="BJ1490">
        <v>722</v>
      </c>
      <c r="BK1490">
        <v>877</v>
      </c>
      <c r="BL1490">
        <v>3549</v>
      </c>
      <c r="BM1490">
        <v>0</v>
      </c>
      <c r="BN1490">
        <v>0</v>
      </c>
      <c r="BO1490">
        <v>0</v>
      </c>
      <c r="BP1490">
        <v>2542</v>
      </c>
      <c r="BQ1490">
        <v>2542</v>
      </c>
      <c r="BR1490">
        <f t="shared" si="244"/>
        <v>-141</v>
      </c>
      <c r="BS1490">
        <f t="shared" si="245"/>
        <v>511</v>
      </c>
    </row>
    <row r="1491" spans="1:74" x14ac:dyDescent="0.25">
      <c r="A1491" s="5" t="s">
        <v>1135</v>
      </c>
      <c r="B1491" s="5" t="s">
        <v>61</v>
      </c>
      <c r="C1491" s="5" t="s">
        <v>61</v>
      </c>
      <c r="D1491" s="1" t="s">
        <v>96</v>
      </c>
      <c r="E1491">
        <v>0</v>
      </c>
      <c r="F1491">
        <v>124</v>
      </c>
      <c r="G1491">
        <v>0</v>
      </c>
      <c r="H1491">
        <v>0</v>
      </c>
      <c r="I1491">
        <v>842</v>
      </c>
      <c r="J1491">
        <v>0</v>
      </c>
      <c r="K1491">
        <v>60</v>
      </c>
      <c r="L1491">
        <v>0</v>
      </c>
      <c r="M1491">
        <v>2205</v>
      </c>
      <c r="N1491">
        <v>0</v>
      </c>
      <c r="O1491">
        <v>0</v>
      </c>
      <c r="P1491">
        <v>0</v>
      </c>
      <c r="Q1491">
        <v>386</v>
      </c>
      <c r="R1491">
        <v>245</v>
      </c>
      <c r="S1491" s="18">
        <f t="shared" si="236"/>
        <v>9</v>
      </c>
      <c r="T1491" s="17">
        <f t="shared" si="237"/>
        <v>245</v>
      </c>
      <c r="U1491" s="17">
        <f t="shared" si="238"/>
        <v>0</v>
      </c>
      <c r="V1491" s="17">
        <f t="shared" si="239"/>
        <v>0</v>
      </c>
      <c r="W1491" s="17">
        <f t="shared" si="240"/>
        <v>0</v>
      </c>
      <c r="X1491" s="17">
        <f t="shared" si="241"/>
        <v>141</v>
      </c>
      <c r="Y1491" s="19">
        <f t="shared" si="242"/>
        <v>0</v>
      </c>
      <c r="Z1491">
        <v>124</v>
      </c>
      <c r="AA1491">
        <v>0</v>
      </c>
      <c r="AB1491">
        <v>0</v>
      </c>
      <c r="AC1491">
        <v>0</v>
      </c>
      <c r="AD1491">
        <v>842</v>
      </c>
      <c r="AE1491">
        <v>0</v>
      </c>
      <c r="AF1491">
        <v>0</v>
      </c>
      <c r="AG1491">
        <v>0</v>
      </c>
      <c r="AH1491">
        <v>842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60</v>
      </c>
      <c r="AP1491">
        <v>0</v>
      </c>
      <c r="AQ1491">
        <v>60</v>
      </c>
      <c r="AR1491">
        <v>60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f t="shared" si="243"/>
        <v>1864</v>
      </c>
      <c r="BF1491">
        <v>1026</v>
      </c>
      <c r="BG1491">
        <v>1026</v>
      </c>
      <c r="BH1491" t="s">
        <v>109</v>
      </c>
      <c r="BI1491" t="s">
        <v>1026</v>
      </c>
      <c r="BJ1491">
        <v>0</v>
      </c>
      <c r="BK1491">
        <v>902</v>
      </c>
      <c r="BL1491">
        <v>1026</v>
      </c>
      <c r="BM1491">
        <v>3047</v>
      </c>
      <c r="BN1491">
        <v>0</v>
      </c>
      <c r="BO1491">
        <v>0</v>
      </c>
      <c r="BP1491">
        <v>60</v>
      </c>
      <c r="BQ1491">
        <v>3107</v>
      </c>
      <c r="BR1491">
        <f t="shared" si="244"/>
        <v>-141</v>
      </c>
      <c r="BS1491">
        <f t="shared" si="245"/>
        <v>631</v>
      </c>
    </row>
    <row r="1492" spans="1:74" x14ac:dyDescent="0.25">
      <c r="A1492" s="5" t="s">
        <v>1661</v>
      </c>
      <c r="B1492" s="5" t="s">
        <v>207</v>
      </c>
      <c r="C1492" s="5" t="s">
        <v>207</v>
      </c>
      <c r="D1492" s="1" t="s">
        <v>92</v>
      </c>
      <c r="E1492">
        <v>0</v>
      </c>
      <c r="F1492">
        <v>0</v>
      </c>
      <c r="G1492">
        <v>0</v>
      </c>
      <c r="H1492">
        <v>0</v>
      </c>
      <c r="I1492">
        <v>45</v>
      </c>
      <c r="J1492">
        <v>2155</v>
      </c>
      <c r="K1492">
        <v>49</v>
      </c>
      <c r="L1492">
        <v>30</v>
      </c>
      <c r="M1492">
        <v>0</v>
      </c>
      <c r="N1492">
        <v>0</v>
      </c>
      <c r="O1492">
        <v>0</v>
      </c>
      <c r="P1492">
        <v>0</v>
      </c>
      <c r="Q1492">
        <v>141</v>
      </c>
      <c r="R1492">
        <v>0</v>
      </c>
      <c r="S1492" s="18" t="e">
        <f t="shared" si="236"/>
        <v>#DIV/0!</v>
      </c>
      <c r="T1492" s="17" t="e">
        <f t="shared" si="237"/>
        <v>#DIV/0!</v>
      </c>
      <c r="U1492" s="17" t="e">
        <f t="shared" si="238"/>
        <v>#DIV/0!</v>
      </c>
      <c r="V1492" s="17" t="e">
        <f t="shared" si="239"/>
        <v>#DIV/0!</v>
      </c>
      <c r="W1492" s="17" t="e">
        <f t="shared" si="240"/>
        <v>#DIV/0!</v>
      </c>
      <c r="X1492" s="17" t="e">
        <f t="shared" si="241"/>
        <v>#DIV/0!</v>
      </c>
      <c r="Y1492" s="19" t="e">
        <f t="shared" si="242"/>
        <v>#DIV/0!</v>
      </c>
      <c r="Z1492">
        <v>0</v>
      </c>
      <c r="AA1492">
        <v>0</v>
      </c>
      <c r="AB1492">
        <v>0</v>
      </c>
      <c r="AC1492">
        <v>878</v>
      </c>
      <c r="AD1492">
        <v>0</v>
      </c>
      <c r="AE1492">
        <v>0</v>
      </c>
      <c r="AF1492">
        <v>0</v>
      </c>
      <c r="AG1492">
        <v>45</v>
      </c>
      <c r="AH1492">
        <v>45</v>
      </c>
      <c r="AI1492">
        <v>0</v>
      </c>
      <c r="AJ1492">
        <v>0</v>
      </c>
      <c r="AK1492">
        <v>2155</v>
      </c>
      <c r="AL1492">
        <v>2155</v>
      </c>
      <c r="AM1492">
        <v>0</v>
      </c>
      <c r="AN1492">
        <v>0</v>
      </c>
      <c r="AO1492">
        <v>49</v>
      </c>
      <c r="AP1492">
        <v>11</v>
      </c>
      <c r="AQ1492">
        <v>49</v>
      </c>
      <c r="AR1492">
        <v>38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30</v>
      </c>
      <c r="BA1492">
        <v>30</v>
      </c>
      <c r="BB1492">
        <v>0</v>
      </c>
      <c r="BC1492">
        <v>0</v>
      </c>
      <c r="BD1492">
        <v>0</v>
      </c>
      <c r="BE1492">
        <f t="shared" si="243"/>
        <v>5485</v>
      </c>
      <c r="BF1492">
        <v>3157</v>
      </c>
      <c r="BG1492">
        <v>3157</v>
      </c>
      <c r="BH1492" t="s">
        <v>82</v>
      </c>
      <c r="BI1492" t="s">
        <v>1264</v>
      </c>
      <c r="BJ1492">
        <v>878</v>
      </c>
      <c r="BK1492">
        <v>2279</v>
      </c>
      <c r="BL1492">
        <v>3157</v>
      </c>
      <c r="BM1492">
        <v>0</v>
      </c>
      <c r="BN1492">
        <v>0</v>
      </c>
      <c r="BO1492">
        <v>0</v>
      </c>
      <c r="BP1492">
        <v>2279</v>
      </c>
      <c r="BQ1492">
        <v>2279</v>
      </c>
      <c r="BR1492">
        <f t="shared" si="244"/>
        <v>-141</v>
      </c>
      <c r="BS1492">
        <f t="shared" si="245"/>
        <v>141</v>
      </c>
    </row>
    <row r="1493" spans="1:74" x14ac:dyDescent="0.25">
      <c r="A1493" s="5" t="s">
        <v>2090</v>
      </c>
      <c r="B1493" s="5" t="s">
        <v>61</v>
      </c>
      <c r="C1493" s="5" t="s">
        <v>61</v>
      </c>
      <c r="D1493" s="1" t="s">
        <v>121</v>
      </c>
      <c r="E1493">
        <v>0</v>
      </c>
      <c r="F1493">
        <v>445</v>
      </c>
      <c r="G1493">
        <v>850</v>
      </c>
      <c r="H1493">
        <v>0</v>
      </c>
      <c r="I1493">
        <v>112</v>
      </c>
      <c r="J1493">
        <v>0</v>
      </c>
      <c r="K1493">
        <v>60</v>
      </c>
      <c r="L1493">
        <v>0</v>
      </c>
      <c r="M1493">
        <v>972</v>
      </c>
      <c r="N1493">
        <v>0</v>
      </c>
      <c r="O1493">
        <v>0</v>
      </c>
      <c r="P1493">
        <v>0</v>
      </c>
      <c r="Q1493">
        <v>249</v>
      </c>
      <c r="R1493">
        <v>108</v>
      </c>
      <c r="S1493" s="18">
        <f t="shared" si="236"/>
        <v>9</v>
      </c>
      <c r="T1493" s="17">
        <f t="shared" si="237"/>
        <v>108</v>
      </c>
      <c r="U1493" s="17">
        <f t="shared" si="238"/>
        <v>0</v>
      </c>
      <c r="V1493" s="17">
        <f t="shared" si="239"/>
        <v>0</v>
      </c>
      <c r="W1493" s="17">
        <f t="shared" si="240"/>
        <v>0</v>
      </c>
      <c r="X1493" s="17">
        <f t="shared" si="241"/>
        <v>141</v>
      </c>
      <c r="Y1493" s="19">
        <f t="shared" si="242"/>
        <v>0</v>
      </c>
      <c r="Z1493">
        <v>445</v>
      </c>
      <c r="AA1493">
        <v>0</v>
      </c>
      <c r="AB1493">
        <v>0</v>
      </c>
      <c r="AC1493">
        <v>0</v>
      </c>
      <c r="AD1493">
        <v>0</v>
      </c>
      <c r="AE1493">
        <v>12</v>
      </c>
      <c r="AF1493">
        <v>0</v>
      </c>
      <c r="AG1493">
        <v>100</v>
      </c>
      <c r="AH1493">
        <v>112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60</v>
      </c>
      <c r="AP1493">
        <v>30</v>
      </c>
      <c r="AQ1493">
        <v>60</v>
      </c>
      <c r="AR1493">
        <v>30</v>
      </c>
      <c r="AS1493">
        <v>850</v>
      </c>
      <c r="AT1493">
        <v>0</v>
      </c>
      <c r="AU1493">
        <v>850</v>
      </c>
      <c r="AV1493">
        <v>850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f t="shared" si="243"/>
        <v>2954</v>
      </c>
      <c r="BF1493">
        <v>1467</v>
      </c>
      <c r="BG1493">
        <v>1467</v>
      </c>
      <c r="BH1493" t="s">
        <v>109</v>
      </c>
      <c r="BI1493" t="s">
        <v>2116</v>
      </c>
      <c r="BJ1493">
        <v>0</v>
      </c>
      <c r="BK1493">
        <v>1022</v>
      </c>
      <c r="BL1493">
        <v>1467</v>
      </c>
      <c r="BM1493">
        <v>972</v>
      </c>
      <c r="BN1493">
        <v>862</v>
      </c>
      <c r="BO1493">
        <v>0</v>
      </c>
      <c r="BP1493">
        <v>160</v>
      </c>
      <c r="BQ1493">
        <v>1994</v>
      </c>
      <c r="BR1493">
        <f t="shared" si="244"/>
        <v>-141</v>
      </c>
      <c r="BS1493">
        <f t="shared" si="245"/>
        <v>357</v>
      </c>
    </row>
    <row r="1494" spans="1:74" x14ac:dyDescent="0.25">
      <c r="A1494" s="5" t="s">
        <v>2090</v>
      </c>
      <c r="B1494" s="5" t="s">
        <v>61</v>
      </c>
      <c r="C1494" s="5" t="s">
        <v>61</v>
      </c>
      <c r="D1494" s="1" t="s">
        <v>349</v>
      </c>
      <c r="E1494">
        <v>0</v>
      </c>
      <c r="F1494">
        <v>0</v>
      </c>
      <c r="G1494">
        <v>0</v>
      </c>
      <c r="H1494">
        <v>0</v>
      </c>
      <c r="I1494">
        <v>60</v>
      </c>
      <c r="J1494">
        <v>703</v>
      </c>
      <c r="K1494">
        <v>886</v>
      </c>
      <c r="L1494">
        <v>50</v>
      </c>
      <c r="M1494">
        <v>0</v>
      </c>
      <c r="N1494">
        <v>0</v>
      </c>
      <c r="O1494">
        <v>0</v>
      </c>
      <c r="P1494">
        <v>0</v>
      </c>
      <c r="Q1494">
        <v>141</v>
      </c>
      <c r="R1494">
        <v>0</v>
      </c>
      <c r="S1494" s="18" t="e">
        <f t="shared" si="236"/>
        <v>#DIV/0!</v>
      </c>
      <c r="T1494" s="17" t="e">
        <f t="shared" si="237"/>
        <v>#DIV/0!</v>
      </c>
      <c r="U1494" s="17" t="e">
        <f t="shared" si="238"/>
        <v>#DIV/0!</v>
      </c>
      <c r="V1494" s="17" t="e">
        <f t="shared" si="239"/>
        <v>#DIV/0!</v>
      </c>
      <c r="W1494" s="17" t="e">
        <f t="shared" si="240"/>
        <v>#DIV/0!</v>
      </c>
      <c r="X1494" s="17" t="e">
        <f t="shared" si="241"/>
        <v>#DIV/0!</v>
      </c>
      <c r="Y1494" s="19" t="e">
        <f t="shared" si="242"/>
        <v>#DIV/0!</v>
      </c>
      <c r="Z1494">
        <v>0</v>
      </c>
      <c r="AA1494">
        <v>0</v>
      </c>
      <c r="AB1494">
        <v>0</v>
      </c>
      <c r="AC1494">
        <v>955</v>
      </c>
      <c r="AD1494">
        <v>0</v>
      </c>
      <c r="AE1494">
        <v>0</v>
      </c>
      <c r="AF1494">
        <v>0</v>
      </c>
      <c r="AG1494">
        <v>60</v>
      </c>
      <c r="AH1494">
        <v>60</v>
      </c>
      <c r="AI1494">
        <v>0</v>
      </c>
      <c r="AJ1494">
        <v>0</v>
      </c>
      <c r="AK1494">
        <v>703</v>
      </c>
      <c r="AL1494">
        <v>703</v>
      </c>
      <c r="AM1494">
        <v>0</v>
      </c>
      <c r="AN1494">
        <v>0</v>
      </c>
      <c r="AO1494">
        <v>886</v>
      </c>
      <c r="AP1494">
        <v>600</v>
      </c>
      <c r="AQ1494">
        <v>886</v>
      </c>
      <c r="AR1494">
        <v>286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50</v>
      </c>
      <c r="BA1494">
        <v>50</v>
      </c>
      <c r="BB1494">
        <v>0</v>
      </c>
      <c r="BC1494">
        <v>0</v>
      </c>
      <c r="BD1494">
        <v>0</v>
      </c>
      <c r="BE1494">
        <f t="shared" si="243"/>
        <v>5239</v>
      </c>
      <c r="BF1494">
        <v>2654</v>
      </c>
      <c r="BG1494">
        <v>2654</v>
      </c>
      <c r="BH1494" t="s">
        <v>190</v>
      </c>
      <c r="BI1494" t="s">
        <v>2158</v>
      </c>
      <c r="BJ1494">
        <v>955</v>
      </c>
      <c r="BK1494">
        <v>1699</v>
      </c>
      <c r="BL1494">
        <v>2654</v>
      </c>
      <c r="BM1494">
        <v>0</v>
      </c>
      <c r="BN1494">
        <v>0</v>
      </c>
      <c r="BO1494">
        <v>0</v>
      </c>
      <c r="BP1494">
        <v>1699</v>
      </c>
      <c r="BQ1494">
        <v>1699</v>
      </c>
      <c r="BR1494">
        <f t="shared" si="244"/>
        <v>-141</v>
      </c>
      <c r="BS1494">
        <f t="shared" si="245"/>
        <v>141</v>
      </c>
    </row>
    <row r="1495" spans="1:74" x14ac:dyDescent="0.25">
      <c r="A1495" s="5" t="s">
        <v>1946</v>
      </c>
      <c r="B1495" s="5" t="s">
        <v>207</v>
      </c>
      <c r="C1495" s="5" t="s">
        <v>61</v>
      </c>
      <c r="D1495" s="1" t="s">
        <v>71</v>
      </c>
      <c r="E1495">
        <v>0</v>
      </c>
      <c r="F1495">
        <v>0</v>
      </c>
      <c r="G1495">
        <v>0</v>
      </c>
      <c r="H1495">
        <v>0</v>
      </c>
      <c r="I1495">
        <v>300</v>
      </c>
      <c r="J1495">
        <v>0</v>
      </c>
      <c r="K1495">
        <v>300</v>
      </c>
      <c r="L1495">
        <v>300</v>
      </c>
      <c r="M1495">
        <v>0</v>
      </c>
      <c r="N1495">
        <v>0</v>
      </c>
      <c r="O1495">
        <v>0</v>
      </c>
      <c r="P1495">
        <v>0</v>
      </c>
      <c r="Q1495">
        <v>72</v>
      </c>
      <c r="R1495">
        <v>0</v>
      </c>
      <c r="S1495" s="18" t="e">
        <f t="shared" si="236"/>
        <v>#DIV/0!</v>
      </c>
      <c r="T1495" s="17" t="e">
        <f t="shared" si="237"/>
        <v>#DIV/0!</v>
      </c>
      <c r="U1495" s="17" t="e">
        <f t="shared" si="238"/>
        <v>#DIV/0!</v>
      </c>
      <c r="V1495" s="17" t="e">
        <f t="shared" si="239"/>
        <v>#DIV/0!</v>
      </c>
      <c r="W1495" s="17" t="e">
        <f t="shared" si="240"/>
        <v>#DIV/0!</v>
      </c>
      <c r="X1495" s="17" t="e">
        <f t="shared" si="241"/>
        <v>#DIV/0!</v>
      </c>
      <c r="Y1495" s="19" t="e">
        <f t="shared" si="242"/>
        <v>#DIV/0!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300</v>
      </c>
      <c r="AH1495">
        <v>300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300</v>
      </c>
      <c r="AP1495">
        <v>150</v>
      </c>
      <c r="AQ1495">
        <v>300</v>
      </c>
      <c r="AR1495">
        <v>150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300</v>
      </c>
      <c r="BA1495">
        <v>300</v>
      </c>
      <c r="BB1495">
        <v>0</v>
      </c>
      <c r="BC1495">
        <v>0</v>
      </c>
      <c r="BD1495">
        <v>0</v>
      </c>
      <c r="BE1495">
        <f t="shared" si="243"/>
        <v>2100</v>
      </c>
      <c r="BF1495">
        <v>900</v>
      </c>
      <c r="BG1495">
        <v>900</v>
      </c>
      <c r="BH1495" t="s">
        <v>63</v>
      </c>
      <c r="BI1495" t="s">
        <v>2013</v>
      </c>
      <c r="BJ1495">
        <v>0</v>
      </c>
      <c r="BK1495">
        <v>900</v>
      </c>
      <c r="BL1495">
        <v>900</v>
      </c>
      <c r="BM1495">
        <v>0</v>
      </c>
      <c r="BN1495">
        <v>0</v>
      </c>
      <c r="BO1495">
        <v>0</v>
      </c>
      <c r="BP1495">
        <v>900</v>
      </c>
      <c r="BQ1495">
        <v>900</v>
      </c>
      <c r="BR1495">
        <f t="shared" si="244"/>
        <v>-72</v>
      </c>
      <c r="BS1495">
        <f t="shared" si="245"/>
        <v>72</v>
      </c>
      <c r="BU1495">
        <f>R1495*9</f>
        <v>0</v>
      </c>
      <c r="BV1495">
        <f>IF(BU1495&gt;BG1495, 1, 0)</f>
        <v>0</v>
      </c>
    </row>
    <row r="1496" spans="1:74" x14ac:dyDescent="0.25">
      <c r="A1496" s="5" t="s">
        <v>207</v>
      </c>
      <c r="B1496" s="5" t="s">
        <v>627</v>
      </c>
      <c r="C1496" s="5" t="s">
        <v>61</v>
      </c>
      <c r="D1496" s="1" t="s">
        <v>84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2000</v>
      </c>
      <c r="K1496">
        <v>1600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142</v>
      </c>
      <c r="R1496">
        <v>0</v>
      </c>
      <c r="S1496" s="18" t="e">
        <f t="shared" si="236"/>
        <v>#DIV/0!</v>
      </c>
      <c r="T1496" s="17" t="e">
        <f t="shared" si="237"/>
        <v>#DIV/0!</v>
      </c>
      <c r="U1496" s="17" t="e">
        <f t="shared" si="238"/>
        <v>#DIV/0!</v>
      </c>
      <c r="V1496" s="17" t="e">
        <f t="shared" si="239"/>
        <v>#DIV/0!</v>
      </c>
      <c r="W1496" s="17" t="e">
        <f t="shared" si="240"/>
        <v>#DIV/0!</v>
      </c>
      <c r="X1496" s="17" t="e">
        <f t="shared" si="241"/>
        <v>#DIV/0!</v>
      </c>
      <c r="Y1496" s="19" t="e">
        <f t="shared" si="242"/>
        <v>#DIV/0!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2000</v>
      </c>
      <c r="AL1496">
        <v>2000</v>
      </c>
      <c r="AM1496">
        <v>0</v>
      </c>
      <c r="AN1496">
        <v>0</v>
      </c>
      <c r="AO1496">
        <v>1600</v>
      </c>
      <c r="AP1496">
        <v>883</v>
      </c>
      <c r="AQ1496">
        <v>1600</v>
      </c>
      <c r="AR1496">
        <v>717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f t="shared" si="243"/>
        <v>8800</v>
      </c>
      <c r="BF1496">
        <v>7100</v>
      </c>
      <c r="BG1496">
        <v>7100</v>
      </c>
      <c r="BH1496" t="s">
        <v>109</v>
      </c>
      <c r="BI1496" t="s">
        <v>636</v>
      </c>
      <c r="BJ1496">
        <v>0</v>
      </c>
      <c r="BK1496">
        <v>3600</v>
      </c>
      <c r="BL1496">
        <v>3600</v>
      </c>
      <c r="BM1496">
        <v>0</v>
      </c>
      <c r="BN1496">
        <v>0</v>
      </c>
      <c r="BO1496">
        <v>0</v>
      </c>
      <c r="BP1496">
        <v>3600</v>
      </c>
      <c r="BQ1496">
        <v>3600</v>
      </c>
      <c r="BR1496">
        <f t="shared" si="244"/>
        <v>-142</v>
      </c>
      <c r="BS1496">
        <f t="shared" si="245"/>
        <v>142</v>
      </c>
    </row>
    <row r="1497" spans="1:74" x14ac:dyDescent="0.25">
      <c r="A1497" s="5" t="s">
        <v>1451</v>
      </c>
      <c r="B1497" s="5" t="s">
        <v>207</v>
      </c>
      <c r="C1497" s="5" t="s">
        <v>207</v>
      </c>
      <c r="D1497" s="1" t="s">
        <v>149</v>
      </c>
      <c r="E1497">
        <v>0</v>
      </c>
      <c r="F1497">
        <v>1650</v>
      </c>
      <c r="G1497">
        <v>0</v>
      </c>
      <c r="H1497">
        <v>0</v>
      </c>
      <c r="I1497">
        <v>185</v>
      </c>
      <c r="J1497">
        <v>0</v>
      </c>
      <c r="K1497">
        <v>15</v>
      </c>
      <c r="L1497">
        <v>0</v>
      </c>
      <c r="M1497">
        <v>1845</v>
      </c>
      <c r="N1497">
        <v>0</v>
      </c>
      <c r="O1497">
        <v>0</v>
      </c>
      <c r="P1497">
        <v>0</v>
      </c>
      <c r="Q1497">
        <v>347</v>
      </c>
      <c r="R1497">
        <v>205</v>
      </c>
      <c r="S1497" s="18">
        <f t="shared" si="236"/>
        <v>9</v>
      </c>
      <c r="T1497" s="17">
        <f t="shared" si="237"/>
        <v>205</v>
      </c>
      <c r="U1497" s="17">
        <f t="shared" si="238"/>
        <v>0</v>
      </c>
      <c r="V1497" s="17">
        <f t="shared" si="239"/>
        <v>0</v>
      </c>
      <c r="W1497" s="17">
        <f t="shared" si="240"/>
        <v>0</v>
      </c>
      <c r="X1497" s="17">
        <f t="shared" si="241"/>
        <v>142</v>
      </c>
      <c r="Y1497" s="19">
        <f t="shared" si="242"/>
        <v>0</v>
      </c>
      <c r="Z1497">
        <v>1650</v>
      </c>
      <c r="AA1497">
        <v>0</v>
      </c>
      <c r="AB1497">
        <v>0</v>
      </c>
      <c r="AC1497">
        <v>0</v>
      </c>
      <c r="AD1497">
        <v>185</v>
      </c>
      <c r="AE1497">
        <v>0</v>
      </c>
      <c r="AF1497">
        <v>0</v>
      </c>
      <c r="AG1497">
        <v>0</v>
      </c>
      <c r="AH1497">
        <v>185</v>
      </c>
      <c r="AI1497">
        <v>0</v>
      </c>
      <c r="AJ1497">
        <v>0</v>
      </c>
      <c r="AK1497">
        <v>0</v>
      </c>
      <c r="AL1497">
        <v>0</v>
      </c>
      <c r="AM1497">
        <v>15</v>
      </c>
      <c r="AN1497">
        <v>0</v>
      </c>
      <c r="AO1497">
        <v>0</v>
      </c>
      <c r="AP1497">
        <v>15</v>
      </c>
      <c r="AQ1497">
        <v>15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f t="shared" si="243"/>
        <v>415</v>
      </c>
      <c r="BF1497">
        <v>1850</v>
      </c>
      <c r="BG1497">
        <v>1850</v>
      </c>
      <c r="BH1497" t="s">
        <v>109</v>
      </c>
      <c r="BI1497" t="s">
        <v>1592</v>
      </c>
      <c r="BJ1497">
        <v>0</v>
      </c>
      <c r="BK1497">
        <v>200</v>
      </c>
      <c r="BL1497">
        <v>1850</v>
      </c>
      <c r="BM1497">
        <v>2045</v>
      </c>
      <c r="BN1497">
        <v>0</v>
      </c>
      <c r="BO1497">
        <v>0</v>
      </c>
      <c r="BP1497">
        <v>0</v>
      </c>
      <c r="BQ1497">
        <v>2045</v>
      </c>
      <c r="BR1497">
        <f t="shared" si="244"/>
        <v>-142</v>
      </c>
      <c r="BS1497">
        <f t="shared" si="245"/>
        <v>552</v>
      </c>
    </row>
    <row r="1498" spans="1:74" x14ac:dyDescent="0.25">
      <c r="A1498" s="5" t="s">
        <v>1451</v>
      </c>
      <c r="B1498" s="5" t="s">
        <v>61</v>
      </c>
      <c r="C1498" s="5" t="s">
        <v>61</v>
      </c>
      <c r="D1498" s="1" t="s">
        <v>65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890</v>
      </c>
      <c r="K1498">
        <v>260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76</v>
      </c>
      <c r="R1498">
        <v>0</v>
      </c>
      <c r="S1498" s="18" t="e">
        <f t="shared" si="236"/>
        <v>#DIV/0!</v>
      </c>
      <c r="T1498" s="17" t="e">
        <f t="shared" si="237"/>
        <v>#DIV/0!</v>
      </c>
      <c r="U1498" s="17" t="e">
        <f t="shared" si="238"/>
        <v>#DIV/0!</v>
      </c>
      <c r="V1498" s="17" t="e">
        <f t="shared" si="239"/>
        <v>#DIV/0!</v>
      </c>
      <c r="W1498" s="17" t="e">
        <f t="shared" si="240"/>
        <v>#DIV/0!</v>
      </c>
      <c r="X1498" s="17" t="e">
        <f t="shared" si="241"/>
        <v>#DIV/0!</v>
      </c>
      <c r="Y1498" s="19" t="e">
        <f t="shared" si="242"/>
        <v>#DIV/0!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890</v>
      </c>
      <c r="AL1498">
        <v>890</v>
      </c>
      <c r="AM1498">
        <v>0</v>
      </c>
      <c r="AN1498">
        <v>0</v>
      </c>
      <c r="AO1498">
        <v>260</v>
      </c>
      <c r="AP1498">
        <v>0</v>
      </c>
      <c r="AQ1498">
        <v>260</v>
      </c>
      <c r="AR1498">
        <v>260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f t="shared" si="243"/>
        <v>2560</v>
      </c>
      <c r="BF1498">
        <v>1150</v>
      </c>
      <c r="BG1498">
        <v>1150</v>
      </c>
      <c r="BH1498" t="s">
        <v>63</v>
      </c>
      <c r="BI1498" t="s">
        <v>1452</v>
      </c>
      <c r="BJ1498">
        <v>0</v>
      </c>
      <c r="BK1498">
        <v>1150</v>
      </c>
      <c r="BL1498">
        <v>1150</v>
      </c>
      <c r="BM1498">
        <v>0</v>
      </c>
      <c r="BN1498">
        <v>0</v>
      </c>
      <c r="BO1498">
        <v>0</v>
      </c>
      <c r="BP1498">
        <v>1150</v>
      </c>
      <c r="BQ1498">
        <v>1150</v>
      </c>
      <c r="BR1498">
        <f t="shared" si="244"/>
        <v>-76</v>
      </c>
      <c r="BS1498">
        <f t="shared" si="245"/>
        <v>76</v>
      </c>
      <c r="BU1498">
        <f>R1498*9</f>
        <v>0</v>
      </c>
      <c r="BV1498">
        <f>IF(BU1498&gt;BG1498, 1, 0)</f>
        <v>0</v>
      </c>
    </row>
    <row r="1499" spans="1:74" x14ac:dyDescent="0.25">
      <c r="A1499" s="5" t="s">
        <v>1661</v>
      </c>
      <c r="B1499" s="5" t="s">
        <v>207</v>
      </c>
      <c r="C1499" s="5" t="s">
        <v>61</v>
      </c>
      <c r="D1499" s="1" t="s">
        <v>133</v>
      </c>
      <c r="E1499">
        <v>0</v>
      </c>
      <c r="F1499">
        <v>8</v>
      </c>
      <c r="G1499">
        <v>0</v>
      </c>
      <c r="H1499">
        <v>0</v>
      </c>
      <c r="I1499">
        <v>224</v>
      </c>
      <c r="J1499">
        <v>1280</v>
      </c>
      <c r="K1499">
        <v>226</v>
      </c>
      <c r="L1499">
        <v>0</v>
      </c>
      <c r="M1499">
        <v>0</v>
      </c>
      <c r="N1499">
        <v>0</v>
      </c>
      <c r="O1499">
        <v>0</v>
      </c>
      <c r="P1499">
        <v>36</v>
      </c>
      <c r="Q1499">
        <v>146</v>
      </c>
      <c r="R1499">
        <v>4</v>
      </c>
      <c r="S1499" s="18">
        <f t="shared" si="236"/>
        <v>9</v>
      </c>
      <c r="T1499" s="17">
        <f t="shared" si="237"/>
        <v>0</v>
      </c>
      <c r="U1499" s="17">
        <f t="shared" si="238"/>
        <v>0</v>
      </c>
      <c r="V1499" s="17">
        <f t="shared" si="239"/>
        <v>0</v>
      </c>
      <c r="W1499" s="17">
        <f t="shared" si="240"/>
        <v>4</v>
      </c>
      <c r="X1499" s="17">
        <f t="shared" si="241"/>
        <v>142</v>
      </c>
      <c r="Y1499" s="19">
        <f t="shared" si="242"/>
        <v>0</v>
      </c>
      <c r="Z1499">
        <v>8</v>
      </c>
      <c r="AA1499">
        <v>0</v>
      </c>
      <c r="AB1499">
        <v>169</v>
      </c>
      <c r="AC1499">
        <v>2050</v>
      </c>
      <c r="AD1499">
        <v>0</v>
      </c>
      <c r="AE1499">
        <v>0</v>
      </c>
      <c r="AF1499">
        <v>0</v>
      </c>
      <c r="AG1499">
        <v>224</v>
      </c>
      <c r="AH1499">
        <v>224</v>
      </c>
      <c r="AI1499">
        <v>0</v>
      </c>
      <c r="AJ1499">
        <v>0</v>
      </c>
      <c r="AK1499">
        <v>1280</v>
      </c>
      <c r="AL1499">
        <v>1280</v>
      </c>
      <c r="AM1499">
        <v>0</v>
      </c>
      <c r="AN1499">
        <v>0</v>
      </c>
      <c r="AO1499">
        <v>226</v>
      </c>
      <c r="AP1499">
        <v>140</v>
      </c>
      <c r="AQ1499">
        <v>226</v>
      </c>
      <c r="AR1499">
        <v>86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f t="shared" si="243"/>
        <v>5736</v>
      </c>
      <c r="BF1499">
        <v>3957</v>
      </c>
      <c r="BG1499">
        <v>3957</v>
      </c>
      <c r="BH1499" t="s">
        <v>82</v>
      </c>
      <c r="BI1499" t="s">
        <v>1790</v>
      </c>
      <c r="BJ1499">
        <v>2219</v>
      </c>
      <c r="BK1499">
        <v>1730</v>
      </c>
      <c r="BL1499">
        <v>3957</v>
      </c>
      <c r="BM1499">
        <v>0</v>
      </c>
      <c r="BN1499">
        <v>0</v>
      </c>
      <c r="BO1499">
        <v>0</v>
      </c>
      <c r="BP1499">
        <v>1766</v>
      </c>
      <c r="BQ1499">
        <v>1766</v>
      </c>
      <c r="BR1499">
        <f t="shared" si="244"/>
        <v>-142</v>
      </c>
      <c r="BS1499">
        <f t="shared" si="245"/>
        <v>150</v>
      </c>
    </row>
    <row r="1500" spans="1:74" x14ac:dyDescent="0.25">
      <c r="A1500" s="5" t="s">
        <v>1946</v>
      </c>
      <c r="B1500" s="5" t="s">
        <v>61</v>
      </c>
      <c r="C1500" s="5" t="s">
        <v>61</v>
      </c>
      <c r="D1500" s="1" t="s">
        <v>108</v>
      </c>
      <c r="E1500">
        <v>0</v>
      </c>
      <c r="F1500">
        <v>0</v>
      </c>
      <c r="G1500">
        <v>0</v>
      </c>
      <c r="H1500">
        <v>0</v>
      </c>
      <c r="I1500">
        <v>160</v>
      </c>
      <c r="J1500">
        <v>0</v>
      </c>
      <c r="K1500">
        <v>720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142</v>
      </c>
      <c r="R1500">
        <v>0</v>
      </c>
      <c r="S1500" s="18" t="e">
        <f t="shared" si="236"/>
        <v>#DIV/0!</v>
      </c>
      <c r="T1500" s="17" t="e">
        <f t="shared" si="237"/>
        <v>#DIV/0!</v>
      </c>
      <c r="U1500" s="17" t="e">
        <f t="shared" si="238"/>
        <v>#DIV/0!</v>
      </c>
      <c r="V1500" s="17" t="e">
        <f t="shared" si="239"/>
        <v>#DIV/0!</v>
      </c>
      <c r="W1500" s="17" t="e">
        <f t="shared" si="240"/>
        <v>#DIV/0!</v>
      </c>
      <c r="X1500" s="17" t="e">
        <f t="shared" si="241"/>
        <v>#DIV/0!</v>
      </c>
      <c r="Y1500" s="19" t="e">
        <f t="shared" si="242"/>
        <v>#DIV/0!</v>
      </c>
      <c r="Z1500">
        <v>0</v>
      </c>
      <c r="AA1500">
        <v>0</v>
      </c>
      <c r="AB1500">
        <v>0</v>
      </c>
      <c r="AC1500">
        <v>652</v>
      </c>
      <c r="AD1500">
        <v>0</v>
      </c>
      <c r="AE1500">
        <v>0</v>
      </c>
      <c r="AF1500">
        <v>0</v>
      </c>
      <c r="AG1500">
        <v>160</v>
      </c>
      <c r="AH1500">
        <v>160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720</v>
      </c>
      <c r="AP1500">
        <v>720</v>
      </c>
      <c r="AQ1500">
        <v>720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f t="shared" si="243"/>
        <v>3132</v>
      </c>
      <c r="BF1500">
        <v>1532</v>
      </c>
      <c r="BG1500">
        <v>1532</v>
      </c>
      <c r="BH1500" t="s">
        <v>82</v>
      </c>
      <c r="BI1500" t="s">
        <v>1673</v>
      </c>
      <c r="BJ1500">
        <v>652</v>
      </c>
      <c r="BK1500">
        <v>880</v>
      </c>
      <c r="BL1500">
        <v>1532</v>
      </c>
      <c r="BM1500">
        <v>0</v>
      </c>
      <c r="BN1500">
        <v>0</v>
      </c>
      <c r="BO1500">
        <v>0</v>
      </c>
      <c r="BP1500">
        <v>880</v>
      </c>
      <c r="BQ1500">
        <v>880</v>
      </c>
      <c r="BR1500">
        <f t="shared" si="244"/>
        <v>-142</v>
      </c>
      <c r="BS1500">
        <f t="shared" si="245"/>
        <v>142</v>
      </c>
    </row>
    <row r="1501" spans="1:74" x14ac:dyDescent="0.25">
      <c r="A1501" s="5" t="s">
        <v>1946</v>
      </c>
      <c r="B1501" s="5" t="s">
        <v>61</v>
      </c>
      <c r="C1501" s="5" t="s">
        <v>61</v>
      </c>
      <c r="D1501" s="1" t="s">
        <v>149</v>
      </c>
      <c r="E1501">
        <v>278</v>
      </c>
      <c r="F1501">
        <v>0</v>
      </c>
      <c r="G1501">
        <v>0</v>
      </c>
      <c r="H1501">
        <v>0</v>
      </c>
      <c r="I1501">
        <v>150</v>
      </c>
      <c r="J1501">
        <v>2922</v>
      </c>
      <c r="K1501">
        <v>358</v>
      </c>
      <c r="L1501">
        <v>235</v>
      </c>
      <c r="M1501">
        <v>0</v>
      </c>
      <c r="N1501">
        <v>0</v>
      </c>
      <c r="O1501">
        <v>0</v>
      </c>
      <c r="P1501">
        <v>0</v>
      </c>
      <c r="Q1501">
        <v>142</v>
      </c>
      <c r="R1501">
        <v>0</v>
      </c>
      <c r="S1501" s="18" t="e">
        <f t="shared" si="236"/>
        <v>#DIV/0!</v>
      </c>
      <c r="T1501" s="17" t="e">
        <f t="shared" si="237"/>
        <v>#DIV/0!</v>
      </c>
      <c r="U1501" s="17" t="e">
        <f t="shared" si="238"/>
        <v>#DIV/0!</v>
      </c>
      <c r="V1501" s="17" t="e">
        <f t="shared" si="239"/>
        <v>#DIV/0!</v>
      </c>
      <c r="W1501" s="17" t="e">
        <f t="shared" si="240"/>
        <v>#DIV/0!</v>
      </c>
      <c r="X1501" s="17" t="e">
        <f t="shared" si="241"/>
        <v>#DIV/0!</v>
      </c>
      <c r="Y1501" s="19" t="e">
        <f t="shared" si="242"/>
        <v>#DIV/0!</v>
      </c>
      <c r="Z1501">
        <v>0</v>
      </c>
      <c r="AA1501">
        <v>0</v>
      </c>
      <c r="AB1501">
        <v>0</v>
      </c>
      <c r="AC1501">
        <v>1273</v>
      </c>
      <c r="AD1501">
        <v>0</v>
      </c>
      <c r="AE1501">
        <v>0</v>
      </c>
      <c r="AF1501">
        <v>0</v>
      </c>
      <c r="AG1501">
        <v>150</v>
      </c>
      <c r="AH1501">
        <v>150</v>
      </c>
      <c r="AI1501">
        <v>0</v>
      </c>
      <c r="AJ1501">
        <v>0</v>
      </c>
      <c r="AK1501">
        <v>2922</v>
      </c>
      <c r="AL1501">
        <v>2922</v>
      </c>
      <c r="AM1501">
        <v>0</v>
      </c>
      <c r="AN1501">
        <v>0</v>
      </c>
      <c r="AO1501">
        <v>358</v>
      </c>
      <c r="AP1501">
        <v>0</v>
      </c>
      <c r="AQ1501">
        <v>358</v>
      </c>
      <c r="AR1501">
        <v>358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235</v>
      </c>
      <c r="BA1501">
        <v>235</v>
      </c>
      <c r="BB1501">
        <v>0</v>
      </c>
      <c r="BC1501">
        <v>0</v>
      </c>
      <c r="BD1501">
        <v>0</v>
      </c>
      <c r="BE1501">
        <f t="shared" si="243"/>
        <v>8961</v>
      </c>
      <c r="BF1501">
        <v>5216</v>
      </c>
      <c r="BG1501">
        <v>5216</v>
      </c>
      <c r="BH1501" t="s">
        <v>190</v>
      </c>
      <c r="BI1501" t="s">
        <v>1987</v>
      </c>
      <c r="BJ1501">
        <v>1551</v>
      </c>
      <c r="BK1501">
        <v>3665</v>
      </c>
      <c r="BL1501">
        <v>5216</v>
      </c>
      <c r="BM1501">
        <v>0</v>
      </c>
      <c r="BN1501">
        <v>0</v>
      </c>
      <c r="BO1501">
        <v>0</v>
      </c>
      <c r="BP1501">
        <v>3665</v>
      </c>
      <c r="BQ1501">
        <v>3665</v>
      </c>
      <c r="BR1501">
        <f t="shared" si="244"/>
        <v>-142</v>
      </c>
      <c r="BS1501">
        <f t="shared" si="245"/>
        <v>142</v>
      </c>
    </row>
    <row r="1502" spans="1:74" x14ac:dyDescent="0.25">
      <c r="A1502" s="5" t="s">
        <v>1946</v>
      </c>
      <c r="B1502" s="5" t="s">
        <v>207</v>
      </c>
      <c r="C1502" s="5" t="s">
        <v>61</v>
      </c>
      <c r="D1502" s="1" t="s">
        <v>98</v>
      </c>
      <c r="E1502">
        <v>0</v>
      </c>
      <c r="F1502">
        <v>0</v>
      </c>
      <c r="G1502">
        <v>0</v>
      </c>
      <c r="H1502">
        <v>0</v>
      </c>
      <c r="I1502">
        <v>255</v>
      </c>
      <c r="J1502">
        <v>1150</v>
      </c>
      <c r="K1502">
        <v>90</v>
      </c>
      <c r="L1502">
        <v>150</v>
      </c>
      <c r="M1502">
        <v>0</v>
      </c>
      <c r="N1502">
        <v>0</v>
      </c>
      <c r="O1502">
        <v>0</v>
      </c>
      <c r="P1502">
        <v>0</v>
      </c>
      <c r="Q1502">
        <v>142</v>
      </c>
      <c r="R1502">
        <v>0</v>
      </c>
      <c r="S1502" s="18" t="e">
        <f t="shared" si="236"/>
        <v>#DIV/0!</v>
      </c>
      <c r="T1502" s="17" t="e">
        <f t="shared" si="237"/>
        <v>#DIV/0!</v>
      </c>
      <c r="U1502" s="17" t="e">
        <f t="shared" si="238"/>
        <v>#DIV/0!</v>
      </c>
      <c r="V1502" s="17" t="e">
        <f t="shared" si="239"/>
        <v>#DIV/0!</v>
      </c>
      <c r="W1502" s="17" t="e">
        <f t="shared" si="240"/>
        <v>#DIV/0!</v>
      </c>
      <c r="X1502" s="17" t="e">
        <f t="shared" si="241"/>
        <v>#DIV/0!</v>
      </c>
      <c r="Y1502" s="19" t="e">
        <f t="shared" si="242"/>
        <v>#DIV/0!</v>
      </c>
      <c r="Z1502">
        <v>0</v>
      </c>
      <c r="AA1502">
        <v>0</v>
      </c>
      <c r="AB1502">
        <v>0</v>
      </c>
      <c r="AC1502">
        <v>623</v>
      </c>
      <c r="AD1502">
        <v>0</v>
      </c>
      <c r="AE1502">
        <v>0</v>
      </c>
      <c r="AF1502">
        <v>0</v>
      </c>
      <c r="AG1502">
        <v>255</v>
      </c>
      <c r="AH1502">
        <v>255</v>
      </c>
      <c r="AI1502">
        <v>0</v>
      </c>
      <c r="AJ1502">
        <v>0</v>
      </c>
      <c r="AK1502">
        <v>1150</v>
      </c>
      <c r="AL1502">
        <v>1150</v>
      </c>
      <c r="AM1502">
        <v>0</v>
      </c>
      <c r="AN1502">
        <v>0</v>
      </c>
      <c r="AO1502">
        <v>90</v>
      </c>
      <c r="AP1502">
        <v>25</v>
      </c>
      <c r="AQ1502">
        <v>90</v>
      </c>
      <c r="AR1502">
        <v>65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150</v>
      </c>
      <c r="BA1502">
        <v>150</v>
      </c>
      <c r="BB1502">
        <v>0</v>
      </c>
      <c r="BC1502">
        <v>0</v>
      </c>
      <c r="BD1502">
        <v>0</v>
      </c>
      <c r="BE1502">
        <f t="shared" si="243"/>
        <v>4003</v>
      </c>
      <c r="BF1502">
        <v>2268</v>
      </c>
      <c r="BG1502">
        <v>2268</v>
      </c>
      <c r="BH1502" t="s">
        <v>190</v>
      </c>
      <c r="BI1502" t="s">
        <v>2025</v>
      </c>
      <c r="BJ1502">
        <v>623</v>
      </c>
      <c r="BK1502">
        <v>1645</v>
      </c>
      <c r="BL1502">
        <v>2268</v>
      </c>
      <c r="BM1502">
        <v>0</v>
      </c>
      <c r="BN1502">
        <v>0</v>
      </c>
      <c r="BO1502">
        <v>0</v>
      </c>
      <c r="BP1502">
        <v>1645</v>
      </c>
      <c r="BQ1502">
        <v>1645</v>
      </c>
      <c r="BR1502">
        <f t="shared" si="244"/>
        <v>-142</v>
      </c>
      <c r="BS1502">
        <f t="shared" si="245"/>
        <v>142</v>
      </c>
    </row>
    <row r="1503" spans="1:74" x14ac:dyDescent="0.25">
      <c r="A1503" s="5" t="s">
        <v>61</v>
      </c>
      <c r="B1503" s="5" t="s">
        <v>207</v>
      </c>
      <c r="C1503" s="5" t="s">
        <v>61</v>
      </c>
      <c r="D1503" s="1" t="s">
        <v>123</v>
      </c>
      <c r="E1503">
        <v>0</v>
      </c>
      <c r="F1503">
        <v>0</v>
      </c>
      <c r="G1503">
        <v>0</v>
      </c>
      <c r="H1503">
        <v>0</v>
      </c>
      <c r="I1503">
        <v>425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143</v>
      </c>
      <c r="R1503">
        <v>0</v>
      </c>
      <c r="S1503" s="18" t="e">
        <f t="shared" si="236"/>
        <v>#DIV/0!</v>
      </c>
      <c r="T1503" s="17" t="e">
        <f t="shared" si="237"/>
        <v>#DIV/0!</v>
      </c>
      <c r="U1503" s="17" t="e">
        <f t="shared" si="238"/>
        <v>#DIV/0!</v>
      </c>
      <c r="V1503" s="17" t="e">
        <f t="shared" si="239"/>
        <v>#DIV/0!</v>
      </c>
      <c r="W1503" s="17" t="e">
        <f t="shared" si="240"/>
        <v>#DIV/0!</v>
      </c>
      <c r="X1503" s="17" t="e">
        <f t="shared" si="241"/>
        <v>#DIV/0!</v>
      </c>
      <c r="Y1503" s="19" t="e">
        <f t="shared" si="242"/>
        <v>#DIV/0!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425</v>
      </c>
      <c r="AH1503">
        <v>425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f t="shared" si="243"/>
        <v>850</v>
      </c>
      <c r="BF1503">
        <v>425</v>
      </c>
      <c r="BG1503">
        <v>425</v>
      </c>
      <c r="BH1503" t="s">
        <v>109</v>
      </c>
      <c r="BI1503" t="s">
        <v>238</v>
      </c>
      <c r="BJ1503">
        <v>0</v>
      </c>
      <c r="BK1503">
        <v>425</v>
      </c>
      <c r="BL1503">
        <v>425</v>
      </c>
      <c r="BM1503">
        <v>0</v>
      </c>
      <c r="BN1503">
        <v>0</v>
      </c>
      <c r="BO1503">
        <v>0</v>
      </c>
      <c r="BP1503">
        <v>425</v>
      </c>
      <c r="BQ1503">
        <v>425</v>
      </c>
      <c r="BR1503">
        <f t="shared" si="244"/>
        <v>-143</v>
      </c>
      <c r="BS1503">
        <f t="shared" si="245"/>
        <v>143</v>
      </c>
    </row>
    <row r="1504" spans="1:74" x14ac:dyDescent="0.25">
      <c r="A1504" s="5" t="s">
        <v>627</v>
      </c>
      <c r="B1504" s="5" t="s">
        <v>207</v>
      </c>
      <c r="C1504" s="5" t="s">
        <v>61</v>
      </c>
      <c r="D1504" s="1" t="s">
        <v>77</v>
      </c>
      <c r="E1504">
        <v>0</v>
      </c>
      <c r="F1504">
        <v>872</v>
      </c>
      <c r="G1504">
        <v>0</v>
      </c>
      <c r="H1504">
        <v>0</v>
      </c>
      <c r="I1504">
        <v>500</v>
      </c>
      <c r="J1504">
        <v>0</v>
      </c>
      <c r="K1504">
        <v>0</v>
      </c>
      <c r="L1504">
        <v>0</v>
      </c>
      <c r="M1504">
        <v>4824</v>
      </c>
      <c r="N1504">
        <v>0</v>
      </c>
      <c r="O1504">
        <v>0</v>
      </c>
      <c r="P1504">
        <v>0</v>
      </c>
      <c r="Q1504">
        <v>679</v>
      </c>
      <c r="R1504">
        <v>536</v>
      </c>
      <c r="S1504" s="18">
        <f t="shared" si="236"/>
        <v>9</v>
      </c>
      <c r="T1504" s="17">
        <f t="shared" si="237"/>
        <v>536</v>
      </c>
      <c r="U1504" s="17">
        <f t="shared" si="238"/>
        <v>0</v>
      </c>
      <c r="V1504" s="17">
        <f t="shared" si="239"/>
        <v>0</v>
      </c>
      <c r="W1504" s="17">
        <f t="shared" si="240"/>
        <v>0</v>
      </c>
      <c r="X1504" s="17">
        <f t="shared" si="241"/>
        <v>143</v>
      </c>
      <c r="Y1504" s="19">
        <f t="shared" si="242"/>
        <v>0</v>
      </c>
      <c r="Z1504">
        <v>872</v>
      </c>
      <c r="AA1504">
        <v>0</v>
      </c>
      <c r="AB1504">
        <v>0</v>
      </c>
      <c r="AC1504">
        <v>0</v>
      </c>
      <c r="AD1504">
        <v>500</v>
      </c>
      <c r="AE1504">
        <v>0</v>
      </c>
      <c r="AF1504">
        <v>0</v>
      </c>
      <c r="AG1504">
        <v>0</v>
      </c>
      <c r="AH1504">
        <v>500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f t="shared" si="243"/>
        <v>1000</v>
      </c>
      <c r="BF1504">
        <v>1372</v>
      </c>
      <c r="BG1504">
        <v>1372</v>
      </c>
      <c r="BH1504" t="s">
        <v>109</v>
      </c>
      <c r="BI1504" t="s">
        <v>824</v>
      </c>
      <c r="BJ1504">
        <v>0</v>
      </c>
      <c r="BK1504">
        <v>500</v>
      </c>
      <c r="BL1504">
        <v>1372</v>
      </c>
      <c r="BM1504">
        <v>5324</v>
      </c>
      <c r="BN1504">
        <v>0</v>
      </c>
      <c r="BO1504">
        <v>0</v>
      </c>
      <c r="BP1504">
        <v>0</v>
      </c>
      <c r="BQ1504">
        <v>5324</v>
      </c>
      <c r="BR1504">
        <f t="shared" si="244"/>
        <v>-143</v>
      </c>
      <c r="BS1504">
        <f t="shared" si="245"/>
        <v>1215</v>
      </c>
    </row>
    <row r="1505" spans="1:74" x14ac:dyDescent="0.25">
      <c r="A1505" s="5" t="s">
        <v>1661</v>
      </c>
      <c r="B1505" s="5" t="s">
        <v>207</v>
      </c>
      <c r="C1505" s="5" t="s">
        <v>61</v>
      </c>
      <c r="D1505" s="1" t="s">
        <v>135</v>
      </c>
      <c r="E1505">
        <v>0</v>
      </c>
      <c r="F1505">
        <v>60</v>
      </c>
      <c r="G1505">
        <v>0</v>
      </c>
      <c r="H1505">
        <v>0</v>
      </c>
      <c r="I1505">
        <v>19</v>
      </c>
      <c r="J1505">
        <v>1110</v>
      </c>
      <c r="K1505">
        <v>145</v>
      </c>
      <c r="L1505">
        <v>4</v>
      </c>
      <c r="M1505">
        <v>0</v>
      </c>
      <c r="N1505">
        <v>0</v>
      </c>
      <c r="O1505">
        <v>0</v>
      </c>
      <c r="P1505">
        <v>270</v>
      </c>
      <c r="Q1505">
        <v>173</v>
      </c>
      <c r="R1505">
        <v>30</v>
      </c>
      <c r="S1505" s="18">
        <f t="shared" si="236"/>
        <v>9</v>
      </c>
      <c r="T1505" s="17">
        <f t="shared" si="237"/>
        <v>0</v>
      </c>
      <c r="U1505" s="17">
        <f t="shared" si="238"/>
        <v>0</v>
      </c>
      <c r="V1505" s="17">
        <f t="shared" si="239"/>
        <v>0</v>
      </c>
      <c r="W1505" s="17">
        <f t="shared" si="240"/>
        <v>30</v>
      </c>
      <c r="X1505" s="17">
        <f t="shared" si="241"/>
        <v>143</v>
      </c>
      <c r="Y1505" s="19">
        <f t="shared" si="242"/>
        <v>0</v>
      </c>
      <c r="Z1505">
        <v>60</v>
      </c>
      <c r="AA1505">
        <v>0</v>
      </c>
      <c r="AB1505">
        <v>0</v>
      </c>
      <c r="AC1505">
        <v>1560</v>
      </c>
      <c r="AD1505">
        <v>0</v>
      </c>
      <c r="AE1505">
        <v>0</v>
      </c>
      <c r="AF1505">
        <v>0</v>
      </c>
      <c r="AG1505">
        <v>19</v>
      </c>
      <c r="AH1505">
        <v>19</v>
      </c>
      <c r="AI1505">
        <v>0</v>
      </c>
      <c r="AJ1505">
        <v>0</v>
      </c>
      <c r="AK1505">
        <v>1110</v>
      </c>
      <c r="AL1505">
        <v>1110</v>
      </c>
      <c r="AM1505">
        <v>0</v>
      </c>
      <c r="AN1505">
        <v>0</v>
      </c>
      <c r="AO1505">
        <v>145</v>
      </c>
      <c r="AP1505">
        <v>80</v>
      </c>
      <c r="AQ1505">
        <v>145</v>
      </c>
      <c r="AR1505">
        <v>65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4</v>
      </c>
      <c r="BA1505">
        <v>4</v>
      </c>
      <c r="BB1505">
        <v>0</v>
      </c>
      <c r="BC1505">
        <v>0</v>
      </c>
      <c r="BD1505">
        <v>0</v>
      </c>
      <c r="BE1505">
        <f t="shared" si="243"/>
        <v>4261</v>
      </c>
      <c r="BF1505">
        <v>2898</v>
      </c>
      <c r="BG1505">
        <v>2898</v>
      </c>
      <c r="BH1505" t="s">
        <v>82</v>
      </c>
      <c r="BI1505" t="s">
        <v>1791</v>
      </c>
      <c r="BJ1505">
        <v>1560</v>
      </c>
      <c r="BK1505">
        <v>1278</v>
      </c>
      <c r="BL1505">
        <v>2898</v>
      </c>
      <c r="BM1505">
        <v>0</v>
      </c>
      <c r="BN1505">
        <v>0</v>
      </c>
      <c r="BO1505">
        <v>0</v>
      </c>
      <c r="BP1505">
        <v>1548</v>
      </c>
      <c r="BQ1505">
        <v>1548</v>
      </c>
      <c r="BR1505">
        <f t="shared" si="244"/>
        <v>-143</v>
      </c>
      <c r="BS1505">
        <f t="shared" si="245"/>
        <v>203</v>
      </c>
    </row>
    <row r="1506" spans="1:74" x14ac:dyDescent="0.25">
      <c r="A1506" s="5" t="s">
        <v>2294</v>
      </c>
      <c r="B1506" s="5" t="s">
        <v>61</v>
      </c>
      <c r="C1506" s="5" t="s">
        <v>61</v>
      </c>
      <c r="D1506" s="1" t="s">
        <v>86</v>
      </c>
      <c r="E1506">
        <v>0</v>
      </c>
      <c r="F1506">
        <v>15</v>
      </c>
      <c r="G1506">
        <v>0</v>
      </c>
      <c r="H1506">
        <v>0</v>
      </c>
      <c r="I1506">
        <v>1018</v>
      </c>
      <c r="J1506">
        <v>0</v>
      </c>
      <c r="K1506">
        <v>0</v>
      </c>
      <c r="L1506">
        <v>0</v>
      </c>
      <c r="M1506">
        <v>135</v>
      </c>
      <c r="N1506">
        <v>0</v>
      </c>
      <c r="O1506">
        <v>0</v>
      </c>
      <c r="P1506">
        <v>0</v>
      </c>
      <c r="Q1506">
        <v>158</v>
      </c>
      <c r="R1506">
        <v>15</v>
      </c>
      <c r="S1506" s="18">
        <f t="shared" si="236"/>
        <v>9</v>
      </c>
      <c r="T1506" s="17">
        <f t="shared" si="237"/>
        <v>15</v>
      </c>
      <c r="U1506" s="17">
        <f t="shared" si="238"/>
        <v>0</v>
      </c>
      <c r="V1506" s="17">
        <f t="shared" si="239"/>
        <v>0</v>
      </c>
      <c r="W1506" s="17">
        <f t="shared" si="240"/>
        <v>0</v>
      </c>
      <c r="X1506" s="17">
        <f t="shared" si="241"/>
        <v>143</v>
      </c>
      <c r="Y1506" s="19">
        <f t="shared" si="242"/>
        <v>0</v>
      </c>
      <c r="Z1506">
        <v>15</v>
      </c>
      <c r="AA1506">
        <v>0</v>
      </c>
      <c r="AB1506">
        <v>0</v>
      </c>
      <c r="AC1506">
        <v>0</v>
      </c>
      <c r="AD1506">
        <v>1018</v>
      </c>
      <c r="AE1506">
        <v>0</v>
      </c>
      <c r="AF1506">
        <v>0</v>
      </c>
      <c r="AG1506">
        <v>0</v>
      </c>
      <c r="AH1506">
        <v>1018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f t="shared" si="243"/>
        <v>2036</v>
      </c>
      <c r="BF1506">
        <v>1033</v>
      </c>
      <c r="BG1506">
        <v>1033</v>
      </c>
      <c r="BH1506" t="s">
        <v>109</v>
      </c>
      <c r="BI1506" t="s">
        <v>714</v>
      </c>
      <c r="BJ1506">
        <v>0</v>
      </c>
      <c r="BK1506">
        <v>1018</v>
      </c>
      <c r="BL1506">
        <v>1033</v>
      </c>
      <c r="BM1506">
        <v>1153</v>
      </c>
      <c r="BN1506">
        <v>0</v>
      </c>
      <c r="BO1506">
        <v>0</v>
      </c>
      <c r="BP1506">
        <v>0</v>
      </c>
      <c r="BQ1506">
        <v>1153</v>
      </c>
      <c r="BR1506">
        <f t="shared" si="244"/>
        <v>-143</v>
      </c>
      <c r="BS1506">
        <f t="shared" si="245"/>
        <v>173</v>
      </c>
    </row>
    <row r="1507" spans="1:74" x14ac:dyDescent="0.25">
      <c r="A1507" s="5" t="s">
        <v>207</v>
      </c>
      <c r="B1507" s="5" t="s">
        <v>61</v>
      </c>
      <c r="C1507" s="5" t="s">
        <v>359</v>
      </c>
      <c r="D1507" s="1" t="s">
        <v>94</v>
      </c>
      <c r="E1507">
        <v>0</v>
      </c>
      <c r="F1507">
        <v>2320</v>
      </c>
      <c r="G1507">
        <v>0</v>
      </c>
      <c r="H1507">
        <v>0</v>
      </c>
      <c r="I1507">
        <v>1950</v>
      </c>
      <c r="J1507">
        <v>0</v>
      </c>
      <c r="K1507">
        <v>87</v>
      </c>
      <c r="L1507">
        <v>0</v>
      </c>
      <c r="M1507">
        <v>0</v>
      </c>
      <c r="N1507">
        <v>0</v>
      </c>
      <c r="O1507">
        <v>0</v>
      </c>
      <c r="P1507">
        <v>2772</v>
      </c>
      <c r="Q1507">
        <v>452</v>
      </c>
      <c r="R1507">
        <v>308</v>
      </c>
      <c r="S1507" s="18">
        <f t="shared" si="236"/>
        <v>9</v>
      </c>
      <c r="T1507" s="17">
        <f t="shared" si="237"/>
        <v>0</v>
      </c>
      <c r="U1507" s="17">
        <f t="shared" si="238"/>
        <v>0</v>
      </c>
      <c r="V1507" s="17">
        <f t="shared" si="239"/>
        <v>0</v>
      </c>
      <c r="W1507" s="17">
        <f t="shared" si="240"/>
        <v>308</v>
      </c>
      <c r="X1507" s="17">
        <f t="shared" si="241"/>
        <v>144</v>
      </c>
      <c r="Y1507" s="19">
        <f t="shared" si="242"/>
        <v>0</v>
      </c>
      <c r="Z1507">
        <v>2320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1950</v>
      </c>
      <c r="AH1507">
        <v>1950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87</v>
      </c>
      <c r="AP1507">
        <v>0</v>
      </c>
      <c r="AQ1507">
        <v>87</v>
      </c>
      <c r="AR1507">
        <v>87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f t="shared" si="243"/>
        <v>4161</v>
      </c>
      <c r="BF1507">
        <v>4357</v>
      </c>
      <c r="BG1507">
        <v>4357</v>
      </c>
      <c r="BH1507" t="s">
        <v>109</v>
      </c>
      <c r="BI1507" t="s">
        <v>513</v>
      </c>
      <c r="BJ1507">
        <v>0</v>
      </c>
      <c r="BK1507">
        <v>2037</v>
      </c>
      <c r="BL1507">
        <v>4357</v>
      </c>
      <c r="BM1507">
        <v>0</v>
      </c>
      <c r="BN1507">
        <v>0</v>
      </c>
      <c r="BO1507">
        <v>0</v>
      </c>
      <c r="BP1507">
        <v>4809</v>
      </c>
      <c r="BQ1507">
        <v>4809</v>
      </c>
      <c r="BR1507">
        <f t="shared" si="244"/>
        <v>-144</v>
      </c>
      <c r="BS1507">
        <f t="shared" si="245"/>
        <v>760</v>
      </c>
    </row>
    <row r="1508" spans="1:74" x14ac:dyDescent="0.25">
      <c r="A1508" s="5" t="s">
        <v>359</v>
      </c>
      <c r="B1508" s="5" t="s">
        <v>359</v>
      </c>
      <c r="C1508" s="5" t="s">
        <v>61</v>
      </c>
      <c r="D1508" s="1" t="s">
        <v>117</v>
      </c>
      <c r="E1508">
        <v>0</v>
      </c>
      <c r="F1508">
        <v>43</v>
      </c>
      <c r="G1508">
        <v>0</v>
      </c>
      <c r="H1508">
        <v>0</v>
      </c>
      <c r="I1508">
        <v>35</v>
      </c>
      <c r="J1508">
        <v>2970</v>
      </c>
      <c r="K1508">
        <v>100</v>
      </c>
      <c r="L1508">
        <v>0</v>
      </c>
      <c r="M1508">
        <v>0</v>
      </c>
      <c r="N1508">
        <v>0</v>
      </c>
      <c r="O1508">
        <v>0</v>
      </c>
      <c r="P1508">
        <v>162</v>
      </c>
      <c r="Q1508">
        <v>162</v>
      </c>
      <c r="R1508">
        <v>18</v>
      </c>
      <c r="S1508" s="18">
        <f t="shared" si="236"/>
        <v>9</v>
      </c>
      <c r="T1508" s="17">
        <f t="shared" si="237"/>
        <v>0</v>
      </c>
      <c r="U1508" s="17">
        <f t="shared" si="238"/>
        <v>0</v>
      </c>
      <c r="V1508" s="17">
        <f t="shared" si="239"/>
        <v>0</v>
      </c>
      <c r="W1508" s="17">
        <f t="shared" si="240"/>
        <v>18</v>
      </c>
      <c r="X1508" s="17">
        <f t="shared" si="241"/>
        <v>144</v>
      </c>
      <c r="Y1508" s="19">
        <f t="shared" si="242"/>
        <v>0</v>
      </c>
      <c r="Z1508">
        <v>43</v>
      </c>
      <c r="AA1508">
        <v>4</v>
      </c>
      <c r="AB1508">
        <v>424</v>
      </c>
      <c r="AC1508">
        <v>890</v>
      </c>
      <c r="AD1508">
        <v>0</v>
      </c>
      <c r="AE1508">
        <v>0</v>
      </c>
      <c r="AF1508">
        <v>0</v>
      </c>
      <c r="AG1508">
        <v>35</v>
      </c>
      <c r="AH1508">
        <v>35</v>
      </c>
      <c r="AI1508">
        <v>0</v>
      </c>
      <c r="AJ1508">
        <v>0</v>
      </c>
      <c r="AK1508">
        <v>2970</v>
      </c>
      <c r="AL1508">
        <v>2970</v>
      </c>
      <c r="AM1508">
        <v>0</v>
      </c>
      <c r="AN1508">
        <v>0</v>
      </c>
      <c r="AO1508">
        <v>100</v>
      </c>
      <c r="AP1508">
        <v>33</v>
      </c>
      <c r="AQ1508">
        <v>100</v>
      </c>
      <c r="AR1508">
        <v>67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f t="shared" si="243"/>
        <v>7200</v>
      </c>
      <c r="BF1508">
        <v>4466</v>
      </c>
      <c r="BG1508">
        <v>4466</v>
      </c>
      <c r="BH1508" t="s">
        <v>82</v>
      </c>
      <c r="BI1508" t="s">
        <v>782</v>
      </c>
      <c r="BJ1508">
        <v>1318</v>
      </c>
      <c r="BK1508">
        <v>3105</v>
      </c>
      <c r="BL1508">
        <v>4466</v>
      </c>
      <c r="BM1508">
        <v>0</v>
      </c>
      <c r="BN1508">
        <v>0</v>
      </c>
      <c r="BO1508">
        <v>0</v>
      </c>
      <c r="BP1508">
        <v>3267</v>
      </c>
      <c r="BQ1508">
        <v>3267</v>
      </c>
      <c r="BR1508">
        <f t="shared" si="244"/>
        <v>-144</v>
      </c>
      <c r="BS1508">
        <f t="shared" si="245"/>
        <v>180</v>
      </c>
    </row>
    <row r="1509" spans="1:74" x14ac:dyDescent="0.25">
      <c r="A1509" s="5" t="s">
        <v>1661</v>
      </c>
      <c r="B1509" s="5" t="s">
        <v>207</v>
      </c>
      <c r="C1509" s="5" t="s">
        <v>61</v>
      </c>
      <c r="D1509" s="1" t="s">
        <v>67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700</v>
      </c>
      <c r="K1509">
        <v>0</v>
      </c>
      <c r="L1509">
        <v>26</v>
      </c>
      <c r="M1509">
        <v>0</v>
      </c>
      <c r="N1509">
        <v>0</v>
      </c>
      <c r="O1509">
        <v>0</v>
      </c>
      <c r="P1509">
        <v>0</v>
      </c>
      <c r="Q1509">
        <v>76</v>
      </c>
      <c r="R1509">
        <v>0</v>
      </c>
      <c r="S1509" s="18" t="e">
        <f t="shared" si="236"/>
        <v>#DIV/0!</v>
      </c>
      <c r="T1509" s="17" t="e">
        <f t="shared" si="237"/>
        <v>#DIV/0!</v>
      </c>
      <c r="U1509" s="17" t="e">
        <f t="shared" si="238"/>
        <v>#DIV/0!</v>
      </c>
      <c r="V1509" s="17" t="e">
        <f t="shared" si="239"/>
        <v>#DIV/0!</v>
      </c>
      <c r="W1509" s="17" t="e">
        <f t="shared" si="240"/>
        <v>#DIV/0!</v>
      </c>
      <c r="X1509" s="17" t="e">
        <f t="shared" si="241"/>
        <v>#DIV/0!</v>
      </c>
      <c r="Y1509" s="19" t="e">
        <f t="shared" si="242"/>
        <v>#DIV/0!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700</v>
      </c>
      <c r="AL1509">
        <v>700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26</v>
      </c>
      <c r="BA1509">
        <v>26</v>
      </c>
      <c r="BB1509">
        <v>0</v>
      </c>
      <c r="BC1509">
        <v>0</v>
      </c>
      <c r="BD1509">
        <v>0</v>
      </c>
      <c r="BE1509">
        <f t="shared" si="243"/>
        <v>1452</v>
      </c>
      <c r="BF1509">
        <v>726</v>
      </c>
      <c r="BG1509">
        <v>726</v>
      </c>
      <c r="BH1509" t="s">
        <v>63</v>
      </c>
      <c r="BI1509" t="s">
        <v>1760</v>
      </c>
      <c r="BJ1509">
        <v>0</v>
      </c>
      <c r="BK1509">
        <v>726</v>
      </c>
      <c r="BL1509">
        <v>726</v>
      </c>
      <c r="BM1509">
        <v>0</v>
      </c>
      <c r="BN1509">
        <v>0</v>
      </c>
      <c r="BO1509">
        <v>0</v>
      </c>
      <c r="BP1509">
        <v>726</v>
      </c>
      <c r="BQ1509">
        <v>726</v>
      </c>
      <c r="BR1509">
        <f t="shared" si="244"/>
        <v>-76</v>
      </c>
      <c r="BS1509">
        <f t="shared" si="245"/>
        <v>76</v>
      </c>
      <c r="BU1509">
        <f>R1509*9</f>
        <v>0</v>
      </c>
      <c r="BV1509">
        <f>IF(BU1509&gt;BG1509, 1, 0)</f>
        <v>0</v>
      </c>
    </row>
    <row r="1510" spans="1:74" x14ac:dyDescent="0.25">
      <c r="A1510" s="5" t="s">
        <v>1661</v>
      </c>
      <c r="B1510" s="5" t="s">
        <v>61</v>
      </c>
      <c r="C1510" s="5" t="s">
        <v>359</v>
      </c>
      <c r="D1510" s="1" t="s">
        <v>143</v>
      </c>
      <c r="E1510">
        <v>0</v>
      </c>
      <c r="F1510">
        <v>450</v>
      </c>
      <c r="G1510">
        <v>0</v>
      </c>
      <c r="H1510">
        <v>0</v>
      </c>
      <c r="I1510">
        <v>159</v>
      </c>
      <c r="J1510">
        <v>2311</v>
      </c>
      <c r="K1510">
        <v>60</v>
      </c>
      <c r="L1510">
        <v>40</v>
      </c>
      <c r="M1510">
        <v>0</v>
      </c>
      <c r="N1510">
        <v>0</v>
      </c>
      <c r="O1510">
        <v>0</v>
      </c>
      <c r="P1510">
        <v>270</v>
      </c>
      <c r="Q1510">
        <v>174</v>
      </c>
      <c r="R1510">
        <v>30</v>
      </c>
      <c r="S1510" s="18">
        <f t="shared" si="236"/>
        <v>9</v>
      </c>
      <c r="T1510" s="17">
        <f t="shared" si="237"/>
        <v>0</v>
      </c>
      <c r="U1510" s="17">
        <f t="shared" si="238"/>
        <v>0</v>
      </c>
      <c r="V1510" s="17">
        <f t="shared" si="239"/>
        <v>0</v>
      </c>
      <c r="W1510" s="17">
        <f t="shared" si="240"/>
        <v>30</v>
      </c>
      <c r="X1510" s="17">
        <f t="shared" si="241"/>
        <v>144</v>
      </c>
      <c r="Y1510" s="19">
        <f t="shared" si="242"/>
        <v>0</v>
      </c>
      <c r="Z1510">
        <v>450</v>
      </c>
      <c r="AA1510">
        <v>0</v>
      </c>
      <c r="AB1510">
        <v>0</v>
      </c>
      <c r="AC1510">
        <v>898</v>
      </c>
      <c r="AD1510">
        <v>0</v>
      </c>
      <c r="AE1510">
        <v>0</v>
      </c>
      <c r="AF1510">
        <v>0</v>
      </c>
      <c r="AG1510">
        <v>159</v>
      </c>
      <c r="AH1510">
        <v>159</v>
      </c>
      <c r="AI1510">
        <v>0</v>
      </c>
      <c r="AJ1510">
        <v>0</v>
      </c>
      <c r="AK1510">
        <v>2311</v>
      </c>
      <c r="AL1510">
        <v>2311</v>
      </c>
      <c r="AM1510">
        <v>0</v>
      </c>
      <c r="AN1510">
        <v>0</v>
      </c>
      <c r="AO1510">
        <v>60</v>
      </c>
      <c r="AP1510">
        <v>0</v>
      </c>
      <c r="AQ1510">
        <v>60</v>
      </c>
      <c r="AR1510">
        <v>60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40</v>
      </c>
      <c r="BA1510">
        <v>40</v>
      </c>
      <c r="BB1510">
        <v>0</v>
      </c>
      <c r="BC1510">
        <v>0</v>
      </c>
      <c r="BD1510">
        <v>0</v>
      </c>
      <c r="BE1510">
        <f t="shared" si="243"/>
        <v>6098</v>
      </c>
      <c r="BF1510">
        <v>3918</v>
      </c>
      <c r="BG1510">
        <v>3918</v>
      </c>
      <c r="BH1510" t="s">
        <v>82</v>
      </c>
      <c r="BI1510" t="s">
        <v>1747</v>
      </c>
      <c r="BJ1510">
        <v>898</v>
      </c>
      <c r="BK1510">
        <v>2570</v>
      </c>
      <c r="BL1510">
        <v>3918</v>
      </c>
      <c r="BM1510">
        <v>0</v>
      </c>
      <c r="BN1510">
        <v>0</v>
      </c>
      <c r="BO1510">
        <v>0</v>
      </c>
      <c r="BP1510">
        <v>2840</v>
      </c>
      <c r="BQ1510">
        <v>2840</v>
      </c>
      <c r="BR1510">
        <f t="shared" si="244"/>
        <v>-144</v>
      </c>
      <c r="BS1510">
        <f t="shared" si="245"/>
        <v>204</v>
      </c>
    </row>
    <row r="1511" spans="1:74" x14ac:dyDescent="0.25">
      <c r="A1511" s="5" t="s">
        <v>1661</v>
      </c>
      <c r="B1511" s="5" t="s">
        <v>207</v>
      </c>
      <c r="C1511" s="5" t="s">
        <v>207</v>
      </c>
      <c r="D1511" s="1" t="s">
        <v>90</v>
      </c>
      <c r="E1511">
        <v>0</v>
      </c>
      <c r="F1511">
        <v>130</v>
      </c>
      <c r="G1511">
        <v>0</v>
      </c>
      <c r="H1511">
        <v>0</v>
      </c>
      <c r="I1511">
        <v>115</v>
      </c>
      <c r="J1511">
        <v>3510</v>
      </c>
      <c r="K1511">
        <v>184</v>
      </c>
      <c r="L1511">
        <v>7</v>
      </c>
      <c r="M1511">
        <v>0</v>
      </c>
      <c r="N1511">
        <v>0</v>
      </c>
      <c r="O1511">
        <v>0</v>
      </c>
      <c r="P1511">
        <v>405</v>
      </c>
      <c r="Q1511">
        <v>189</v>
      </c>
      <c r="R1511">
        <v>45</v>
      </c>
      <c r="S1511" s="18">
        <f t="shared" si="236"/>
        <v>9</v>
      </c>
      <c r="T1511" s="17">
        <f t="shared" si="237"/>
        <v>0</v>
      </c>
      <c r="U1511" s="17">
        <f t="shared" si="238"/>
        <v>0</v>
      </c>
      <c r="V1511" s="17">
        <f t="shared" si="239"/>
        <v>0</v>
      </c>
      <c r="W1511" s="17">
        <f t="shared" si="240"/>
        <v>45</v>
      </c>
      <c r="X1511" s="17">
        <f t="shared" si="241"/>
        <v>144</v>
      </c>
      <c r="Y1511" s="19">
        <f t="shared" si="242"/>
        <v>0</v>
      </c>
      <c r="Z1511">
        <v>130</v>
      </c>
      <c r="AA1511">
        <v>0</v>
      </c>
      <c r="AB1511">
        <v>800</v>
      </c>
      <c r="AC1511">
        <v>2122</v>
      </c>
      <c r="AD1511">
        <v>0</v>
      </c>
      <c r="AE1511">
        <v>0</v>
      </c>
      <c r="AF1511">
        <v>0</v>
      </c>
      <c r="AG1511">
        <v>115</v>
      </c>
      <c r="AH1511">
        <v>115</v>
      </c>
      <c r="AI1511">
        <v>0</v>
      </c>
      <c r="AJ1511">
        <v>0</v>
      </c>
      <c r="AK1511">
        <v>3510</v>
      </c>
      <c r="AL1511">
        <v>3510</v>
      </c>
      <c r="AM1511">
        <v>0</v>
      </c>
      <c r="AN1511">
        <v>0</v>
      </c>
      <c r="AO1511">
        <v>184</v>
      </c>
      <c r="AP1511">
        <v>105</v>
      </c>
      <c r="AQ1511">
        <v>184</v>
      </c>
      <c r="AR1511">
        <v>79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7</v>
      </c>
      <c r="BA1511">
        <v>7</v>
      </c>
      <c r="BB1511">
        <v>0</v>
      </c>
      <c r="BC1511">
        <v>0</v>
      </c>
      <c r="BD1511">
        <v>0</v>
      </c>
      <c r="BE1511">
        <f t="shared" si="243"/>
        <v>9938</v>
      </c>
      <c r="BF1511">
        <v>7046</v>
      </c>
      <c r="BG1511">
        <v>7046</v>
      </c>
      <c r="BH1511" t="s">
        <v>82</v>
      </c>
      <c r="BI1511" t="s">
        <v>1225</v>
      </c>
      <c r="BJ1511">
        <v>2922</v>
      </c>
      <c r="BK1511">
        <v>3816</v>
      </c>
      <c r="BL1511">
        <v>6868</v>
      </c>
      <c r="BM1511">
        <v>0</v>
      </c>
      <c r="BN1511">
        <v>0</v>
      </c>
      <c r="BO1511">
        <v>0</v>
      </c>
      <c r="BP1511">
        <v>4221</v>
      </c>
      <c r="BQ1511">
        <v>4221</v>
      </c>
      <c r="BR1511">
        <f t="shared" si="244"/>
        <v>-144</v>
      </c>
      <c r="BS1511">
        <f t="shared" si="245"/>
        <v>234</v>
      </c>
    </row>
    <row r="1512" spans="1:74" x14ac:dyDescent="0.25">
      <c r="A1512" s="5" t="s">
        <v>1946</v>
      </c>
      <c r="B1512" s="5" t="s">
        <v>207</v>
      </c>
      <c r="C1512" s="5" t="s">
        <v>207</v>
      </c>
      <c r="D1512" s="1" t="s">
        <v>131</v>
      </c>
      <c r="E1512">
        <v>0</v>
      </c>
      <c r="F1512">
        <v>1460</v>
      </c>
      <c r="G1512">
        <v>0</v>
      </c>
      <c r="H1512">
        <v>0</v>
      </c>
      <c r="I1512">
        <v>951</v>
      </c>
      <c r="J1512">
        <v>0</v>
      </c>
      <c r="K1512">
        <v>0</v>
      </c>
      <c r="L1512">
        <v>0</v>
      </c>
      <c r="M1512">
        <v>3285</v>
      </c>
      <c r="N1512">
        <v>0</v>
      </c>
      <c r="O1512">
        <v>0</v>
      </c>
      <c r="P1512">
        <v>0</v>
      </c>
      <c r="Q1512">
        <v>509</v>
      </c>
      <c r="R1512">
        <v>365</v>
      </c>
      <c r="S1512" s="18">
        <f t="shared" si="236"/>
        <v>9</v>
      </c>
      <c r="T1512" s="17">
        <f t="shared" si="237"/>
        <v>365</v>
      </c>
      <c r="U1512" s="17">
        <f t="shared" si="238"/>
        <v>0</v>
      </c>
      <c r="V1512" s="17">
        <f t="shared" si="239"/>
        <v>0</v>
      </c>
      <c r="W1512" s="17">
        <f t="shared" si="240"/>
        <v>0</v>
      </c>
      <c r="X1512" s="17">
        <f t="shared" si="241"/>
        <v>144</v>
      </c>
      <c r="Y1512" s="19">
        <f t="shared" si="242"/>
        <v>0</v>
      </c>
      <c r="Z1512">
        <v>1460</v>
      </c>
      <c r="AA1512">
        <v>0</v>
      </c>
      <c r="AB1512">
        <v>0</v>
      </c>
      <c r="AC1512">
        <v>0</v>
      </c>
      <c r="AD1512">
        <v>951</v>
      </c>
      <c r="AE1512">
        <v>0</v>
      </c>
      <c r="AF1512">
        <v>0</v>
      </c>
      <c r="AG1512">
        <v>0</v>
      </c>
      <c r="AH1512">
        <v>951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f t="shared" si="243"/>
        <v>1902</v>
      </c>
      <c r="BF1512">
        <v>2411</v>
      </c>
      <c r="BG1512">
        <v>2411</v>
      </c>
      <c r="BH1512" t="s">
        <v>109</v>
      </c>
      <c r="BI1512" t="s">
        <v>2069</v>
      </c>
      <c r="BJ1512">
        <v>0</v>
      </c>
      <c r="BK1512">
        <v>951</v>
      </c>
      <c r="BL1512">
        <v>2411</v>
      </c>
      <c r="BM1512">
        <v>4236</v>
      </c>
      <c r="BN1512">
        <v>0</v>
      </c>
      <c r="BO1512">
        <v>0</v>
      </c>
      <c r="BP1512">
        <v>0</v>
      </c>
      <c r="BQ1512">
        <v>4236</v>
      </c>
      <c r="BR1512">
        <f t="shared" si="244"/>
        <v>-144</v>
      </c>
      <c r="BS1512">
        <f t="shared" si="245"/>
        <v>874</v>
      </c>
    </row>
    <row r="1513" spans="1:74" x14ac:dyDescent="0.25">
      <c r="A1513" s="5" t="s">
        <v>61</v>
      </c>
      <c r="B1513" s="5" t="s">
        <v>61</v>
      </c>
      <c r="C1513" s="5" t="s">
        <v>61</v>
      </c>
      <c r="D1513" s="1" t="s">
        <v>179</v>
      </c>
      <c r="E1513">
        <v>0</v>
      </c>
      <c r="F1513">
        <v>98</v>
      </c>
      <c r="G1513">
        <v>0</v>
      </c>
      <c r="H1513">
        <v>0</v>
      </c>
      <c r="I1513">
        <v>55</v>
      </c>
      <c r="J1513">
        <v>0</v>
      </c>
      <c r="K1513">
        <v>0</v>
      </c>
      <c r="L1513">
        <v>0</v>
      </c>
      <c r="M1513">
        <v>288</v>
      </c>
      <c r="N1513">
        <v>0</v>
      </c>
      <c r="O1513">
        <v>0</v>
      </c>
      <c r="P1513">
        <v>243</v>
      </c>
      <c r="Q1513">
        <v>204</v>
      </c>
      <c r="R1513">
        <v>59</v>
      </c>
      <c r="S1513" s="18">
        <f t="shared" si="236"/>
        <v>9</v>
      </c>
      <c r="T1513" s="17">
        <f t="shared" si="237"/>
        <v>32</v>
      </c>
      <c r="U1513" s="17">
        <f t="shared" si="238"/>
        <v>0</v>
      </c>
      <c r="V1513" s="17">
        <f t="shared" si="239"/>
        <v>0</v>
      </c>
      <c r="W1513" s="17">
        <f t="shared" si="240"/>
        <v>27</v>
      </c>
      <c r="X1513" s="17">
        <f t="shared" si="241"/>
        <v>145</v>
      </c>
      <c r="Y1513" s="19">
        <f t="shared" si="242"/>
        <v>0</v>
      </c>
      <c r="Z1513">
        <v>98</v>
      </c>
      <c r="AA1513">
        <v>0</v>
      </c>
      <c r="AB1513">
        <v>0</v>
      </c>
      <c r="AC1513">
        <v>0</v>
      </c>
      <c r="AD1513">
        <v>55</v>
      </c>
      <c r="AE1513">
        <v>0</v>
      </c>
      <c r="AF1513">
        <v>0</v>
      </c>
      <c r="AG1513">
        <v>0</v>
      </c>
      <c r="AH1513">
        <v>55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f t="shared" si="243"/>
        <v>110</v>
      </c>
      <c r="BF1513">
        <v>153</v>
      </c>
      <c r="BG1513">
        <v>153</v>
      </c>
      <c r="BH1513" t="s">
        <v>109</v>
      </c>
      <c r="BI1513" t="s">
        <v>180</v>
      </c>
      <c r="BJ1513">
        <v>0</v>
      </c>
      <c r="BK1513">
        <v>55</v>
      </c>
      <c r="BL1513">
        <v>153</v>
      </c>
      <c r="BM1513">
        <v>343</v>
      </c>
      <c r="BN1513">
        <v>0</v>
      </c>
      <c r="BO1513">
        <v>0</v>
      </c>
      <c r="BP1513">
        <v>243</v>
      </c>
      <c r="BQ1513">
        <v>586</v>
      </c>
      <c r="BR1513">
        <f t="shared" si="244"/>
        <v>-145</v>
      </c>
      <c r="BS1513">
        <f t="shared" si="245"/>
        <v>263</v>
      </c>
    </row>
    <row r="1514" spans="1:74" x14ac:dyDescent="0.25">
      <c r="A1514" s="5" t="s">
        <v>61</v>
      </c>
      <c r="B1514" s="5" t="s">
        <v>207</v>
      </c>
      <c r="C1514" s="5" t="s">
        <v>207</v>
      </c>
      <c r="D1514" s="1" t="s">
        <v>92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660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145</v>
      </c>
      <c r="R1514">
        <v>0</v>
      </c>
      <c r="S1514" s="18" t="e">
        <f t="shared" si="236"/>
        <v>#DIV/0!</v>
      </c>
      <c r="T1514" s="17" t="e">
        <f t="shared" si="237"/>
        <v>#DIV/0!</v>
      </c>
      <c r="U1514" s="17" t="e">
        <f t="shared" si="238"/>
        <v>#DIV/0!</v>
      </c>
      <c r="V1514" s="17" t="e">
        <f t="shared" si="239"/>
        <v>#DIV/0!</v>
      </c>
      <c r="W1514" s="17" t="e">
        <f t="shared" si="240"/>
        <v>#DIV/0!</v>
      </c>
      <c r="X1514" s="17" t="e">
        <f t="shared" si="241"/>
        <v>#DIV/0!</v>
      </c>
      <c r="Y1514" s="19" t="e">
        <f t="shared" si="242"/>
        <v>#DIV/0!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660</v>
      </c>
      <c r="AP1514">
        <v>165</v>
      </c>
      <c r="AQ1514">
        <v>660</v>
      </c>
      <c r="AR1514">
        <v>495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f t="shared" si="243"/>
        <v>1980</v>
      </c>
      <c r="BF1514">
        <v>660</v>
      </c>
      <c r="BG1514">
        <v>660</v>
      </c>
      <c r="BH1514" t="s">
        <v>82</v>
      </c>
      <c r="BI1514" t="s">
        <v>293</v>
      </c>
      <c r="BJ1514">
        <v>0</v>
      </c>
      <c r="BK1514">
        <v>660</v>
      </c>
      <c r="BL1514">
        <v>660</v>
      </c>
      <c r="BM1514">
        <v>0</v>
      </c>
      <c r="BN1514">
        <v>0</v>
      </c>
      <c r="BO1514">
        <v>0</v>
      </c>
      <c r="BP1514">
        <v>660</v>
      </c>
      <c r="BQ1514">
        <v>660</v>
      </c>
      <c r="BR1514">
        <f t="shared" si="244"/>
        <v>-145</v>
      </c>
      <c r="BS1514">
        <f t="shared" si="245"/>
        <v>145</v>
      </c>
    </row>
    <row r="1515" spans="1:74" x14ac:dyDescent="0.25">
      <c r="A1515" s="5" t="s">
        <v>1661</v>
      </c>
      <c r="B1515" s="5" t="s">
        <v>207</v>
      </c>
      <c r="C1515" s="5" t="s">
        <v>207</v>
      </c>
      <c r="D1515" s="1" t="s">
        <v>100</v>
      </c>
      <c r="E1515">
        <v>23</v>
      </c>
      <c r="F1515">
        <v>45</v>
      </c>
      <c r="G1515">
        <v>0</v>
      </c>
      <c r="H1515">
        <v>0</v>
      </c>
      <c r="I1515">
        <v>420</v>
      </c>
      <c r="J1515">
        <v>1786</v>
      </c>
      <c r="K1515">
        <v>102</v>
      </c>
      <c r="L1515">
        <v>12</v>
      </c>
      <c r="M1515">
        <v>0</v>
      </c>
      <c r="N1515">
        <v>0</v>
      </c>
      <c r="O1515">
        <v>0</v>
      </c>
      <c r="P1515">
        <v>135</v>
      </c>
      <c r="Q1515">
        <v>160</v>
      </c>
      <c r="R1515">
        <v>15</v>
      </c>
      <c r="S1515" s="18">
        <f t="shared" si="236"/>
        <v>9</v>
      </c>
      <c r="T1515" s="17">
        <f t="shared" si="237"/>
        <v>0</v>
      </c>
      <c r="U1515" s="17">
        <f t="shared" si="238"/>
        <v>0</v>
      </c>
      <c r="V1515" s="17">
        <f t="shared" si="239"/>
        <v>0</v>
      </c>
      <c r="W1515" s="17">
        <f t="shared" si="240"/>
        <v>15</v>
      </c>
      <c r="X1515" s="17">
        <f t="shared" si="241"/>
        <v>145</v>
      </c>
      <c r="Y1515" s="19">
        <f t="shared" si="242"/>
        <v>0</v>
      </c>
      <c r="Z1515">
        <v>45</v>
      </c>
      <c r="AA1515">
        <v>0</v>
      </c>
      <c r="AB1515">
        <v>0</v>
      </c>
      <c r="AC1515">
        <v>1840</v>
      </c>
      <c r="AD1515">
        <v>0</v>
      </c>
      <c r="AE1515">
        <v>0</v>
      </c>
      <c r="AF1515">
        <v>0</v>
      </c>
      <c r="AG1515">
        <v>420</v>
      </c>
      <c r="AH1515">
        <v>420</v>
      </c>
      <c r="AI1515">
        <v>0</v>
      </c>
      <c r="AJ1515">
        <v>0</v>
      </c>
      <c r="AK1515">
        <v>1786</v>
      </c>
      <c r="AL1515">
        <v>1786</v>
      </c>
      <c r="AM1515">
        <v>0</v>
      </c>
      <c r="AN1515">
        <v>0</v>
      </c>
      <c r="AO1515">
        <v>102</v>
      </c>
      <c r="AP1515">
        <v>22</v>
      </c>
      <c r="AQ1515">
        <v>102</v>
      </c>
      <c r="AR1515">
        <v>80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12</v>
      </c>
      <c r="BA1515">
        <v>12</v>
      </c>
      <c r="BB1515">
        <v>0</v>
      </c>
      <c r="BC1515">
        <v>0</v>
      </c>
      <c r="BD1515">
        <v>0</v>
      </c>
      <c r="BE1515">
        <f t="shared" si="243"/>
        <v>6582</v>
      </c>
      <c r="BF1515">
        <v>4242</v>
      </c>
      <c r="BG1515">
        <v>4242</v>
      </c>
      <c r="BH1515" t="s">
        <v>82</v>
      </c>
      <c r="BI1515" t="s">
        <v>1810</v>
      </c>
      <c r="BJ1515">
        <v>1863</v>
      </c>
      <c r="BK1515">
        <v>2320</v>
      </c>
      <c r="BL1515">
        <v>4228</v>
      </c>
      <c r="BM1515">
        <v>0</v>
      </c>
      <c r="BN1515">
        <v>0</v>
      </c>
      <c r="BO1515">
        <v>0</v>
      </c>
      <c r="BP1515">
        <v>2455</v>
      </c>
      <c r="BQ1515">
        <v>2455</v>
      </c>
      <c r="BR1515">
        <f t="shared" si="244"/>
        <v>-145</v>
      </c>
      <c r="BS1515">
        <f t="shared" si="245"/>
        <v>175</v>
      </c>
    </row>
    <row r="1516" spans="1:74" x14ac:dyDescent="0.25">
      <c r="A1516" s="5" t="s">
        <v>1661</v>
      </c>
      <c r="B1516" s="5" t="s">
        <v>207</v>
      </c>
      <c r="C1516" s="5" t="s">
        <v>207</v>
      </c>
      <c r="D1516" s="1" t="s">
        <v>177</v>
      </c>
      <c r="E1516">
        <v>0</v>
      </c>
      <c r="F1516">
        <v>150</v>
      </c>
      <c r="G1516">
        <v>0</v>
      </c>
      <c r="H1516">
        <v>0</v>
      </c>
      <c r="I1516">
        <v>810</v>
      </c>
      <c r="J1516">
        <v>2570</v>
      </c>
      <c r="K1516">
        <v>308</v>
      </c>
      <c r="L1516">
        <v>49</v>
      </c>
      <c r="M1516">
        <v>0</v>
      </c>
      <c r="N1516">
        <v>0</v>
      </c>
      <c r="O1516">
        <v>0</v>
      </c>
      <c r="P1516">
        <v>855</v>
      </c>
      <c r="Q1516">
        <v>240</v>
      </c>
      <c r="R1516">
        <v>95</v>
      </c>
      <c r="S1516" s="18">
        <f t="shared" si="236"/>
        <v>9</v>
      </c>
      <c r="T1516" s="17">
        <f t="shared" si="237"/>
        <v>0</v>
      </c>
      <c r="U1516" s="17">
        <f t="shared" si="238"/>
        <v>0</v>
      </c>
      <c r="V1516" s="17">
        <f t="shared" si="239"/>
        <v>0</v>
      </c>
      <c r="W1516" s="17">
        <f t="shared" si="240"/>
        <v>95</v>
      </c>
      <c r="X1516" s="17">
        <f t="shared" si="241"/>
        <v>145</v>
      </c>
      <c r="Y1516" s="19">
        <f t="shared" si="242"/>
        <v>0</v>
      </c>
      <c r="Z1516">
        <v>150</v>
      </c>
      <c r="AA1516">
        <v>6</v>
      </c>
      <c r="AB1516">
        <v>160</v>
      </c>
      <c r="AC1516">
        <v>1894</v>
      </c>
      <c r="AD1516">
        <v>0</v>
      </c>
      <c r="AE1516">
        <v>0</v>
      </c>
      <c r="AF1516">
        <v>0</v>
      </c>
      <c r="AG1516">
        <v>810</v>
      </c>
      <c r="AH1516">
        <v>810</v>
      </c>
      <c r="AI1516">
        <v>0</v>
      </c>
      <c r="AJ1516">
        <v>0</v>
      </c>
      <c r="AK1516">
        <v>2570</v>
      </c>
      <c r="AL1516">
        <v>2570</v>
      </c>
      <c r="AM1516">
        <v>0</v>
      </c>
      <c r="AN1516">
        <v>0</v>
      </c>
      <c r="AO1516">
        <v>308</v>
      </c>
      <c r="AP1516">
        <v>174</v>
      </c>
      <c r="AQ1516">
        <v>308</v>
      </c>
      <c r="AR1516">
        <v>134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49</v>
      </c>
      <c r="BA1516">
        <v>49</v>
      </c>
      <c r="BB1516">
        <v>0</v>
      </c>
      <c r="BC1516">
        <v>0</v>
      </c>
      <c r="BD1516">
        <v>0</v>
      </c>
      <c r="BE1516">
        <f t="shared" si="243"/>
        <v>9676</v>
      </c>
      <c r="BF1516">
        <v>5980</v>
      </c>
      <c r="BG1516">
        <v>5980</v>
      </c>
      <c r="BH1516" t="s">
        <v>82</v>
      </c>
      <c r="BI1516" t="s">
        <v>1064</v>
      </c>
      <c r="BJ1516">
        <v>2060</v>
      </c>
      <c r="BK1516">
        <v>3737</v>
      </c>
      <c r="BL1516">
        <v>5947</v>
      </c>
      <c r="BM1516">
        <v>0</v>
      </c>
      <c r="BN1516">
        <v>0</v>
      </c>
      <c r="BO1516">
        <v>0</v>
      </c>
      <c r="BP1516">
        <v>4592</v>
      </c>
      <c r="BQ1516">
        <v>4592</v>
      </c>
      <c r="BR1516">
        <f t="shared" si="244"/>
        <v>-145</v>
      </c>
      <c r="BS1516">
        <f t="shared" si="245"/>
        <v>335</v>
      </c>
    </row>
    <row r="1517" spans="1:74" x14ac:dyDescent="0.25">
      <c r="A1517" s="5" t="s">
        <v>359</v>
      </c>
      <c r="B1517" s="5" t="s">
        <v>207</v>
      </c>
      <c r="C1517" s="5" t="s">
        <v>61</v>
      </c>
      <c r="D1517" s="1" t="s">
        <v>71</v>
      </c>
      <c r="E1517">
        <v>0</v>
      </c>
      <c r="F1517">
        <v>0</v>
      </c>
      <c r="G1517">
        <v>0</v>
      </c>
      <c r="H1517">
        <v>0</v>
      </c>
      <c r="I1517">
        <v>300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80</v>
      </c>
      <c r="R1517">
        <v>0</v>
      </c>
      <c r="S1517" s="18" t="e">
        <f t="shared" si="236"/>
        <v>#DIV/0!</v>
      </c>
      <c r="T1517" s="17" t="e">
        <f t="shared" si="237"/>
        <v>#DIV/0!</v>
      </c>
      <c r="U1517" s="17" t="e">
        <f t="shared" si="238"/>
        <v>#DIV/0!</v>
      </c>
      <c r="V1517" s="17" t="e">
        <f t="shared" si="239"/>
        <v>#DIV/0!</v>
      </c>
      <c r="W1517" s="17" t="e">
        <f t="shared" si="240"/>
        <v>#DIV/0!</v>
      </c>
      <c r="X1517" s="17" t="e">
        <f t="shared" si="241"/>
        <v>#DIV/0!</v>
      </c>
      <c r="Y1517" s="19" t="e">
        <f t="shared" si="242"/>
        <v>#DIV/0!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300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f t="shared" si="243"/>
        <v>600</v>
      </c>
      <c r="BF1517">
        <v>300</v>
      </c>
      <c r="BG1517">
        <v>300</v>
      </c>
      <c r="BH1517" t="s">
        <v>63</v>
      </c>
      <c r="BI1517" t="s">
        <v>735</v>
      </c>
      <c r="BJ1517">
        <v>0</v>
      </c>
      <c r="BK1517">
        <v>300</v>
      </c>
      <c r="BL1517">
        <v>300</v>
      </c>
      <c r="BM1517">
        <v>0</v>
      </c>
      <c r="BN1517">
        <v>0</v>
      </c>
      <c r="BO1517">
        <v>0</v>
      </c>
      <c r="BP1517">
        <v>300</v>
      </c>
      <c r="BQ1517">
        <v>300</v>
      </c>
      <c r="BR1517">
        <f t="shared" si="244"/>
        <v>-80</v>
      </c>
      <c r="BS1517">
        <f t="shared" si="245"/>
        <v>80</v>
      </c>
      <c r="BU1517">
        <f>R1517*9</f>
        <v>0</v>
      </c>
      <c r="BV1517">
        <f>IF(BU1517&gt;BG1517, 1, 0)</f>
        <v>0</v>
      </c>
    </row>
    <row r="1518" spans="1:74" x14ac:dyDescent="0.25">
      <c r="A1518" s="5" t="s">
        <v>1017</v>
      </c>
      <c r="B1518" s="5" t="s">
        <v>61</v>
      </c>
      <c r="C1518" s="5" t="s">
        <v>207</v>
      </c>
      <c r="D1518" s="1" t="s">
        <v>104</v>
      </c>
      <c r="E1518">
        <v>24</v>
      </c>
      <c r="F1518">
        <v>5</v>
      </c>
      <c r="G1518">
        <v>0</v>
      </c>
      <c r="H1518">
        <v>0</v>
      </c>
      <c r="I1518">
        <v>75</v>
      </c>
      <c r="J1518">
        <v>1800</v>
      </c>
      <c r="K1518">
        <v>92</v>
      </c>
      <c r="L1518">
        <v>102</v>
      </c>
      <c r="M1518">
        <v>0</v>
      </c>
      <c r="N1518">
        <v>0</v>
      </c>
      <c r="O1518">
        <v>0</v>
      </c>
      <c r="P1518">
        <v>45</v>
      </c>
      <c r="Q1518">
        <v>151</v>
      </c>
      <c r="R1518">
        <v>5</v>
      </c>
      <c r="S1518" s="18">
        <f t="shared" si="236"/>
        <v>9</v>
      </c>
      <c r="T1518" s="17">
        <f t="shared" si="237"/>
        <v>0</v>
      </c>
      <c r="U1518" s="17">
        <f t="shared" si="238"/>
        <v>0</v>
      </c>
      <c r="V1518" s="17">
        <f t="shared" si="239"/>
        <v>0</v>
      </c>
      <c r="W1518" s="17">
        <f t="shared" si="240"/>
        <v>5</v>
      </c>
      <c r="X1518" s="17">
        <f t="shared" si="241"/>
        <v>146</v>
      </c>
      <c r="Y1518" s="19">
        <f t="shared" si="242"/>
        <v>0</v>
      </c>
      <c r="Z1518">
        <v>5</v>
      </c>
      <c r="AA1518">
        <v>0</v>
      </c>
      <c r="AB1518">
        <v>65</v>
      </c>
      <c r="AC1518">
        <v>1050</v>
      </c>
      <c r="AD1518">
        <v>0</v>
      </c>
      <c r="AE1518">
        <v>0</v>
      </c>
      <c r="AF1518">
        <v>0</v>
      </c>
      <c r="AG1518">
        <v>75</v>
      </c>
      <c r="AH1518">
        <v>75</v>
      </c>
      <c r="AI1518">
        <v>0</v>
      </c>
      <c r="AJ1518">
        <v>0</v>
      </c>
      <c r="AK1518">
        <v>1800</v>
      </c>
      <c r="AL1518">
        <v>1800</v>
      </c>
      <c r="AM1518">
        <v>0</v>
      </c>
      <c r="AN1518">
        <v>0</v>
      </c>
      <c r="AO1518">
        <v>92</v>
      </c>
      <c r="AP1518">
        <v>0</v>
      </c>
      <c r="AQ1518">
        <v>92</v>
      </c>
      <c r="AR1518">
        <v>92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102</v>
      </c>
      <c r="BA1518">
        <v>102</v>
      </c>
      <c r="BB1518">
        <v>0</v>
      </c>
      <c r="BC1518">
        <v>0</v>
      </c>
      <c r="BD1518">
        <v>0</v>
      </c>
      <c r="BE1518">
        <f t="shared" si="243"/>
        <v>5280</v>
      </c>
      <c r="BF1518">
        <v>3213</v>
      </c>
      <c r="BG1518">
        <v>3213</v>
      </c>
      <c r="BH1518" t="s">
        <v>82</v>
      </c>
      <c r="BI1518" t="s">
        <v>723</v>
      </c>
      <c r="BJ1518">
        <v>1139</v>
      </c>
      <c r="BK1518">
        <v>2069</v>
      </c>
      <c r="BL1518">
        <v>3213</v>
      </c>
      <c r="BM1518">
        <v>0</v>
      </c>
      <c r="BN1518">
        <v>0</v>
      </c>
      <c r="BO1518">
        <v>0</v>
      </c>
      <c r="BP1518">
        <v>2114</v>
      </c>
      <c r="BQ1518">
        <v>2114</v>
      </c>
      <c r="BR1518">
        <f t="shared" si="244"/>
        <v>-146</v>
      </c>
      <c r="BS1518">
        <f t="shared" si="245"/>
        <v>156</v>
      </c>
    </row>
    <row r="1519" spans="1:74" x14ac:dyDescent="0.25">
      <c r="A1519" s="5" t="s">
        <v>61</v>
      </c>
      <c r="B1519" s="5" t="s">
        <v>207</v>
      </c>
      <c r="C1519" s="5" t="s">
        <v>61</v>
      </c>
      <c r="D1519" s="1" t="s">
        <v>125</v>
      </c>
      <c r="E1519">
        <v>0</v>
      </c>
      <c r="F1519">
        <v>24</v>
      </c>
      <c r="G1519">
        <v>0</v>
      </c>
      <c r="H1519">
        <v>0</v>
      </c>
      <c r="I1519">
        <v>481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72</v>
      </c>
      <c r="Q1519">
        <v>155</v>
      </c>
      <c r="R1519">
        <v>8</v>
      </c>
      <c r="S1519" s="18">
        <f t="shared" si="236"/>
        <v>9</v>
      </c>
      <c r="T1519" s="17">
        <f t="shared" si="237"/>
        <v>0</v>
      </c>
      <c r="U1519" s="17">
        <f t="shared" si="238"/>
        <v>0</v>
      </c>
      <c r="V1519" s="17">
        <f t="shared" si="239"/>
        <v>0</v>
      </c>
      <c r="W1519" s="17">
        <f t="shared" si="240"/>
        <v>8</v>
      </c>
      <c r="X1519" s="17">
        <f t="shared" si="241"/>
        <v>147</v>
      </c>
      <c r="Y1519" s="19">
        <f t="shared" si="242"/>
        <v>0</v>
      </c>
      <c r="Z1519">
        <v>24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481</v>
      </c>
      <c r="AH1519">
        <v>481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f t="shared" si="243"/>
        <v>962</v>
      </c>
      <c r="BF1519">
        <v>505</v>
      </c>
      <c r="BG1519">
        <v>505</v>
      </c>
      <c r="BH1519" t="s">
        <v>109</v>
      </c>
      <c r="BI1519" t="s">
        <v>239</v>
      </c>
      <c r="BJ1519">
        <v>0</v>
      </c>
      <c r="BK1519">
        <v>481</v>
      </c>
      <c r="BL1519">
        <v>505</v>
      </c>
      <c r="BM1519">
        <v>0</v>
      </c>
      <c r="BN1519">
        <v>0</v>
      </c>
      <c r="BO1519">
        <v>0</v>
      </c>
      <c r="BP1519">
        <v>553</v>
      </c>
      <c r="BQ1519">
        <v>553</v>
      </c>
      <c r="BR1519">
        <f t="shared" si="244"/>
        <v>-147</v>
      </c>
      <c r="BS1519">
        <f t="shared" si="245"/>
        <v>163</v>
      </c>
    </row>
    <row r="1520" spans="1:74" x14ac:dyDescent="0.25">
      <c r="A1520" s="5" t="s">
        <v>1661</v>
      </c>
      <c r="B1520" s="5" t="s">
        <v>207</v>
      </c>
      <c r="C1520" s="6" t="s">
        <v>61</v>
      </c>
      <c r="D1520" s="1" t="s">
        <v>131</v>
      </c>
      <c r="E1520">
        <v>17</v>
      </c>
      <c r="F1520">
        <v>2</v>
      </c>
      <c r="G1520">
        <v>0</v>
      </c>
      <c r="H1520">
        <v>0</v>
      </c>
      <c r="I1520">
        <v>81</v>
      </c>
      <c r="J1520">
        <v>849</v>
      </c>
      <c r="K1520">
        <v>424</v>
      </c>
      <c r="L1520">
        <v>18</v>
      </c>
      <c r="M1520">
        <v>0</v>
      </c>
      <c r="N1520">
        <v>0</v>
      </c>
      <c r="O1520">
        <v>0</v>
      </c>
      <c r="P1520">
        <v>9</v>
      </c>
      <c r="Q1520">
        <v>148</v>
      </c>
      <c r="R1520">
        <v>1</v>
      </c>
      <c r="S1520" s="18">
        <f t="shared" si="236"/>
        <v>9</v>
      </c>
      <c r="T1520" s="17">
        <f t="shared" si="237"/>
        <v>0</v>
      </c>
      <c r="U1520" s="17">
        <f t="shared" si="238"/>
        <v>0</v>
      </c>
      <c r="V1520" s="17">
        <f t="shared" si="239"/>
        <v>0</v>
      </c>
      <c r="W1520" s="17">
        <f t="shared" si="240"/>
        <v>1</v>
      </c>
      <c r="X1520" s="17">
        <f t="shared" si="241"/>
        <v>147</v>
      </c>
      <c r="Y1520" s="19">
        <f t="shared" si="242"/>
        <v>0</v>
      </c>
      <c r="Z1520">
        <v>2</v>
      </c>
      <c r="AA1520">
        <v>0</v>
      </c>
      <c r="AB1520">
        <v>0</v>
      </c>
      <c r="AC1520">
        <v>690</v>
      </c>
      <c r="AD1520">
        <v>0</v>
      </c>
      <c r="AE1520">
        <v>0</v>
      </c>
      <c r="AF1520">
        <v>0</v>
      </c>
      <c r="AG1520">
        <v>81</v>
      </c>
      <c r="AH1520">
        <v>81</v>
      </c>
      <c r="AI1520">
        <v>0</v>
      </c>
      <c r="AJ1520">
        <v>0</v>
      </c>
      <c r="AK1520">
        <v>849</v>
      </c>
      <c r="AL1520">
        <v>849</v>
      </c>
      <c r="AM1520">
        <v>0</v>
      </c>
      <c r="AN1520">
        <v>0</v>
      </c>
      <c r="AO1520">
        <v>424</v>
      </c>
      <c r="AP1520">
        <v>44</v>
      </c>
      <c r="AQ1520">
        <v>424</v>
      </c>
      <c r="AR1520">
        <v>380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18</v>
      </c>
      <c r="BA1520">
        <v>18</v>
      </c>
      <c r="BB1520">
        <v>0</v>
      </c>
      <c r="BC1520">
        <v>0</v>
      </c>
      <c r="BD1520">
        <v>0</v>
      </c>
      <c r="BE1520">
        <f t="shared" si="243"/>
        <v>3858</v>
      </c>
      <c r="BF1520">
        <v>2081</v>
      </c>
      <c r="BG1520">
        <v>2081</v>
      </c>
      <c r="BH1520" t="s">
        <v>82</v>
      </c>
      <c r="BI1520" t="s">
        <v>1789</v>
      </c>
      <c r="BJ1520">
        <v>707</v>
      </c>
      <c r="BK1520">
        <v>1372</v>
      </c>
      <c r="BL1520">
        <v>2081</v>
      </c>
      <c r="BM1520">
        <v>0</v>
      </c>
      <c r="BN1520">
        <v>0</v>
      </c>
      <c r="BO1520">
        <v>0</v>
      </c>
      <c r="BP1520">
        <v>1381</v>
      </c>
      <c r="BQ1520">
        <v>1381</v>
      </c>
      <c r="BR1520">
        <f t="shared" si="244"/>
        <v>-147</v>
      </c>
      <c r="BS1520">
        <f t="shared" si="245"/>
        <v>149</v>
      </c>
    </row>
    <row r="1521" spans="1:74" x14ac:dyDescent="0.25">
      <c r="A1521" s="5" t="s">
        <v>627</v>
      </c>
      <c r="B1521" s="5" t="s">
        <v>359</v>
      </c>
      <c r="C1521" s="7" t="s">
        <v>61</v>
      </c>
      <c r="D1521" s="1" t="s">
        <v>123</v>
      </c>
      <c r="E1521">
        <v>0</v>
      </c>
      <c r="F1521">
        <v>8</v>
      </c>
      <c r="G1521">
        <v>0</v>
      </c>
      <c r="H1521">
        <v>0</v>
      </c>
      <c r="I1521">
        <v>450</v>
      </c>
      <c r="J1521">
        <v>0</v>
      </c>
      <c r="K1521">
        <v>74</v>
      </c>
      <c r="L1521">
        <v>0</v>
      </c>
      <c r="M1521">
        <v>72</v>
      </c>
      <c r="N1521">
        <v>0</v>
      </c>
      <c r="O1521">
        <v>0</v>
      </c>
      <c r="P1521">
        <v>0</v>
      </c>
      <c r="Q1521">
        <v>156</v>
      </c>
      <c r="R1521">
        <v>8</v>
      </c>
      <c r="S1521" s="18">
        <f t="shared" si="236"/>
        <v>9</v>
      </c>
      <c r="T1521" s="17">
        <f t="shared" si="237"/>
        <v>8</v>
      </c>
      <c r="U1521" s="17">
        <f t="shared" si="238"/>
        <v>0</v>
      </c>
      <c r="V1521" s="17">
        <f t="shared" si="239"/>
        <v>0</v>
      </c>
      <c r="W1521" s="17">
        <f t="shared" si="240"/>
        <v>0</v>
      </c>
      <c r="X1521" s="17">
        <f t="shared" si="241"/>
        <v>148</v>
      </c>
      <c r="Y1521" s="19">
        <f t="shared" si="242"/>
        <v>0</v>
      </c>
      <c r="Z1521">
        <v>8</v>
      </c>
      <c r="AA1521">
        <v>0</v>
      </c>
      <c r="AB1521">
        <v>0</v>
      </c>
      <c r="AC1521">
        <v>0</v>
      </c>
      <c r="AD1521">
        <v>100</v>
      </c>
      <c r="AE1521">
        <v>0</v>
      </c>
      <c r="AF1521">
        <v>0</v>
      </c>
      <c r="AG1521">
        <v>350</v>
      </c>
      <c r="AH1521">
        <v>450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74</v>
      </c>
      <c r="AP1521">
        <v>14</v>
      </c>
      <c r="AQ1521">
        <v>74</v>
      </c>
      <c r="AR1521">
        <v>60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f t="shared" si="243"/>
        <v>1122</v>
      </c>
      <c r="BF1521">
        <v>532</v>
      </c>
      <c r="BG1521">
        <v>532</v>
      </c>
      <c r="BH1521" t="s">
        <v>109</v>
      </c>
      <c r="BI1521" t="s">
        <v>874</v>
      </c>
      <c r="BJ1521">
        <v>0</v>
      </c>
      <c r="BK1521">
        <v>524</v>
      </c>
      <c r="BL1521">
        <v>532</v>
      </c>
      <c r="BM1521">
        <v>172</v>
      </c>
      <c r="BN1521">
        <v>0</v>
      </c>
      <c r="BO1521">
        <v>0</v>
      </c>
      <c r="BP1521">
        <v>424</v>
      </c>
      <c r="BQ1521">
        <v>596</v>
      </c>
      <c r="BR1521">
        <f t="shared" si="244"/>
        <v>-148</v>
      </c>
      <c r="BS1521">
        <f t="shared" si="245"/>
        <v>164</v>
      </c>
    </row>
    <row r="1522" spans="1:74" x14ac:dyDescent="0.25">
      <c r="A1522" s="5" t="s">
        <v>359</v>
      </c>
      <c r="B1522" s="5" t="s">
        <v>207</v>
      </c>
      <c r="C1522" s="5" t="s">
        <v>61</v>
      </c>
      <c r="D1522" s="1" t="s">
        <v>73</v>
      </c>
      <c r="E1522">
        <v>0</v>
      </c>
      <c r="F1522">
        <v>0</v>
      </c>
      <c r="G1522">
        <v>0</v>
      </c>
      <c r="H1522">
        <v>0</v>
      </c>
      <c r="I1522">
        <v>1328</v>
      </c>
      <c r="J1522">
        <v>0</v>
      </c>
      <c r="K1522">
        <v>402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80</v>
      </c>
      <c r="R1522">
        <v>0</v>
      </c>
      <c r="S1522" s="18" t="e">
        <f t="shared" si="236"/>
        <v>#DIV/0!</v>
      </c>
      <c r="T1522" s="17" t="e">
        <f t="shared" si="237"/>
        <v>#DIV/0!</v>
      </c>
      <c r="U1522" s="17" t="e">
        <f t="shared" si="238"/>
        <v>#DIV/0!</v>
      </c>
      <c r="V1522" s="17" t="e">
        <f t="shared" si="239"/>
        <v>#DIV/0!</v>
      </c>
      <c r="W1522" s="17" t="e">
        <f t="shared" si="240"/>
        <v>#DIV/0!</v>
      </c>
      <c r="X1522" s="17" t="e">
        <f t="shared" si="241"/>
        <v>#DIV/0!</v>
      </c>
      <c r="Y1522" s="19" t="e">
        <f t="shared" si="242"/>
        <v>#DIV/0!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1328</v>
      </c>
      <c r="AH1522">
        <v>1227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402</v>
      </c>
      <c r="AP1522">
        <v>143</v>
      </c>
      <c r="AQ1522">
        <v>0</v>
      </c>
      <c r="AR1522">
        <v>259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f t="shared" si="243"/>
        <v>3359</v>
      </c>
      <c r="BF1522">
        <v>1227</v>
      </c>
      <c r="BG1522">
        <v>1227</v>
      </c>
      <c r="BH1522" t="s">
        <v>63</v>
      </c>
      <c r="BI1522" t="s">
        <v>736</v>
      </c>
      <c r="BJ1522">
        <v>0</v>
      </c>
      <c r="BK1522">
        <v>1227</v>
      </c>
      <c r="BL1522">
        <v>1227</v>
      </c>
      <c r="BM1522">
        <v>0</v>
      </c>
      <c r="BN1522">
        <v>0</v>
      </c>
      <c r="BO1522">
        <v>0</v>
      </c>
      <c r="BP1522">
        <v>1730</v>
      </c>
      <c r="BQ1522">
        <v>1730</v>
      </c>
      <c r="BR1522">
        <f t="shared" si="244"/>
        <v>-80</v>
      </c>
      <c r="BS1522">
        <f t="shared" si="245"/>
        <v>80</v>
      </c>
      <c r="BU1522">
        <f>R1522*9</f>
        <v>0</v>
      </c>
      <c r="BV1522">
        <f>IF(BU1522&gt;BG1522, 1, 0)</f>
        <v>0</v>
      </c>
    </row>
    <row r="1523" spans="1:74" x14ac:dyDescent="0.25">
      <c r="A1523" s="5" t="s">
        <v>1946</v>
      </c>
      <c r="B1523" s="5" t="s">
        <v>61</v>
      </c>
      <c r="C1523" s="5" t="s">
        <v>61</v>
      </c>
      <c r="D1523" s="1" t="s">
        <v>127</v>
      </c>
      <c r="E1523">
        <v>0</v>
      </c>
      <c r="F1523">
        <v>687</v>
      </c>
      <c r="G1523">
        <v>0</v>
      </c>
      <c r="H1523">
        <v>0</v>
      </c>
      <c r="I1523">
        <v>124</v>
      </c>
      <c r="J1523">
        <v>0</v>
      </c>
      <c r="K1523">
        <v>0</v>
      </c>
      <c r="L1523">
        <v>0</v>
      </c>
      <c r="M1523">
        <v>2475</v>
      </c>
      <c r="N1523">
        <v>0</v>
      </c>
      <c r="O1523">
        <v>0</v>
      </c>
      <c r="P1523">
        <v>0</v>
      </c>
      <c r="Q1523">
        <v>423</v>
      </c>
      <c r="R1523">
        <v>275</v>
      </c>
      <c r="S1523" s="18">
        <f t="shared" si="236"/>
        <v>9</v>
      </c>
      <c r="T1523" s="17">
        <f t="shared" si="237"/>
        <v>275</v>
      </c>
      <c r="U1523" s="17">
        <f t="shared" si="238"/>
        <v>0</v>
      </c>
      <c r="V1523" s="17">
        <f t="shared" si="239"/>
        <v>0</v>
      </c>
      <c r="W1523" s="17">
        <f t="shared" si="240"/>
        <v>0</v>
      </c>
      <c r="X1523" s="17">
        <f t="shared" si="241"/>
        <v>148</v>
      </c>
      <c r="Y1523" s="19">
        <f t="shared" si="242"/>
        <v>0</v>
      </c>
      <c r="Z1523">
        <v>687</v>
      </c>
      <c r="AA1523">
        <v>0</v>
      </c>
      <c r="AB1523">
        <v>0</v>
      </c>
      <c r="AC1523">
        <v>0</v>
      </c>
      <c r="AD1523">
        <v>124</v>
      </c>
      <c r="AE1523">
        <v>0</v>
      </c>
      <c r="AF1523">
        <v>0</v>
      </c>
      <c r="AG1523">
        <v>0</v>
      </c>
      <c r="AH1523">
        <v>124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f t="shared" si="243"/>
        <v>248</v>
      </c>
      <c r="BF1523">
        <v>811</v>
      </c>
      <c r="BG1523">
        <v>811</v>
      </c>
      <c r="BH1523" t="s">
        <v>109</v>
      </c>
      <c r="BI1523" t="s">
        <v>1976</v>
      </c>
      <c r="BJ1523">
        <v>0</v>
      </c>
      <c r="BK1523">
        <v>124</v>
      </c>
      <c r="BL1523">
        <v>811</v>
      </c>
      <c r="BM1523">
        <v>2599</v>
      </c>
      <c r="BN1523">
        <v>0</v>
      </c>
      <c r="BO1523">
        <v>0</v>
      </c>
      <c r="BP1523">
        <v>0</v>
      </c>
      <c r="BQ1523">
        <v>2599</v>
      </c>
      <c r="BR1523">
        <f t="shared" si="244"/>
        <v>-148</v>
      </c>
      <c r="BS1523">
        <f t="shared" si="245"/>
        <v>698</v>
      </c>
    </row>
    <row r="1524" spans="1:74" x14ac:dyDescent="0.25">
      <c r="A1524" s="5" t="s">
        <v>1661</v>
      </c>
      <c r="B1524" s="5" t="s">
        <v>207</v>
      </c>
      <c r="C1524" s="5" t="s">
        <v>207</v>
      </c>
      <c r="D1524" s="1" t="s">
        <v>79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2185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80</v>
      </c>
      <c r="R1524">
        <v>0</v>
      </c>
      <c r="S1524" s="18" t="e">
        <f t="shared" si="236"/>
        <v>#DIV/0!</v>
      </c>
      <c r="T1524" s="17" t="e">
        <f t="shared" si="237"/>
        <v>#DIV/0!</v>
      </c>
      <c r="U1524" s="17" t="e">
        <f t="shared" si="238"/>
        <v>#DIV/0!</v>
      </c>
      <c r="V1524" s="17" t="e">
        <f t="shared" si="239"/>
        <v>#DIV/0!</v>
      </c>
      <c r="W1524" s="17" t="e">
        <f t="shared" si="240"/>
        <v>#DIV/0!</v>
      </c>
      <c r="X1524" s="17" t="e">
        <f t="shared" si="241"/>
        <v>#DIV/0!</v>
      </c>
      <c r="Y1524" s="19" t="e">
        <f t="shared" si="242"/>
        <v>#DIV/0!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2185</v>
      </c>
      <c r="AP1524">
        <v>0</v>
      </c>
      <c r="AQ1524">
        <v>2185</v>
      </c>
      <c r="AR1524">
        <v>2185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f t="shared" si="243"/>
        <v>6555</v>
      </c>
      <c r="BF1524">
        <v>2233</v>
      </c>
      <c r="BG1524">
        <v>2233</v>
      </c>
      <c r="BH1524" t="s">
        <v>63</v>
      </c>
      <c r="BI1524" t="s">
        <v>1802</v>
      </c>
      <c r="BJ1524">
        <v>0</v>
      </c>
      <c r="BK1524">
        <v>2185</v>
      </c>
      <c r="BL1524">
        <v>2185</v>
      </c>
      <c r="BM1524">
        <v>0</v>
      </c>
      <c r="BN1524">
        <v>0</v>
      </c>
      <c r="BO1524">
        <v>0</v>
      </c>
      <c r="BP1524">
        <v>2185</v>
      </c>
      <c r="BQ1524">
        <v>2185</v>
      </c>
      <c r="BR1524">
        <f t="shared" si="244"/>
        <v>-80</v>
      </c>
      <c r="BS1524">
        <f t="shared" si="245"/>
        <v>80</v>
      </c>
      <c r="BU1524">
        <f>R1524*9</f>
        <v>0</v>
      </c>
      <c r="BV1524">
        <f>IF(BU1524&gt;BG1524, 1, 0)</f>
        <v>0</v>
      </c>
    </row>
    <row r="1525" spans="1:74" x14ac:dyDescent="0.25">
      <c r="A1525" s="5" t="s">
        <v>1946</v>
      </c>
      <c r="B1525" s="5" t="s">
        <v>61</v>
      </c>
      <c r="C1525" s="5" t="s">
        <v>61</v>
      </c>
      <c r="D1525" s="1" t="s">
        <v>62</v>
      </c>
      <c r="E1525">
        <v>0</v>
      </c>
      <c r="F1525">
        <v>0</v>
      </c>
      <c r="G1525">
        <v>0</v>
      </c>
      <c r="H1525">
        <v>0</v>
      </c>
      <c r="I1525">
        <v>1100</v>
      </c>
      <c r="J1525">
        <v>8250</v>
      </c>
      <c r="K1525">
        <v>85</v>
      </c>
      <c r="L1525">
        <v>420</v>
      </c>
      <c r="M1525">
        <v>0</v>
      </c>
      <c r="N1525">
        <v>0</v>
      </c>
      <c r="O1525">
        <v>0</v>
      </c>
      <c r="P1525">
        <v>0</v>
      </c>
      <c r="Q1525">
        <v>81</v>
      </c>
      <c r="R1525">
        <v>0</v>
      </c>
      <c r="S1525" s="18" t="e">
        <f t="shared" si="236"/>
        <v>#DIV/0!</v>
      </c>
      <c r="T1525" s="17" t="e">
        <f t="shared" si="237"/>
        <v>#DIV/0!</v>
      </c>
      <c r="U1525" s="17" t="e">
        <f t="shared" si="238"/>
        <v>#DIV/0!</v>
      </c>
      <c r="V1525" s="17" t="e">
        <f t="shared" si="239"/>
        <v>#DIV/0!</v>
      </c>
      <c r="W1525" s="17" t="e">
        <f t="shared" si="240"/>
        <v>#DIV/0!</v>
      </c>
      <c r="X1525" s="17" t="e">
        <f t="shared" si="241"/>
        <v>#DIV/0!</v>
      </c>
      <c r="Y1525" s="19" t="e">
        <f t="shared" si="242"/>
        <v>#DIV/0!</v>
      </c>
      <c r="Z1525">
        <v>0</v>
      </c>
      <c r="AA1525">
        <v>0</v>
      </c>
      <c r="AB1525">
        <v>0</v>
      </c>
      <c r="AC1525">
        <v>222</v>
      </c>
      <c r="AD1525">
        <v>0</v>
      </c>
      <c r="AE1525">
        <v>0</v>
      </c>
      <c r="AF1525">
        <v>0</v>
      </c>
      <c r="AG1525">
        <v>1100</v>
      </c>
      <c r="AH1525">
        <v>1100</v>
      </c>
      <c r="AI1525">
        <v>0</v>
      </c>
      <c r="AJ1525">
        <v>8250</v>
      </c>
      <c r="AK1525">
        <v>0</v>
      </c>
      <c r="AL1525">
        <v>8250</v>
      </c>
      <c r="AM1525">
        <v>0</v>
      </c>
      <c r="AN1525">
        <v>0</v>
      </c>
      <c r="AO1525">
        <v>85</v>
      </c>
      <c r="AP1525">
        <v>85</v>
      </c>
      <c r="AQ1525">
        <v>85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420</v>
      </c>
      <c r="BA1525">
        <v>420</v>
      </c>
      <c r="BB1525">
        <v>0</v>
      </c>
      <c r="BC1525">
        <v>0</v>
      </c>
      <c r="BD1525">
        <v>0</v>
      </c>
      <c r="BE1525">
        <f t="shared" si="243"/>
        <v>20017</v>
      </c>
      <c r="BF1525">
        <v>10077</v>
      </c>
      <c r="BG1525">
        <v>10077</v>
      </c>
      <c r="BH1525" t="s">
        <v>63</v>
      </c>
      <c r="BI1525" t="s">
        <v>1947</v>
      </c>
      <c r="BJ1525">
        <v>222</v>
      </c>
      <c r="BK1525">
        <v>9855</v>
      </c>
      <c r="BL1525">
        <v>10077</v>
      </c>
      <c r="BM1525">
        <v>0</v>
      </c>
      <c r="BN1525">
        <v>8250</v>
      </c>
      <c r="BO1525">
        <v>0</v>
      </c>
      <c r="BP1525">
        <v>1605</v>
      </c>
      <c r="BQ1525">
        <v>9855</v>
      </c>
      <c r="BR1525">
        <f t="shared" si="244"/>
        <v>-81</v>
      </c>
      <c r="BS1525">
        <f t="shared" si="245"/>
        <v>81</v>
      </c>
      <c r="BU1525">
        <f>R1525*9</f>
        <v>0</v>
      </c>
      <c r="BV1525">
        <f>IF(BU1525&gt;BG1525, 1, 0)</f>
        <v>0</v>
      </c>
    </row>
    <row r="1526" spans="1:74" x14ac:dyDescent="0.25">
      <c r="A1526" s="5" t="s">
        <v>207</v>
      </c>
      <c r="B1526" s="5" t="s">
        <v>627</v>
      </c>
      <c r="C1526" s="5" t="s">
        <v>61</v>
      </c>
      <c r="D1526" s="1" t="s">
        <v>121</v>
      </c>
      <c r="E1526">
        <v>0</v>
      </c>
      <c r="F1526">
        <v>18</v>
      </c>
      <c r="G1526">
        <v>0</v>
      </c>
      <c r="H1526">
        <v>0</v>
      </c>
      <c r="I1526">
        <v>270</v>
      </c>
      <c r="J1526">
        <v>2298</v>
      </c>
      <c r="K1526">
        <v>59</v>
      </c>
      <c r="L1526">
        <v>45</v>
      </c>
      <c r="M1526">
        <v>0</v>
      </c>
      <c r="N1526">
        <v>0</v>
      </c>
      <c r="O1526">
        <v>0</v>
      </c>
      <c r="P1526">
        <v>36</v>
      </c>
      <c r="Q1526">
        <v>153</v>
      </c>
      <c r="R1526">
        <v>4</v>
      </c>
      <c r="S1526" s="18">
        <f t="shared" si="236"/>
        <v>9</v>
      </c>
      <c r="T1526" s="17">
        <f t="shared" si="237"/>
        <v>0</v>
      </c>
      <c r="U1526" s="17">
        <f t="shared" si="238"/>
        <v>0</v>
      </c>
      <c r="V1526" s="17">
        <f t="shared" si="239"/>
        <v>0</v>
      </c>
      <c r="W1526" s="17">
        <f t="shared" si="240"/>
        <v>4</v>
      </c>
      <c r="X1526" s="17">
        <f t="shared" si="241"/>
        <v>149</v>
      </c>
      <c r="Y1526" s="19">
        <f t="shared" si="242"/>
        <v>0</v>
      </c>
      <c r="Z1526">
        <v>18</v>
      </c>
      <c r="AA1526">
        <v>2</v>
      </c>
      <c r="AB1526">
        <v>100</v>
      </c>
      <c r="AC1526">
        <v>1200</v>
      </c>
      <c r="AD1526">
        <v>0</v>
      </c>
      <c r="AE1526">
        <v>0</v>
      </c>
      <c r="AF1526">
        <v>0</v>
      </c>
      <c r="AG1526">
        <v>270</v>
      </c>
      <c r="AH1526">
        <v>270</v>
      </c>
      <c r="AI1526">
        <v>0</v>
      </c>
      <c r="AJ1526">
        <v>0</v>
      </c>
      <c r="AK1526">
        <v>2298</v>
      </c>
      <c r="AL1526">
        <v>2298</v>
      </c>
      <c r="AM1526">
        <v>0</v>
      </c>
      <c r="AN1526">
        <v>0</v>
      </c>
      <c r="AO1526">
        <v>59</v>
      </c>
      <c r="AP1526">
        <v>51</v>
      </c>
      <c r="AQ1526">
        <v>59</v>
      </c>
      <c r="AR1526">
        <v>8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45</v>
      </c>
      <c r="BA1526">
        <v>45</v>
      </c>
      <c r="BB1526">
        <v>0</v>
      </c>
      <c r="BC1526">
        <v>0</v>
      </c>
      <c r="BD1526">
        <v>0</v>
      </c>
      <c r="BE1526">
        <f t="shared" si="243"/>
        <v>6603</v>
      </c>
      <c r="BF1526">
        <v>3992</v>
      </c>
      <c r="BG1526">
        <v>3992</v>
      </c>
      <c r="BH1526" t="s">
        <v>82</v>
      </c>
      <c r="BI1526" t="s">
        <v>654</v>
      </c>
      <c r="BJ1526">
        <v>1302</v>
      </c>
      <c r="BK1526">
        <v>2672</v>
      </c>
      <c r="BL1526">
        <v>3992</v>
      </c>
      <c r="BM1526">
        <v>0</v>
      </c>
      <c r="BN1526">
        <v>0</v>
      </c>
      <c r="BO1526">
        <v>0</v>
      </c>
      <c r="BP1526">
        <v>2708</v>
      </c>
      <c r="BQ1526">
        <v>2708</v>
      </c>
      <c r="BR1526">
        <f t="shared" si="244"/>
        <v>-149</v>
      </c>
      <c r="BS1526">
        <f t="shared" si="245"/>
        <v>157</v>
      </c>
    </row>
    <row r="1527" spans="1:74" x14ac:dyDescent="0.25">
      <c r="A1527" s="5" t="s">
        <v>1135</v>
      </c>
      <c r="B1527" s="5" t="s">
        <v>61</v>
      </c>
      <c r="C1527" s="5" t="s">
        <v>61</v>
      </c>
      <c r="D1527" s="1" t="s">
        <v>100</v>
      </c>
      <c r="E1527">
        <v>0</v>
      </c>
      <c r="F1527">
        <v>194</v>
      </c>
      <c r="G1527">
        <v>0</v>
      </c>
      <c r="H1527">
        <v>0</v>
      </c>
      <c r="I1527">
        <v>800</v>
      </c>
      <c r="J1527">
        <v>0</v>
      </c>
      <c r="K1527">
        <v>0</v>
      </c>
      <c r="L1527">
        <v>0</v>
      </c>
      <c r="M1527">
        <v>3429</v>
      </c>
      <c r="N1527">
        <v>0</v>
      </c>
      <c r="O1527">
        <v>0</v>
      </c>
      <c r="P1527">
        <v>0</v>
      </c>
      <c r="Q1527">
        <v>530</v>
      </c>
      <c r="R1527">
        <v>381</v>
      </c>
      <c r="S1527" s="18">
        <f t="shared" si="236"/>
        <v>9</v>
      </c>
      <c r="T1527" s="17">
        <f t="shared" si="237"/>
        <v>381</v>
      </c>
      <c r="U1527" s="17">
        <f t="shared" si="238"/>
        <v>0</v>
      </c>
      <c r="V1527" s="17">
        <f t="shared" si="239"/>
        <v>0</v>
      </c>
      <c r="W1527" s="17">
        <f t="shared" si="240"/>
        <v>0</v>
      </c>
      <c r="X1527" s="17">
        <f t="shared" si="241"/>
        <v>149</v>
      </c>
      <c r="Y1527" s="19">
        <f t="shared" si="242"/>
        <v>0</v>
      </c>
      <c r="Z1527">
        <v>194</v>
      </c>
      <c r="AA1527">
        <v>0</v>
      </c>
      <c r="AB1527">
        <v>0</v>
      </c>
      <c r="AC1527">
        <v>0</v>
      </c>
      <c r="AD1527">
        <v>800</v>
      </c>
      <c r="AE1527">
        <v>0</v>
      </c>
      <c r="AF1527">
        <v>0</v>
      </c>
      <c r="AG1527">
        <v>0</v>
      </c>
      <c r="AH1527">
        <v>800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f t="shared" si="243"/>
        <v>1600</v>
      </c>
      <c r="BF1527">
        <v>994</v>
      </c>
      <c r="BG1527">
        <v>994</v>
      </c>
      <c r="BH1527" t="s">
        <v>109</v>
      </c>
      <c r="BI1527" t="s">
        <v>1028</v>
      </c>
      <c r="BJ1527">
        <v>0</v>
      </c>
      <c r="BK1527">
        <v>800</v>
      </c>
      <c r="BL1527">
        <v>994</v>
      </c>
      <c r="BM1527">
        <v>4229</v>
      </c>
      <c r="BN1527">
        <v>0</v>
      </c>
      <c r="BO1527">
        <v>0</v>
      </c>
      <c r="BP1527">
        <v>0</v>
      </c>
      <c r="BQ1527">
        <v>4229</v>
      </c>
      <c r="BR1527">
        <f t="shared" si="244"/>
        <v>-149</v>
      </c>
      <c r="BS1527">
        <f t="shared" si="245"/>
        <v>911</v>
      </c>
    </row>
    <row r="1528" spans="1:74" x14ac:dyDescent="0.25">
      <c r="A1528" s="5" t="s">
        <v>1451</v>
      </c>
      <c r="B1528" s="6" t="s">
        <v>359</v>
      </c>
      <c r="C1528" s="6" t="s">
        <v>61</v>
      </c>
      <c r="D1528" s="1" t="s">
        <v>127</v>
      </c>
      <c r="E1528">
        <v>0</v>
      </c>
      <c r="F1528">
        <v>0</v>
      </c>
      <c r="G1528">
        <v>0</v>
      </c>
      <c r="H1528">
        <v>0</v>
      </c>
      <c r="I1528">
        <v>50</v>
      </c>
      <c r="J1528">
        <v>1520</v>
      </c>
      <c r="K1528">
        <v>110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149</v>
      </c>
      <c r="R1528">
        <v>0</v>
      </c>
      <c r="S1528" s="18" t="e">
        <f t="shared" si="236"/>
        <v>#DIV/0!</v>
      </c>
      <c r="T1528" s="17" t="e">
        <f t="shared" si="237"/>
        <v>#DIV/0!</v>
      </c>
      <c r="U1528" s="17" t="e">
        <f t="shared" si="238"/>
        <v>#DIV/0!</v>
      </c>
      <c r="V1528" s="17" t="e">
        <f t="shared" si="239"/>
        <v>#DIV/0!</v>
      </c>
      <c r="W1528" s="17" t="e">
        <f t="shared" si="240"/>
        <v>#DIV/0!</v>
      </c>
      <c r="X1528" s="17" t="e">
        <f t="shared" si="241"/>
        <v>#DIV/0!</v>
      </c>
      <c r="Y1528" s="19" t="e">
        <f t="shared" si="242"/>
        <v>#DIV/0!</v>
      </c>
      <c r="Z1528">
        <v>0</v>
      </c>
      <c r="AA1528">
        <v>0</v>
      </c>
      <c r="AB1528">
        <v>0</v>
      </c>
      <c r="AC1528">
        <v>760</v>
      </c>
      <c r="AD1528">
        <v>0</v>
      </c>
      <c r="AE1528">
        <v>0</v>
      </c>
      <c r="AF1528">
        <v>0</v>
      </c>
      <c r="AG1528">
        <v>50</v>
      </c>
      <c r="AH1528">
        <v>50</v>
      </c>
      <c r="AI1528">
        <v>0</v>
      </c>
      <c r="AJ1528">
        <v>0</v>
      </c>
      <c r="AK1528">
        <v>1520</v>
      </c>
      <c r="AL1528">
        <v>1520</v>
      </c>
      <c r="AM1528">
        <v>0</v>
      </c>
      <c r="AN1528">
        <v>0</v>
      </c>
      <c r="AO1528">
        <v>110</v>
      </c>
      <c r="AP1528">
        <v>0</v>
      </c>
      <c r="AQ1528">
        <v>110</v>
      </c>
      <c r="AR1528">
        <v>110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f t="shared" si="243"/>
        <v>4230</v>
      </c>
      <c r="BF1528">
        <v>2440</v>
      </c>
      <c r="BG1528">
        <v>2440</v>
      </c>
      <c r="BH1528" t="s">
        <v>82</v>
      </c>
      <c r="BI1528" t="s">
        <v>1626</v>
      </c>
      <c r="BJ1528">
        <v>760</v>
      </c>
      <c r="BK1528">
        <v>1680</v>
      </c>
      <c r="BL1528">
        <v>2440</v>
      </c>
      <c r="BM1528">
        <v>0</v>
      </c>
      <c r="BN1528">
        <v>0</v>
      </c>
      <c r="BO1528">
        <v>0</v>
      </c>
      <c r="BP1528">
        <v>1680</v>
      </c>
      <c r="BQ1528">
        <v>1680</v>
      </c>
      <c r="BR1528">
        <f t="shared" si="244"/>
        <v>-149</v>
      </c>
      <c r="BS1528">
        <f t="shared" si="245"/>
        <v>149</v>
      </c>
    </row>
    <row r="1529" spans="1:74" x14ac:dyDescent="0.25">
      <c r="A1529" s="5" t="s">
        <v>2294</v>
      </c>
      <c r="B1529" s="7" t="s">
        <v>61</v>
      </c>
      <c r="C1529" s="7" t="s">
        <v>61</v>
      </c>
      <c r="D1529" s="1" t="s">
        <v>69</v>
      </c>
      <c r="E1529">
        <v>0</v>
      </c>
      <c r="F1529">
        <v>0</v>
      </c>
      <c r="G1529">
        <v>0</v>
      </c>
      <c r="H1529">
        <v>0</v>
      </c>
      <c r="I1529">
        <v>684</v>
      </c>
      <c r="J1529">
        <v>0</v>
      </c>
      <c r="K1529">
        <v>502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82</v>
      </c>
      <c r="R1529">
        <v>0</v>
      </c>
      <c r="S1529" s="18" t="e">
        <f t="shared" si="236"/>
        <v>#DIV/0!</v>
      </c>
      <c r="T1529" s="17" t="e">
        <f t="shared" si="237"/>
        <v>#DIV/0!</v>
      </c>
      <c r="U1529" s="17" t="e">
        <f t="shared" si="238"/>
        <v>#DIV/0!</v>
      </c>
      <c r="V1529" s="17" t="e">
        <f t="shared" si="239"/>
        <v>#DIV/0!</v>
      </c>
      <c r="W1529" s="17" t="e">
        <f t="shared" si="240"/>
        <v>#DIV/0!</v>
      </c>
      <c r="X1529" s="17" t="e">
        <f t="shared" si="241"/>
        <v>#DIV/0!</v>
      </c>
      <c r="Y1529" s="19" t="e">
        <f t="shared" si="242"/>
        <v>#DIV/0!</v>
      </c>
      <c r="Z1529">
        <v>0</v>
      </c>
      <c r="AA1529">
        <v>0</v>
      </c>
      <c r="AB1529">
        <v>0</v>
      </c>
      <c r="AC1529">
        <v>47</v>
      </c>
      <c r="AD1529">
        <v>0</v>
      </c>
      <c r="AE1529">
        <v>0</v>
      </c>
      <c r="AF1529">
        <v>0</v>
      </c>
      <c r="AG1529">
        <v>684</v>
      </c>
      <c r="AH1529">
        <v>684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502</v>
      </c>
      <c r="AP1529">
        <v>69</v>
      </c>
      <c r="AQ1529">
        <v>502</v>
      </c>
      <c r="AR1529">
        <v>433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f t="shared" si="243"/>
        <v>2921</v>
      </c>
      <c r="BF1529">
        <v>1233</v>
      </c>
      <c r="BG1529">
        <v>1233</v>
      </c>
      <c r="BH1529" t="s">
        <v>63</v>
      </c>
      <c r="BI1529" t="s">
        <v>2298</v>
      </c>
      <c r="BJ1529">
        <v>47</v>
      </c>
      <c r="BK1529">
        <v>1186</v>
      </c>
      <c r="BL1529">
        <v>1233</v>
      </c>
      <c r="BM1529">
        <v>0</v>
      </c>
      <c r="BN1529">
        <v>0</v>
      </c>
      <c r="BO1529">
        <v>0</v>
      </c>
      <c r="BP1529">
        <v>1186</v>
      </c>
      <c r="BQ1529">
        <v>1186</v>
      </c>
      <c r="BR1529">
        <f t="shared" si="244"/>
        <v>-82</v>
      </c>
      <c r="BS1529">
        <f t="shared" si="245"/>
        <v>82</v>
      </c>
      <c r="BU1529">
        <f>R1529*9</f>
        <v>0</v>
      </c>
      <c r="BV1529">
        <f>IF(BU1529&gt;BG1529, 1, 0)</f>
        <v>0</v>
      </c>
    </row>
    <row r="1530" spans="1:74" x14ac:dyDescent="0.25">
      <c r="A1530" s="5" t="s">
        <v>2294</v>
      </c>
      <c r="B1530" s="5" t="s">
        <v>207</v>
      </c>
      <c r="C1530" s="5" t="s">
        <v>61</v>
      </c>
      <c r="D1530" s="1" t="s">
        <v>94</v>
      </c>
      <c r="E1530">
        <v>0</v>
      </c>
      <c r="F1530">
        <v>0</v>
      </c>
      <c r="G1530">
        <v>0</v>
      </c>
      <c r="H1530">
        <v>0</v>
      </c>
      <c r="I1530">
        <v>467</v>
      </c>
      <c r="J1530">
        <v>3052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82</v>
      </c>
      <c r="R1530">
        <v>0</v>
      </c>
      <c r="S1530" s="18" t="e">
        <f t="shared" si="236"/>
        <v>#DIV/0!</v>
      </c>
      <c r="T1530" s="17" t="e">
        <f t="shared" si="237"/>
        <v>#DIV/0!</v>
      </c>
      <c r="U1530" s="17" t="e">
        <f t="shared" si="238"/>
        <v>#DIV/0!</v>
      </c>
      <c r="V1530" s="17" t="e">
        <f t="shared" si="239"/>
        <v>#DIV/0!</v>
      </c>
      <c r="W1530" s="17" t="e">
        <f t="shared" si="240"/>
        <v>#DIV/0!</v>
      </c>
      <c r="X1530" s="17" t="e">
        <f t="shared" si="241"/>
        <v>#DIV/0!</v>
      </c>
      <c r="Y1530" s="19" t="e">
        <f t="shared" si="242"/>
        <v>#DIV/0!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467</v>
      </c>
      <c r="AH1530">
        <v>467</v>
      </c>
      <c r="AI1530">
        <v>0</v>
      </c>
      <c r="AJ1530">
        <v>1526</v>
      </c>
      <c r="AK1530">
        <v>1526</v>
      </c>
      <c r="AL1530">
        <v>3052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f t="shared" si="243"/>
        <v>7038</v>
      </c>
      <c r="BF1530">
        <v>3519</v>
      </c>
      <c r="BG1530">
        <v>3519</v>
      </c>
      <c r="BH1530" t="s">
        <v>63</v>
      </c>
      <c r="BI1530" t="s">
        <v>2337</v>
      </c>
      <c r="BJ1530">
        <v>0</v>
      </c>
      <c r="BK1530">
        <v>3519</v>
      </c>
      <c r="BL1530">
        <v>3519</v>
      </c>
      <c r="BM1530">
        <v>0</v>
      </c>
      <c r="BN1530">
        <v>1526</v>
      </c>
      <c r="BO1530">
        <v>0</v>
      </c>
      <c r="BP1530">
        <v>1993</v>
      </c>
      <c r="BQ1530">
        <v>3519</v>
      </c>
      <c r="BR1530">
        <f t="shared" si="244"/>
        <v>-82</v>
      </c>
      <c r="BS1530">
        <f t="shared" si="245"/>
        <v>82</v>
      </c>
      <c r="BU1530">
        <f>R1530*9</f>
        <v>0</v>
      </c>
      <c r="BV1530">
        <f>IF(BU1530&gt;BG1530, 1, 0)</f>
        <v>0</v>
      </c>
    </row>
    <row r="1531" spans="1:74" x14ac:dyDescent="0.25">
      <c r="A1531" s="5" t="s">
        <v>207</v>
      </c>
      <c r="B1531" s="5" t="s">
        <v>61</v>
      </c>
      <c r="C1531" s="5" t="s">
        <v>61</v>
      </c>
      <c r="D1531" s="1" t="s">
        <v>75</v>
      </c>
      <c r="E1531">
        <v>0</v>
      </c>
      <c r="F1531">
        <v>156</v>
      </c>
      <c r="G1531">
        <v>0</v>
      </c>
      <c r="H1531">
        <v>0</v>
      </c>
      <c r="I1531">
        <v>158</v>
      </c>
      <c r="J1531">
        <v>0</v>
      </c>
      <c r="K1531">
        <v>186</v>
      </c>
      <c r="L1531">
        <v>0</v>
      </c>
      <c r="M1531">
        <v>0</v>
      </c>
      <c r="N1531">
        <v>0</v>
      </c>
      <c r="O1531">
        <v>0</v>
      </c>
      <c r="P1531">
        <v>1404</v>
      </c>
      <c r="Q1531">
        <v>306</v>
      </c>
      <c r="R1531">
        <v>156</v>
      </c>
      <c r="S1531" s="18">
        <f t="shared" si="236"/>
        <v>9</v>
      </c>
      <c r="T1531" s="17">
        <f t="shared" si="237"/>
        <v>0</v>
      </c>
      <c r="U1531" s="17">
        <f t="shared" si="238"/>
        <v>0</v>
      </c>
      <c r="V1531" s="17">
        <f t="shared" si="239"/>
        <v>0</v>
      </c>
      <c r="W1531" s="17">
        <f t="shared" si="240"/>
        <v>156</v>
      </c>
      <c r="X1531" s="17">
        <f t="shared" si="241"/>
        <v>150</v>
      </c>
      <c r="Y1531" s="19">
        <f t="shared" si="242"/>
        <v>0</v>
      </c>
      <c r="Z1531">
        <v>156</v>
      </c>
      <c r="AA1531">
        <v>0</v>
      </c>
      <c r="AB1531">
        <v>0</v>
      </c>
      <c r="AC1531">
        <v>8</v>
      </c>
      <c r="AD1531">
        <v>5</v>
      </c>
      <c r="AE1531">
        <v>0</v>
      </c>
      <c r="AF1531">
        <v>0</v>
      </c>
      <c r="AG1531">
        <v>153</v>
      </c>
      <c r="AH1531">
        <v>158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186</v>
      </c>
      <c r="AP1531">
        <v>0</v>
      </c>
      <c r="AQ1531">
        <v>186</v>
      </c>
      <c r="AR1531">
        <v>186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f t="shared" si="243"/>
        <v>882</v>
      </c>
      <c r="BF1531">
        <v>500</v>
      </c>
      <c r="BG1531">
        <v>500</v>
      </c>
      <c r="BH1531" t="s">
        <v>109</v>
      </c>
      <c r="BI1531" t="s">
        <v>432</v>
      </c>
      <c r="BJ1531">
        <v>8</v>
      </c>
      <c r="BK1531">
        <v>344</v>
      </c>
      <c r="BL1531">
        <v>508</v>
      </c>
      <c r="BM1531">
        <v>5</v>
      </c>
      <c r="BN1531">
        <v>0</v>
      </c>
      <c r="BO1531">
        <v>0</v>
      </c>
      <c r="BP1531">
        <v>1743</v>
      </c>
      <c r="BQ1531">
        <v>1748</v>
      </c>
      <c r="BR1531">
        <f t="shared" si="244"/>
        <v>-150</v>
      </c>
      <c r="BS1531">
        <f t="shared" si="245"/>
        <v>462</v>
      </c>
    </row>
    <row r="1532" spans="1:74" x14ac:dyDescent="0.25">
      <c r="A1532" s="5" t="s">
        <v>1135</v>
      </c>
      <c r="B1532" s="5" t="s">
        <v>207</v>
      </c>
      <c r="C1532" s="5" t="s">
        <v>359</v>
      </c>
      <c r="D1532" s="1" t="s">
        <v>65</v>
      </c>
      <c r="E1532">
        <v>0</v>
      </c>
      <c r="F1532">
        <v>0</v>
      </c>
      <c r="G1532">
        <v>0</v>
      </c>
      <c r="H1532">
        <v>0</v>
      </c>
      <c r="I1532">
        <v>720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83</v>
      </c>
      <c r="R1532">
        <v>0</v>
      </c>
      <c r="S1532" s="18" t="e">
        <f t="shared" si="236"/>
        <v>#DIV/0!</v>
      </c>
      <c r="T1532" s="17" t="e">
        <f t="shared" si="237"/>
        <v>#DIV/0!</v>
      </c>
      <c r="U1532" s="17" t="e">
        <f t="shared" si="238"/>
        <v>#DIV/0!</v>
      </c>
      <c r="V1532" s="17" t="e">
        <f t="shared" si="239"/>
        <v>#DIV/0!</v>
      </c>
      <c r="W1532" s="17" t="e">
        <f t="shared" si="240"/>
        <v>#DIV/0!</v>
      </c>
      <c r="X1532" s="17" t="e">
        <f t="shared" si="241"/>
        <v>#DIV/0!</v>
      </c>
      <c r="Y1532" s="19" t="e">
        <f t="shared" si="242"/>
        <v>#DIV/0!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720</v>
      </c>
      <c r="AH1532">
        <v>720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f t="shared" si="243"/>
        <v>1440</v>
      </c>
      <c r="BF1532">
        <v>720</v>
      </c>
      <c r="BG1532">
        <v>720</v>
      </c>
      <c r="BH1532" t="s">
        <v>63</v>
      </c>
      <c r="BI1532" t="s">
        <v>1284</v>
      </c>
      <c r="BJ1532">
        <v>0</v>
      </c>
      <c r="BK1532">
        <v>720</v>
      </c>
      <c r="BL1532">
        <v>720</v>
      </c>
      <c r="BM1532">
        <v>0</v>
      </c>
      <c r="BN1532">
        <v>0</v>
      </c>
      <c r="BO1532">
        <v>0</v>
      </c>
      <c r="BP1532">
        <v>720</v>
      </c>
      <c r="BQ1532">
        <v>720</v>
      </c>
      <c r="BR1532">
        <f t="shared" si="244"/>
        <v>-83</v>
      </c>
      <c r="BS1532">
        <f t="shared" si="245"/>
        <v>83</v>
      </c>
      <c r="BU1532">
        <f>R1532*9</f>
        <v>0</v>
      </c>
      <c r="BV1532">
        <f>IF(BU1532&gt;BG1532, 1, 0)</f>
        <v>0</v>
      </c>
    </row>
    <row r="1533" spans="1:74" x14ac:dyDescent="0.25">
      <c r="A1533" s="5" t="s">
        <v>207</v>
      </c>
      <c r="B1533" s="5" t="s">
        <v>61</v>
      </c>
      <c r="C1533" s="5" t="s">
        <v>359</v>
      </c>
      <c r="D1533" s="1" t="s">
        <v>113</v>
      </c>
      <c r="E1533">
        <v>0</v>
      </c>
      <c r="F1533">
        <v>0</v>
      </c>
      <c r="G1533">
        <v>0</v>
      </c>
      <c r="H1533">
        <v>0</v>
      </c>
      <c r="I1533">
        <v>1120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150</v>
      </c>
      <c r="R1533">
        <v>0</v>
      </c>
      <c r="S1533" s="18" t="e">
        <f t="shared" si="236"/>
        <v>#DIV/0!</v>
      </c>
      <c r="T1533" s="17" t="e">
        <f t="shared" si="237"/>
        <v>#DIV/0!</v>
      </c>
      <c r="U1533" s="17" t="e">
        <f t="shared" si="238"/>
        <v>#DIV/0!</v>
      </c>
      <c r="V1533" s="17" t="e">
        <f t="shared" si="239"/>
        <v>#DIV/0!</v>
      </c>
      <c r="W1533" s="17" t="e">
        <f t="shared" si="240"/>
        <v>#DIV/0!</v>
      </c>
      <c r="X1533" s="17" t="e">
        <f t="shared" si="241"/>
        <v>#DIV/0!</v>
      </c>
      <c r="Y1533" s="19" t="e">
        <f t="shared" si="242"/>
        <v>#DIV/0!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1120</v>
      </c>
      <c r="AH1533">
        <v>1120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f t="shared" si="243"/>
        <v>2240</v>
      </c>
      <c r="BF1533">
        <v>1120</v>
      </c>
      <c r="BG1533">
        <v>1120</v>
      </c>
      <c r="BH1533" t="s">
        <v>109</v>
      </c>
      <c r="BI1533" t="s">
        <v>522</v>
      </c>
      <c r="BJ1533">
        <v>0</v>
      </c>
      <c r="BK1533">
        <v>1120</v>
      </c>
      <c r="BL1533">
        <v>1120</v>
      </c>
      <c r="BM1533">
        <v>0</v>
      </c>
      <c r="BN1533">
        <v>0</v>
      </c>
      <c r="BO1533">
        <v>0</v>
      </c>
      <c r="BP1533">
        <v>1120</v>
      </c>
      <c r="BQ1533">
        <v>1120</v>
      </c>
      <c r="BR1533">
        <f t="shared" si="244"/>
        <v>-150</v>
      </c>
      <c r="BS1533">
        <f t="shared" si="245"/>
        <v>150</v>
      </c>
    </row>
    <row r="1534" spans="1:74" x14ac:dyDescent="0.25">
      <c r="A1534" s="5" t="s">
        <v>627</v>
      </c>
      <c r="B1534" s="5" t="s">
        <v>61</v>
      </c>
      <c r="C1534" s="5" t="s">
        <v>61</v>
      </c>
      <c r="D1534" s="1" t="s">
        <v>92</v>
      </c>
      <c r="E1534">
        <v>0</v>
      </c>
      <c r="F1534">
        <v>465</v>
      </c>
      <c r="G1534">
        <v>0</v>
      </c>
      <c r="H1534">
        <v>0</v>
      </c>
      <c r="I1534">
        <v>450</v>
      </c>
      <c r="J1534">
        <v>0</v>
      </c>
      <c r="K1534">
        <v>0</v>
      </c>
      <c r="L1534">
        <v>0</v>
      </c>
      <c r="M1534">
        <v>1395</v>
      </c>
      <c r="N1534">
        <v>0</v>
      </c>
      <c r="O1534">
        <v>0</v>
      </c>
      <c r="P1534">
        <v>0</v>
      </c>
      <c r="Q1534">
        <v>305</v>
      </c>
      <c r="R1534">
        <v>155</v>
      </c>
      <c r="S1534" s="18">
        <f t="shared" si="236"/>
        <v>9</v>
      </c>
      <c r="T1534" s="17">
        <f t="shared" si="237"/>
        <v>155</v>
      </c>
      <c r="U1534" s="17">
        <f t="shared" si="238"/>
        <v>0</v>
      </c>
      <c r="V1534" s="17">
        <f t="shared" si="239"/>
        <v>0</v>
      </c>
      <c r="W1534" s="17">
        <f t="shared" si="240"/>
        <v>0</v>
      </c>
      <c r="X1534" s="17">
        <f t="shared" si="241"/>
        <v>150</v>
      </c>
      <c r="Y1534" s="19">
        <f t="shared" si="242"/>
        <v>0</v>
      </c>
      <c r="Z1534">
        <v>465</v>
      </c>
      <c r="AA1534">
        <v>0</v>
      </c>
      <c r="AB1534">
        <v>0</v>
      </c>
      <c r="AC1534">
        <v>0</v>
      </c>
      <c r="AD1534">
        <v>450</v>
      </c>
      <c r="AE1534">
        <v>0</v>
      </c>
      <c r="AF1534">
        <v>0</v>
      </c>
      <c r="AG1534">
        <v>0</v>
      </c>
      <c r="AH1534">
        <v>450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f t="shared" si="243"/>
        <v>900</v>
      </c>
      <c r="BF1534">
        <v>915</v>
      </c>
      <c r="BG1534">
        <v>915</v>
      </c>
      <c r="BH1534" t="s">
        <v>109</v>
      </c>
      <c r="BI1534" t="s">
        <v>823</v>
      </c>
      <c r="BJ1534">
        <v>0</v>
      </c>
      <c r="BK1534">
        <v>450</v>
      </c>
      <c r="BL1534">
        <v>915</v>
      </c>
      <c r="BM1534">
        <v>1845</v>
      </c>
      <c r="BN1534">
        <v>0</v>
      </c>
      <c r="BO1534">
        <v>0</v>
      </c>
      <c r="BP1534">
        <v>0</v>
      </c>
      <c r="BQ1534">
        <v>1845</v>
      </c>
      <c r="BR1534">
        <f t="shared" si="244"/>
        <v>-150</v>
      </c>
      <c r="BS1534">
        <f t="shared" si="245"/>
        <v>460</v>
      </c>
    </row>
    <row r="1535" spans="1:74" x14ac:dyDescent="0.25">
      <c r="A1535" s="5" t="s">
        <v>627</v>
      </c>
      <c r="B1535" s="5" t="s">
        <v>61</v>
      </c>
      <c r="C1535" s="5" t="s">
        <v>61</v>
      </c>
      <c r="D1535" s="1" t="s">
        <v>94</v>
      </c>
      <c r="E1535">
        <v>0</v>
      </c>
      <c r="F1535">
        <v>375</v>
      </c>
      <c r="G1535">
        <v>0</v>
      </c>
      <c r="H1535">
        <v>0</v>
      </c>
      <c r="I1535">
        <v>405</v>
      </c>
      <c r="J1535">
        <v>0</v>
      </c>
      <c r="K1535">
        <v>0</v>
      </c>
      <c r="L1535">
        <v>0</v>
      </c>
      <c r="M1535">
        <v>1125</v>
      </c>
      <c r="N1535">
        <v>0</v>
      </c>
      <c r="O1535">
        <v>0</v>
      </c>
      <c r="P1535">
        <v>0</v>
      </c>
      <c r="Q1535">
        <v>275</v>
      </c>
      <c r="R1535">
        <v>125</v>
      </c>
      <c r="S1535" s="18">
        <f t="shared" si="236"/>
        <v>9</v>
      </c>
      <c r="T1535" s="17">
        <f t="shared" si="237"/>
        <v>125</v>
      </c>
      <c r="U1535" s="17">
        <f t="shared" si="238"/>
        <v>0</v>
      </c>
      <c r="V1535" s="17">
        <f t="shared" si="239"/>
        <v>0</v>
      </c>
      <c r="W1535" s="17">
        <f t="shared" si="240"/>
        <v>0</v>
      </c>
      <c r="X1535" s="17">
        <f t="shared" si="241"/>
        <v>150</v>
      </c>
      <c r="Y1535" s="19">
        <f t="shared" si="242"/>
        <v>0</v>
      </c>
      <c r="Z1535">
        <v>375</v>
      </c>
      <c r="AA1535">
        <v>0</v>
      </c>
      <c r="AB1535">
        <v>0</v>
      </c>
      <c r="AC1535">
        <v>0</v>
      </c>
      <c r="AD1535">
        <v>405</v>
      </c>
      <c r="AE1535">
        <v>0</v>
      </c>
      <c r="AF1535">
        <v>0</v>
      </c>
      <c r="AG1535">
        <v>0</v>
      </c>
      <c r="AH1535">
        <v>405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f t="shared" si="243"/>
        <v>810</v>
      </c>
      <c r="BF1535">
        <v>780</v>
      </c>
      <c r="BG1535">
        <v>780</v>
      </c>
      <c r="BH1535" t="s">
        <v>109</v>
      </c>
      <c r="BI1535" t="s">
        <v>824</v>
      </c>
      <c r="BJ1535">
        <v>0</v>
      </c>
      <c r="BK1535">
        <v>405</v>
      </c>
      <c r="BL1535">
        <v>780</v>
      </c>
      <c r="BM1535">
        <v>1530</v>
      </c>
      <c r="BN1535">
        <v>0</v>
      </c>
      <c r="BO1535">
        <v>0</v>
      </c>
      <c r="BP1535">
        <v>0</v>
      </c>
      <c r="BQ1535">
        <v>1530</v>
      </c>
      <c r="BR1535">
        <f t="shared" si="244"/>
        <v>-150</v>
      </c>
      <c r="BS1535">
        <f t="shared" si="245"/>
        <v>400</v>
      </c>
    </row>
    <row r="1536" spans="1:74" x14ac:dyDescent="0.25">
      <c r="A1536" s="5" t="s">
        <v>1451</v>
      </c>
      <c r="B1536" s="5" t="s">
        <v>207</v>
      </c>
      <c r="C1536" s="5" t="s">
        <v>207</v>
      </c>
      <c r="D1536" s="1" t="s">
        <v>123</v>
      </c>
      <c r="E1536">
        <v>0</v>
      </c>
      <c r="F1536">
        <v>78</v>
      </c>
      <c r="G1536">
        <v>0</v>
      </c>
      <c r="H1536">
        <v>0</v>
      </c>
      <c r="I1536">
        <v>457</v>
      </c>
      <c r="J1536">
        <v>1142</v>
      </c>
      <c r="K1536">
        <v>354</v>
      </c>
      <c r="L1536">
        <v>0</v>
      </c>
      <c r="M1536">
        <v>0</v>
      </c>
      <c r="N1536">
        <v>0</v>
      </c>
      <c r="O1536">
        <v>0</v>
      </c>
      <c r="P1536">
        <v>360</v>
      </c>
      <c r="Q1536">
        <v>190</v>
      </c>
      <c r="R1536">
        <v>40</v>
      </c>
      <c r="S1536" s="18">
        <f t="shared" si="236"/>
        <v>9</v>
      </c>
      <c r="T1536" s="17">
        <f t="shared" si="237"/>
        <v>0</v>
      </c>
      <c r="U1536" s="17">
        <f t="shared" si="238"/>
        <v>0</v>
      </c>
      <c r="V1536" s="17">
        <f t="shared" si="239"/>
        <v>0</v>
      </c>
      <c r="W1536" s="17">
        <f t="shared" si="240"/>
        <v>40</v>
      </c>
      <c r="X1536" s="17">
        <f t="shared" si="241"/>
        <v>150</v>
      </c>
      <c r="Y1536" s="19">
        <f t="shared" si="242"/>
        <v>0</v>
      </c>
      <c r="Z1536">
        <v>78</v>
      </c>
      <c r="AA1536">
        <v>4</v>
      </c>
      <c r="AB1536">
        <v>160</v>
      </c>
      <c r="AC1536">
        <v>1036</v>
      </c>
      <c r="AD1536">
        <v>0</v>
      </c>
      <c r="AE1536">
        <v>0</v>
      </c>
      <c r="AF1536">
        <v>0</v>
      </c>
      <c r="AG1536">
        <v>457</v>
      </c>
      <c r="AH1536">
        <v>457</v>
      </c>
      <c r="AI1536">
        <v>0</v>
      </c>
      <c r="AJ1536">
        <v>0</v>
      </c>
      <c r="AK1536">
        <v>1142</v>
      </c>
      <c r="AL1536">
        <v>1142</v>
      </c>
      <c r="AM1536">
        <v>0</v>
      </c>
      <c r="AN1536">
        <v>0</v>
      </c>
      <c r="AO1536">
        <v>354</v>
      </c>
      <c r="AP1536">
        <v>264</v>
      </c>
      <c r="AQ1536">
        <v>354</v>
      </c>
      <c r="AR1536">
        <v>90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40</v>
      </c>
      <c r="BB1536">
        <v>0</v>
      </c>
      <c r="BC1536">
        <v>0</v>
      </c>
      <c r="BD1536">
        <v>0</v>
      </c>
      <c r="BE1536">
        <f t="shared" si="243"/>
        <v>5336</v>
      </c>
      <c r="BF1536">
        <v>3271</v>
      </c>
      <c r="BG1536">
        <v>3271</v>
      </c>
      <c r="BH1536" t="s">
        <v>82</v>
      </c>
      <c r="BI1536" t="s">
        <v>1581</v>
      </c>
      <c r="BJ1536">
        <v>1200</v>
      </c>
      <c r="BK1536">
        <v>1993</v>
      </c>
      <c r="BL1536">
        <v>3271</v>
      </c>
      <c r="BM1536">
        <v>0</v>
      </c>
      <c r="BN1536">
        <v>0</v>
      </c>
      <c r="BO1536">
        <v>0</v>
      </c>
      <c r="BP1536">
        <v>2313</v>
      </c>
      <c r="BQ1536">
        <v>2313</v>
      </c>
      <c r="BR1536">
        <f t="shared" si="244"/>
        <v>-150</v>
      </c>
      <c r="BS1536">
        <f t="shared" si="245"/>
        <v>230</v>
      </c>
    </row>
    <row r="1537" spans="1:74" x14ac:dyDescent="0.25">
      <c r="A1537" s="5" t="s">
        <v>207</v>
      </c>
      <c r="B1537" s="5" t="s">
        <v>359</v>
      </c>
      <c r="C1537" s="5" t="s">
        <v>61</v>
      </c>
      <c r="D1537" s="1" t="s">
        <v>133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2031</v>
      </c>
      <c r="K1537">
        <v>543</v>
      </c>
      <c r="L1537">
        <v>40</v>
      </c>
      <c r="M1537">
        <v>0</v>
      </c>
      <c r="N1537">
        <v>0</v>
      </c>
      <c r="O1537">
        <v>0</v>
      </c>
      <c r="P1537">
        <v>0</v>
      </c>
      <c r="Q1537">
        <v>152</v>
      </c>
      <c r="R1537">
        <v>0</v>
      </c>
      <c r="S1537" s="18" t="e">
        <f t="shared" si="236"/>
        <v>#DIV/0!</v>
      </c>
      <c r="T1537" s="17" t="e">
        <f t="shared" si="237"/>
        <v>#DIV/0!</v>
      </c>
      <c r="U1537" s="17" t="e">
        <f t="shared" si="238"/>
        <v>#DIV/0!</v>
      </c>
      <c r="V1537" s="17" t="e">
        <f t="shared" si="239"/>
        <v>#DIV/0!</v>
      </c>
      <c r="W1537" s="17" t="e">
        <f t="shared" si="240"/>
        <v>#DIV/0!</v>
      </c>
      <c r="X1537" s="17" t="e">
        <f t="shared" si="241"/>
        <v>#DIV/0!</v>
      </c>
      <c r="Y1537" s="19" t="e">
        <f t="shared" si="242"/>
        <v>#DIV/0!</v>
      </c>
      <c r="Z1537">
        <v>0</v>
      </c>
      <c r="AA1537">
        <v>0</v>
      </c>
      <c r="AB1537">
        <v>220</v>
      </c>
      <c r="AC1537">
        <v>2200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2031</v>
      </c>
      <c r="AL1537">
        <v>2031</v>
      </c>
      <c r="AM1537">
        <v>0</v>
      </c>
      <c r="AN1537">
        <v>0</v>
      </c>
      <c r="AO1537">
        <v>543</v>
      </c>
      <c r="AP1537">
        <v>378</v>
      </c>
      <c r="AQ1537">
        <v>543</v>
      </c>
      <c r="AR1537">
        <v>165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40</v>
      </c>
      <c r="BA1537">
        <v>40</v>
      </c>
      <c r="BB1537">
        <v>0</v>
      </c>
      <c r="BC1537">
        <v>0</v>
      </c>
      <c r="BD1537">
        <v>0</v>
      </c>
      <c r="BE1537">
        <f t="shared" si="243"/>
        <v>7971</v>
      </c>
      <c r="BF1537">
        <v>4800</v>
      </c>
      <c r="BG1537">
        <v>4800</v>
      </c>
      <c r="BH1537" t="s">
        <v>82</v>
      </c>
      <c r="BI1537" t="s">
        <v>622</v>
      </c>
      <c r="BJ1537">
        <v>2420</v>
      </c>
      <c r="BK1537">
        <v>2614</v>
      </c>
      <c r="BL1537">
        <v>5034</v>
      </c>
      <c r="BM1537">
        <v>0</v>
      </c>
      <c r="BN1537">
        <v>0</v>
      </c>
      <c r="BO1537">
        <v>0</v>
      </c>
      <c r="BP1537">
        <v>2614</v>
      </c>
      <c r="BQ1537">
        <v>2614</v>
      </c>
      <c r="BR1537">
        <f t="shared" si="244"/>
        <v>-152</v>
      </c>
      <c r="BS1537">
        <f t="shared" si="245"/>
        <v>152</v>
      </c>
    </row>
    <row r="1538" spans="1:74" x14ac:dyDescent="0.25">
      <c r="A1538" s="5" t="s">
        <v>1337</v>
      </c>
      <c r="B1538" s="5" t="s">
        <v>207</v>
      </c>
      <c r="C1538" s="5" t="s">
        <v>61</v>
      </c>
      <c r="D1538" s="1" t="s">
        <v>111</v>
      </c>
      <c r="E1538">
        <v>0</v>
      </c>
      <c r="F1538">
        <v>0</v>
      </c>
      <c r="G1538">
        <v>0</v>
      </c>
      <c r="H1538">
        <v>0</v>
      </c>
      <c r="I1538">
        <v>1122</v>
      </c>
      <c r="J1538">
        <v>0</v>
      </c>
      <c r="K1538">
        <v>0</v>
      </c>
      <c r="L1538">
        <v>0</v>
      </c>
      <c r="M1538">
        <v>936</v>
      </c>
      <c r="N1538">
        <v>0</v>
      </c>
      <c r="O1538">
        <v>0</v>
      </c>
      <c r="P1538">
        <v>0</v>
      </c>
      <c r="Q1538">
        <v>256</v>
      </c>
      <c r="R1538">
        <v>104</v>
      </c>
      <c r="S1538" s="18">
        <f t="shared" ref="S1538:S1601" si="246">(M1538+N1538+O1538+P1538)/R1538</f>
        <v>9</v>
      </c>
      <c r="T1538" s="17">
        <f t="shared" ref="T1538:T1601" si="247">M1538/$S1538</f>
        <v>104</v>
      </c>
      <c r="U1538" s="17">
        <f t="shared" ref="U1538:U1601" si="248">N1538/$S1538</f>
        <v>0</v>
      </c>
      <c r="V1538" s="17">
        <f t="shared" ref="V1538:V1601" si="249">O1538/$S1538</f>
        <v>0</v>
      </c>
      <c r="W1538" s="17">
        <f t="shared" ref="W1538:W1601" si="250">P1538/$S1538</f>
        <v>0</v>
      </c>
      <c r="X1538" s="17">
        <f t="shared" ref="X1538:X1601" si="251">Q1538-T1538-U1538-W1538</f>
        <v>152</v>
      </c>
      <c r="Y1538" s="19">
        <f t="shared" ref="Y1538:Y1601" si="252">V1538/X1538</f>
        <v>0</v>
      </c>
      <c r="Z1538">
        <v>150</v>
      </c>
      <c r="AA1538">
        <v>0</v>
      </c>
      <c r="AB1538">
        <v>0</v>
      </c>
      <c r="AC1538">
        <v>0</v>
      </c>
      <c r="AD1538">
        <v>1122</v>
      </c>
      <c r="AE1538">
        <v>0</v>
      </c>
      <c r="AF1538">
        <v>0</v>
      </c>
      <c r="AG1538">
        <v>0</v>
      </c>
      <c r="AH1538">
        <v>1122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f t="shared" ref="BE1538:BE1601" si="253">SUM(AC1538:BD1538)</f>
        <v>2244</v>
      </c>
      <c r="BF1538">
        <v>1272</v>
      </c>
      <c r="BG1538">
        <v>1272</v>
      </c>
      <c r="BH1538" t="s">
        <v>109</v>
      </c>
      <c r="BI1538" t="s">
        <v>1393</v>
      </c>
      <c r="BJ1538">
        <v>0</v>
      </c>
      <c r="BK1538">
        <v>1122</v>
      </c>
      <c r="BL1538">
        <v>1272</v>
      </c>
      <c r="BM1538">
        <v>2058</v>
      </c>
      <c r="BN1538">
        <v>0</v>
      </c>
      <c r="BO1538">
        <v>0</v>
      </c>
      <c r="BP1538">
        <v>0</v>
      </c>
      <c r="BQ1538">
        <v>2058</v>
      </c>
      <c r="BR1538">
        <f t="shared" ref="BR1538:BR1601" si="254">R1538-Q1538</f>
        <v>-152</v>
      </c>
      <c r="BS1538">
        <f t="shared" ref="BS1538:BS1601" si="255">R1538+Q1538</f>
        <v>360</v>
      </c>
    </row>
    <row r="1539" spans="1:74" x14ac:dyDescent="0.25">
      <c r="A1539" s="5" t="s">
        <v>1451</v>
      </c>
      <c r="B1539" s="5" t="s">
        <v>61</v>
      </c>
      <c r="C1539" s="5" t="s">
        <v>207</v>
      </c>
      <c r="D1539" s="1" t="s">
        <v>94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1255</v>
      </c>
      <c r="K1539">
        <v>243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152</v>
      </c>
      <c r="R1539">
        <v>0</v>
      </c>
      <c r="S1539" s="18" t="e">
        <f t="shared" si="246"/>
        <v>#DIV/0!</v>
      </c>
      <c r="T1539" s="17" t="e">
        <f t="shared" si="247"/>
        <v>#DIV/0!</v>
      </c>
      <c r="U1539" s="17" t="e">
        <f t="shared" si="248"/>
        <v>#DIV/0!</v>
      </c>
      <c r="V1539" s="17" t="e">
        <f t="shared" si="249"/>
        <v>#DIV/0!</v>
      </c>
      <c r="W1539" s="17" t="e">
        <f t="shared" si="250"/>
        <v>#DIV/0!</v>
      </c>
      <c r="X1539" s="17" t="e">
        <f t="shared" si="251"/>
        <v>#DIV/0!</v>
      </c>
      <c r="Y1539" s="19" t="e">
        <f t="shared" si="252"/>
        <v>#DIV/0!</v>
      </c>
      <c r="Z1539">
        <v>0</v>
      </c>
      <c r="AA1539">
        <v>0</v>
      </c>
      <c r="AB1539">
        <v>60</v>
      </c>
      <c r="AC1539">
        <v>495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1255</v>
      </c>
      <c r="AL1539">
        <v>1255</v>
      </c>
      <c r="AM1539">
        <v>0</v>
      </c>
      <c r="AN1539">
        <v>0</v>
      </c>
      <c r="AO1539">
        <v>243</v>
      </c>
      <c r="AP1539">
        <v>216</v>
      </c>
      <c r="AQ1539">
        <v>243</v>
      </c>
      <c r="AR1539">
        <v>27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f t="shared" si="253"/>
        <v>3734</v>
      </c>
      <c r="BF1539">
        <v>2053</v>
      </c>
      <c r="BG1539">
        <v>2053</v>
      </c>
      <c r="BH1539" t="s">
        <v>82</v>
      </c>
      <c r="BI1539" t="s">
        <v>1485</v>
      </c>
      <c r="BJ1539">
        <v>555</v>
      </c>
      <c r="BK1539">
        <v>1498</v>
      </c>
      <c r="BL1539">
        <v>2053</v>
      </c>
      <c r="BM1539">
        <v>0</v>
      </c>
      <c r="BN1539">
        <v>0</v>
      </c>
      <c r="BO1539">
        <v>0</v>
      </c>
      <c r="BP1539">
        <v>1498</v>
      </c>
      <c r="BQ1539">
        <v>1498</v>
      </c>
      <c r="BR1539">
        <f t="shared" si="254"/>
        <v>-152</v>
      </c>
      <c r="BS1539">
        <f t="shared" si="255"/>
        <v>152</v>
      </c>
    </row>
    <row r="1540" spans="1:74" x14ac:dyDescent="0.25">
      <c r="A1540" s="5" t="s">
        <v>1661</v>
      </c>
      <c r="B1540" s="5" t="s">
        <v>207</v>
      </c>
      <c r="C1540" s="5" t="s">
        <v>61</v>
      </c>
      <c r="D1540" s="1" t="s">
        <v>90</v>
      </c>
      <c r="E1540">
        <v>0</v>
      </c>
      <c r="F1540">
        <v>2376</v>
      </c>
      <c r="G1540">
        <v>0</v>
      </c>
      <c r="H1540">
        <v>0</v>
      </c>
      <c r="I1540">
        <v>566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3096</v>
      </c>
      <c r="Q1540">
        <v>496</v>
      </c>
      <c r="R1540">
        <v>344</v>
      </c>
      <c r="S1540" s="18">
        <f t="shared" si="246"/>
        <v>9</v>
      </c>
      <c r="T1540" s="17">
        <f t="shared" si="247"/>
        <v>0</v>
      </c>
      <c r="U1540" s="17">
        <f t="shared" si="248"/>
        <v>0</v>
      </c>
      <c r="V1540" s="17">
        <f t="shared" si="249"/>
        <v>0</v>
      </c>
      <c r="W1540" s="17">
        <f t="shared" si="250"/>
        <v>344</v>
      </c>
      <c r="X1540" s="17">
        <f t="shared" si="251"/>
        <v>152</v>
      </c>
      <c r="Y1540" s="19">
        <f t="shared" si="252"/>
        <v>0</v>
      </c>
      <c r="Z1540">
        <v>2376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566</v>
      </c>
      <c r="AH1540">
        <v>566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f t="shared" si="253"/>
        <v>1132</v>
      </c>
      <c r="BF1540">
        <v>2942</v>
      </c>
      <c r="BG1540">
        <v>2942</v>
      </c>
      <c r="BH1540" t="s">
        <v>109</v>
      </c>
      <c r="BI1540" t="s">
        <v>1683</v>
      </c>
      <c r="BJ1540">
        <v>0</v>
      </c>
      <c r="BK1540">
        <v>566</v>
      </c>
      <c r="BL1540">
        <v>2942</v>
      </c>
      <c r="BM1540">
        <v>0</v>
      </c>
      <c r="BN1540">
        <v>0</v>
      </c>
      <c r="BO1540">
        <v>0</v>
      </c>
      <c r="BP1540">
        <v>3662</v>
      </c>
      <c r="BQ1540">
        <v>3662</v>
      </c>
      <c r="BR1540">
        <f t="shared" si="254"/>
        <v>-152</v>
      </c>
      <c r="BS1540">
        <f t="shared" si="255"/>
        <v>840</v>
      </c>
    </row>
    <row r="1541" spans="1:74" x14ac:dyDescent="0.25">
      <c r="A1541" s="5" t="s">
        <v>61</v>
      </c>
      <c r="B1541" s="5" t="s">
        <v>207</v>
      </c>
      <c r="C1541" s="5" t="s">
        <v>207</v>
      </c>
      <c r="D1541" s="1" t="s">
        <v>173</v>
      </c>
      <c r="E1541">
        <v>0</v>
      </c>
      <c r="F1541">
        <v>37</v>
      </c>
      <c r="G1541">
        <v>0</v>
      </c>
      <c r="H1541">
        <v>0</v>
      </c>
      <c r="I1541">
        <v>98</v>
      </c>
      <c r="J1541">
        <v>0</v>
      </c>
      <c r="K1541">
        <v>0</v>
      </c>
      <c r="L1541">
        <v>0</v>
      </c>
      <c r="M1541">
        <v>333</v>
      </c>
      <c r="N1541">
        <v>0</v>
      </c>
      <c r="O1541">
        <v>0</v>
      </c>
      <c r="P1541">
        <v>0</v>
      </c>
      <c r="Q1541">
        <v>191</v>
      </c>
      <c r="R1541">
        <v>37</v>
      </c>
      <c r="S1541" s="18">
        <f t="shared" si="246"/>
        <v>9</v>
      </c>
      <c r="T1541" s="17">
        <f t="shared" si="247"/>
        <v>37</v>
      </c>
      <c r="U1541" s="17">
        <f t="shared" si="248"/>
        <v>0</v>
      </c>
      <c r="V1541" s="17">
        <f t="shared" si="249"/>
        <v>0</v>
      </c>
      <c r="W1541" s="17">
        <f t="shared" si="250"/>
        <v>0</v>
      </c>
      <c r="X1541" s="17">
        <f t="shared" si="251"/>
        <v>154</v>
      </c>
      <c r="Y1541" s="19">
        <f t="shared" si="252"/>
        <v>0</v>
      </c>
      <c r="Z1541">
        <v>37</v>
      </c>
      <c r="AA1541">
        <v>0</v>
      </c>
      <c r="AB1541">
        <v>0</v>
      </c>
      <c r="AC1541">
        <v>0</v>
      </c>
      <c r="AD1541">
        <v>98</v>
      </c>
      <c r="AE1541">
        <v>0</v>
      </c>
      <c r="AF1541">
        <v>0</v>
      </c>
      <c r="AG1541">
        <v>0</v>
      </c>
      <c r="AH1541">
        <v>98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f t="shared" si="253"/>
        <v>196</v>
      </c>
      <c r="BF1541">
        <v>135</v>
      </c>
      <c r="BG1541">
        <v>135</v>
      </c>
      <c r="BH1541" t="s">
        <v>109</v>
      </c>
      <c r="BI1541" t="s">
        <v>333</v>
      </c>
      <c r="BJ1541">
        <v>0</v>
      </c>
      <c r="BK1541">
        <v>98</v>
      </c>
      <c r="BL1541">
        <v>135</v>
      </c>
      <c r="BM1541">
        <v>431</v>
      </c>
      <c r="BN1541">
        <v>0</v>
      </c>
      <c r="BO1541">
        <v>0</v>
      </c>
      <c r="BP1541">
        <v>0</v>
      </c>
      <c r="BQ1541">
        <v>431</v>
      </c>
      <c r="BR1541">
        <f t="shared" si="254"/>
        <v>-154</v>
      </c>
      <c r="BS1541">
        <f t="shared" si="255"/>
        <v>228</v>
      </c>
    </row>
    <row r="1542" spans="1:74" x14ac:dyDescent="0.25">
      <c r="A1542" s="5" t="s">
        <v>359</v>
      </c>
      <c r="B1542" s="5" t="s">
        <v>627</v>
      </c>
      <c r="C1542" s="5" t="s">
        <v>61</v>
      </c>
      <c r="D1542" s="1" t="s">
        <v>79</v>
      </c>
      <c r="E1542">
        <v>0</v>
      </c>
      <c r="F1542">
        <v>204</v>
      </c>
      <c r="G1542">
        <v>0</v>
      </c>
      <c r="H1542">
        <v>0</v>
      </c>
      <c r="I1542">
        <v>800</v>
      </c>
      <c r="J1542">
        <v>0</v>
      </c>
      <c r="K1542">
        <v>1150</v>
      </c>
      <c r="L1542">
        <v>0</v>
      </c>
      <c r="M1542">
        <v>918</v>
      </c>
      <c r="N1542">
        <v>0</v>
      </c>
      <c r="O1542">
        <v>0</v>
      </c>
      <c r="P1542">
        <v>0</v>
      </c>
      <c r="Q1542">
        <v>256</v>
      </c>
      <c r="R1542">
        <v>102</v>
      </c>
      <c r="S1542" s="18">
        <f t="shared" si="246"/>
        <v>9</v>
      </c>
      <c r="T1542" s="17">
        <f t="shared" si="247"/>
        <v>102</v>
      </c>
      <c r="U1542" s="17">
        <f t="shared" si="248"/>
        <v>0</v>
      </c>
      <c r="V1542" s="17">
        <f t="shared" si="249"/>
        <v>0</v>
      </c>
      <c r="W1542" s="17">
        <f t="shared" si="250"/>
        <v>0</v>
      </c>
      <c r="X1542" s="17">
        <f t="shared" si="251"/>
        <v>154</v>
      </c>
      <c r="Y1542" s="19">
        <f t="shared" si="252"/>
        <v>0</v>
      </c>
      <c r="Z1542">
        <v>204</v>
      </c>
      <c r="AA1542">
        <v>0</v>
      </c>
      <c r="AB1542">
        <v>0</v>
      </c>
      <c r="AC1542">
        <v>0</v>
      </c>
      <c r="AD1542">
        <v>400</v>
      </c>
      <c r="AE1542">
        <v>0</v>
      </c>
      <c r="AF1542">
        <v>0</v>
      </c>
      <c r="AG1542">
        <v>400</v>
      </c>
      <c r="AH1542">
        <v>800</v>
      </c>
      <c r="AI1542">
        <v>0</v>
      </c>
      <c r="AJ1542">
        <v>0</v>
      </c>
      <c r="AK1542">
        <v>0</v>
      </c>
      <c r="AL1542">
        <v>0</v>
      </c>
      <c r="AM1542">
        <v>400</v>
      </c>
      <c r="AN1542">
        <v>0</v>
      </c>
      <c r="AO1542">
        <v>750</v>
      </c>
      <c r="AP1542">
        <v>700</v>
      </c>
      <c r="AQ1542">
        <v>1150</v>
      </c>
      <c r="AR1542">
        <v>450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f t="shared" si="253"/>
        <v>5050</v>
      </c>
      <c r="BF1542">
        <v>2154</v>
      </c>
      <c r="BG1542">
        <v>2154</v>
      </c>
      <c r="BH1542" t="s">
        <v>109</v>
      </c>
      <c r="BI1542" t="s">
        <v>799</v>
      </c>
      <c r="BJ1542">
        <v>0</v>
      </c>
      <c r="BK1542">
        <v>1950</v>
      </c>
      <c r="BL1542">
        <v>2154</v>
      </c>
      <c r="BM1542">
        <v>1718</v>
      </c>
      <c r="BN1542">
        <v>0</v>
      </c>
      <c r="BO1542">
        <v>0</v>
      </c>
      <c r="BP1542">
        <v>1150</v>
      </c>
      <c r="BQ1542">
        <v>2868</v>
      </c>
      <c r="BR1542">
        <f t="shared" si="254"/>
        <v>-154</v>
      </c>
      <c r="BS1542">
        <f t="shared" si="255"/>
        <v>358</v>
      </c>
    </row>
    <row r="1543" spans="1:74" x14ac:dyDescent="0.25">
      <c r="A1543" s="5" t="s">
        <v>359</v>
      </c>
      <c r="B1543" s="5" t="s">
        <v>207</v>
      </c>
      <c r="C1543" s="5" t="s">
        <v>61</v>
      </c>
      <c r="D1543" s="1" t="s">
        <v>81</v>
      </c>
      <c r="E1543">
        <v>0</v>
      </c>
      <c r="F1543">
        <v>0</v>
      </c>
      <c r="G1543">
        <v>0</v>
      </c>
      <c r="H1543">
        <v>0</v>
      </c>
      <c r="I1543">
        <v>350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155</v>
      </c>
      <c r="R1543">
        <v>0</v>
      </c>
      <c r="S1543" s="18" t="e">
        <f t="shared" si="246"/>
        <v>#DIV/0!</v>
      </c>
      <c r="T1543" s="17" t="e">
        <f t="shared" si="247"/>
        <v>#DIV/0!</v>
      </c>
      <c r="U1543" s="17" t="e">
        <f t="shared" si="248"/>
        <v>#DIV/0!</v>
      </c>
      <c r="V1543" s="17" t="e">
        <f t="shared" si="249"/>
        <v>#DIV/0!</v>
      </c>
      <c r="W1543" s="17" t="e">
        <f t="shared" si="250"/>
        <v>#DIV/0!</v>
      </c>
      <c r="X1543" s="17" t="e">
        <f t="shared" si="251"/>
        <v>#DIV/0!</v>
      </c>
      <c r="Y1543" s="19" t="e">
        <f t="shared" si="252"/>
        <v>#DIV/0!</v>
      </c>
      <c r="Z1543">
        <v>0</v>
      </c>
      <c r="AA1543">
        <v>0</v>
      </c>
      <c r="AB1543">
        <v>0</v>
      </c>
      <c r="AC1543">
        <v>0</v>
      </c>
      <c r="AD1543">
        <v>350</v>
      </c>
      <c r="AE1543">
        <v>0</v>
      </c>
      <c r="AF1543">
        <v>0</v>
      </c>
      <c r="AG1543">
        <v>0</v>
      </c>
      <c r="AH1543">
        <v>350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f t="shared" si="253"/>
        <v>700</v>
      </c>
      <c r="BF1543">
        <v>350</v>
      </c>
      <c r="BG1543">
        <v>350</v>
      </c>
      <c r="BH1543" t="s">
        <v>109</v>
      </c>
      <c r="BI1543" t="s">
        <v>739</v>
      </c>
      <c r="BJ1543">
        <v>0</v>
      </c>
      <c r="BK1543">
        <v>350</v>
      </c>
      <c r="BL1543">
        <v>350</v>
      </c>
      <c r="BM1543">
        <v>350</v>
      </c>
      <c r="BN1543">
        <v>0</v>
      </c>
      <c r="BO1543">
        <v>0</v>
      </c>
      <c r="BP1543">
        <v>0</v>
      </c>
      <c r="BQ1543">
        <v>350</v>
      </c>
      <c r="BR1543">
        <f t="shared" si="254"/>
        <v>-155</v>
      </c>
      <c r="BS1543">
        <f t="shared" si="255"/>
        <v>155</v>
      </c>
    </row>
    <row r="1544" spans="1:74" x14ac:dyDescent="0.25">
      <c r="A1544" s="5" t="s">
        <v>1661</v>
      </c>
      <c r="B1544" s="5" t="s">
        <v>207</v>
      </c>
      <c r="C1544" s="5" t="s">
        <v>61</v>
      </c>
      <c r="D1544" s="1" t="s">
        <v>62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600</v>
      </c>
      <c r="K1544">
        <v>85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83</v>
      </c>
      <c r="R1544">
        <v>0</v>
      </c>
      <c r="S1544" s="18" t="e">
        <f t="shared" si="246"/>
        <v>#DIV/0!</v>
      </c>
      <c r="T1544" s="17" t="e">
        <f t="shared" si="247"/>
        <v>#DIV/0!</v>
      </c>
      <c r="U1544" s="17" t="e">
        <f t="shared" si="248"/>
        <v>#DIV/0!</v>
      </c>
      <c r="V1544" s="17" t="e">
        <f t="shared" si="249"/>
        <v>#DIV/0!</v>
      </c>
      <c r="W1544" s="17" t="e">
        <f t="shared" si="250"/>
        <v>#DIV/0!</v>
      </c>
      <c r="X1544" s="17" t="e">
        <f t="shared" si="251"/>
        <v>#DIV/0!</v>
      </c>
      <c r="Y1544" s="19" t="e">
        <f t="shared" si="252"/>
        <v>#DIV/0!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600</v>
      </c>
      <c r="AL1544">
        <v>600</v>
      </c>
      <c r="AM1544">
        <v>0</v>
      </c>
      <c r="AN1544">
        <v>0</v>
      </c>
      <c r="AO1544">
        <v>85</v>
      </c>
      <c r="AP1544">
        <v>29</v>
      </c>
      <c r="AQ1544">
        <v>85</v>
      </c>
      <c r="AR1544">
        <v>56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f t="shared" si="253"/>
        <v>1455</v>
      </c>
      <c r="BF1544">
        <v>685</v>
      </c>
      <c r="BG1544">
        <v>685</v>
      </c>
      <c r="BH1544" t="s">
        <v>63</v>
      </c>
      <c r="BI1544" t="s">
        <v>1758</v>
      </c>
      <c r="BJ1544">
        <v>0</v>
      </c>
      <c r="BK1544">
        <v>685</v>
      </c>
      <c r="BL1544">
        <v>685</v>
      </c>
      <c r="BM1544">
        <v>0</v>
      </c>
      <c r="BN1544">
        <v>0</v>
      </c>
      <c r="BO1544">
        <v>0</v>
      </c>
      <c r="BP1544">
        <v>685</v>
      </c>
      <c r="BQ1544">
        <v>685</v>
      </c>
      <c r="BR1544">
        <f t="shared" si="254"/>
        <v>-83</v>
      </c>
      <c r="BS1544">
        <f t="shared" si="255"/>
        <v>83</v>
      </c>
      <c r="BU1544">
        <f>R1544*9</f>
        <v>0</v>
      </c>
      <c r="BV1544">
        <f>IF(BU1544&gt;BG1544, 1, 0)</f>
        <v>0</v>
      </c>
    </row>
    <row r="1545" spans="1:74" x14ac:dyDescent="0.25">
      <c r="A1545" s="5" t="s">
        <v>627</v>
      </c>
      <c r="B1545" s="5" t="s">
        <v>61</v>
      </c>
      <c r="C1545" s="5" t="s">
        <v>61</v>
      </c>
      <c r="D1545" s="1" t="s">
        <v>90</v>
      </c>
      <c r="E1545">
        <v>0</v>
      </c>
      <c r="F1545">
        <v>777</v>
      </c>
      <c r="G1545">
        <v>0</v>
      </c>
      <c r="H1545">
        <v>0</v>
      </c>
      <c r="I1545">
        <v>470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2331</v>
      </c>
      <c r="Q1545">
        <v>415</v>
      </c>
      <c r="R1545">
        <v>259</v>
      </c>
      <c r="S1545" s="18">
        <f t="shared" si="246"/>
        <v>9</v>
      </c>
      <c r="T1545" s="17">
        <f t="shared" si="247"/>
        <v>0</v>
      </c>
      <c r="U1545" s="17">
        <f t="shared" si="248"/>
        <v>0</v>
      </c>
      <c r="V1545" s="17">
        <f t="shared" si="249"/>
        <v>0</v>
      </c>
      <c r="W1545" s="17">
        <f t="shared" si="250"/>
        <v>259</v>
      </c>
      <c r="X1545" s="17">
        <f t="shared" si="251"/>
        <v>156</v>
      </c>
      <c r="Y1545" s="19">
        <f t="shared" si="252"/>
        <v>0</v>
      </c>
      <c r="Z1545">
        <v>777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470</v>
      </c>
      <c r="AH1545">
        <v>470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f t="shared" si="253"/>
        <v>940</v>
      </c>
      <c r="BF1545">
        <v>1247</v>
      </c>
      <c r="BG1545">
        <v>1247</v>
      </c>
      <c r="BH1545" t="s">
        <v>109</v>
      </c>
      <c r="BI1545" t="s">
        <v>822</v>
      </c>
      <c r="BJ1545">
        <v>0</v>
      </c>
      <c r="BK1545">
        <v>470</v>
      </c>
      <c r="BL1545">
        <v>1247</v>
      </c>
      <c r="BM1545">
        <v>0</v>
      </c>
      <c r="BN1545">
        <v>0</v>
      </c>
      <c r="BO1545">
        <v>0</v>
      </c>
      <c r="BP1545">
        <v>2801</v>
      </c>
      <c r="BQ1545">
        <v>2801</v>
      </c>
      <c r="BR1545">
        <f t="shared" si="254"/>
        <v>-156</v>
      </c>
      <c r="BS1545">
        <f t="shared" si="255"/>
        <v>674</v>
      </c>
    </row>
    <row r="1546" spans="1:74" x14ac:dyDescent="0.25">
      <c r="A1546" s="5" t="s">
        <v>875</v>
      </c>
      <c r="B1546" s="5" t="s">
        <v>207</v>
      </c>
      <c r="C1546" s="5" t="s">
        <v>61</v>
      </c>
      <c r="D1546" s="1" t="s">
        <v>159</v>
      </c>
      <c r="E1546">
        <v>0</v>
      </c>
      <c r="F1546">
        <v>26</v>
      </c>
      <c r="G1546">
        <v>0</v>
      </c>
      <c r="H1546">
        <v>0</v>
      </c>
      <c r="I1546">
        <v>206</v>
      </c>
      <c r="J1546">
        <v>785</v>
      </c>
      <c r="K1546">
        <v>189</v>
      </c>
      <c r="L1546">
        <v>37</v>
      </c>
      <c r="M1546">
        <v>0</v>
      </c>
      <c r="N1546">
        <v>0</v>
      </c>
      <c r="O1546">
        <v>0</v>
      </c>
      <c r="P1546">
        <v>180</v>
      </c>
      <c r="Q1546">
        <v>177</v>
      </c>
      <c r="R1546">
        <v>20</v>
      </c>
      <c r="S1546" s="18">
        <f t="shared" si="246"/>
        <v>9</v>
      </c>
      <c r="T1546" s="17">
        <f t="shared" si="247"/>
        <v>0</v>
      </c>
      <c r="U1546" s="17">
        <f t="shared" si="248"/>
        <v>0</v>
      </c>
      <c r="V1546" s="17">
        <f t="shared" si="249"/>
        <v>0</v>
      </c>
      <c r="W1546" s="17">
        <f t="shared" si="250"/>
        <v>20</v>
      </c>
      <c r="X1546" s="17">
        <f t="shared" si="251"/>
        <v>157</v>
      </c>
      <c r="Y1546" s="19">
        <f t="shared" si="252"/>
        <v>0</v>
      </c>
      <c r="Z1546">
        <v>26</v>
      </c>
      <c r="AA1546">
        <v>0</v>
      </c>
      <c r="AB1546">
        <v>114</v>
      </c>
      <c r="AC1546">
        <v>1100</v>
      </c>
      <c r="AD1546">
        <v>0</v>
      </c>
      <c r="AE1546">
        <v>0</v>
      </c>
      <c r="AF1546">
        <v>0</v>
      </c>
      <c r="AG1546">
        <v>206</v>
      </c>
      <c r="AH1546">
        <v>206</v>
      </c>
      <c r="AI1546">
        <v>0</v>
      </c>
      <c r="AJ1546">
        <v>0</v>
      </c>
      <c r="AK1546">
        <v>785</v>
      </c>
      <c r="AL1546">
        <v>785</v>
      </c>
      <c r="AM1546">
        <v>0</v>
      </c>
      <c r="AN1546">
        <v>0</v>
      </c>
      <c r="AO1546">
        <v>189</v>
      </c>
      <c r="AP1546">
        <v>25</v>
      </c>
      <c r="AQ1546">
        <v>189</v>
      </c>
      <c r="AR1546">
        <v>164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37</v>
      </c>
      <c r="BA1546">
        <v>37</v>
      </c>
      <c r="BB1546">
        <v>0</v>
      </c>
      <c r="BC1546">
        <v>0</v>
      </c>
      <c r="BD1546">
        <v>0</v>
      </c>
      <c r="BE1546">
        <f t="shared" si="253"/>
        <v>3723</v>
      </c>
      <c r="BF1546">
        <v>2457</v>
      </c>
      <c r="BG1546">
        <v>2457</v>
      </c>
      <c r="BH1546" t="s">
        <v>82</v>
      </c>
      <c r="BI1546" t="s">
        <v>1012</v>
      </c>
      <c r="BJ1546">
        <v>1214</v>
      </c>
      <c r="BK1546">
        <v>1217</v>
      </c>
      <c r="BL1546">
        <v>2457</v>
      </c>
      <c r="BM1546">
        <v>0</v>
      </c>
      <c r="BN1546">
        <v>0</v>
      </c>
      <c r="BO1546">
        <v>0</v>
      </c>
      <c r="BP1546">
        <v>1397</v>
      </c>
      <c r="BQ1546">
        <v>1397</v>
      </c>
      <c r="BR1546">
        <f t="shared" si="254"/>
        <v>-157</v>
      </c>
      <c r="BS1546">
        <f t="shared" si="255"/>
        <v>197</v>
      </c>
    </row>
    <row r="1547" spans="1:74" x14ac:dyDescent="0.25">
      <c r="A1547" s="5" t="s">
        <v>1451</v>
      </c>
      <c r="B1547" s="5" t="s">
        <v>207</v>
      </c>
      <c r="C1547" s="5" t="s">
        <v>61</v>
      </c>
      <c r="D1547" s="1" t="s">
        <v>104</v>
      </c>
      <c r="E1547">
        <v>0</v>
      </c>
      <c r="F1547">
        <v>0</v>
      </c>
      <c r="G1547">
        <v>0</v>
      </c>
      <c r="H1547">
        <v>0</v>
      </c>
      <c r="I1547">
        <v>355</v>
      </c>
      <c r="J1547">
        <v>2340</v>
      </c>
      <c r="K1547">
        <v>200</v>
      </c>
      <c r="L1547">
        <v>100</v>
      </c>
      <c r="M1547">
        <v>0</v>
      </c>
      <c r="N1547">
        <v>0</v>
      </c>
      <c r="O1547">
        <v>0</v>
      </c>
      <c r="P1547">
        <v>0</v>
      </c>
      <c r="Q1547">
        <v>157</v>
      </c>
      <c r="R1547">
        <v>0</v>
      </c>
      <c r="S1547" s="18" t="e">
        <f t="shared" si="246"/>
        <v>#DIV/0!</v>
      </c>
      <c r="T1547" s="17" t="e">
        <f t="shared" si="247"/>
        <v>#DIV/0!</v>
      </c>
      <c r="U1547" s="17" t="e">
        <f t="shared" si="248"/>
        <v>#DIV/0!</v>
      </c>
      <c r="V1547" s="17" t="e">
        <f t="shared" si="249"/>
        <v>#DIV/0!</v>
      </c>
      <c r="W1547" s="17" t="e">
        <f t="shared" si="250"/>
        <v>#DIV/0!</v>
      </c>
      <c r="X1547" s="17" t="e">
        <f t="shared" si="251"/>
        <v>#DIV/0!</v>
      </c>
      <c r="Y1547" s="19" t="e">
        <f t="shared" si="252"/>
        <v>#DIV/0!</v>
      </c>
      <c r="Z1547">
        <v>0</v>
      </c>
      <c r="AA1547">
        <v>4</v>
      </c>
      <c r="AB1547">
        <v>226</v>
      </c>
      <c r="AC1547">
        <v>2550</v>
      </c>
      <c r="AD1547">
        <v>0</v>
      </c>
      <c r="AE1547">
        <v>0</v>
      </c>
      <c r="AF1547">
        <v>0</v>
      </c>
      <c r="AG1547">
        <v>355</v>
      </c>
      <c r="AH1547">
        <v>355</v>
      </c>
      <c r="AI1547">
        <v>0</v>
      </c>
      <c r="AJ1547">
        <v>0</v>
      </c>
      <c r="AK1547">
        <v>2340</v>
      </c>
      <c r="AL1547">
        <v>2340</v>
      </c>
      <c r="AM1547">
        <v>0</v>
      </c>
      <c r="AN1547">
        <v>0</v>
      </c>
      <c r="AO1547">
        <v>200</v>
      </c>
      <c r="AP1547">
        <v>0</v>
      </c>
      <c r="AQ1547">
        <v>200</v>
      </c>
      <c r="AR1547">
        <v>200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100</v>
      </c>
      <c r="BA1547">
        <v>100</v>
      </c>
      <c r="BB1547">
        <v>0</v>
      </c>
      <c r="BC1547">
        <v>0</v>
      </c>
      <c r="BD1547">
        <v>0</v>
      </c>
      <c r="BE1547">
        <f t="shared" si="253"/>
        <v>8740</v>
      </c>
      <c r="BF1547">
        <v>5775</v>
      </c>
      <c r="BG1547">
        <v>5775</v>
      </c>
      <c r="BH1547" t="s">
        <v>82</v>
      </c>
      <c r="BI1547" t="s">
        <v>296</v>
      </c>
      <c r="BJ1547">
        <v>2780</v>
      </c>
      <c r="BK1547">
        <v>2995</v>
      </c>
      <c r="BL1547">
        <v>5775</v>
      </c>
      <c r="BM1547">
        <v>0</v>
      </c>
      <c r="BN1547">
        <v>0</v>
      </c>
      <c r="BO1547">
        <v>0</v>
      </c>
      <c r="BP1547">
        <v>2995</v>
      </c>
      <c r="BQ1547">
        <v>2995</v>
      </c>
      <c r="BR1547">
        <f t="shared" si="254"/>
        <v>-157</v>
      </c>
      <c r="BS1547">
        <f t="shared" si="255"/>
        <v>157</v>
      </c>
    </row>
    <row r="1548" spans="1:74" x14ac:dyDescent="0.25">
      <c r="A1548" s="5" t="s">
        <v>1661</v>
      </c>
      <c r="B1548" s="5" t="s">
        <v>61</v>
      </c>
      <c r="C1548" s="5" t="s">
        <v>61</v>
      </c>
      <c r="D1548" s="1" t="s">
        <v>119</v>
      </c>
      <c r="E1548">
        <v>0</v>
      </c>
      <c r="F1548">
        <v>1657</v>
      </c>
      <c r="G1548">
        <v>0</v>
      </c>
      <c r="H1548">
        <v>0</v>
      </c>
      <c r="I1548">
        <v>0</v>
      </c>
      <c r="J1548">
        <v>634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2313</v>
      </c>
      <c r="Q1548">
        <v>414</v>
      </c>
      <c r="R1548">
        <v>257</v>
      </c>
      <c r="S1548" s="18">
        <f t="shared" si="246"/>
        <v>9</v>
      </c>
      <c r="T1548" s="17">
        <f t="shared" si="247"/>
        <v>0</v>
      </c>
      <c r="U1548" s="17">
        <f t="shared" si="248"/>
        <v>0</v>
      </c>
      <c r="V1548" s="17">
        <f t="shared" si="249"/>
        <v>0</v>
      </c>
      <c r="W1548" s="17">
        <f t="shared" si="250"/>
        <v>257</v>
      </c>
      <c r="X1548" s="17">
        <f t="shared" si="251"/>
        <v>157</v>
      </c>
      <c r="Y1548" s="19">
        <f t="shared" si="252"/>
        <v>0</v>
      </c>
      <c r="Z1548">
        <v>1657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634</v>
      </c>
      <c r="AL1548">
        <v>634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f t="shared" si="253"/>
        <v>1268</v>
      </c>
      <c r="BF1548">
        <v>2291</v>
      </c>
      <c r="BG1548">
        <v>2291</v>
      </c>
      <c r="BH1548" t="s">
        <v>109</v>
      </c>
      <c r="BI1548" t="s">
        <v>1685</v>
      </c>
      <c r="BJ1548">
        <v>0</v>
      </c>
      <c r="BK1548">
        <v>634</v>
      </c>
      <c r="BL1548">
        <v>2291</v>
      </c>
      <c r="BM1548">
        <v>0</v>
      </c>
      <c r="BN1548">
        <v>0</v>
      </c>
      <c r="BO1548">
        <v>0</v>
      </c>
      <c r="BP1548">
        <v>2947</v>
      </c>
      <c r="BQ1548">
        <v>2947</v>
      </c>
      <c r="BR1548">
        <f t="shared" si="254"/>
        <v>-157</v>
      </c>
      <c r="BS1548">
        <f t="shared" si="255"/>
        <v>671</v>
      </c>
    </row>
    <row r="1549" spans="1:74" x14ac:dyDescent="0.25">
      <c r="A1549" s="5" t="s">
        <v>61</v>
      </c>
      <c r="B1549" s="5" t="s">
        <v>207</v>
      </c>
      <c r="C1549" s="5" t="s">
        <v>207</v>
      </c>
      <c r="D1549" s="1" t="s">
        <v>84</v>
      </c>
      <c r="E1549">
        <v>88</v>
      </c>
      <c r="F1549">
        <v>18</v>
      </c>
      <c r="G1549">
        <v>0</v>
      </c>
      <c r="H1549">
        <v>0</v>
      </c>
      <c r="I1549">
        <v>250</v>
      </c>
      <c r="J1549">
        <v>1280</v>
      </c>
      <c r="K1549">
        <v>173</v>
      </c>
      <c r="L1549">
        <v>28</v>
      </c>
      <c r="M1549">
        <v>0</v>
      </c>
      <c r="N1549">
        <v>0</v>
      </c>
      <c r="O1549">
        <v>0</v>
      </c>
      <c r="P1549">
        <v>162</v>
      </c>
      <c r="Q1549">
        <v>176</v>
      </c>
      <c r="R1549">
        <v>18</v>
      </c>
      <c r="S1549" s="18">
        <f t="shared" si="246"/>
        <v>9</v>
      </c>
      <c r="T1549" s="17">
        <f t="shared" si="247"/>
        <v>0</v>
      </c>
      <c r="U1549" s="17">
        <f t="shared" si="248"/>
        <v>0</v>
      </c>
      <c r="V1549" s="17">
        <f t="shared" si="249"/>
        <v>0</v>
      </c>
      <c r="W1549" s="17">
        <f t="shared" si="250"/>
        <v>18</v>
      </c>
      <c r="X1549" s="17">
        <f t="shared" si="251"/>
        <v>158</v>
      </c>
      <c r="Y1549" s="19">
        <f t="shared" si="252"/>
        <v>0</v>
      </c>
      <c r="Z1549">
        <v>18</v>
      </c>
      <c r="AA1549">
        <v>15</v>
      </c>
      <c r="AB1549">
        <v>185</v>
      </c>
      <c r="AC1549">
        <v>2100</v>
      </c>
      <c r="AD1549">
        <v>0</v>
      </c>
      <c r="AE1549">
        <v>0</v>
      </c>
      <c r="AF1549">
        <v>0</v>
      </c>
      <c r="AG1549">
        <v>250</v>
      </c>
      <c r="AH1549">
        <v>250</v>
      </c>
      <c r="AI1549">
        <v>0</v>
      </c>
      <c r="AJ1549">
        <v>0</v>
      </c>
      <c r="AK1549">
        <v>1280</v>
      </c>
      <c r="AL1549">
        <v>1280</v>
      </c>
      <c r="AM1549">
        <v>0</v>
      </c>
      <c r="AN1549">
        <v>0</v>
      </c>
      <c r="AO1549">
        <v>173</v>
      </c>
      <c r="AP1549">
        <v>107</v>
      </c>
      <c r="AQ1549">
        <v>173</v>
      </c>
      <c r="AR1549">
        <v>66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28</v>
      </c>
      <c r="BA1549">
        <v>28</v>
      </c>
      <c r="BB1549">
        <v>0</v>
      </c>
      <c r="BC1549">
        <v>0</v>
      </c>
      <c r="BD1549">
        <v>0</v>
      </c>
      <c r="BE1549">
        <f t="shared" si="253"/>
        <v>5735</v>
      </c>
      <c r="BF1549">
        <v>4137</v>
      </c>
      <c r="BG1549">
        <v>4137</v>
      </c>
      <c r="BH1549" t="s">
        <v>82</v>
      </c>
      <c r="BI1549" t="s">
        <v>289</v>
      </c>
      <c r="BJ1549">
        <v>2388</v>
      </c>
      <c r="BK1549">
        <v>1731</v>
      </c>
      <c r="BL1549">
        <v>4137</v>
      </c>
      <c r="BM1549">
        <v>0</v>
      </c>
      <c r="BN1549">
        <v>0</v>
      </c>
      <c r="BO1549">
        <v>0</v>
      </c>
      <c r="BP1549">
        <v>1893</v>
      </c>
      <c r="BQ1549">
        <v>1893</v>
      </c>
      <c r="BR1549">
        <f t="shared" si="254"/>
        <v>-158</v>
      </c>
      <c r="BS1549">
        <f t="shared" si="255"/>
        <v>194</v>
      </c>
    </row>
    <row r="1550" spans="1:74" x14ac:dyDescent="0.25">
      <c r="A1550" s="5" t="s">
        <v>61</v>
      </c>
      <c r="B1550" s="5" t="s">
        <v>207</v>
      </c>
      <c r="C1550" s="5" t="s">
        <v>207</v>
      </c>
      <c r="D1550" s="1" t="s">
        <v>171</v>
      </c>
      <c r="E1550">
        <v>0</v>
      </c>
      <c r="F1550">
        <v>31</v>
      </c>
      <c r="G1550">
        <v>0</v>
      </c>
      <c r="H1550">
        <v>0</v>
      </c>
      <c r="I1550">
        <v>376</v>
      </c>
      <c r="J1550">
        <v>0</v>
      </c>
      <c r="K1550">
        <v>0</v>
      </c>
      <c r="L1550">
        <v>0</v>
      </c>
      <c r="M1550">
        <v>279</v>
      </c>
      <c r="N1550">
        <v>0</v>
      </c>
      <c r="O1550">
        <v>0</v>
      </c>
      <c r="P1550">
        <v>0</v>
      </c>
      <c r="Q1550">
        <v>189</v>
      </c>
      <c r="R1550">
        <v>31</v>
      </c>
      <c r="S1550" s="18">
        <f t="shared" si="246"/>
        <v>9</v>
      </c>
      <c r="T1550" s="17">
        <f t="shared" si="247"/>
        <v>31</v>
      </c>
      <c r="U1550" s="17">
        <f t="shared" si="248"/>
        <v>0</v>
      </c>
      <c r="V1550" s="17">
        <f t="shared" si="249"/>
        <v>0</v>
      </c>
      <c r="W1550" s="17">
        <f t="shared" si="250"/>
        <v>0</v>
      </c>
      <c r="X1550" s="17">
        <f t="shared" si="251"/>
        <v>158</v>
      </c>
      <c r="Y1550" s="19">
        <f t="shared" si="252"/>
        <v>0</v>
      </c>
      <c r="Z1550">
        <v>31</v>
      </c>
      <c r="AA1550">
        <v>0</v>
      </c>
      <c r="AB1550">
        <v>0</v>
      </c>
      <c r="AC1550">
        <v>0</v>
      </c>
      <c r="AD1550">
        <v>376</v>
      </c>
      <c r="AE1550">
        <v>0</v>
      </c>
      <c r="AF1550">
        <v>0</v>
      </c>
      <c r="AG1550">
        <v>0</v>
      </c>
      <c r="AH1550">
        <v>376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f t="shared" si="253"/>
        <v>752</v>
      </c>
      <c r="BF1550">
        <v>407</v>
      </c>
      <c r="BG1550">
        <v>407</v>
      </c>
      <c r="BH1550" t="s">
        <v>109</v>
      </c>
      <c r="BI1550" t="s">
        <v>332</v>
      </c>
      <c r="BJ1550">
        <v>0</v>
      </c>
      <c r="BK1550">
        <v>376</v>
      </c>
      <c r="BL1550">
        <v>407</v>
      </c>
      <c r="BM1550">
        <v>655</v>
      </c>
      <c r="BN1550">
        <v>0</v>
      </c>
      <c r="BO1550">
        <v>0</v>
      </c>
      <c r="BP1550">
        <v>0</v>
      </c>
      <c r="BQ1550">
        <v>655</v>
      </c>
      <c r="BR1550">
        <f t="shared" si="254"/>
        <v>-158</v>
      </c>
      <c r="BS1550">
        <f t="shared" si="255"/>
        <v>220</v>
      </c>
    </row>
    <row r="1551" spans="1:74" x14ac:dyDescent="0.25">
      <c r="A1551" s="5" t="s">
        <v>61</v>
      </c>
      <c r="B1551" s="5" t="s">
        <v>359</v>
      </c>
      <c r="C1551" s="5" t="s">
        <v>61</v>
      </c>
      <c r="D1551" s="1" t="s">
        <v>121</v>
      </c>
      <c r="E1551">
        <v>0</v>
      </c>
      <c r="F1551">
        <v>575</v>
      </c>
      <c r="G1551">
        <v>0</v>
      </c>
      <c r="H1551">
        <v>0</v>
      </c>
      <c r="I1551">
        <v>600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2601</v>
      </c>
      <c r="Q1551">
        <v>447</v>
      </c>
      <c r="R1551">
        <v>289</v>
      </c>
      <c r="S1551" s="18">
        <f t="shared" si="246"/>
        <v>9</v>
      </c>
      <c r="T1551" s="17">
        <f t="shared" si="247"/>
        <v>0</v>
      </c>
      <c r="U1551" s="17">
        <f t="shared" si="248"/>
        <v>0</v>
      </c>
      <c r="V1551" s="17">
        <f t="shared" si="249"/>
        <v>0</v>
      </c>
      <c r="W1551" s="17">
        <f t="shared" si="250"/>
        <v>289</v>
      </c>
      <c r="X1551" s="17">
        <f t="shared" si="251"/>
        <v>158</v>
      </c>
      <c r="Y1551" s="19">
        <f t="shared" si="252"/>
        <v>0</v>
      </c>
      <c r="Z1551">
        <v>575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600</v>
      </c>
      <c r="AH1551">
        <v>600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f t="shared" si="253"/>
        <v>1200</v>
      </c>
      <c r="BF1551">
        <v>1175</v>
      </c>
      <c r="BG1551">
        <v>1175</v>
      </c>
      <c r="BH1551" t="s">
        <v>109</v>
      </c>
      <c r="BI1551" t="s">
        <v>388</v>
      </c>
      <c r="BJ1551">
        <v>0</v>
      </c>
      <c r="BK1551">
        <v>600</v>
      </c>
      <c r="BL1551">
        <v>1175</v>
      </c>
      <c r="BM1551">
        <v>0</v>
      </c>
      <c r="BN1551">
        <v>0</v>
      </c>
      <c r="BO1551">
        <v>0</v>
      </c>
      <c r="BP1551">
        <v>3201</v>
      </c>
      <c r="BQ1551">
        <v>3201</v>
      </c>
      <c r="BR1551">
        <f t="shared" si="254"/>
        <v>-158</v>
      </c>
      <c r="BS1551">
        <f t="shared" si="255"/>
        <v>736</v>
      </c>
    </row>
    <row r="1552" spans="1:74" x14ac:dyDescent="0.25">
      <c r="A1552" s="5" t="s">
        <v>1451</v>
      </c>
      <c r="B1552" s="5" t="s">
        <v>207</v>
      </c>
      <c r="C1552" s="5" t="s">
        <v>207</v>
      </c>
      <c r="D1552" s="1" t="s">
        <v>133</v>
      </c>
      <c r="E1552">
        <v>0</v>
      </c>
      <c r="F1552">
        <v>610</v>
      </c>
      <c r="G1552">
        <v>0</v>
      </c>
      <c r="H1552">
        <v>0</v>
      </c>
      <c r="I1552">
        <v>172</v>
      </c>
      <c r="J1552">
        <v>0</v>
      </c>
      <c r="K1552">
        <v>93</v>
      </c>
      <c r="L1552">
        <v>0</v>
      </c>
      <c r="M1552">
        <v>1350</v>
      </c>
      <c r="N1552">
        <v>0</v>
      </c>
      <c r="O1552">
        <v>0</v>
      </c>
      <c r="P1552">
        <v>0</v>
      </c>
      <c r="Q1552">
        <v>308</v>
      </c>
      <c r="R1552">
        <v>150</v>
      </c>
      <c r="S1552" s="18">
        <f t="shared" si="246"/>
        <v>9</v>
      </c>
      <c r="T1552" s="17">
        <f t="shared" si="247"/>
        <v>150</v>
      </c>
      <c r="U1552" s="17">
        <f t="shared" si="248"/>
        <v>0</v>
      </c>
      <c r="V1552" s="17">
        <f t="shared" si="249"/>
        <v>0</v>
      </c>
      <c r="W1552" s="17">
        <f t="shared" si="250"/>
        <v>0</v>
      </c>
      <c r="X1552" s="17">
        <f t="shared" si="251"/>
        <v>158</v>
      </c>
      <c r="Y1552" s="19">
        <f t="shared" si="252"/>
        <v>0</v>
      </c>
      <c r="Z1552">
        <v>610</v>
      </c>
      <c r="AA1552">
        <v>0</v>
      </c>
      <c r="AB1552">
        <v>0</v>
      </c>
      <c r="AC1552">
        <v>0</v>
      </c>
      <c r="AD1552">
        <v>172</v>
      </c>
      <c r="AE1552">
        <v>0</v>
      </c>
      <c r="AF1552">
        <v>0</v>
      </c>
      <c r="AG1552">
        <v>0</v>
      </c>
      <c r="AH1552">
        <v>172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93</v>
      </c>
      <c r="AP1552">
        <v>73</v>
      </c>
      <c r="AQ1552">
        <v>93</v>
      </c>
      <c r="AR1552">
        <v>20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f t="shared" si="253"/>
        <v>623</v>
      </c>
      <c r="BF1552">
        <v>875</v>
      </c>
      <c r="BG1552">
        <v>875</v>
      </c>
      <c r="BH1552" t="s">
        <v>109</v>
      </c>
      <c r="BI1552" t="s">
        <v>1586</v>
      </c>
      <c r="BJ1552">
        <v>0</v>
      </c>
      <c r="BK1552">
        <v>265</v>
      </c>
      <c r="BL1552">
        <v>875</v>
      </c>
      <c r="BM1552">
        <v>1522</v>
      </c>
      <c r="BN1552">
        <v>0</v>
      </c>
      <c r="BO1552">
        <v>0</v>
      </c>
      <c r="BP1552">
        <v>93</v>
      </c>
      <c r="BQ1552">
        <v>1615</v>
      </c>
      <c r="BR1552">
        <f t="shared" si="254"/>
        <v>-158</v>
      </c>
      <c r="BS1552">
        <f t="shared" si="255"/>
        <v>458</v>
      </c>
    </row>
    <row r="1553" spans="1:74" x14ac:dyDescent="0.25">
      <c r="A1553" s="5" t="s">
        <v>1946</v>
      </c>
      <c r="B1553" s="5" t="s">
        <v>207</v>
      </c>
      <c r="C1553" s="5" t="s">
        <v>207</v>
      </c>
      <c r="D1553" s="1" t="s">
        <v>113</v>
      </c>
      <c r="E1553">
        <v>20</v>
      </c>
      <c r="F1553">
        <v>52</v>
      </c>
      <c r="G1553">
        <v>0</v>
      </c>
      <c r="H1553">
        <v>0</v>
      </c>
      <c r="I1553">
        <v>25</v>
      </c>
      <c r="J1553">
        <v>1423</v>
      </c>
      <c r="K1553">
        <v>250</v>
      </c>
      <c r="L1553">
        <v>25</v>
      </c>
      <c r="M1553">
        <v>0</v>
      </c>
      <c r="N1553">
        <v>0</v>
      </c>
      <c r="O1553">
        <v>0</v>
      </c>
      <c r="P1553">
        <v>117</v>
      </c>
      <c r="Q1553">
        <v>171</v>
      </c>
      <c r="R1553">
        <v>13</v>
      </c>
      <c r="S1553" s="18">
        <f t="shared" si="246"/>
        <v>9</v>
      </c>
      <c r="T1553" s="17">
        <f t="shared" si="247"/>
        <v>0</v>
      </c>
      <c r="U1553" s="17">
        <f t="shared" si="248"/>
        <v>0</v>
      </c>
      <c r="V1553" s="17">
        <f t="shared" si="249"/>
        <v>0</v>
      </c>
      <c r="W1553" s="17">
        <f t="shared" si="250"/>
        <v>13</v>
      </c>
      <c r="X1553" s="17">
        <f t="shared" si="251"/>
        <v>158</v>
      </c>
      <c r="Y1553" s="19">
        <f t="shared" si="252"/>
        <v>0</v>
      </c>
      <c r="Z1553">
        <v>52</v>
      </c>
      <c r="AA1553">
        <v>0</v>
      </c>
      <c r="AB1553">
        <v>0</v>
      </c>
      <c r="AC1553">
        <v>1508</v>
      </c>
      <c r="AD1553">
        <v>0</v>
      </c>
      <c r="AE1553">
        <v>0</v>
      </c>
      <c r="AF1553">
        <v>0</v>
      </c>
      <c r="AG1553">
        <v>25</v>
      </c>
      <c r="AH1553">
        <v>25</v>
      </c>
      <c r="AI1553">
        <v>0</v>
      </c>
      <c r="AJ1553">
        <v>0</v>
      </c>
      <c r="AK1553">
        <v>1423</v>
      </c>
      <c r="AL1553">
        <v>1423</v>
      </c>
      <c r="AM1553">
        <v>0</v>
      </c>
      <c r="AN1553">
        <v>0</v>
      </c>
      <c r="AO1553">
        <v>250</v>
      </c>
      <c r="AP1553">
        <v>85</v>
      </c>
      <c r="AQ1553">
        <v>250</v>
      </c>
      <c r="AR1553">
        <v>165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25</v>
      </c>
      <c r="BA1553">
        <v>25</v>
      </c>
      <c r="BB1553">
        <v>0</v>
      </c>
      <c r="BC1553">
        <v>0</v>
      </c>
      <c r="BD1553">
        <v>0</v>
      </c>
      <c r="BE1553">
        <f t="shared" si="253"/>
        <v>5204</v>
      </c>
      <c r="BF1553">
        <v>3303</v>
      </c>
      <c r="BG1553">
        <v>3303</v>
      </c>
      <c r="BH1553" t="s">
        <v>82</v>
      </c>
      <c r="BI1553" t="s">
        <v>2061</v>
      </c>
      <c r="BJ1553">
        <v>1528</v>
      </c>
      <c r="BK1553">
        <v>1723</v>
      </c>
      <c r="BL1553">
        <v>3303</v>
      </c>
      <c r="BM1553">
        <v>0</v>
      </c>
      <c r="BN1553">
        <v>0</v>
      </c>
      <c r="BO1553">
        <v>0</v>
      </c>
      <c r="BP1553">
        <v>1840</v>
      </c>
      <c r="BQ1553">
        <v>1840</v>
      </c>
      <c r="BR1553">
        <f t="shared" si="254"/>
        <v>-158</v>
      </c>
      <c r="BS1553">
        <f t="shared" si="255"/>
        <v>184</v>
      </c>
    </row>
    <row r="1554" spans="1:74" x14ac:dyDescent="0.25">
      <c r="A1554" s="5" t="s">
        <v>61</v>
      </c>
      <c r="B1554" s="5" t="s">
        <v>207</v>
      </c>
      <c r="C1554" s="5" t="s">
        <v>207</v>
      </c>
      <c r="D1554" s="1" t="s">
        <v>141</v>
      </c>
      <c r="E1554">
        <v>0</v>
      </c>
      <c r="F1554">
        <v>34</v>
      </c>
      <c r="G1554">
        <v>0</v>
      </c>
      <c r="H1554">
        <v>0</v>
      </c>
      <c r="I1554">
        <v>174</v>
      </c>
      <c r="J1554">
        <v>0</v>
      </c>
      <c r="K1554">
        <v>0</v>
      </c>
      <c r="L1554">
        <v>0</v>
      </c>
      <c r="M1554">
        <v>306</v>
      </c>
      <c r="N1554">
        <v>0</v>
      </c>
      <c r="O1554">
        <v>0</v>
      </c>
      <c r="P1554">
        <v>0</v>
      </c>
      <c r="Q1554">
        <v>193</v>
      </c>
      <c r="R1554">
        <v>34</v>
      </c>
      <c r="S1554" s="18">
        <f t="shared" si="246"/>
        <v>9</v>
      </c>
      <c r="T1554" s="17">
        <f t="shared" si="247"/>
        <v>34</v>
      </c>
      <c r="U1554" s="17">
        <f t="shared" si="248"/>
        <v>0</v>
      </c>
      <c r="V1554" s="17">
        <f t="shared" si="249"/>
        <v>0</v>
      </c>
      <c r="W1554" s="17">
        <f t="shared" si="250"/>
        <v>0</v>
      </c>
      <c r="X1554" s="17">
        <f t="shared" si="251"/>
        <v>159</v>
      </c>
      <c r="Y1554" s="19">
        <f t="shared" si="252"/>
        <v>0</v>
      </c>
      <c r="Z1554">
        <v>34</v>
      </c>
      <c r="AA1554">
        <v>0</v>
      </c>
      <c r="AB1554">
        <v>0</v>
      </c>
      <c r="AC1554">
        <v>0</v>
      </c>
      <c r="AD1554">
        <v>174</v>
      </c>
      <c r="AE1554">
        <v>0</v>
      </c>
      <c r="AF1554">
        <v>0</v>
      </c>
      <c r="AG1554">
        <v>0</v>
      </c>
      <c r="AH1554">
        <v>174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f t="shared" si="253"/>
        <v>348</v>
      </c>
      <c r="BF1554">
        <v>208</v>
      </c>
      <c r="BG1554">
        <v>208</v>
      </c>
      <c r="BH1554" t="s">
        <v>109</v>
      </c>
      <c r="BI1554" t="s">
        <v>317</v>
      </c>
      <c r="BJ1554">
        <v>0</v>
      </c>
      <c r="BK1554">
        <v>174</v>
      </c>
      <c r="BL1554">
        <v>208</v>
      </c>
      <c r="BM1554">
        <v>480</v>
      </c>
      <c r="BN1554">
        <v>0</v>
      </c>
      <c r="BO1554">
        <v>0</v>
      </c>
      <c r="BP1554">
        <v>0</v>
      </c>
      <c r="BQ1554">
        <v>480</v>
      </c>
      <c r="BR1554">
        <f t="shared" si="254"/>
        <v>-159</v>
      </c>
      <c r="BS1554">
        <f t="shared" si="255"/>
        <v>227</v>
      </c>
    </row>
    <row r="1555" spans="1:74" x14ac:dyDescent="0.25">
      <c r="A1555" s="5" t="s">
        <v>61</v>
      </c>
      <c r="B1555" s="5" t="s">
        <v>207</v>
      </c>
      <c r="C1555" s="5" t="s">
        <v>207</v>
      </c>
      <c r="D1555" s="1" t="s">
        <v>153</v>
      </c>
      <c r="E1555">
        <v>0</v>
      </c>
      <c r="F1555">
        <v>40</v>
      </c>
      <c r="G1555">
        <v>0</v>
      </c>
      <c r="H1555">
        <v>0</v>
      </c>
      <c r="I1555">
        <v>299</v>
      </c>
      <c r="J1555">
        <v>0</v>
      </c>
      <c r="K1555">
        <v>10</v>
      </c>
      <c r="L1555">
        <v>0</v>
      </c>
      <c r="M1555">
        <v>360</v>
      </c>
      <c r="N1555">
        <v>0</v>
      </c>
      <c r="O1555">
        <v>0</v>
      </c>
      <c r="P1555">
        <v>0</v>
      </c>
      <c r="Q1555">
        <v>200</v>
      </c>
      <c r="R1555">
        <v>40</v>
      </c>
      <c r="S1555" s="18">
        <f t="shared" si="246"/>
        <v>9</v>
      </c>
      <c r="T1555" s="17">
        <f t="shared" si="247"/>
        <v>40</v>
      </c>
      <c r="U1555" s="17">
        <f t="shared" si="248"/>
        <v>0</v>
      </c>
      <c r="V1555" s="17">
        <f t="shared" si="249"/>
        <v>0</v>
      </c>
      <c r="W1555" s="17">
        <f t="shared" si="250"/>
        <v>0</v>
      </c>
      <c r="X1555" s="17">
        <f t="shared" si="251"/>
        <v>160</v>
      </c>
      <c r="Y1555" s="19">
        <f t="shared" si="252"/>
        <v>0</v>
      </c>
      <c r="Z1555">
        <v>47</v>
      </c>
      <c r="AA1555">
        <v>0</v>
      </c>
      <c r="AB1555">
        <v>0</v>
      </c>
      <c r="AC1555">
        <v>0</v>
      </c>
      <c r="AD1555">
        <v>299</v>
      </c>
      <c r="AE1555">
        <v>0</v>
      </c>
      <c r="AF1555">
        <v>0</v>
      </c>
      <c r="AG1555">
        <v>0</v>
      </c>
      <c r="AH1555">
        <v>299</v>
      </c>
      <c r="AI1555">
        <v>0</v>
      </c>
      <c r="AJ1555">
        <v>0</v>
      </c>
      <c r="AK1555">
        <v>0</v>
      </c>
      <c r="AL1555">
        <v>0</v>
      </c>
      <c r="AM1555">
        <v>10</v>
      </c>
      <c r="AN1555">
        <v>0</v>
      </c>
      <c r="AO1555">
        <v>0</v>
      </c>
      <c r="AP1555">
        <v>10</v>
      </c>
      <c r="AQ1555">
        <v>10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f t="shared" si="253"/>
        <v>628</v>
      </c>
      <c r="BF1555">
        <v>356</v>
      </c>
      <c r="BG1555">
        <v>356</v>
      </c>
      <c r="BH1555" t="s">
        <v>109</v>
      </c>
      <c r="BI1555" t="s">
        <v>323</v>
      </c>
      <c r="BJ1555">
        <v>0</v>
      </c>
      <c r="BK1555">
        <v>309</v>
      </c>
      <c r="BL1555">
        <v>356</v>
      </c>
      <c r="BM1555">
        <v>669</v>
      </c>
      <c r="BN1555">
        <v>0</v>
      </c>
      <c r="BO1555">
        <v>0</v>
      </c>
      <c r="BP1555">
        <v>0</v>
      </c>
      <c r="BQ1555">
        <v>669</v>
      </c>
      <c r="BR1555">
        <f t="shared" si="254"/>
        <v>-160</v>
      </c>
      <c r="BS1555">
        <f t="shared" si="255"/>
        <v>240</v>
      </c>
    </row>
    <row r="1556" spans="1:74" x14ac:dyDescent="0.25">
      <c r="A1556" s="5" t="s">
        <v>875</v>
      </c>
      <c r="B1556" s="5" t="s">
        <v>61</v>
      </c>
      <c r="C1556" s="5" t="s">
        <v>207</v>
      </c>
      <c r="D1556" s="1" t="s">
        <v>94</v>
      </c>
      <c r="E1556">
        <v>0</v>
      </c>
      <c r="F1556">
        <v>0</v>
      </c>
      <c r="G1556">
        <v>0</v>
      </c>
      <c r="H1556">
        <v>0</v>
      </c>
      <c r="I1556">
        <v>44</v>
      </c>
      <c r="J1556">
        <v>1490</v>
      </c>
      <c r="K1556">
        <v>300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160</v>
      </c>
      <c r="R1556">
        <v>0</v>
      </c>
      <c r="S1556" s="18" t="e">
        <f t="shared" si="246"/>
        <v>#DIV/0!</v>
      </c>
      <c r="T1556" s="17" t="e">
        <f t="shared" si="247"/>
        <v>#DIV/0!</v>
      </c>
      <c r="U1556" s="17" t="e">
        <f t="shared" si="248"/>
        <v>#DIV/0!</v>
      </c>
      <c r="V1556" s="17" t="e">
        <f t="shared" si="249"/>
        <v>#DIV/0!</v>
      </c>
      <c r="W1556" s="17" t="e">
        <f t="shared" si="250"/>
        <v>#DIV/0!</v>
      </c>
      <c r="X1556" s="17" t="e">
        <f t="shared" si="251"/>
        <v>#DIV/0!</v>
      </c>
      <c r="Y1556" s="19" t="e">
        <f t="shared" si="252"/>
        <v>#DIV/0!</v>
      </c>
      <c r="Z1556">
        <v>0</v>
      </c>
      <c r="AA1556">
        <v>0</v>
      </c>
      <c r="AB1556">
        <v>100</v>
      </c>
      <c r="AC1556">
        <v>0</v>
      </c>
      <c r="AD1556">
        <v>0</v>
      </c>
      <c r="AE1556">
        <v>0</v>
      </c>
      <c r="AF1556">
        <v>0</v>
      </c>
      <c r="AG1556">
        <v>44</v>
      </c>
      <c r="AH1556">
        <v>44</v>
      </c>
      <c r="AI1556">
        <v>0</v>
      </c>
      <c r="AJ1556">
        <v>0</v>
      </c>
      <c r="AK1556">
        <v>1490</v>
      </c>
      <c r="AL1556">
        <v>1490</v>
      </c>
      <c r="AM1556">
        <v>0</v>
      </c>
      <c r="AN1556">
        <v>0</v>
      </c>
      <c r="AO1556">
        <v>300</v>
      </c>
      <c r="AP1556">
        <v>0</v>
      </c>
      <c r="AQ1556">
        <v>300</v>
      </c>
      <c r="AR1556">
        <v>300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f t="shared" si="253"/>
        <v>3968</v>
      </c>
      <c r="BF1556">
        <v>2714</v>
      </c>
      <c r="BG1556">
        <v>2714</v>
      </c>
      <c r="BH1556" t="s">
        <v>82</v>
      </c>
      <c r="BI1556" t="s">
        <v>890</v>
      </c>
      <c r="BJ1556">
        <v>100</v>
      </c>
      <c r="BK1556">
        <v>1834</v>
      </c>
      <c r="BL1556">
        <v>1934</v>
      </c>
      <c r="BM1556">
        <v>0</v>
      </c>
      <c r="BN1556">
        <v>0</v>
      </c>
      <c r="BO1556">
        <v>0</v>
      </c>
      <c r="BP1556">
        <v>1834</v>
      </c>
      <c r="BQ1556">
        <v>1834</v>
      </c>
      <c r="BR1556">
        <f t="shared" si="254"/>
        <v>-160</v>
      </c>
      <c r="BS1556">
        <f t="shared" si="255"/>
        <v>160</v>
      </c>
    </row>
    <row r="1557" spans="1:74" x14ac:dyDescent="0.25">
      <c r="A1557" s="5" t="s">
        <v>875</v>
      </c>
      <c r="B1557" s="5" t="s">
        <v>207</v>
      </c>
      <c r="C1557" s="5" t="s">
        <v>61</v>
      </c>
      <c r="D1557" s="1" t="s">
        <v>161</v>
      </c>
      <c r="E1557">
        <v>21.5</v>
      </c>
      <c r="F1557">
        <v>0</v>
      </c>
      <c r="G1557">
        <v>0</v>
      </c>
      <c r="H1557">
        <v>0</v>
      </c>
      <c r="I1557">
        <v>55</v>
      </c>
      <c r="J1557">
        <v>4645</v>
      </c>
      <c r="K1557">
        <v>260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160</v>
      </c>
      <c r="R1557">
        <v>0</v>
      </c>
      <c r="S1557" s="18" t="e">
        <f t="shared" si="246"/>
        <v>#DIV/0!</v>
      </c>
      <c r="T1557" s="17" t="e">
        <f t="shared" si="247"/>
        <v>#DIV/0!</v>
      </c>
      <c r="U1557" s="17" t="e">
        <f t="shared" si="248"/>
        <v>#DIV/0!</v>
      </c>
      <c r="V1557" s="17" t="e">
        <f t="shared" si="249"/>
        <v>#DIV/0!</v>
      </c>
      <c r="W1557" s="17" t="e">
        <f t="shared" si="250"/>
        <v>#DIV/0!</v>
      </c>
      <c r="X1557" s="17" t="e">
        <f t="shared" si="251"/>
        <v>#DIV/0!</v>
      </c>
      <c r="Y1557" s="19" t="e">
        <f t="shared" si="252"/>
        <v>#DIV/0!</v>
      </c>
      <c r="Z1557">
        <v>0</v>
      </c>
      <c r="AA1557">
        <v>9</v>
      </c>
      <c r="AB1557">
        <v>420</v>
      </c>
      <c r="AC1557">
        <v>1212</v>
      </c>
      <c r="AD1557">
        <v>0</v>
      </c>
      <c r="AE1557">
        <v>0</v>
      </c>
      <c r="AF1557">
        <v>0</v>
      </c>
      <c r="AG1557">
        <v>55</v>
      </c>
      <c r="AH1557">
        <v>55</v>
      </c>
      <c r="AI1557">
        <v>0</v>
      </c>
      <c r="AJ1557">
        <v>0</v>
      </c>
      <c r="AK1557">
        <v>4645</v>
      </c>
      <c r="AL1557">
        <v>4645</v>
      </c>
      <c r="AM1557">
        <v>0</v>
      </c>
      <c r="AN1557">
        <v>0</v>
      </c>
      <c r="AO1557">
        <v>260</v>
      </c>
      <c r="AP1557">
        <v>0</v>
      </c>
      <c r="AQ1557">
        <v>260</v>
      </c>
      <c r="AR1557">
        <v>260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f t="shared" si="253"/>
        <v>11392</v>
      </c>
      <c r="BF1557">
        <v>6622.5</v>
      </c>
      <c r="BG1557">
        <v>6622.5</v>
      </c>
      <c r="BH1557" t="s">
        <v>82</v>
      </c>
      <c r="BI1557" t="s">
        <v>1013</v>
      </c>
      <c r="BJ1557">
        <v>1662.5</v>
      </c>
      <c r="BK1557">
        <v>4960</v>
      </c>
      <c r="BL1557">
        <v>6622.5</v>
      </c>
      <c r="BM1557">
        <v>0</v>
      </c>
      <c r="BN1557">
        <v>0</v>
      </c>
      <c r="BO1557">
        <v>0</v>
      </c>
      <c r="BP1557">
        <v>4960</v>
      </c>
      <c r="BQ1557">
        <v>4960</v>
      </c>
      <c r="BR1557">
        <f t="shared" si="254"/>
        <v>-160</v>
      </c>
      <c r="BS1557">
        <f t="shared" si="255"/>
        <v>160</v>
      </c>
    </row>
    <row r="1558" spans="1:74" x14ac:dyDescent="0.25">
      <c r="A1558" s="5" t="s">
        <v>1017</v>
      </c>
      <c r="B1558" s="5" t="s">
        <v>61</v>
      </c>
      <c r="C1558" s="5" t="s">
        <v>207</v>
      </c>
      <c r="D1558" s="1" t="s">
        <v>123</v>
      </c>
      <c r="E1558">
        <v>0</v>
      </c>
      <c r="F1558">
        <v>0</v>
      </c>
      <c r="G1558">
        <v>0</v>
      </c>
      <c r="H1558">
        <v>0</v>
      </c>
      <c r="I1558">
        <v>150</v>
      </c>
      <c r="J1558">
        <v>1875</v>
      </c>
      <c r="K1558">
        <v>412</v>
      </c>
      <c r="L1558">
        <v>215</v>
      </c>
      <c r="M1558">
        <v>0</v>
      </c>
      <c r="N1558">
        <v>0</v>
      </c>
      <c r="O1558">
        <v>0</v>
      </c>
      <c r="P1558">
        <v>0</v>
      </c>
      <c r="Q1558">
        <v>160</v>
      </c>
      <c r="R1558">
        <v>0</v>
      </c>
      <c r="S1558" s="18" t="e">
        <f t="shared" si="246"/>
        <v>#DIV/0!</v>
      </c>
      <c r="T1558" s="17" t="e">
        <f t="shared" si="247"/>
        <v>#DIV/0!</v>
      </c>
      <c r="U1558" s="17" t="e">
        <f t="shared" si="248"/>
        <v>#DIV/0!</v>
      </c>
      <c r="V1558" s="17" t="e">
        <f t="shared" si="249"/>
        <v>#DIV/0!</v>
      </c>
      <c r="W1558" s="17" t="e">
        <f t="shared" si="250"/>
        <v>#DIV/0!</v>
      </c>
      <c r="X1558" s="17" t="e">
        <f t="shared" si="251"/>
        <v>#DIV/0!</v>
      </c>
      <c r="Y1558" s="19" t="e">
        <f t="shared" si="252"/>
        <v>#DIV/0!</v>
      </c>
      <c r="Z1558">
        <v>0</v>
      </c>
      <c r="AA1558">
        <v>0</v>
      </c>
      <c r="AB1558">
        <v>0</v>
      </c>
      <c r="AC1558">
        <v>2100</v>
      </c>
      <c r="AD1558">
        <v>0</v>
      </c>
      <c r="AE1558">
        <v>0</v>
      </c>
      <c r="AF1558">
        <v>0</v>
      </c>
      <c r="AG1558">
        <v>150</v>
      </c>
      <c r="AH1558">
        <v>150</v>
      </c>
      <c r="AI1558">
        <v>0</v>
      </c>
      <c r="AJ1558">
        <v>0</v>
      </c>
      <c r="AK1558">
        <v>1875</v>
      </c>
      <c r="AL1558">
        <v>1875</v>
      </c>
      <c r="AM1558">
        <v>0</v>
      </c>
      <c r="AN1558">
        <v>0</v>
      </c>
      <c r="AO1558">
        <v>412</v>
      </c>
      <c r="AP1558">
        <v>96</v>
      </c>
      <c r="AQ1558">
        <v>412</v>
      </c>
      <c r="AR1558">
        <v>316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215</v>
      </c>
      <c r="BA1558">
        <v>215</v>
      </c>
      <c r="BB1558">
        <v>0</v>
      </c>
      <c r="BC1558">
        <v>0</v>
      </c>
      <c r="BD1558">
        <v>0</v>
      </c>
      <c r="BE1558">
        <f t="shared" si="253"/>
        <v>7816</v>
      </c>
      <c r="BF1558">
        <v>4752</v>
      </c>
      <c r="BG1558">
        <v>4752</v>
      </c>
      <c r="BH1558" t="s">
        <v>82</v>
      </c>
      <c r="BI1558" t="s">
        <v>1073</v>
      </c>
      <c r="BJ1558">
        <v>2100</v>
      </c>
      <c r="BK1558">
        <v>2652</v>
      </c>
      <c r="BL1558">
        <v>4752</v>
      </c>
      <c r="BM1558">
        <v>0</v>
      </c>
      <c r="BN1558">
        <v>0</v>
      </c>
      <c r="BO1558">
        <v>0</v>
      </c>
      <c r="BP1558">
        <v>2652</v>
      </c>
      <c r="BQ1558">
        <v>2652</v>
      </c>
      <c r="BR1558">
        <f t="shared" si="254"/>
        <v>-160</v>
      </c>
      <c r="BS1558">
        <f t="shared" si="255"/>
        <v>160</v>
      </c>
    </row>
    <row r="1559" spans="1:74" x14ac:dyDescent="0.25">
      <c r="A1559" s="5" t="s">
        <v>1017</v>
      </c>
      <c r="B1559" s="5" t="s">
        <v>207</v>
      </c>
      <c r="C1559" s="5" t="s">
        <v>207</v>
      </c>
      <c r="D1559" s="1" t="s">
        <v>77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1022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160</v>
      </c>
      <c r="R1559">
        <v>0</v>
      </c>
      <c r="S1559" s="18" t="e">
        <f t="shared" si="246"/>
        <v>#DIV/0!</v>
      </c>
      <c r="T1559" s="17" t="e">
        <f t="shared" si="247"/>
        <v>#DIV/0!</v>
      </c>
      <c r="U1559" s="17" t="e">
        <f t="shared" si="248"/>
        <v>#DIV/0!</v>
      </c>
      <c r="V1559" s="17" t="e">
        <f t="shared" si="249"/>
        <v>#DIV/0!</v>
      </c>
      <c r="W1559" s="17" t="e">
        <f t="shared" si="250"/>
        <v>#DIV/0!</v>
      </c>
      <c r="X1559" s="17" t="e">
        <f t="shared" si="251"/>
        <v>#DIV/0!</v>
      </c>
      <c r="Y1559" s="19" t="e">
        <f t="shared" si="252"/>
        <v>#DIV/0!</v>
      </c>
      <c r="Z1559">
        <v>0</v>
      </c>
      <c r="AA1559">
        <v>0</v>
      </c>
      <c r="AB1559">
        <v>0</v>
      </c>
      <c r="AC1559">
        <v>117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1022</v>
      </c>
      <c r="AN1559">
        <v>0</v>
      </c>
      <c r="AO1559">
        <v>0</v>
      </c>
      <c r="AP1559">
        <v>623</v>
      </c>
      <c r="AQ1559">
        <v>1022</v>
      </c>
      <c r="AR1559">
        <v>399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f t="shared" si="253"/>
        <v>3183</v>
      </c>
      <c r="BF1559">
        <v>1139</v>
      </c>
      <c r="BG1559">
        <v>1139</v>
      </c>
      <c r="BH1559" t="s">
        <v>190</v>
      </c>
      <c r="BI1559" t="s">
        <v>1115</v>
      </c>
      <c r="BJ1559">
        <v>117</v>
      </c>
      <c r="BK1559">
        <v>1022</v>
      </c>
      <c r="BL1559">
        <v>1139</v>
      </c>
      <c r="BM1559">
        <v>1022</v>
      </c>
      <c r="BN1559">
        <v>0</v>
      </c>
      <c r="BO1559">
        <v>0</v>
      </c>
      <c r="BP1559">
        <v>0</v>
      </c>
      <c r="BQ1559">
        <v>1022</v>
      </c>
      <c r="BR1559">
        <f t="shared" si="254"/>
        <v>-160</v>
      </c>
      <c r="BS1559">
        <f t="shared" si="255"/>
        <v>160</v>
      </c>
    </row>
    <row r="1560" spans="1:74" x14ac:dyDescent="0.25">
      <c r="A1560" s="5" t="s">
        <v>1946</v>
      </c>
      <c r="B1560" s="5" t="s">
        <v>207</v>
      </c>
      <c r="C1560" s="5" t="s">
        <v>207</v>
      </c>
      <c r="D1560" s="1" t="s">
        <v>129</v>
      </c>
      <c r="E1560">
        <v>0</v>
      </c>
      <c r="F1560">
        <v>212</v>
      </c>
      <c r="G1560">
        <v>0</v>
      </c>
      <c r="H1560">
        <v>0</v>
      </c>
      <c r="I1560">
        <v>103</v>
      </c>
      <c r="J1560">
        <v>0</v>
      </c>
      <c r="K1560">
        <v>0</v>
      </c>
      <c r="L1560">
        <v>0</v>
      </c>
      <c r="M1560">
        <v>477</v>
      </c>
      <c r="N1560">
        <v>0</v>
      </c>
      <c r="O1560">
        <v>0</v>
      </c>
      <c r="P1560">
        <v>0</v>
      </c>
      <c r="Q1560">
        <v>213</v>
      </c>
      <c r="R1560">
        <v>53</v>
      </c>
      <c r="S1560" s="18">
        <f t="shared" si="246"/>
        <v>9</v>
      </c>
      <c r="T1560" s="17">
        <f t="shared" si="247"/>
        <v>53</v>
      </c>
      <c r="U1560" s="17">
        <f t="shared" si="248"/>
        <v>0</v>
      </c>
      <c r="V1560" s="17">
        <f t="shared" si="249"/>
        <v>0</v>
      </c>
      <c r="W1560" s="17">
        <f t="shared" si="250"/>
        <v>0</v>
      </c>
      <c r="X1560" s="17">
        <f t="shared" si="251"/>
        <v>160</v>
      </c>
      <c r="Y1560" s="19">
        <f t="shared" si="252"/>
        <v>0</v>
      </c>
      <c r="Z1560">
        <v>212</v>
      </c>
      <c r="AA1560">
        <v>0</v>
      </c>
      <c r="AB1560">
        <v>0</v>
      </c>
      <c r="AC1560">
        <v>0</v>
      </c>
      <c r="AD1560">
        <v>103</v>
      </c>
      <c r="AE1560">
        <v>0</v>
      </c>
      <c r="AF1560">
        <v>0</v>
      </c>
      <c r="AG1560">
        <v>0</v>
      </c>
      <c r="AH1560">
        <v>103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f t="shared" si="253"/>
        <v>206</v>
      </c>
      <c r="BF1560">
        <v>315</v>
      </c>
      <c r="BG1560">
        <v>315</v>
      </c>
      <c r="BH1560" t="s">
        <v>109</v>
      </c>
      <c r="BI1560" t="s">
        <v>2068</v>
      </c>
      <c r="BJ1560">
        <v>0</v>
      </c>
      <c r="BK1560">
        <v>103</v>
      </c>
      <c r="BL1560">
        <v>315</v>
      </c>
      <c r="BM1560">
        <v>580</v>
      </c>
      <c r="BN1560">
        <v>0</v>
      </c>
      <c r="BO1560">
        <v>0</v>
      </c>
      <c r="BP1560">
        <v>0</v>
      </c>
      <c r="BQ1560">
        <v>580</v>
      </c>
      <c r="BR1560">
        <f t="shared" si="254"/>
        <v>-160</v>
      </c>
      <c r="BS1560">
        <f t="shared" si="255"/>
        <v>266</v>
      </c>
    </row>
    <row r="1561" spans="1:74" x14ac:dyDescent="0.25">
      <c r="A1561" s="5" t="s">
        <v>2090</v>
      </c>
      <c r="B1561" s="5" t="s">
        <v>61</v>
      </c>
      <c r="C1561" s="5" t="s">
        <v>61</v>
      </c>
      <c r="D1561" s="1" t="s">
        <v>2193</v>
      </c>
      <c r="E1561">
        <v>0</v>
      </c>
      <c r="F1561">
        <v>964</v>
      </c>
      <c r="G1561">
        <v>0</v>
      </c>
      <c r="H1561">
        <v>0</v>
      </c>
      <c r="I1561">
        <v>56</v>
      </c>
      <c r="J1561">
        <v>1400</v>
      </c>
      <c r="K1561">
        <v>507</v>
      </c>
      <c r="L1561">
        <v>260</v>
      </c>
      <c r="M1561">
        <v>0</v>
      </c>
      <c r="N1561">
        <v>0</v>
      </c>
      <c r="O1561">
        <v>0</v>
      </c>
      <c r="P1561">
        <v>1053</v>
      </c>
      <c r="Q1561">
        <v>277</v>
      </c>
      <c r="R1561">
        <v>117</v>
      </c>
      <c r="S1561" s="18">
        <f t="shared" si="246"/>
        <v>9</v>
      </c>
      <c r="T1561" s="17">
        <f t="shared" si="247"/>
        <v>0</v>
      </c>
      <c r="U1561" s="17">
        <f t="shared" si="248"/>
        <v>0</v>
      </c>
      <c r="V1561" s="17">
        <f t="shared" si="249"/>
        <v>0</v>
      </c>
      <c r="W1561" s="17">
        <f t="shared" si="250"/>
        <v>117</v>
      </c>
      <c r="X1561" s="17">
        <f t="shared" si="251"/>
        <v>160</v>
      </c>
      <c r="Y1561" s="19">
        <f t="shared" si="252"/>
        <v>0</v>
      </c>
      <c r="Z1561">
        <v>964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56</v>
      </c>
      <c r="AH1561">
        <v>56</v>
      </c>
      <c r="AI1561">
        <v>0</v>
      </c>
      <c r="AJ1561">
        <v>0</v>
      </c>
      <c r="AK1561">
        <v>1400</v>
      </c>
      <c r="AL1561">
        <v>1400</v>
      </c>
      <c r="AM1561">
        <v>0</v>
      </c>
      <c r="AN1561">
        <v>0</v>
      </c>
      <c r="AO1561">
        <v>507</v>
      </c>
      <c r="AP1561">
        <v>235</v>
      </c>
      <c r="AQ1561">
        <v>507</v>
      </c>
      <c r="AR1561">
        <v>272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260</v>
      </c>
      <c r="BA1561">
        <v>260</v>
      </c>
      <c r="BB1561">
        <v>0</v>
      </c>
      <c r="BC1561">
        <v>0</v>
      </c>
      <c r="BD1561">
        <v>0</v>
      </c>
      <c r="BE1561">
        <f t="shared" si="253"/>
        <v>4953</v>
      </c>
      <c r="BF1561">
        <v>3187</v>
      </c>
      <c r="BG1561">
        <v>3187</v>
      </c>
      <c r="BH1561" t="s">
        <v>82</v>
      </c>
      <c r="BI1561" t="s">
        <v>2194</v>
      </c>
      <c r="BJ1561">
        <v>0</v>
      </c>
      <c r="BK1561">
        <v>2223</v>
      </c>
      <c r="BL1561">
        <v>3187</v>
      </c>
      <c r="BM1561">
        <v>0</v>
      </c>
      <c r="BN1561">
        <v>0</v>
      </c>
      <c r="BO1561">
        <v>0</v>
      </c>
      <c r="BP1561">
        <v>3276</v>
      </c>
      <c r="BQ1561">
        <v>3276</v>
      </c>
      <c r="BR1561">
        <f t="shared" si="254"/>
        <v>-160</v>
      </c>
      <c r="BS1561">
        <f t="shared" si="255"/>
        <v>394</v>
      </c>
    </row>
    <row r="1562" spans="1:74" x14ac:dyDescent="0.25">
      <c r="A1562" s="5" t="s">
        <v>627</v>
      </c>
      <c r="B1562" s="5" t="s">
        <v>359</v>
      </c>
      <c r="C1562" s="5" t="s">
        <v>61</v>
      </c>
      <c r="D1562" s="1" t="s">
        <v>77</v>
      </c>
      <c r="E1562">
        <v>48</v>
      </c>
      <c r="F1562">
        <v>1779</v>
      </c>
      <c r="G1562">
        <v>0</v>
      </c>
      <c r="H1562">
        <v>0</v>
      </c>
      <c r="I1562">
        <v>449</v>
      </c>
      <c r="J1562">
        <v>6944</v>
      </c>
      <c r="K1562">
        <v>1178</v>
      </c>
      <c r="L1562">
        <v>478</v>
      </c>
      <c r="M1562">
        <v>0</v>
      </c>
      <c r="N1562">
        <v>0</v>
      </c>
      <c r="O1562">
        <v>0</v>
      </c>
      <c r="P1562">
        <v>4131</v>
      </c>
      <c r="Q1562">
        <v>621</v>
      </c>
      <c r="R1562">
        <v>459</v>
      </c>
      <c r="S1562" s="18">
        <f t="shared" si="246"/>
        <v>9</v>
      </c>
      <c r="T1562" s="17">
        <f t="shared" si="247"/>
        <v>0</v>
      </c>
      <c r="U1562" s="17">
        <f t="shared" si="248"/>
        <v>0</v>
      </c>
      <c r="V1562" s="17">
        <f t="shared" si="249"/>
        <v>0</v>
      </c>
      <c r="W1562" s="17">
        <f t="shared" si="250"/>
        <v>459</v>
      </c>
      <c r="X1562" s="17">
        <f t="shared" si="251"/>
        <v>162</v>
      </c>
      <c r="Y1562" s="19">
        <f t="shared" si="252"/>
        <v>0</v>
      </c>
      <c r="Z1562">
        <v>1779</v>
      </c>
      <c r="AA1562">
        <v>57</v>
      </c>
      <c r="AB1562">
        <v>252</v>
      </c>
      <c r="AC1562">
        <v>5173</v>
      </c>
      <c r="AD1562">
        <v>0</v>
      </c>
      <c r="AE1562">
        <v>237</v>
      </c>
      <c r="AF1562">
        <v>0</v>
      </c>
      <c r="AG1562">
        <v>212</v>
      </c>
      <c r="AH1562">
        <v>449</v>
      </c>
      <c r="AI1562">
        <v>0</v>
      </c>
      <c r="AJ1562">
        <v>3354</v>
      </c>
      <c r="AK1562">
        <v>3590</v>
      </c>
      <c r="AL1562">
        <v>6944</v>
      </c>
      <c r="AM1562">
        <v>0</v>
      </c>
      <c r="AN1562">
        <v>642</v>
      </c>
      <c r="AO1562">
        <v>536</v>
      </c>
      <c r="AP1562">
        <v>297</v>
      </c>
      <c r="AQ1562">
        <v>1178</v>
      </c>
      <c r="AR1562">
        <v>881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153</v>
      </c>
      <c r="AZ1562">
        <v>325</v>
      </c>
      <c r="BA1562">
        <v>478</v>
      </c>
      <c r="BB1562">
        <v>0</v>
      </c>
      <c r="BC1562">
        <v>0</v>
      </c>
      <c r="BD1562">
        <v>0</v>
      </c>
      <c r="BE1562">
        <f t="shared" si="253"/>
        <v>24449</v>
      </c>
      <c r="BF1562">
        <v>16358</v>
      </c>
      <c r="BG1562">
        <v>16358</v>
      </c>
      <c r="BH1562" t="s">
        <v>82</v>
      </c>
      <c r="BI1562" t="s">
        <v>853</v>
      </c>
      <c r="BJ1562">
        <v>5530</v>
      </c>
      <c r="BK1562">
        <v>9049</v>
      </c>
      <c r="BL1562">
        <v>16358</v>
      </c>
      <c r="BM1562">
        <v>0</v>
      </c>
      <c r="BN1562">
        <v>4386</v>
      </c>
      <c r="BO1562">
        <v>0</v>
      </c>
      <c r="BP1562">
        <v>8794</v>
      </c>
      <c r="BQ1562">
        <v>13180</v>
      </c>
      <c r="BR1562">
        <f t="shared" si="254"/>
        <v>-162</v>
      </c>
      <c r="BS1562">
        <f t="shared" si="255"/>
        <v>1080</v>
      </c>
    </row>
    <row r="1563" spans="1:74" x14ac:dyDescent="0.25">
      <c r="A1563" s="5" t="s">
        <v>875</v>
      </c>
      <c r="B1563" s="5" t="s">
        <v>61</v>
      </c>
      <c r="C1563" s="5" t="s">
        <v>207</v>
      </c>
      <c r="D1563" s="1" t="s">
        <v>73</v>
      </c>
      <c r="E1563">
        <v>0</v>
      </c>
      <c r="F1563">
        <v>0</v>
      </c>
      <c r="G1563">
        <v>0</v>
      </c>
      <c r="H1563">
        <v>0</v>
      </c>
      <c r="I1563">
        <v>346</v>
      </c>
      <c r="J1563">
        <v>0</v>
      </c>
      <c r="K1563">
        <v>151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84</v>
      </c>
      <c r="R1563">
        <v>0</v>
      </c>
      <c r="S1563" s="18" t="e">
        <f t="shared" si="246"/>
        <v>#DIV/0!</v>
      </c>
      <c r="T1563" s="17" t="e">
        <f t="shared" si="247"/>
        <v>#DIV/0!</v>
      </c>
      <c r="U1563" s="17" t="e">
        <f t="shared" si="248"/>
        <v>#DIV/0!</v>
      </c>
      <c r="V1563" s="17" t="e">
        <f t="shared" si="249"/>
        <v>#DIV/0!</v>
      </c>
      <c r="W1563" s="17" t="e">
        <f t="shared" si="250"/>
        <v>#DIV/0!</v>
      </c>
      <c r="X1563" s="17" t="e">
        <f t="shared" si="251"/>
        <v>#DIV/0!</v>
      </c>
      <c r="Y1563" s="19" t="e">
        <f t="shared" si="252"/>
        <v>#DIV/0!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346</v>
      </c>
      <c r="AH1563">
        <v>346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151</v>
      </c>
      <c r="AP1563">
        <v>58</v>
      </c>
      <c r="AQ1563">
        <v>151</v>
      </c>
      <c r="AR1563">
        <v>93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f t="shared" si="253"/>
        <v>1145</v>
      </c>
      <c r="BF1563">
        <v>497</v>
      </c>
      <c r="BG1563">
        <v>497</v>
      </c>
      <c r="BH1563" t="s">
        <v>63</v>
      </c>
      <c r="BI1563" t="s">
        <v>881</v>
      </c>
      <c r="BJ1563">
        <v>0</v>
      </c>
      <c r="BK1563">
        <v>497</v>
      </c>
      <c r="BL1563">
        <v>497</v>
      </c>
      <c r="BM1563">
        <v>0</v>
      </c>
      <c r="BN1563">
        <v>0</v>
      </c>
      <c r="BO1563">
        <v>0</v>
      </c>
      <c r="BP1563">
        <v>497</v>
      </c>
      <c r="BQ1563">
        <v>497</v>
      </c>
      <c r="BR1563">
        <f t="shared" si="254"/>
        <v>-84</v>
      </c>
      <c r="BS1563">
        <f t="shared" si="255"/>
        <v>84</v>
      </c>
      <c r="BU1563">
        <f>R1563*9</f>
        <v>0</v>
      </c>
      <c r="BV1563">
        <f>IF(BU1563&gt;BG1563, 1, 0)</f>
        <v>0</v>
      </c>
    </row>
    <row r="1564" spans="1:74" x14ac:dyDescent="0.25">
      <c r="A1564" s="5" t="s">
        <v>1661</v>
      </c>
      <c r="B1564" s="5" t="s">
        <v>207</v>
      </c>
      <c r="C1564" s="5" t="s">
        <v>207</v>
      </c>
      <c r="D1564" s="1" t="s">
        <v>175</v>
      </c>
      <c r="E1564">
        <v>0</v>
      </c>
      <c r="F1564">
        <v>490</v>
      </c>
      <c r="G1564">
        <v>0</v>
      </c>
      <c r="H1564">
        <v>0</v>
      </c>
      <c r="I1564">
        <v>215</v>
      </c>
      <c r="J1564">
        <v>2410</v>
      </c>
      <c r="K1564">
        <v>150</v>
      </c>
      <c r="L1564">
        <v>0</v>
      </c>
      <c r="M1564">
        <v>0</v>
      </c>
      <c r="N1564">
        <v>0</v>
      </c>
      <c r="O1564">
        <v>0</v>
      </c>
      <c r="P1564">
        <v>1818</v>
      </c>
      <c r="Q1564">
        <v>364</v>
      </c>
      <c r="R1564">
        <v>202</v>
      </c>
      <c r="S1564" s="18">
        <f t="shared" si="246"/>
        <v>9</v>
      </c>
      <c r="T1564" s="17">
        <f t="shared" si="247"/>
        <v>0</v>
      </c>
      <c r="U1564" s="17">
        <f t="shared" si="248"/>
        <v>0</v>
      </c>
      <c r="V1564" s="17">
        <f t="shared" si="249"/>
        <v>0</v>
      </c>
      <c r="W1564" s="17">
        <f t="shared" si="250"/>
        <v>202</v>
      </c>
      <c r="X1564" s="17">
        <f t="shared" si="251"/>
        <v>162</v>
      </c>
      <c r="Y1564" s="19">
        <f t="shared" si="252"/>
        <v>0</v>
      </c>
      <c r="Z1564">
        <v>490</v>
      </c>
      <c r="AA1564">
        <v>0</v>
      </c>
      <c r="AB1564">
        <v>200</v>
      </c>
      <c r="AC1564">
        <v>3210</v>
      </c>
      <c r="AD1564">
        <v>0</v>
      </c>
      <c r="AE1564">
        <v>0</v>
      </c>
      <c r="AF1564">
        <v>0</v>
      </c>
      <c r="AG1564">
        <v>215</v>
      </c>
      <c r="AH1564">
        <v>215</v>
      </c>
      <c r="AI1564">
        <v>0</v>
      </c>
      <c r="AJ1564">
        <v>0</v>
      </c>
      <c r="AK1564">
        <v>2410</v>
      </c>
      <c r="AL1564">
        <v>2410</v>
      </c>
      <c r="AM1564">
        <v>0</v>
      </c>
      <c r="AN1564">
        <v>0</v>
      </c>
      <c r="AO1564">
        <v>150</v>
      </c>
      <c r="AP1564">
        <v>117</v>
      </c>
      <c r="AQ1564">
        <v>150</v>
      </c>
      <c r="AR1564">
        <v>33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f t="shared" si="253"/>
        <v>8910</v>
      </c>
      <c r="BF1564">
        <v>6675</v>
      </c>
      <c r="BG1564">
        <v>6675</v>
      </c>
      <c r="BH1564" t="s">
        <v>82</v>
      </c>
      <c r="BI1564" t="s">
        <v>1845</v>
      </c>
      <c r="BJ1564">
        <v>3410</v>
      </c>
      <c r="BK1564">
        <v>2775</v>
      </c>
      <c r="BL1564">
        <v>6675</v>
      </c>
      <c r="BM1564">
        <v>0</v>
      </c>
      <c r="BN1564">
        <v>0</v>
      </c>
      <c r="BO1564">
        <v>0</v>
      </c>
      <c r="BP1564">
        <v>4593</v>
      </c>
      <c r="BQ1564">
        <v>4593</v>
      </c>
      <c r="BR1564">
        <f t="shared" si="254"/>
        <v>-162</v>
      </c>
      <c r="BS1564">
        <f t="shared" si="255"/>
        <v>566</v>
      </c>
    </row>
    <row r="1565" spans="1:74" x14ac:dyDescent="0.25">
      <c r="A1565" s="5" t="s">
        <v>1451</v>
      </c>
      <c r="B1565" s="5" t="s">
        <v>61</v>
      </c>
      <c r="C1565" s="5" t="s">
        <v>207</v>
      </c>
      <c r="D1565" s="1" t="s">
        <v>92</v>
      </c>
      <c r="E1565">
        <v>0</v>
      </c>
      <c r="F1565">
        <v>1476</v>
      </c>
      <c r="G1565">
        <v>0</v>
      </c>
      <c r="H1565">
        <v>0</v>
      </c>
      <c r="I1565">
        <v>264</v>
      </c>
      <c r="J1565">
        <v>3500</v>
      </c>
      <c r="K1565">
        <v>196</v>
      </c>
      <c r="L1565">
        <v>40</v>
      </c>
      <c r="M1565">
        <v>693</v>
      </c>
      <c r="N1565">
        <v>0</v>
      </c>
      <c r="O1565">
        <v>0</v>
      </c>
      <c r="P1565">
        <v>3465</v>
      </c>
      <c r="Q1565">
        <v>625</v>
      </c>
      <c r="R1565">
        <v>462</v>
      </c>
      <c r="S1565" s="18">
        <f t="shared" si="246"/>
        <v>9</v>
      </c>
      <c r="T1565" s="17">
        <f t="shared" si="247"/>
        <v>77</v>
      </c>
      <c r="U1565" s="17">
        <f t="shared" si="248"/>
        <v>0</v>
      </c>
      <c r="V1565" s="17">
        <f t="shared" si="249"/>
        <v>0</v>
      </c>
      <c r="W1565" s="17">
        <f t="shared" si="250"/>
        <v>385</v>
      </c>
      <c r="X1565" s="17">
        <f t="shared" si="251"/>
        <v>163</v>
      </c>
      <c r="Y1565" s="19">
        <f t="shared" si="252"/>
        <v>0</v>
      </c>
      <c r="Z1565">
        <v>1476</v>
      </c>
      <c r="AA1565">
        <v>6</v>
      </c>
      <c r="AB1565">
        <v>200</v>
      </c>
      <c r="AC1565">
        <v>1750</v>
      </c>
      <c r="AD1565">
        <v>0</v>
      </c>
      <c r="AE1565">
        <v>0</v>
      </c>
      <c r="AF1565">
        <v>0</v>
      </c>
      <c r="AG1565">
        <v>264</v>
      </c>
      <c r="AH1565">
        <v>264</v>
      </c>
      <c r="AI1565">
        <v>0</v>
      </c>
      <c r="AJ1565">
        <v>0</v>
      </c>
      <c r="AK1565">
        <v>3500</v>
      </c>
      <c r="AL1565">
        <v>3500</v>
      </c>
      <c r="AM1565">
        <v>0</v>
      </c>
      <c r="AN1565">
        <v>0</v>
      </c>
      <c r="AO1565">
        <v>196</v>
      </c>
      <c r="AP1565">
        <v>82</v>
      </c>
      <c r="AQ1565">
        <v>196</v>
      </c>
      <c r="AR1565">
        <v>114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40</v>
      </c>
      <c r="BA1565">
        <v>40</v>
      </c>
      <c r="BB1565">
        <v>0</v>
      </c>
      <c r="BC1565">
        <v>0</v>
      </c>
      <c r="BD1565">
        <v>0</v>
      </c>
      <c r="BE1565">
        <f t="shared" si="253"/>
        <v>9946</v>
      </c>
      <c r="BF1565">
        <v>7432</v>
      </c>
      <c r="BG1565">
        <v>7432</v>
      </c>
      <c r="BH1565" t="s">
        <v>82</v>
      </c>
      <c r="BI1565" t="s">
        <v>1484</v>
      </c>
      <c r="BJ1565">
        <v>1956</v>
      </c>
      <c r="BK1565">
        <v>4000</v>
      </c>
      <c r="BL1565">
        <v>7432</v>
      </c>
      <c r="BM1565">
        <v>693</v>
      </c>
      <c r="BN1565">
        <v>0</v>
      </c>
      <c r="BO1565">
        <v>0</v>
      </c>
      <c r="BP1565">
        <v>7465</v>
      </c>
      <c r="BQ1565">
        <v>8158</v>
      </c>
      <c r="BR1565">
        <f t="shared" si="254"/>
        <v>-163</v>
      </c>
      <c r="BS1565">
        <f t="shared" si="255"/>
        <v>1087</v>
      </c>
    </row>
    <row r="1566" spans="1:74" x14ac:dyDescent="0.25">
      <c r="A1566" s="5" t="s">
        <v>2294</v>
      </c>
      <c r="B1566" s="5" t="s">
        <v>61</v>
      </c>
      <c r="C1566" s="5" t="s">
        <v>61</v>
      </c>
      <c r="D1566" s="1" t="s">
        <v>67</v>
      </c>
      <c r="E1566">
        <v>0</v>
      </c>
      <c r="F1566">
        <v>0</v>
      </c>
      <c r="G1566">
        <v>0</v>
      </c>
      <c r="H1566">
        <v>0</v>
      </c>
      <c r="I1566">
        <v>433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84</v>
      </c>
      <c r="R1566">
        <v>0</v>
      </c>
      <c r="S1566" s="18" t="e">
        <f t="shared" si="246"/>
        <v>#DIV/0!</v>
      </c>
      <c r="T1566" s="17" t="e">
        <f t="shared" si="247"/>
        <v>#DIV/0!</v>
      </c>
      <c r="U1566" s="17" t="e">
        <f t="shared" si="248"/>
        <v>#DIV/0!</v>
      </c>
      <c r="V1566" s="17" t="e">
        <f t="shared" si="249"/>
        <v>#DIV/0!</v>
      </c>
      <c r="W1566" s="17" t="e">
        <f t="shared" si="250"/>
        <v>#DIV/0!</v>
      </c>
      <c r="X1566" s="17" t="e">
        <f t="shared" si="251"/>
        <v>#DIV/0!</v>
      </c>
      <c r="Y1566" s="19" t="e">
        <f t="shared" si="252"/>
        <v>#DIV/0!</v>
      </c>
      <c r="Z1566">
        <v>0</v>
      </c>
      <c r="AA1566">
        <v>0</v>
      </c>
      <c r="AB1566">
        <v>0</v>
      </c>
      <c r="AC1566">
        <v>33</v>
      </c>
      <c r="AD1566">
        <v>0</v>
      </c>
      <c r="AE1566">
        <v>0</v>
      </c>
      <c r="AF1566">
        <v>0</v>
      </c>
      <c r="AG1566">
        <v>433</v>
      </c>
      <c r="AH1566">
        <v>433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f t="shared" si="253"/>
        <v>899</v>
      </c>
      <c r="BF1566">
        <v>466</v>
      </c>
      <c r="BG1566">
        <v>466</v>
      </c>
      <c r="BH1566" t="s">
        <v>63</v>
      </c>
      <c r="BI1566" t="s">
        <v>2297</v>
      </c>
      <c r="BJ1566">
        <v>33</v>
      </c>
      <c r="BK1566">
        <v>433</v>
      </c>
      <c r="BL1566">
        <v>466</v>
      </c>
      <c r="BM1566">
        <v>0</v>
      </c>
      <c r="BN1566">
        <v>0</v>
      </c>
      <c r="BO1566">
        <v>0</v>
      </c>
      <c r="BP1566">
        <v>433</v>
      </c>
      <c r="BQ1566">
        <v>433</v>
      </c>
      <c r="BR1566">
        <f t="shared" si="254"/>
        <v>-84</v>
      </c>
      <c r="BS1566">
        <f t="shared" si="255"/>
        <v>84</v>
      </c>
      <c r="BU1566">
        <f>R1566*9</f>
        <v>0</v>
      </c>
      <c r="BV1566">
        <f>IF(BU1566&gt;BG1566, 1, 0)</f>
        <v>0</v>
      </c>
    </row>
    <row r="1567" spans="1:74" x14ac:dyDescent="0.25">
      <c r="A1567" s="5" t="s">
        <v>61</v>
      </c>
      <c r="B1567" s="5" t="s">
        <v>61</v>
      </c>
      <c r="C1567" s="5" t="s">
        <v>61</v>
      </c>
      <c r="D1567" s="1" t="s">
        <v>133</v>
      </c>
      <c r="E1567">
        <v>0</v>
      </c>
      <c r="F1567">
        <v>63</v>
      </c>
      <c r="G1567">
        <v>0</v>
      </c>
      <c r="H1567">
        <v>0</v>
      </c>
      <c r="I1567">
        <v>192</v>
      </c>
      <c r="J1567">
        <v>0</v>
      </c>
      <c r="K1567">
        <v>0</v>
      </c>
      <c r="L1567">
        <v>0</v>
      </c>
      <c r="M1567">
        <v>378</v>
      </c>
      <c r="N1567">
        <v>0</v>
      </c>
      <c r="O1567">
        <v>0</v>
      </c>
      <c r="P1567">
        <v>0</v>
      </c>
      <c r="Q1567">
        <v>206</v>
      </c>
      <c r="R1567">
        <v>42</v>
      </c>
      <c r="S1567" s="18">
        <f t="shared" si="246"/>
        <v>9</v>
      </c>
      <c r="T1567" s="17">
        <f t="shared" si="247"/>
        <v>42</v>
      </c>
      <c r="U1567" s="17">
        <f t="shared" si="248"/>
        <v>0</v>
      </c>
      <c r="V1567" s="17">
        <f t="shared" si="249"/>
        <v>0</v>
      </c>
      <c r="W1567" s="17">
        <f t="shared" si="250"/>
        <v>0</v>
      </c>
      <c r="X1567" s="17">
        <f t="shared" si="251"/>
        <v>164</v>
      </c>
      <c r="Y1567" s="19">
        <f t="shared" si="252"/>
        <v>0</v>
      </c>
      <c r="Z1567">
        <v>63</v>
      </c>
      <c r="AA1567">
        <v>0</v>
      </c>
      <c r="AB1567">
        <v>0</v>
      </c>
      <c r="AC1567">
        <v>0</v>
      </c>
      <c r="AD1567">
        <v>192</v>
      </c>
      <c r="AE1567">
        <v>0</v>
      </c>
      <c r="AF1567">
        <v>0</v>
      </c>
      <c r="AG1567">
        <v>0</v>
      </c>
      <c r="AH1567">
        <v>192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f t="shared" si="253"/>
        <v>384</v>
      </c>
      <c r="BF1567">
        <v>255</v>
      </c>
      <c r="BG1567">
        <v>255</v>
      </c>
      <c r="BH1567" t="s">
        <v>109</v>
      </c>
      <c r="BI1567" t="s">
        <v>134</v>
      </c>
      <c r="BJ1567">
        <v>0</v>
      </c>
      <c r="BK1567">
        <v>192</v>
      </c>
      <c r="BL1567">
        <v>255</v>
      </c>
      <c r="BM1567">
        <v>570</v>
      </c>
      <c r="BN1567">
        <v>0</v>
      </c>
      <c r="BO1567">
        <v>0</v>
      </c>
      <c r="BP1567">
        <v>0</v>
      </c>
      <c r="BQ1567">
        <v>570</v>
      </c>
      <c r="BR1567">
        <f t="shared" si="254"/>
        <v>-164</v>
      </c>
      <c r="BS1567">
        <f t="shared" si="255"/>
        <v>248</v>
      </c>
    </row>
    <row r="1568" spans="1:74" x14ac:dyDescent="0.25">
      <c r="A1568" s="5" t="s">
        <v>61</v>
      </c>
      <c r="B1568" s="5" t="s">
        <v>207</v>
      </c>
      <c r="C1568" s="5" t="s">
        <v>61</v>
      </c>
      <c r="D1568" s="1" t="s">
        <v>98</v>
      </c>
      <c r="E1568">
        <v>0</v>
      </c>
      <c r="F1568">
        <v>32</v>
      </c>
      <c r="G1568">
        <v>0</v>
      </c>
      <c r="H1568">
        <v>0</v>
      </c>
      <c r="I1568">
        <v>96</v>
      </c>
      <c r="J1568">
        <v>1920</v>
      </c>
      <c r="K1568">
        <v>308</v>
      </c>
      <c r="L1568">
        <v>118</v>
      </c>
      <c r="M1568">
        <v>0</v>
      </c>
      <c r="N1568">
        <v>0</v>
      </c>
      <c r="O1568">
        <v>0</v>
      </c>
      <c r="P1568">
        <v>135</v>
      </c>
      <c r="Q1568">
        <v>179</v>
      </c>
      <c r="R1568">
        <v>15</v>
      </c>
      <c r="S1568" s="18">
        <f t="shared" si="246"/>
        <v>9</v>
      </c>
      <c r="T1568" s="17">
        <f t="shared" si="247"/>
        <v>0</v>
      </c>
      <c r="U1568" s="17">
        <f t="shared" si="248"/>
        <v>0</v>
      </c>
      <c r="V1568" s="17">
        <f t="shared" si="249"/>
        <v>0</v>
      </c>
      <c r="W1568" s="17">
        <f t="shared" si="250"/>
        <v>15</v>
      </c>
      <c r="X1568" s="17">
        <f t="shared" si="251"/>
        <v>164</v>
      </c>
      <c r="Y1568" s="19">
        <f t="shared" si="252"/>
        <v>0</v>
      </c>
      <c r="Z1568">
        <v>32</v>
      </c>
      <c r="AA1568">
        <v>6</v>
      </c>
      <c r="AB1568">
        <v>0</v>
      </c>
      <c r="AC1568">
        <v>1404</v>
      </c>
      <c r="AD1568">
        <v>0</v>
      </c>
      <c r="AE1568">
        <v>0</v>
      </c>
      <c r="AF1568">
        <v>0</v>
      </c>
      <c r="AG1568">
        <v>96</v>
      </c>
      <c r="AH1568">
        <v>96</v>
      </c>
      <c r="AI1568">
        <v>0</v>
      </c>
      <c r="AJ1568">
        <v>0</v>
      </c>
      <c r="AK1568">
        <v>1920</v>
      </c>
      <c r="AL1568">
        <v>1920</v>
      </c>
      <c r="AM1568">
        <v>0</v>
      </c>
      <c r="AN1568">
        <v>0</v>
      </c>
      <c r="AO1568">
        <v>308</v>
      </c>
      <c r="AP1568">
        <v>160</v>
      </c>
      <c r="AQ1568">
        <v>308</v>
      </c>
      <c r="AR1568">
        <v>148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118</v>
      </c>
      <c r="BA1568">
        <v>118</v>
      </c>
      <c r="BB1568">
        <v>0</v>
      </c>
      <c r="BC1568">
        <v>0</v>
      </c>
      <c r="BD1568">
        <v>0</v>
      </c>
      <c r="BE1568">
        <f t="shared" si="253"/>
        <v>6596</v>
      </c>
      <c r="BF1568">
        <v>3884</v>
      </c>
      <c r="BG1568">
        <v>3884</v>
      </c>
      <c r="BH1568" t="s">
        <v>82</v>
      </c>
      <c r="BI1568" t="s">
        <v>225</v>
      </c>
      <c r="BJ1568">
        <v>1410</v>
      </c>
      <c r="BK1568">
        <v>2442</v>
      </c>
      <c r="BL1568">
        <v>3884</v>
      </c>
      <c r="BM1568">
        <v>0</v>
      </c>
      <c r="BN1568">
        <v>0</v>
      </c>
      <c r="BO1568">
        <v>0</v>
      </c>
      <c r="BP1568">
        <v>2577</v>
      </c>
      <c r="BQ1568">
        <v>2577</v>
      </c>
      <c r="BR1568">
        <f t="shared" si="254"/>
        <v>-164</v>
      </c>
      <c r="BS1568">
        <f t="shared" si="255"/>
        <v>194</v>
      </c>
    </row>
    <row r="1569" spans="1:74" x14ac:dyDescent="0.25">
      <c r="A1569" s="5" t="s">
        <v>1661</v>
      </c>
      <c r="B1569" s="5" t="s">
        <v>61</v>
      </c>
      <c r="C1569" s="5" t="s">
        <v>61</v>
      </c>
      <c r="D1569" s="1" t="s">
        <v>77</v>
      </c>
      <c r="E1569">
        <v>0</v>
      </c>
      <c r="F1569">
        <v>0</v>
      </c>
      <c r="G1569">
        <v>0</v>
      </c>
      <c r="H1569">
        <v>0</v>
      </c>
      <c r="I1569">
        <v>93</v>
      </c>
      <c r="J1569">
        <v>1670</v>
      </c>
      <c r="K1569">
        <v>58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164</v>
      </c>
      <c r="R1569">
        <v>0</v>
      </c>
      <c r="S1569" s="18" t="e">
        <f t="shared" si="246"/>
        <v>#DIV/0!</v>
      </c>
      <c r="T1569" s="17" t="e">
        <f t="shared" si="247"/>
        <v>#DIV/0!</v>
      </c>
      <c r="U1569" s="17" t="e">
        <f t="shared" si="248"/>
        <v>#DIV/0!</v>
      </c>
      <c r="V1569" s="17" t="e">
        <f t="shared" si="249"/>
        <v>#DIV/0!</v>
      </c>
      <c r="W1569" s="17" t="e">
        <f t="shared" si="250"/>
        <v>#DIV/0!</v>
      </c>
      <c r="X1569" s="17" t="e">
        <f t="shared" si="251"/>
        <v>#DIV/0!</v>
      </c>
      <c r="Y1569" s="19" t="e">
        <f t="shared" si="252"/>
        <v>#DIV/0!</v>
      </c>
      <c r="Z1569">
        <v>0</v>
      </c>
      <c r="AA1569">
        <v>0</v>
      </c>
      <c r="AB1569">
        <v>95</v>
      </c>
      <c r="AC1569">
        <v>1200</v>
      </c>
      <c r="AD1569">
        <v>0</v>
      </c>
      <c r="AE1569">
        <v>0</v>
      </c>
      <c r="AF1569">
        <v>0</v>
      </c>
      <c r="AG1569">
        <v>93</v>
      </c>
      <c r="AH1569">
        <v>93</v>
      </c>
      <c r="AI1569">
        <v>0</v>
      </c>
      <c r="AJ1569">
        <v>0</v>
      </c>
      <c r="AK1569">
        <v>1670</v>
      </c>
      <c r="AL1569">
        <v>1670</v>
      </c>
      <c r="AM1569">
        <v>0</v>
      </c>
      <c r="AN1569">
        <v>0</v>
      </c>
      <c r="AO1569">
        <v>58</v>
      </c>
      <c r="AP1569">
        <v>14</v>
      </c>
      <c r="AQ1569">
        <v>58</v>
      </c>
      <c r="AR1569">
        <v>44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f t="shared" si="253"/>
        <v>4900</v>
      </c>
      <c r="BF1569">
        <v>3116</v>
      </c>
      <c r="BG1569">
        <v>3116</v>
      </c>
      <c r="BH1569" t="s">
        <v>82</v>
      </c>
      <c r="BI1569" t="s">
        <v>369</v>
      </c>
      <c r="BJ1569">
        <v>1295</v>
      </c>
      <c r="BK1569">
        <v>1821</v>
      </c>
      <c r="BL1569">
        <v>3116</v>
      </c>
      <c r="BM1569">
        <v>0</v>
      </c>
      <c r="BN1569">
        <v>0</v>
      </c>
      <c r="BO1569">
        <v>0</v>
      </c>
      <c r="BP1569">
        <v>1821</v>
      </c>
      <c r="BQ1569">
        <v>1821</v>
      </c>
      <c r="BR1569">
        <f t="shared" si="254"/>
        <v>-164</v>
      </c>
      <c r="BS1569">
        <f t="shared" si="255"/>
        <v>164</v>
      </c>
    </row>
    <row r="1570" spans="1:74" x14ac:dyDescent="0.25">
      <c r="A1570" s="5" t="s">
        <v>1661</v>
      </c>
      <c r="B1570" s="5" t="s">
        <v>207</v>
      </c>
      <c r="C1570" s="5" t="s">
        <v>207</v>
      </c>
      <c r="D1570" s="1" t="s">
        <v>88</v>
      </c>
      <c r="E1570">
        <v>0</v>
      </c>
      <c r="F1570">
        <v>0</v>
      </c>
      <c r="G1570">
        <v>0</v>
      </c>
      <c r="H1570">
        <v>0</v>
      </c>
      <c r="I1570">
        <v>80</v>
      </c>
      <c r="J1570">
        <v>2185</v>
      </c>
      <c r="K1570">
        <v>105</v>
      </c>
      <c r="L1570">
        <v>12</v>
      </c>
      <c r="M1570">
        <v>0</v>
      </c>
      <c r="N1570">
        <v>0</v>
      </c>
      <c r="O1570">
        <v>0</v>
      </c>
      <c r="P1570">
        <v>0</v>
      </c>
      <c r="Q1570">
        <v>164</v>
      </c>
      <c r="R1570">
        <v>0</v>
      </c>
      <c r="S1570" s="18" t="e">
        <f t="shared" si="246"/>
        <v>#DIV/0!</v>
      </c>
      <c r="T1570" s="17" t="e">
        <f t="shared" si="247"/>
        <v>#DIV/0!</v>
      </c>
      <c r="U1570" s="17" t="e">
        <f t="shared" si="248"/>
        <v>#DIV/0!</v>
      </c>
      <c r="V1570" s="17" t="e">
        <f t="shared" si="249"/>
        <v>#DIV/0!</v>
      </c>
      <c r="W1570" s="17" t="e">
        <f t="shared" si="250"/>
        <v>#DIV/0!</v>
      </c>
      <c r="X1570" s="17" t="e">
        <f t="shared" si="251"/>
        <v>#DIV/0!</v>
      </c>
      <c r="Y1570" s="19" t="e">
        <f t="shared" si="252"/>
        <v>#DIV/0!</v>
      </c>
      <c r="Z1570">
        <v>0</v>
      </c>
      <c r="AA1570">
        <v>0</v>
      </c>
      <c r="AB1570">
        <v>195</v>
      </c>
      <c r="AC1570">
        <v>2299</v>
      </c>
      <c r="AD1570">
        <v>0</v>
      </c>
      <c r="AE1570">
        <v>0</v>
      </c>
      <c r="AF1570">
        <v>0</v>
      </c>
      <c r="AG1570">
        <v>80</v>
      </c>
      <c r="AH1570">
        <v>80</v>
      </c>
      <c r="AI1570">
        <v>0</v>
      </c>
      <c r="AJ1570">
        <v>0</v>
      </c>
      <c r="AK1570">
        <v>2185</v>
      </c>
      <c r="AL1570">
        <v>2185</v>
      </c>
      <c r="AM1570">
        <v>0</v>
      </c>
      <c r="AN1570">
        <v>0</v>
      </c>
      <c r="AO1570">
        <v>105</v>
      </c>
      <c r="AP1570">
        <v>5</v>
      </c>
      <c r="AQ1570">
        <v>105</v>
      </c>
      <c r="AR1570">
        <v>100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12</v>
      </c>
      <c r="BA1570">
        <v>12</v>
      </c>
      <c r="BB1570">
        <v>0</v>
      </c>
      <c r="BC1570">
        <v>0</v>
      </c>
      <c r="BD1570">
        <v>0</v>
      </c>
      <c r="BE1570">
        <f t="shared" si="253"/>
        <v>7168</v>
      </c>
      <c r="BF1570">
        <v>4876</v>
      </c>
      <c r="BG1570">
        <v>4876</v>
      </c>
      <c r="BH1570" t="s">
        <v>82</v>
      </c>
      <c r="BI1570" t="s">
        <v>1806</v>
      </c>
      <c r="BJ1570">
        <v>2494</v>
      </c>
      <c r="BK1570">
        <v>2382</v>
      </c>
      <c r="BL1570">
        <v>4876</v>
      </c>
      <c r="BM1570">
        <v>0</v>
      </c>
      <c r="BN1570">
        <v>0</v>
      </c>
      <c r="BO1570">
        <v>0</v>
      </c>
      <c r="BP1570">
        <v>2382</v>
      </c>
      <c r="BQ1570">
        <v>2382</v>
      </c>
      <c r="BR1570">
        <f t="shared" si="254"/>
        <v>-164</v>
      </c>
      <c r="BS1570">
        <f t="shared" si="255"/>
        <v>164</v>
      </c>
    </row>
    <row r="1571" spans="1:74" x14ac:dyDescent="0.25">
      <c r="A1571" s="5" t="s">
        <v>2090</v>
      </c>
      <c r="B1571" s="5" t="s">
        <v>359</v>
      </c>
      <c r="C1571" s="5" t="s">
        <v>61</v>
      </c>
      <c r="D1571" s="1" t="s">
        <v>77</v>
      </c>
      <c r="E1571">
        <v>0</v>
      </c>
      <c r="F1571">
        <v>100</v>
      </c>
      <c r="G1571">
        <v>0</v>
      </c>
      <c r="H1571">
        <v>0</v>
      </c>
      <c r="I1571">
        <v>60</v>
      </c>
      <c r="J1571">
        <v>4000</v>
      </c>
      <c r="K1571">
        <v>600</v>
      </c>
      <c r="L1571">
        <v>340</v>
      </c>
      <c r="M1571">
        <v>0</v>
      </c>
      <c r="N1571">
        <v>0</v>
      </c>
      <c r="O1571">
        <v>0</v>
      </c>
      <c r="P1571">
        <v>1350</v>
      </c>
      <c r="Q1571">
        <v>314</v>
      </c>
      <c r="R1571">
        <v>150</v>
      </c>
      <c r="S1571" s="18">
        <f t="shared" si="246"/>
        <v>9</v>
      </c>
      <c r="T1571" s="17">
        <f t="shared" si="247"/>
        <v>0</v>
      </c>
      <c r="U1571" s="17">
        <f t="shared" si="248"/>
        <v>0</v>
      </c>
      <c r="V1571" s="17">
        <f t="shared" si="249"/>
        <v>0</v>
      </c>
      <c r="W1571" s="17">
        <f t="shared" si="250"/>
        <v>150</v>
      </c>
      <c r="X1571" s="17">
        <f t="shared" si="251"/>
        <v>164</v>
      </c>
      <c r="Y1571" s="19">
        <f t="shared" si="252"/>
        <v>0</v>
      </c>
      <c r="Z1571">
        <v>100</v>
      </c>
      <c r="AA1571">
        <v>0</v>
      </c>
      <c r="AB1571">
        <v>0</v>
      </c>
      <c r="AC1571">
        <v>500</v>
      </c>
      <c r="AD1571">
        <v>0</v>
      </c>
      <c r="AE1571">
        <v>0</v>
      </c>
      <c r="AF1571">
        <v>0</v>
      </c>
      <c r="AG1571">
        <v>60</v>
      </c>
      <c r="AH1571">
        <v>60</v>
      </c>
      <c r="AI1571">
        <v>0</v>
      </c>
      <c r="AJ1571">
        <v>0</v>
      </c>
      <c r="AK1571">
        <v>4000</v>
      </c>
      <c r="AL1571">
        <v>4000</v>
      </c>
      <c r="AM1571">
        <v>0</v>
      </c>
      <c r="AN1571">
        <v>0</v>
      </c>
      <c r="AO1571">
        <v>600</v>
      </c>
      <c r="AP1571">
        <v>300</v>
      </c>
      <c r="AQ1571">
        <v>600</v>
      </c>
      <c r="AR1571">
        <v>300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340</v>
      </c>
      <c r="BA1571">
        <v>340</v>
      </c>
      <c r="BB1571">
        <v>0</v>
      </c>
      <c r="BC1571">
        <v>0</v>
      </c>
      <c r="BD1571">
        <v>0</v>
      </c>
      <c r="BE1571">
        <f t="shared" si="253"/>
        <v>11100</v>
      </c>
      <c r="BF1571">
        <v>5600</v>
      </c>
      <c r="BG1571">
        <v>5600</v>
      </c>
      <c r="BH1571" t="s">
        <v>190</v>
      </c>
      <c r="BI1571" t="s">
        <v>2287</v>
      </c>
      <c r="BJ1571">
        <v>500</v>
      </c>
      <c r="BK1571">
        <v>5000</v>
      </c>
      <c r="BL1571">
        <v>5600</v>
      </c>
      <c r="BM1571">
        <v>0</v>
      </c>
      <c r="BN1571">
        <v>0</v>
      </c>
      <c r="BO1571">
        <v>0</v>
      </c>
      <c r="BP1571">
        <v>6350</v>
      </c>
      <c r="BQ1571">
        <v>6350</v>
      </c>
      <c r="BR1571">
        <f t="shared" si="254"/>
        <v>-164</v>
      </c>
      <c r="BS1571">
        <f t="shared" si="255"/>
        <v>464</v>
      </c>
    </row>
    <row r="1572" spans="1:74" x14ac:dyDescent="0.25">
      <c r="A1572" s="5" t="s">
        <v>61</v>
      </c>
      <c r="B1572" s="5" t="s">
        <v>207</v>
      </c>
      <c r="C1572" s="5" t="s">
        <v>61</v>
      </c>
      <c r="D1572" s="1" t="s">
        <v>127</v>
      </c>
      <c r="E1572">
        <v>0</v>
      </c>
      <c r="F1572">
        <v>67</v>
      </c>
      <c r="G1572">
        <v>0</v>
      </c>
      <c r="H1572">
        <v>0</v>
      </c>
      <c r="I1572">
        <v>729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603</v>
      </c>
      <c r="Q1572">
        <v>232</v>
      </c>
      <c r="R1572">
        <v>67</v>
      </c>
      <c r="S1572" s="18">
        <f t="shared" si="246"/>
        <v>9</v>
      </c>
      <c r="T1572" s="17">
        <f t="shared" si="247"/>
        <v>0</v>
      </c>
      <c r="U1572" s="17">
        <f t="shared" si="248"/>
        <v>0</v>
      </c>
      <c r="V1572" s="17">
        <f t="shared" si="249"/>
        <v>0</v>
      </c>
      <c r="W1572" s="17">
        <f t="shared" si="250"/>
        <v>67</v>
      </c>
      <c r="X1572" s="17">
        <f t="shared" si="251"/>
        <v>165</v>
      </c>
      <c r="Y1572" s="19">
        <f t="shared" si="252"/>
        <v>0</v>
      </c>
      <c r="Z1572">
        <v>67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729</v>
      </c>
      <c r="AH1572">
        <v>729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f t="shared" si="253"/>
        <v>1458</v>
      </c>
      <c r="BF1572">
        <v>796</v>
      </c>
      <c r="BG1572">
        <v>796</v>
      </c>
      <c r="BH1572" t="s">
        <v>109</v>
      </c>
      <c r="BI1572" t="s">
        <v>240</v>
      </c>
      <c r="BJ1572">
        <v>0</v>
      </c>
      <c r="BK1572">
        <v>729</v>
      </c>
      <c r="BL1572">
        <v>796</v>
      </c>
      <c r="BM1572">
        <v>0</v>
      </c>
      <c r="BN1572">
        <v>0</v>
      </c>
      <c r="BO1572">
        <v>0</v>
      </c>
      <c r="BP1572">
        <v>1332</v>
      </c>
      <c r="BQ1572">
        <v>1332</v>
      </c>
      <c r="BR1572">
        <f t="shared" si="254"/>
        <v>-165</v>
      </c>
      <c r="BS1572">
        <f t="shared" si="255"/>
        <v>299</v>
      </c>
    </row>
    <row r="1573" spans="1:74" x14ac:dyDescent="0.25">
      <c r="A1573" s="5" t="s">
        <v>207</v>
      </c>
      <c r="B1573" s="5" t="s">
        <v>359</v>
      </c>
      <c r="C1573" s="5" t="s">
        <v>61</v>
      </c>
      <c r="D1573" s="1" t="s">
        <v>86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1670</v>
      </c>
      <c r="K1573">
        <v>482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165</v>
      </c>
      <c r="R1573">
        <v>0</v>
      </c>
      <c r="S1573" s="18" t="e">
        <f t="shared" si="246"/>
        <v>#DIV/0!</v>
      </c>
      <c r="T1573" s="17" t="e">
        <f t="shared" si="247"/>
        <v>#DIV/0!</v>
      </c>
      <c r="U1573" s="17" t="e">
        <f t="shared" si="248"/>
        <v>#DIV/0!</v>
      </c>
      <c r="V1573" s="17" t="e">
        <f t="shared" si="249"/>
        <v>#DIV/0!</v>
      </c>
      <c r="W1573" s="17" t="e">
        <f t="shared" si="250"/>
        <v>#DIV/0!</v>
      </c>
      <c r="X1573" s="17" t="e">
        <f t="shared" si="251"/>
        <v>#DIV/0!</v>
      </c>
      <c r="Y1573" s="19" t="e">
        <f t="shared" si="252"/>
        <v>#DIV/0!</v>
      </c>
      <c r="Z1573">
        <v>0</v>
      </c>
      <c r="AA1573">
        <v>4</v>
      </c>
      <c r="AB1573">
        <v>0</v>
      </c>
      <c r="AC1573">
        <v>402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1670</v>
      </c>
      <c r="AL1573">
        <v>1670</v>
      </c>
      <c r="AM1573">
        <v>0</v>
      </c>
      <c r="AN1573">
        <v>0</v>
      </c>
      <c r="AO1573">
        <v>482</v>
      </c>
      <c r="AP1573">
        <v>241</v>
      </c>
      <c r="AQ1573">
        <v>482</v>
      </c>
      <c r="AR1573">
        <v>241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f t="shared" si="253"/>
        <v>5188</v>
      </c>
      <c r="BF1573">
        <v>2558</v>
      </c>
      <c r="BG1573">
        <v>2558</v>
      </c>
      <c r="BH1573" t="s">
        <v>82</v>
      </c>
      <c r="BI1573" t="s">
        <v>605</v>
      </c>
      <c r="BJ1573">
        <v>406</v>
      </c>
      <c r="BK1573">
        <v>2152</v>
      </c>
      <c r="BL1573">
        <v>2558</v>
      </c>
      <c r="BM1573">
        <v>0</v>
      </c>
      <c r="BN1573">
        <v>0</v>
      </c>
      <c r="BO1573">
        <v>0</v>
      </c>
      <c r="BP1573">
        <v>2152</v>
      </c>
      <c r="BQ1573">
        <v>2152</v>
      </c>
      <c r="BR1573">
        <f t="shared" si="254"/>
        <v>-165</v>
      </c>
      <c r="BS1573">
        <f t="shared" si="255"/>
        <v>165</v>
      </c>
    </row>
    <row r="1574" spans="1:74" x14ac:dyDescent="0.25">
      <c r="A1574" s="5" t="s">
        <v>1661</v>
      </c>
      <c r="B1574" s="5" t="s">
        <v>207</v>
      </c>
      <c r="C1574" s="5" t="s">
        <v>207</v>
      </c>
      <c r="D1574" s="1" t="s">
        <v>81</v>
      </c>
      <c r="E1574">
        <v>0</v>
      </c>
      <c r="F1574">
        <v>0</v>
      </c>
      <c r="G1574">
        <v>0</v>
      </c>
      <c r="H1574">
        <v>0</v>
      </c>
      <c r="I1574">
        <v>20</v>
      </c>
      <c r="J1574">
        <v>1100</v>
      </c>
      <c r="K1574">
        <v>23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87</v>
      </c>
      <c r="R1574">
        <v>0</v>
      </c>
      <c r="S1574" s="18" t="e">
        <f t="shared" si="246"/>
        <v>#DIV/0!</v>
      </c>
      <c r="T1574" s="17" t="e">
        <f t="shared" si="247"/>
        <v>#DIV/0!</v>
      </c>
      <c r="U1574" s="17" t="e">
        <f t="shared" si="248"/>
        <v>#DIV/0!</v>
      </c>
      <c r="V1574" s="17" t="e">
        <f t="shared" si="249"/>
        <v>#DIV/0!</v>
      </c>
      <c r="W1574" s="17" t="e">
        <f t="shared" si="250"/>
        <v>#DIV/0!</v>
      </c>
      <c r="X1574" s="17" t="e">
        <f t="shared" si="251"/>
        <v>#DIV/0!</v>
      </c>
      <c r="Y1574" s="19" t="e">
        <f t="shared" si="252"/>
        <v>#DIV/0!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</v>
      </c>
      <c r="AH1574">
        <v>20</v>
      </c>
      <c r="AI1574">
        <v>0</v>
      </c>
      <c r="AJ1574">
        <v>0</v>
      </c>
      <c r="AK1574">
        <v>1100</v>
      </c>
      <c r="AL1574">
        <v>1100</v>
      </c>
      <c r="AM1574">
        <v>0</v>
      </c>
      <c r="AN1574">
        <v>0</v>
      </c>
      <c r="AO1574">
        <v>23</v>
      </c>
      <c r="AP1574">
        <v>0</v>
      </c>
      <c r="AQ1574">
        <v>23</v>
      </c>
      <c r="AR1574">
        <v>23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f t="shared" si="253"/>
        <v>2309</v>
      </c>
      <c r="BF1574">
        <v>1143</v>
      </c>
      <c r="BG1574">
        <v>1143</v>
      </c>
      <c r="BH1574" t="s">
        <v>63</v>
      </c>
      <c r="BI1574" t="s">
        <v>1803</v>
      </c>
      <c r="BJ1574">
        <v>0</v>
      </c>
      <c r="BK1574">
        <v>1143</v>
      </c>
      <c r="BL1574">
        <v>1143</v>
      </c>
      <c r="BM1574">
        <v>0</v>
      </c>
      <c r="BN1574">
        <v>0</v>
      </c>
      <c r="BO1574">
        <v>0</v>
      </c>
      <c r="BP1574">
        <v>1143</v>
      </c>
      <c r="BQ1574">
        <v>1143</v>
      </c>
      <c r="BR1574">
        <f t="shared" si="254"/>
        <v>-87</v>
      </c>
      <c r="BS1574">
        <f t="shared" si="255"/>
        <v>87</v>
      </c>
      <c r="BU1574">
        <f>R1574*9</f>
        <v>0</v>
      </c>
      <c r="BV1574">
        <f>IF(BU1574&gt;BG1574, 1, 0)</f>
        <v>0</v>
      </c>
    </row>
    <row r="1575" spans="1:74" x14ac:dyDescent="0.25">
      <c r="A1575" s="5" t="s">
        <v>1451</v>
      </c>
      <c r="B1575" s="5" t="s">
        <v>61</v>
      </c>
      <c r="C1575" s="5" t="s">
        <v>627</v>
      </c>
      <c r="D1575" s="1" t="s">
        <v>117</v>
      </c>
      <c r="E1575">
        <v>0</v>
      </c>
      <c r="F1575">
        <v>2850</v>
      </c>
      <c r="G1575">
        <v>0</v>
      </c>
      <c r="H1575">
        <v>0</v>
      </c>
      <c r="I1575">
        <v>444</v>
      </c>
      <c r="J1575">
        <v>4866</v>
      </c>
      <c r="K1575">
        <v>424</v>
      </c>
      <c r="L1575">
        <v>80</v>
      </c>
      <c r="M1575">
        <v>0</v>
      </c>
      <c r="N1575">
        <v>0</v>
      </c>
      <c r="O1575">
        <v>0</v>
      </c>
      <c r="P1575">
        <v>5850</v>
      </c>
      <c r="Q1575">
        <v>815</v>
      </c>
      <c r="R1575">
        <v>650</v>
      </c>
      <c r="S1575" s="18">
        <f t="shared" si="246"/>
        <v>9</v>
      </c>
      <c r="T1575" s="17">
        <f t="shared" si="247"/>
        <v>0</v>
      </c>
      <c r="U1575" s="17">
        <f t="shared" si="248"/>
        <v>0</v>
      </c>
      <c r="V1575" s="17">
        <f t="shared" si="249"/>
        <v>0</v>
      </c>
      <c r="W1575" s="17">
        <f t="shared" si="250"/>
        <v>650</v>
      </c>
      <c r="X1575" s="17">
        <f t="shared" si="251"/>
        <v>165</v>
      </c>
      <c r="Y1575" s="19">
        <f t="shared" si="252"/>
        <v>0</v>
      </c>
      <c r="Z1575">
        <v>2850</v>
      </c>
      <c r="AA1575">
        <v>4</v>
      </c>
      <c r="AB1575">
        <v>250</v>
      </c>
      <c r="AC1575">
        <v>2754</v>
      </c>
      <c r="AD1575">
        <v>0</v>
      </c>
      <c r="AE1575">
        <v>0</v>
      </c>
      <c r="AF1575">
        <v>0</v>
      </c>
      <c r="AG1575">
        <v>444</v>
      </c>
      <c r="AH1575">
        <v>444</v>
      </c>
      <c r="AI1575">
        <v>0</v>
      </c>
      <c r="AJ1575">
        <v>0</v>
      </c>
      <c r="AK1575">
        <v>4866</v>
      </c>
      <c r="AL1575">
        <v>4866</v>
      </c>
      <c r="AM1575">
        <v>0</v>
      </c>
      <c r="AN1575">
        <v>0</v>
      </c>
      <c r="AO1575">
        <v>424</v>
      </c>
      <c r="AP1575">
        <v>94</v>
      </c>
      <c r="AQ1575">
        <v>424</v>
      </c>
      <c r="AR1575">
        <v>330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80</v>
      </c>
      <c r="BA1575">
        <v>80</v>
      </c>
      <c r="BB1575">
        <v>0</v>
      </c>
      <c r="BC1575">
        <v>0</v>
      </c>
      <c r="BD1575">
        <v>0</v>
      </c>
      <c r="BE1575">
        <f t="shared" si="253"/>
        <v>14806</v>
      </c>
      <c r="BF1575">
        <v>11672</v>
      </c>
      <c r="BG1575">
        <v>11672</v>
      </c>
      <c r="BH1575" t="s">
        <v>82</v>
      </c>
      <c r="BI1575" t="s">
        <v>1533</v>
      </c>
      <c r="BJ1575">
        <v>3008</v>
      </c>
      <c r="BK1575">
        <v>5814</v>
      </c>
      <c r="BL1575">
        <v>11672</v>
      </c>
      <c r="BM1575">
        <v>0</v>
      </c>
      <c r="BN1575">
        <v>0</v>
      </c>
      <c r="BO1575">
        <v>0</v>
      </c>
      <c r="BP1575">
        <v>11664</v>
      </c>
      <c r="BQ1575">
        <v>11664</v>
      </c>
      <c r="BR1575">
        <f t="shared" si="254"/>
        <v>-165</v>
      </c>
      <c r="BS1575">
        <f t="shared" si="255"/>
        <v>1465</v>
      </c>
    </row>
    <row r="1576" spans="1:74" x14ac:dyDescent="0.25">
      <c r="A1576" s="5" t="s">
        <v>61</v>
      </c>
      <c r="B1576" s="5" t="s">
        <v>61</v>
      </c>
      <c r="C1576" s="5" t="s">
        <v>61</v>
      </c>
      <c r="D1576" s="1" t="s">
        <v>79</v>
      </c>
      <c r="E1576">
        <v>18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134</v>
      </c>
      <c r="L1576">
        <v>18</v>
      </c>
      <c r="M1576">
        <v>0</v>
      </c>
      <c r="N1576">
        <v>0</v>
      </c>
      <c r="O1576">
        <v>0</v>
      </c>
      <c r="P1576">
        <v>0</v>
      </c>
      <c r="Q1576">
        <v>88</v>
      </c>
      <c r="R1576">
        <v>0</v>
      </c>
      <c r="S1576" s="18" t="e">
        <f t="shared" si="246"/>
        <v>#DIV/0!</v>
      </c>
      <c r="T1576" s="17" t="e">
        <f t="shared" si="247"/>
        <v>#DIV/0!</v>
      </c>
      <c r="U1576" s="17" t="e">
        <f t="shared" si="248"/>
        <v>#DIV/0!</v>
      </c>
      <c r="V1576" s="17" t="e">
        <f t="shared" si="249"/>
        <v>#DIV/0!</v>
      </c>
      <c r="W1576" s="17" t="e">
        <f t="shared" si="250"/>
        <v>#DIV/0!</v>
      </c>
      <c r="X1576" s="17" t="e">
        <f t="shared" si="251"/>
        <v>#DIV/0!</v>
      </c>
      <c r="Y1576" s="19" t="e">
        <f t="shared" si="252"/>
        <v>#DIV/0!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134</v>
      </c>
      <c r="AP1576">
        <v>0</v>
      </c>
      <c r="AQ1576">
        <v>134</v>
      </c>
      <c r="AR1576">
        <v>134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18</v>
      </c>
      <c r="BA1576">
        <v>18</v>
      </c>
      <c r="BB1576">
        <v>0</v>
      </c>
      <c r="BC1576">
        <v>0</v>
      </c>
      <c r="BD1576">
        <v>0</v>
      </c>
      <c r="BE1576">
        <f t="shared" si="253"/>
        <v>438</v>
      </c>
      <c r="BF1576">
        <v>170</v>
      </c>
      <c r="BG1576">
        <v>170</v>
      </c>
      <c r="BH1576" t="s">
        <v>63</v>
      </c>
      <c r="BI1576" t="s">
        <v>80</v>
      </c>
      <c r="BJ1576">
        <v>18</v>
      </c>
      <c r="BK1576">
        <v>152</v>
      </c>
      <c r="BL1576">
        <v>170</v>
      </c>
      <c r="BM1576">
        <v>0</v>
      </c>
      <c r="BN1576">
        <v>0</v>
      </c>
      <c r="BO1576">
        <v>0</v>
      </c>
      <c r="BP1576">
        <v>152</v>
      </c>
      <c r="BQ1576">
        <v>152</v>
      </c>
      <c r="BR1576">
        <f t="shared" si="254"/>
        <v>-88</v>
      </c>
      <c r="BS1576">
        <f t="shared" si="255"/>
        <v>88</v>
      </c>
      <c r="BU1576">
        <f>R1576*9</f>
        <v>0</v>
      </c>
      <c r="BV1576">
        <f>IF(BU1576&gt;BG1576, 1, 0)</f>
        <v>0</v>
      </c>
    </row>
    <row r="1577" spans="1:74" x14ac:dyDescent="0.25">
      <c r="A1577" s="5" t="s">
        <v>1946</v>
      </c>
      <c r="B1577" s="5" t="s">
        <v>207</v>
      </c>
      <c r="C1577" s="5" t="s">
        <v>207</v>
      </c>
      <c r="D1577" s="1" t="s">
        <v>155</v>
      </c>
      <c r="E1577">
        <v>0</v>
      </c>
      <c r="F1577">
        <v>376</v>
      </c>
      <c r="G1577">
        <v>0</v>
      </c>
      <c r="H1577">
        <v>0</v>
      </c>
      <c r="I1577">
        <v>0</v>
      </c>
      <c r="J1577">
        <v>0</v>
      </c>
      <c r="K1577">
        <v>598</v>
      </c>
      <c r="L1577">
        <v>0</v>
      </c>
      <c r="M1577">
        <v>531</v>
      </c>
      <c r="N1577">
        <v>0</v>
      </c>
      <c r="O1577">
        <v>0</v>
      </c>
      <c r="P1577">
        <v>0</v>
      </c>
      <c r="Q1577">
        <v>225</v>
      </c>
      <c r="R1577">
        <v>59</v>
      </c>
      <c r="S1577" s="18">
        <f t="shared" si="246"/>
        <v>9</v>
      </c>
      <c r="T1577" s="17">
        <f t="shared" si="247"/>
        <v>59</v>
      </c>
      <c r="U1577" s="17">
        <f t="shared" si="248"/>
        <v>0</v>
      </c>
      <c r="V1577" s="17">
        <f t="shared" si="249"/>
        <v>0</v>
      </c>
      <c r="W1577" s="17">
        <f t="shared" si="250"/>
        <v>0</v>
      </c>
      <c r="X1577" s="17">
        <f t="shared" si="251"/>
        <v>166</v>
      </c>
      <c r="Y1577" s="19">
        <f t="shared" si="252"/>
        <v>0</v>
      </c>
      <c r="Z1577">
        <v>376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284</v>
      </c>
      <c r="AN1577">
        <v>0</v>
      </c>
      <c r="AO1577">
        <v>314</v>
      </c>
      <c r="AP1577">
        <v>257</v>
      </c>
      <c r="AQ1577">
        <v>598</v>
      </c>
      <c r="AR1577">
        <v>341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f t="shared" si="253"/>
        <v>1794</v>
      </c>
      <c r="BF1577">
        <v>974</v>
      </c>
      <c r="BG1577">
        <v>974</v>
      </c>
      <c r="BH1577" t="s">
        <v>190</v>
      </c>
      <c r="BI1577" t="s">
        <v>2081</v>
      </c>
      <c r="BJ1577">
        <v>0</v>
      </c>
      <c r="BK1577">
        <v>598</v>
      </c>
      <c r="BL1577">
        <v>974</v>
      </c>
      <c r="BM1577">
        <v>815</v>
      </c>
      <c r="BN1577">
        <v>0</v>
      </c>
      <c r="BO1577">
        <v>0</v>
      </c>
      <c r="BP1577">
        <v>314</v>
      </c>
      <c r="BQ1577">
        <v>1129</v>
      </c>
      <c r="BR1577">
        <f t="shared" si="254"/>
        <v>-166</v>
      </c>
      <c r="BS1577">
        <f t="shared" si="255"/>
        <v>284</v>
      </c>
    </row>
    <row r="1578" spans="1:74" x14ac:dyDescent="0.25">
      <c r="A1578" s="5" t="s">
        <v>2090</v>
      </c>
      <c r="B1578" s="5" t="s">
        <v>207</v>
      </c>
      <c r="C1578" s="5" t="s">
        <v>61</v>
      </c>
      <c r="D1578" s="1" t="s">
        <v>355</v>
      </c>
      <c r="E1578">
        <v>321</v>
      </c>
      <c r="F1578">
        <v>0</v>
      </c>
      <c r="G1578">
        <v>0</v>
      </c>
      <c r="H1578">
        <v>0</v>
      </c>
      <c r="I1578">
        <v>290</v>
      </c>
      <c r="J1578">
        <v>208</v>
      </c>
      <c r="K1578">
        <v>235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166</v>
      </c>
      <c r="R1578">
        <v>0</v>
      </c>
      <c r="S1578" s="18" t="e">
        <f t="shared" si="246"/>
        <v>#DIV/0!</v>
      </c>
      <c r="T1578" s="17" t="e">
        <f t="shared" si="247"/>
        <v>#DIV/0!</v>
      </c>
      <c r="U1578" s="17" t="e">
        <f t="shared" si="248"/>
        <v>#DIV/0!</v>
      </c>
      <c r="V1578" s="17" t="e">
        <f t="shared" si="249"/>
        <v>#DIV/0!</v>
      </c>
      <c r="W1578" s="17" t="e">
        <f t="shared" si="250"/>
        <v>#DIV/0!</v>
      </c>
      <c r="X1578" s="17" t="e">
        <f t="shared" si="251"/>
        <v>#DIV/0!</v>
      </c>
      <c r="Y1578" s="19" t="e">
        <f t="shared" si="252"/>
        <v>#DIV/0!</v>
      </c>
      <c r="Z1578">
        <v>0</v>
      </c>
      <c r="AA1578">
        <v>0</v>
      </c>
      <c r="AB1578">
        <v>70</v>
      </c>
      <c r="AC1578">
        <v>3188</v>
      </c>
      <c r="AD1578">
        <v>0</v>
      </c>
      <c r="AE1578">
        <v>0</v>
      </c>
      <c r="AF1578">
        <v>0</v>
      </c>
      <c r="AG1578">
        <v>290</v>
      </c>
      <c r="AH1578">
        <v>290</v>
      </c>
      <c r="AI1578">
        <v>0</v>
      </c>
      <c r="AJ1578">
        <v>0</v>
      </c>
      <c r="AK1578">
        <v>208</v>
      </c>
      <c r="AL1578">
        <v>208</v>
      </c>
      <c r="AM1578">
        <v>0</v>
      </c>
      <c r="AN1578">
        <v>0</v>
      </c>
      <c r="AO1578">
        <v>235</v>
      </c>
      <c r="AP1578">
        <v>86</v>
      </c>
      <c r="AQ1578">
        <v>235</v>
      </c>
      <c r="AR1578">
        <v>149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f t="shared" si="253"/>
        <v>4889</v>
      </c>
      <c r="BF1578">
        <v>4312</v>
      </c>
      <c r="BG1578">
        <v>4312</v>
      </c>
      <c r="BH1578" t="s">
        <v>82</v>
      </c>
      <c r="BI1578" t="s">
        <v>2279</v>
      </c>
      <c r="BJ1578">
        <v>3579</v>
      </c>
      <c r="BK1578">
        <v>733</v>
      </c>
      <c r="BL1578">
        <v>4312</v>
      </c>
      <c r="BM1578">
        <v>0</v>
      </c>
      <c r="BN1578">
        <v>0</v>
      </c>
      <c r="BO1578">
        <v>0</v>
      </c>
      <c r="BP1578">
        <v>733</v>
      </c>
      <c r="BQ1578">
        <v>733</v>
      </c>
      <c r="BR1578">
        <f t="shared" si="254"/>
        <v>-166</v>
      </c>
      <c r="BS1578">
        <f t="shared" si="255"/>
        <v>166</v>
      </c>
    </row>
    <row r="1579" spans="1:74" x14ac:dyDescent="0.25">
      <c r="A1579" s="5" t="s">
        <v>1661</v>
      </c>
      <c r="B1579" s="5" t="s">
        <v>359</v>
      </c>
      <c r="C1579" s="5" t="s">
        <v>207</v>
      </c>
      <c r="D1579" s="1" t="s">
        <v>131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2410</v>
      </c>
      <c r="K1579">
        <v>850</v>
      </c>
      <c r="L1579">
        <v>70</v>
      </c>
      <c r="M1579">
        <v>0</v>
      </c>
      <c r="N1579">
        <v>0</v>
      </c>
      <c r="O1579">
        <v>0</v>
      </c>
      <c r="P1579">
        <v>0</v>
      </c>
      <c r="Q1579">
        <v>167</v>
      </c>
      <c r="R1579">
        <v>0</v>
      </c>
      <c r="S1579" s="18" t="e">
        <f t="shared" si="246"/>
        <v>#DIV/0!</v>
      </c>
      <c r="T1579" s="17" t="e">
        <f t="shared" si="247"/>
        <v>#DIV/0!</v>
      </c>
      <c r="U1579" s="17" t="e">
        <f t="shared" si="248"/>
        <v>#DIV/0!</v>
      </c>
      <c r="V1579" s="17" t="e">
        <f t="shared" si="249"/>
        <v>#DIV/0!</v>
      </c>
      <c r="W1579" s="17" t="e">
        <f t="shared" si="250"/>
        <v>#DIV/0!</v>
      </c>
      <c r="X1579" s="17" t="e">
        <f t="shared" si="251"/>
        <v>#DIV/0!</v>
      </c>
      <c r="Y1579" s="19" t="e">
        <f t="shared" si="252"/>
        <v>#DIV/0!</v>
      </c>
      <c r="Z1579">
        <v>0</v>
      </c>
      <c r="AA1579">
        <v>0</v>
      </c>
      <c r="AB1579">
        <v>0</v>
      </c>
      <c r="AC1579">
        <v>1430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2410</v>
      </c>
      <c r="AL1579">
        <v>2410</v>
      </c>
      <c r="AM1579">
        <v>0</v>
      </c>
      <c r="AN1579">
        <v>0</v>
      </c>
      <c r="AO1579">
        <v>850</v>
      </c>
      <c r="AP1579">
        <v>300</v>
      </c>
      <c r="AQ1579">
        <v>850</v>
      </c>
      <c r="AR1579">
        <v>550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70</v>
      </c>
      <c r="BA1579">
        <v>70</v>
      </c>
      <c r="BB1579">
        <v>0</v>
      </c>
      <c r="BC1579">
        <v>0</v>
      </c>
      <c r="BD1579">
        <v>0</v>
      </c>
      <c r="BE1579">
        <f t="shared" si="253"/>
        <v>8940</v>
      </c>
      <c r="BF1579">
        <v>4760</v>
      </c>
      <c r="BG1579">
        <v>4760</v>
      </c>
      <c r="BH1579" t="s">
        <v>82</v>
      </c>
      <c r="BI1579" t="s">
        <v>781</v>
      </c>
      <c r="BJ1579">
        <v>1430</v>
      </c>
      <c r="BK1579">
        <v>3330</v>
      </c>
      <c r="BL1579">
        <v>4760</v>
      </c>
      <c r="BM1579">
        <v>0</v>
      </c>
      <c r="BN1579">
        <v>0</v>
      </c>
      <c r="BO1579">
        <v>0</v>
      </c>
      <c r="BP1579">
        <v>3330</v>
      </c>
      <c r="BQ1579">
        <v>3330</v>
      </c>
      <c r="BR1579">
        <f t="shared" si="254"/>
        <v>-167</v>
      </c>
      <c r="BS1579">
        <f t="shared" si="255"/>
        <v>167</v>
      </c>
    </row>
    <row r="1580" spans="1:74" x14ac:dyDescent="0.25">
      <c r="A1580" s="5" t="s">
        <v>2090</v>
      </c>
      <c r="B1580" s="5" t="s">
        <v>207</v>
      </c>
      <c r="C1580" s="5" t="s">
        <v>61</v>
      </c>
      <c r="D1580" s="1" t="s">
        <v>79</v>
      </c>
      <c r="E1580">
        <v>0</v>
      </c>
      <c r="F1580">
        <v>11658</v>
      </c>
      <c r="G1580">
        <v>0</v>
      </c>
      <c r="H1580">
        <v>0</v>
      </c>
      <c r="I1580">
        <v>285</v>
      </c>
      <c r="J1580">
        <v>0</v>
      </c>
      <c r="K1580">
        <v>356</v>
      </c>
      <c r="L1580">
        <v>196</v>
      </c>
      <c r="M1580">
        <v>1422</v>
      </c>
      <c r="N1580">
        <v>0</v>
      </c>
      <c r="O1580">
        <v>0</v>
      </c>
      <c r="P1580">
        <v>10863</v>
      </c>
      <c r="Q1580">
        <v>1532</v>
      </c>
      <c r="R1580">
        <v>1365</v>
      </c>
      <c r="S1580" s="18">
        <f t="shared" si="246"/>
        <v>9</v>
      </c>
      <c r="T1580" s="17">
        <f t="shared" si="247"/>
        <v>158</v>
      </c>
      <c r="U1580" s="17">
        <f t="shared" si="248"/>
        <v>0</v>
      </c>
      <c r="V1580" s="17">
        <f t="shared" si="249"/>
        <v>0</v>
      </c>
      <c r="W1580" s="17">
        <f t="shared" si="250"/>
        <v>1207</v>
      </c>
      <c r="X1580" s="17">
        <f t="shared" si="251"/>
        <v>167</v>
      </c>
      <c r="Y1580" s="19">
        <f t="shared" si="252"/>
        <v>0</v>
      </c>
      <c r="Z1580">
        <v>12210</v>
      </c>
      <c r="AA1580">
        <v>0</v>
      </c>
      <c r="AB1580">
        <v>0</v>
      </c>
      <c r="AC1580">
        <v>0</v>
      </c>
      <c r="AD1580">
        <v>243</v>
      </c>
      <c r="AE1580">
        <v>0</v>
      </c>
      <c r="AF1580">
        <v>0</v>
      </c>
      <c r="AG1580">
        <v>42</v>
      </c>
      <c r="AH1580">
        <v>285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356</v>
      </c>
      <c r="AP1580">
        <v>124</v>
      </c>
      <c r="AQ1580">
        <v>356</v>
      </c>
      <c r="AR1580">
        <v>190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196</v>
      </c>
      <c r="BA1580">
        <v>196</v>
      </c>
      <c r="BB1580">
        <v>0</v>
      </c>
      <c r="BC1580">
        <v>0</v>
      </c>
      <c r="BD1580">
        <v>0</v>
      </c>
      <c r="BE1580">
        <f t="shared" si="253"/>
        <v>1988</v>
      </c>
      <c r="BF1580">
        <v>13047</v>
      </c>
      <c r="BG1580">
        <v>13047</v>
      </c>
      <c r="BH1580" t="s">
        <v>109</v>
      </c>
      <c r="BI1580" t="s">
        <v>2219</v>
      </c>
      <c r="BJ1580">
        <v>0</v>
      </c>
      <c r="BK1580">
        <v>837</v>
      </c>
      <c r="BL1580">
        <v>13047</v>
      </c>
      <c r="BM1580">
        <v>1665</v>
      </c>
      <c r="BN1580">
        <v>0</v>
      </c>
      <c r="BO1580">
        <v>0</v>
      </c>
      <c r="BP1580">
        <v>11457</v>
      </c>
      <c r="BQ1580">
        <v>13122</v>
      </c>
      <c r="BR1580">
        <f t="shared" si="254"/>
        <v>-167</v>
      </c>
      <c r="BS1580">
        <f t="shared" si="255"/>
        <v>2897</v>
      </c>
    </row>
    <row r="1581" spans="1:74" x14ac:dyDescent="0.25">
      <c r="A1581" s="5" t="s">
        <v>1017</v>
      </c>
      <c r="B1581" s="5" t="s">
        <v>61</v>
      </c>
      <c r="C1581" s="6" t="s">
        <v>61</v>
      </c>
      <c r="D1581" s="1" t="s">
        <v>119</v>
      </c>
      <c r="E1581">
        <v>0</v>
      </c>
      <c r="F1581">
        <v>0</v>
      </c>
      <c r="G1581">
        <v>0</v>
      </c>
      <c r="H1581">
        <v>0</v>
      </c>
      <c r="I1581">
        <v>252</v>
      </c>
      <c r="J1581">
        <v>1321</v>
      </c>
      <c r="K1581">
        <v>65</v>
      </c>
      <c r="L1581">
        <v>50</v>
      </c>
      <c r="M1581">
        <v>0</v>
      </c>
      <c r="N1581">
        <v>0</v>
      </c>
      <c r="O1581">
        <v>0</v>
      </c>
      <c r="P1581">
        <v>0</v>
      </c>
      <c r="Q1581">
        <v>168</v>
      </c>
      <c r="R1581">
        <v>0</v>
      </c>
      <c r="S1581" s="18" t="e">
        <f t="shared" si="246"/>
        <v>#DIV/0!</v>
      </c>
      <c r="T1581" s="17" t="e">
        <f t="shared" si="247"/>
        <v>#DIV/0!</v>
      </c>
      <c r="U1581" s="17" t="e">
        <f t="shared" si="248"/>
        <v>#DIV/0!</v>
      </c>
      <c r="V1581" s="17" t="e">
        <f t="shared" si="249"/>
        <v>#DIV/0!</v>
      </c>
      <c r="W1581" s="17" t="e">
        <f t="shared" si="250"/>
        <v>#DIV/0!</v>
      </c>
      <c r="X1581" s="17" t="e">
        <f t="shared" si="251"/>
        <v>#DIV/0!</v>
      </c>
      <c r="Y1581" s="19" t="e">
        <f t="shared" si="252"/>
        <v>#DIV/0!</v>
      </c>
      <c r="Z1581">
        <v>0</v>
      </c>
      <c r="AA1581">
        <v>0</v>
      </c>
      <c r="AB1581">
        <v>85</v>
      </c>
      <c r="AC1581">
        <v>1387</v>
      </c>
      <c r="AD1581">
        <v>0</v>
      </c>
      <c r="AE1581">
        <v>0</v>
      </c>
      <c r="AF1581">
        <v>0</v>
      </c>
      <c r="AG1581">
        <v>252</v>
      </c>
      <c r="AH1581">
        <v>252</v>
      </c>
      <c r="AI1581">
        <v>0</v>
      </c>
      <c r="AJ1581">
        <v>0</v>
      </c>
      <c r="AK1581">
        <v>1321</v>
      </c>
      <c r="AL1581">
        <v>1321</v>
      </c>
      <c r="AM1581">
        <v>0</v>
      </c>
      <c r="AN1581">
        <v>0</v>
      </c>
      <c r="AO1581">
        <v>65</v>
      </c>
      <c r="AP1581">
        <v>50</v>
      </c>
      <c r="AQ1581">
        <v>65</v>
      </c>
      <c r="AR1581">
        <v>15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50</v>
      </c>
      <c r="BA1581">
        <v>50</v>
      </c>
      <c r="BB1581">
        <v>0</v>
      </c>
      <c r="BC1581">
        <v>0</v>
      </c>
      <c r="BD1581">
        <v>0</v>
      </c>
      <c r="BE1581">
        <f t="shared" si="253"/>
        <v>4828</v>
      </c>
      <c r="BF1581">
        <v>3160</v>
      </c>
      <c r="BG1581">
        <v>3160</v>
      </c>
      <c r="BH1581" t="s">
        <v>82</v>
      </c>
      <c r="BI1581" t="s">
        <v>1043</v>
      </c>
      <c r="BJ1581">
        <v>1472</v>
      </c>
      <c r="BK1581">
        <v>1688</v>
      </c>
      <c r="BL1581">
        <v>3160</v>
      </c>
      <c r="BM1581">
        <v>0</v>
      </c>
      <c r="BN1581">
        <v>0</v>
      </c>
      <c r="BO1581">
        <v>0</v>
      </c>
      <c r="BP1581">
        <v>1688</v>
      </c>
      <c r="BQ1581">
        <v>1688</v>
      </c>
      <c r="BR1581">
        <f t="shared" si="254"/>
        <v>-168</v>
      </c>
      <c r="BS1581">
        <f t="shared" si="255"/>
        <v>168</v>
      </c>
    </row>
    <row r="1582" spans="1:74" x14ac:dyDescent="0.25">
      <c r="A1582" s="5" t="s">
        <v>1451</v>
      </c>
      <c r="B1582" s="5" t="s">
        <v>359</v>
      </c>
      <c r="C1582" s="7" t="s">
        <v>61</v>
      </c>
      <c r="D1582" s="1" t="s">
        <v>139</v>
      </c>
      <c r="E1582">
        <v>0</v>
      </c>
      <c r="F1582">
        <v>0</v>
      </c>
      <c r="G1582">
        <v>0</v>
      </c>
      <c r="H1582">
        <v>0</v>
      </c>
      <c r="I1582">
        <v>160</v>
      </c>
      <c r="J1582">
        <v>230</v>
      </c>
      <c r="K1582">
        <v>270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168</v>
      </c>
      <c r="R1582">
        <v>0</v>
      </c>
      <c r="S1582" s="18" t="e">
        <f t="shared" si="246"/>
        <v>#DIV/0!</v>
      </c>
      <c r="T1582" s="17" t="e">
        <f t="shared" si="247"/>
        <v>#DIV/0!</v>
      </c>
      <c r="U1582" s="17" t="e">
        <f t="shared" si="248"/>
        <v>#DIV/0!</v>
      </c>
      <c r="V1582" s="17" t="e">
        <f t="shared" si="249"/>
        <v>#DIV/0!</v>
      </c>
      <c r="W1582" s="17" t="e">
        <f t="shared" si="250"/>
        <v>#DIV/0!</v>
      </c>
      <c r="X1582" s="17" t="e">
        <f t="shared" si="251"/>
        <v>#DIV/0!</v>
      </c>
      <c r="Y1582" s="19" t="e">
        <f t="shared" si="252"/>
        <v>#DIV/0!</v>
      </c>
      <c r="Z1582">
        <v>0</v>
      </c>
      <c r="AA1582">
        <v>0</v>
      </c>
      <c r="AB1582">
        <v>0</v>
      </c>
      <c r="AC1582">
        <v>580</v>
      </c>
      <c r="AD1582">
        <v>0</v>
      </c>
      <c r="AE1582">
        <v>0</v>
      </c>
      <c r="AF1582">
        <v>0</v>
      </c>
      <c r="AG1582">
        <v>160</v>
      </c>
      <c r="AH1582">
        <v>160</v>
      </c>
      <c r="AI1582">
        <v>0</v>
      </c>
      <c r="AJ1582">
        <v>0</v>
      </c>
      <c r="AK1582">
        <v>230</v>
      </c>
      <c r="AL1582">
        <v>230</v>
      </c>
      <c r="AM1582">
        <v>0</v>
      </c>
      <c r="AN1582">
        <v>0</v>
      </c>
      <c r="AO1582">
        <v>270</v>
      </c>
      <c r="AP1582">
        <v>120</v>
      </c>
      <c r="AQ1582">
        <v>270</v>
      </c>
      <c r="AR1582">
        <v>150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f t="shared" si="253"/>
        <v>2170</v>
      </c>
      <c r="BF1582">
        <v>1240</v>
      </c>
      <c r="BG1582">
        <v>1240</v>
      </c>
      <c r="BH1582" t="s">
        <v>82</v>
      </c>
      <c r="BI1582" t="s">
        <v>1632</v>
      </c>
      <c r="BJ1582">
        <v>580</v>
      </c>
      <c r="BK1582">
        <v>660</v>
      </c>
      <c r="BL1582">
        <v>1240</v>
      </c>
      <c r="BM1582">
        <v>0</v>
      </c>
      <c r="BN1582">
        <v>0</v>
      </c>
      <c r="BO1582">
        <v>0</v>
      </c>
      <c r="BP1582">
        <v>660</v>
      </c>
      <c r="BQ1582">
        <v>660</v>
      </c>
      <c r="BR1582">
        <f t="shared" si="254"/>
        <v>-168</v>
      </c>
      <c r="BS1582">
        <f t="shared" si="255"/>
        <v>168</v>
      </c>
    </row>
    <row r="1583" spans="1:74" x14ac:dyDescent="0.25">
      <c r="A1583" s="5" t="s">
        <v>1661</v>
      </c>
      <c r="B1583" s="5" t="s">
        <v>61</v>
      </c>
      <c r="C1583" s="5" t="s">
        <v>359</v>
      </c>
      <c r="D1583" s="1" t="s">
        <v>149</v>
      </c>
      <c r="E1583">
        <v>0</v>
      </c>
      <c r="F1583">
        <v>20</v>
      </c>
      <c r="G1583">
        <v>0</v>
      </c>
      <c r="H1583">
        <v>0</v>
      </c>
      <c r="I1583">
        <v>0</v>
      </c>
      <c r="J1583">
        <v>2057</v>
      </c>
      <c r="K1583">
        <v>102</v>
      </c>
      <c r="L1583">
        <v>40</v>
      </c>
      <c r="M1583">
        <v>0</v>
      </c>
      <c r="N1583">
        <v>0</v>
      </c>
      <c r="O1583">
        <v>0</v>
      </c>
      <c r="P1583">
        <v>45</v>
      </c>
      <c r="Q1583">
        <v>173</v>
      </c>
      <c r="R1583">
        <v>5</v>
      </c>
      <c r="S1583" s="18">
        <f t="shared" si="246"/>
        <v>9</v>
      </c>
      <c r="T1583" s="17">
        <f t="shared" si="247"/>
        <v>0</v>
      </c>
      <c r="U1583" s="17">
        <f t="shared" si="248"/>
        <v>0</v>
      </c>
      <c r="V1583" s="17">
        <f t="shared" si="249"/>
        <v>0</v>
      </c>
      <c r="W1583" s="17">
        <f t="shared" si="250"/>
        <v>5</v>
      </c>
      <c r="X1583" s="17">
        <f t="shared" si="251"/>
        <v>168</v>
      </c>
      <c r="Y1583" s="19">
        <f t="shared" si="252"/>
        <v>0</v>
      </c>
      <c r="Z1583">
        <v>20</v>
      </c>
      <c r="AA1583">
        <v>0</v>
      </c>
      <c r="AB1583">
        <v>208</v>
      </c>
      <c r="AC1583">
        <v>1819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2057</v>
      </c>
      <c r="AL1583">
        <v>2057</v>
      </c>
      <c r="AM1583">
        <v>0</v>
      </c>
      <c r="AN1583">
        <v>0</v>
      </c>
      <c r="AO1583">
        <v>102</v>
      </c>
      <c r="AP1583">
        <v>12</v>
      </c>
      <c r="AQ1583">
        <v>102</v>
      </c>
      <c r="AR1583">
        <v>90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40</v>
      </c>
      <c r="BA1583">
        <v>40</v>
      </c>
      <c r="BB1583">
        <v>0</v>
      </c>
      <c r="BC1583">
        <v>0</v>
      </c>
      <c r="BD1583">
        <v>0</v>
      </c>
      <c r="BE1583">
        <f t="shared" si="253"/>
        <v>6319</v>
      </c>
      <c r="BF1583">
        <v>4246</v>
      </c>
      <c r="BG1583">
        <v>4246</v>
      </c>
      <c r="BH1583" t="s">
        <v>82</v>
      </c>
      <c r="BI1583" t="s">
        <v>1750</v>
      </c>
      <c r="BJ1583">
        <v>2027</v>
      </c>
      <c r="BK1583">
        <v>2199</v>
      </c>
      <c r="BL1583">
        <v>4246</v>
      </c>
      <c r="BM1583">
        <v>0</v>
      </c>
      <c r="BN1583">
        <v>0</v>
      </c>
      <c r="BO1583">
        <v>0</v>
      </c>
      <c r="BP1583">
        <v>2244</v>
      </c>
      <c r="BQ1583">
        <v>2244</v>
      </c>
      <c r="BR1583">
        <f t="shared" si="254"/>
        <v>-168</v>
      </c>
      <c r="BS1583">
        <f t="shared" si="255"/>
        <v>178</v>
      </c>
    </row>
    <row r="1584" spans="1:74" x14ac:dyDescent="0.25">
      <c r="A1584" s="5" t="s">
        <v>1946</v>
      </c>
      <c r="B1584" s="5" t="s">
        <v>207</v>
      </c>
      <c r="C1584" s="5" t="s">
        <v>207</v>
      </c>
      <c r="D1584" s="1" t="s">
        <v>108</v>
      </c>
      <c r="E1584">
        <v>0</v>
      </c>
      <c r="F1584">
        <v>550</v>
      </c>
      <c r="G1584">
        <v>0</v>
      </c>
      <c r="H1584">
        <v>0</v>
      </c>
      <c r="I1584">
        <v>35</v>
      </c>
      <c r="J1584">
        <v>896</v>
      </c>
      <c r="K1584">
        <v>940</v>
      </c>
      <c r="L1584">
        <v>310</v>
      </c>
      <c r="M1584">
        <v>0</v>
      </c>
      <c r="N1584">
        <v>0</v>
      </c>
      <c r="O1584">
        <v>0</v>
      </c>
      <c r="P1584">
        <v>801</v>
      </c>
      <c r="Q1584">
        <v>257</v>
      </c>
      <c r="R1584">
        <v>89</v>
      </c>
      <c r="S1584" s="18">
        <f t="shared" si="246"/>
        <v>9</v>
      </c>
      <c r="T1584" s="17">
        <f t="shared" si="247"/>
        <v>0</v>
      </c>
      <c r="U1584" s="17">
        <f t="shared" si="248"/>
        <v>0</v>
      </c>
      <c r="V1584" s="17">
        <f t="shared" si="249"/>
        <v>0</v>
      </c>
      <c r="W1584" s="17">
        <f t="shared" si="250"/>
        <v>89</v>
      </c>
      <c r="X1584" s="17">
        <f t="shared" si="251"/>
        <v>168</v>
      </c>
      <c r="Y1584" s="19">
        <f t="shared" si="252"/>
        <v>0</v>
      </c>
      <c r="Z1584">
        <v>550</v>
      </c>
      <c r="AA1584">
        <v>0</v>
      </c>
      <c r="AB1584">
        <v>0</v>
      </c>
      <c r="AC1584">
        <v>1620</v>
      </c>
      <c r="AD1584">
        <v>0</v>
      </c>
      <c r="AE1584">
        <v>0</v>
      </c>
      <c r="AF1584">
        <v>0</v>
      </c>
      <c r="AG1584">
        <v>35</v>
      </c>
      <c r="AH1584">
        <v>35</v>
      </c>
      <c r="AI1584">
        <v>0</v>
      </c>
      <c r="AJ1584">
        <v>896</v>
      </c>
      <c r="AK1584">
        <v>0</v>
      </c>
      <c r="AL1584">
        <v>896</v>
      </c>
      <c r="AM1584">
        <v>0</v>
      </c>
      <c r="AN1584">
        <v>0</v>
      </c>
      <c r="AO1584">
        <v>940</v>
      </c>
      <c r="AP1584">
        <v>800</v>
      </c>
      <c r="AQ1584">
        <v>940</v>
      </c>
      <c r="AR1584">
        <v>140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310</v>
      </c>
      <c r="BA1584">
        <v>310</v>
      </c>
      <c r="BB1584">
        <v>0</v>
      </c>
      <c r="BC1584">
        <v>0</v>
      </c>
      <c r="BD1584">
        <v>0</v>
      </c>
      <c r="BE1584">
        <f t="shared" si="253"/>
        <v>6922</v>
      </c>
      <c r="BF1584">
        <v>4351</v>
      </c>
      <c r="BG1584">
        <v>4351</v>
      </c>
      <c r="BH1584" t="s">
        <v>82</v>
      </c>
      <c r="BI1584" t="s">
        <v>2059</v>
      </c>
      <c r="BJ1584">
        <v>1620</v>
      </c>
      <c r="BK1584">
        <v>2181</v>
      </c>
      <c r="BL1584">
        <v>4351</v>
      </c>
      <c r="BM1584">
        <v>0</v>
      </c>
      <c r="BN1584">
        <v>896</v>
      </c>
      <c r="BO1584">
        <v>0</v>
      </c>
      <c r="BP1584">
        <v>2086</v>
      </c>
      <c r="BQ1584">
        <v>2982</v>
      </c>
      <c r="BR1584">
        <f t="shared" si="254"/>
        <v>-168</v>
      </c>
      <c r="BS1584">
        <f t="shared" si="255"/>
        <v>346</v>
      </c>
    </row>
    <row r="1585" spans="1:74" x14ac:dyDescent="0.25">
      <c r="A1585" s="5" t="s">
        <v>875</v>
      </c>
      <c r="B1585" s="5" t="s">
        <v>61</v>
      </c>
      <c r="C1585" s="5" t="s">
        <v>207</v>
      </c>
      <c r="D1585" s="1" t="s">
        <v>123</v>
      </c>
      <c r="E1585">
        <v>0</v>
      </c>
      <c r="F1585">
        <v>308</v>
      </c>
      <c r="G1585">
        <v>0</v>
      </c>
      <c r="H1585">
        <v>0</v>
      </c>
      <c r="I1585">
        <v>100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693</v>
      </c>
      <c r="Q1585">
        <v>246</v>
      </c>
      <c r="R1585">
        <v>77</v>
      </c>
      <c r="S1585" s="18">
        <f t="shared" si="246"/>
        <v>9</v>
      </c>
      <c r="T1585" s="17">
        <f t="shared" si="247"/>
        <v>0</v>
      </c>
      <c r="U1585" s="17">
        <f t="shared" si="248"/>
        <v>0</v>
      </c>
      <c r="V1585" s="17">
        <f t="shared" si="249"/>
        <v>0</v>
      </c>
      <c r="W1585" s="17">
        <f t="shared" si="250"/>
        <v>77</v>
      </c>
      <c r="X1585" s="17">
        <f t="shared" si="251"/>
        <v>169</v>
      </c>
      <c r="Y1585" s="19">
        <f t="shared" si="252"/>
        <v>0</v>
      </c>
      <c r="Z1585">
        <v>308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100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f t="shared" si="253"/>
        <v>200</v>
      </c>
      <c r="BF1585">
        <v>408</v>
      </c>
      <c r="BG1585">
        <v>408</v>
      </c>
      <c r="BH1585" t="s">
        <v>109</v>
      </c>
      <c r="BI1585" t="s">
        <v>902</v>
      </c>
      <c r="BJ1585">
        <v>0</v>
      </c>
      <c r="BK1585">
        <v>100</v>
      </c>
      <c r="BL1585">
        <v>408</v>
      </c>
      <c r="BM1585">
        <v>0</v>
      </c>
      <c r="BN1585">
        <v>0</v>
      </c>
      <c r="BO1585">
        <v>0</v>
      </c>
      <c r="BP1585">
        <v>793</v>
      </c>
      <c r="BQ1585">
        <v>793</v>
      </c>
      <c r="BR1585">
        <f t="shared" si="254"/>
        <v>-169</v>
      </c>
      <c r="BS1585">
        <f t="shared" si="255"/>
        <v>323</v>
      </c>
    </row>
    <row r="1586" spans="1:74" x14ac:dyDescent="0.25">
      <c r="A1586" s="5" t="s">
        <v>1135</v>
      </c>
      <c r="B1586" s="5" t="s">
        <v>359</v>
      </c>
      <c r="C1586" s="5" t="s">
        <v>61</v>
      </c>
      <c r="D1586" s="1" t="s">
        <v>69</v>
      </c>
      <c r="E1586">
        <v>0</v>
      </c>
      <c r="F1586">
        <v>0</v>
      </c>
      <c r="G1586">
        <v>0</v>
      </c>
      <c r="H1586">
        <v>0</v>
      </c>
      <c r="I1586">
        <v>50</v>
      </c>
      <c r="J1586">
        <v>484</v>
      </c>
      <c r="K1586">
        <v>400</v>
      </c>
      <c r="L1586">
        <v>275</v>
      </c>
      <c r="M1586">
        <v>0</v>
      </c>
      <c r="N1586">
        <v>0</v>
      </c>
      <c r="O1586">
        <v>0</v>
      </c>
      <c r="P1586">
        <v>0</v>
      </c>
      <c r="Q1586">
        <v>90</v>
      </c>
      <c r="R1586">
        <v>0</v>
      </c>
      <c r="S1586" s="18" t="e">
        <f t="shared" si="246"/>
        <v>#DIV/0!</v>
      </c>
      <c r="T1586" s="17" t="e">
        <f t="shared" si="247"/>
        <v>#DIV/0!</v>
      </c>
      <c r="U1586" s="17" t="e">
        <f t="shared" si="248"/>
        <v>#DIV/0!</v>
      </c>
      <c r="V1586" s="17" t="e">
        <f t="shared" si="249"/>
        <v>#DIV/0!</v>
      </c>
      <c r="W1586" s="17" t="e">
        <f t="shared" si="250"/>
        <v>#DIV/0!</v>
      </c>
      <c r="X1586" s="17" t="e">
        <f t="shared" si="251"/>
        <v>#DIV/0!</v>
      </c>
      <c r="Y1586" s="19" t="e">
        <f t="shared" si="252"/>
        <v>#DIV/0!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50</v>
      </c>
      <c r="AH1586">
        <v>50</v>
      </c>
      <c r="AI1586">
        <v>0</v>
      </c>
      <c r="AJ1586">
        <v>0</v>
      </c>
      <c r="AK1586">
        <v>484</v>
      </c>
      <c r="AL1586">
        <v>484</v>
      </c>
      <c r="AM1586">
        <v>0</v>
      </c>
      <c r="AN1586">
        <v>0</v>
      </c>
      <c r="AO1586">
        <v>400</v>
      </c>
      <c r="AP1586">
        <v>75</v>
      </c>
      <c r="AQ1586">
        <v>400</v>
      </c>
      <c r="AR1586">
        <v>325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275</v>
      </c>
      <c r="BA1586">
        <v>275</v>
      </c>
      <c r="BB1586">
        <v>0</v>
      </c>
      <c r="BC1586">
        <v>0</v>
      </c>
      <c r="BD1586">
        <v>0</v>
      </c>
      <c r="BE1586">
        <f t="shared" si="253"/>
        <v>2818</v>
      </c>
      <c r="BF1586">
        <v>1209</v>
      </c>
      <c r="BG1586">
        <v>1209</v>
      </c>
      <c r="BH1586" t="s">
        <v>63</v>
      </c>
      <c r="BI1586" t="s">
        <v>1312</v>
      </c>
      <c r="BJ1586">
        <v>0</v>
      </c>
      <c r="BK1586">
        <v>1209</v>
      </c>
      <c r="BL1586">
        <v>1209</v>
      </c>
      <c r="BM1586">
        <v>0</v>
      </c>
      <c r="BN1586">
        <v>0</v>
      </c>
      <c r="BO1586">
        <v>0</v>
      </c>
      <c r="BP1586">
        <v>1209</v>
      </c>
      <c r="BQ1586">
        <v>1209</v>
      </c>
      <c r="BR1586">
        <f t="shared" si="254"/>
        <v>-90</v>
      </c>
      <c r="BS1586">
        <f t="shared" si="255"/>
        <v>90</v>
      </c>
      <c r="BU1586">
        <f>R1586*9</f>
        <v>0</v>
      </c>
      <c r="BV1586">
        <f>IF(BU1586&gt;BG1586, 1, 0)</f>
        <v>0</v>
      </c>
    </row>
    <row r="1587" spans="1:74" x14ac:dyDescent="0.25">
      <c r="A1587" s="5" t="s">
        <v>1017</v>
      </c>
      <c r="B1587" s="5" t="s">
        <v>61</v>
      </c>
      <c r="C1587" s="5" t="s">
        <v>207</v>
      </c>
      <c r="D1587" s="1" t="s">
        <v>96</v>
      </c>
      <c r="E1587">
        <v>12</v>
      </c>
      <c r="F1587">
        <v>5</v>
      </c>
      <c r="G1587">
        <v>0</v>
      </c>
      <c r="H1587">
        <v>0</v>
      </c>
      <c r="I1587">
        <v>108</v>
      </c>
      <c r="J1587">
        <v>1100</v>
      </c>
      <c r="K1587">
        <v>252</v>
      </c>
      <c r="L1587">
        <v>85</v>
      </c>
      <c r="M1587">
        <v>0</v>
      </c>
      <c r="N1587">
        <v>0</v>
      </c>
      <c r="O1587">
        <v>0</v>
      </c>
      <c r="P1587">
        <v>45</v>
      </c>
      <c r="Q1587">
        <v>175</v>
      </c>
      <c r="R1587">
        <v>5</v>
      </c>
      <c r="S1587" s="18">
        <f t="shared" si="246"/>
        <v>9</v>
      </c>
      <c r="T1587" s="17">
        <f t="shared" si="247"/>
        <v>0</v>
      </c>
      <c r="U1587" s="17">
        <f t="shared" si="248"/>
        <v>0</v>
      </c>
      <c r="V1587" s="17">
        <f t="shared" si="249"/>
        <v>0</v>
      </c>
      <c r="W1587" s="17">
        <f t="shared" si="250"/>
        <v>5</v>
      </c>
      <c r="X1587" s="17">
        <f t="shared" si="251"/>
        <v>170</v>
      </c>
      <c r="Y1587" s="19">
        <f t="shared" si="252"/>
        <v>0</v>
      </c>
      <c r="Z1587">
        <v>5</v>
      </c>
      <c r="AA1587">
        <v>0</v>
      </c>
      <c r="AB1587">
        <v>0</v>
      </c>
      <c r="AC1587">
        <v>1115</v>
      </c>
      <c r="AD1587">
        <v>0</v>
      </c>
      <c r="AE1587">
        <v>0</v>
      </c>
      <c r="AF1587">
        <v>0</v>
      </c>
      <c r="AG1587">
        <v>108</v>
      </c>
      <c r="AH1587">
        <v>108</v>
      </c>
      <c r="AI1587">
        <v>0</v>
      </c>
      <c r="AJ1587">
        <v>0</v>
      </c>
      <c r="AK1587">
        <v>1100</v>
      </c>
      <c r="AL1587">
        <v>1100</v>
      </c>
      <c r="AM1587">
        <v>0</v>
      </c>
      <c r="AN1587">
        <v>0</v>
      </c>
      <c r="AO1587">
        <v>252</v>
      </c>
      <c r="AP1587">
        <v>208</v>
      </c>
      <c r="AQ1587">
        <v>252</v>
      </c>
      <c r="AR1587">
        <v>44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85</v>
      </c>
      <c r="BA1587">
        <v>85</v>
      </c>
      <c r="BB1587">
        <v>0</v>
      </c>
      <c r="BC1587">
        <v>0</v>
      </c>
      <c r="BD1587">
        <v>0</v>
      </c>
      <c r="BE1587">
        <f t="shared" si="253"/>
        <v>4457</v>
      </c>
      <c r="BF1587">
        <v>2677</v>
      </c>
      <c r="BG1587">
        <v>2677</v>
      </c>
      <c r="BH1587" t="s">
        <v>82</v>
      </c>
      <c r="BI1587" t="s">
        <v>532</v>
      </c>
      <c r="BJ1587">
        <v>1127</v>
      </c>
      <c r="BK1587">
        <v>1545</v>
      </c>
      <c r="BL1587">
        <v>2677</v>
      </c>
      <c r="BM1587">
        <v>0</v>
      </c>
      <c r="BN1587">
        <v>0</v>
      </c>
      <c r="BO1587">
        <v>0</v>
      </c>
      <c r="BP1587">
        <v>1590</v>
      </c>
      <c r="BQ1587">
        <v>1590</v>
      </c>
      <c r="BR1587">
        <f t="shared" si="254"/>
        <v>-170</v>
      </c>
      <c r="BS1587">
        <f t="shared" si="255"/>
        <v>180</v>
      </c>
    </row>
    <row r="1588" spans="1:74" x14ac:dyDescent="0.25">
      <c r="A1588" s="5" t="s">
        <v>1135</v>
      </c>
      <c r="B1588" s="5" t="s">
        <v>61</v>
      </c>
      <c r="C1588" s="5" t="s">
        <v>61</v>
      </c>
      <c r="D1588" s="1" t="s">
        <v>147</v>
      </c>
      <c r="E1588">
        <v>0</v>
      </c>
      <c r="F1588">
        <v>370</v>
      </c>
      <c r="G1588">
        <v>0</v>
      </c>
      <c r="H1588">
        <v>0</v>
      </c>
      <c r="I1588">
        <v>60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3330</v>
      </c>
      <c r="Q1588">
        <v>540</v>
      </c>
      <c r="R1588">
        <v>370</v>
      </c>
      <c r="S1588" s="18">
        <f t="shared" si="246"/>
        <v>9</v>
      </c>
      <c r="T1588" s="17">
        <f t="shared" si="247"/>
        <v>0</v>
      </c>
      <c r="U1588" s="17">
        <f t="shared" si="248"/>
        <v>0</v>
      </c>
      <c r="V1588" s="17">
        <f t="shared" si="249"/>
        <v>0</v>
      </c>
      <c r="W1588" s="17">
        <f t="shared" si="250"/>
        <v>370</v>
      </c>
      <c r="X1588" s="17">
        <f t="shared" si="251"/>
        <v>170</v>
      </c>
      <c r="Y1588" s="19">
        <f t="shared" si="252"/>
        <v>0</v>
      </c>
      <c r="Z1588">
        <v>370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60</v>
      </c>
      <c r="AH1588">
        <v>60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f t="shared" si="253"/>
        <v>120</v>
      </c>
      <c r="BF1588">
        <v>430</v>
      </c>
      <c r="BG1588">
        <v>430</v>
      </c>
      <c r="BH1588" t="s">
        <v>109</v>
      </c>
      <c r="BI1588" t="s">
        <v>1172</v>
      </c>
      <c r="BJ1588">
        <v>0</v>
      </c>
      <c r="BK1588">
        <v>60</v>
      </c>
      <c r="BL1588">
        <v>430</v>
      </c>
      <c r="BM1588">
        <v>0</v>
      </c>
      <c r="BN1588">
        <v>0</v>
      </c>
      <c r="BO1588">
        <v>0</v>
      </c>
      <c r="BP1588">
        <v>3390</v>
      </c>
      <c r="BQ1588">
        <v>3390</v>
      </c>
      <c r="BR1588">
        <f t="shared" si="254"/>
        <v>-170</v>
      </c>
      <c r="BS1588">
        <f t="shared" si="255"/>
        <v>910</v>
      </c>
    </row>
    <row r="1589" spans="1:74" x14ac:dyDescent="0.25">
      <c r="A1589" s="5" t="s">
        <v>875</v>
      </c>
      <c r="B1589" s="5" t="s">
        <v>61</v>
      </c>
      <c r="C1589" s="5" t="s">
        <v>207</v>
      </c>
      <c r="D1589" s="1" t="s">
        <v>62</v>
      </c>
      <c r="E1589">
        <v>0</v>
      </c>
      <c r="F1589">
        <v>0</v>
      </c>
      <c r="G1589">
        <v>0</v>
      </c>
      <c r="H1589">
        <v>0</v>
      </c>
      <c r="I1589">
        <v>1650</v>
      </c>
      <c r="J1589">
        <v>0</v>
      </c>
      <c r="K1589">
        <v>1835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92</v>
      </c>
      <c r="R1589">
        <v>0</v>
      </c>
      <c r="S1589" s="18" t="e">
        <f t="shared" si="246"/>
        <v>#DIV/0!</v>
      </c>
      <c r="T1589" s="17" t="e">
        <f t="shared" si="247"/>
        <v>#DIV/0!</v>
      </c>
      <c r="U1589" s="17" t="e">
        <f t="shared" si="248"/>
        <v>#DIV/0!</v>
      </c>
      <c r="V1589" s="17" t="e">
        <f t="shared" si="249"/>
        <v>#DIV/0!</v>
      </c>
      <c r="W1589" s="17" t="e">
        <f t="shared" si="250"/>
        <v>#DIV/0!</v>
      </c>
      <c r="X1589" s="17" t="e">
        <f t="shared" si="251"/>
        <v>#DIV/0!</v>
      </c>
      <c r="Y1589" s="19" t="e">
        <f t="shared" si="252"/>
        <v>#DIV/0!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1650</v>
      </c>
      <c r="AH1589">
        <v>1650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1835</v>
      </c>
      <c r="AP1589">
        <v>0</v>
      </c>
      <c r="AQ1589">
        <v>1835</v>
      </c>
      <c r="AR1589">
        <v>1835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f t="shared" si="253"/>
        <v>8805</v>
      </c>
      <c r="BF1589">
        <v>3485</v>
      </c>
      <c r="BG1589">
        <v>3485</v>
      </c>
      <c r="BH1589" t="s">
        <v>63</v>
      </c>
      <c r="BI1589" t="s">
        <v>877</v>
      </c>
      <c r="BJ1589">
        <v>0</v>
      </c>
      <c r="BK1589">
        <v>3485</v>
      </c>
      <c r="BL1589">
        <v>3485</v>
      </c>
      <c r="BM1589">
        <v>0</v>
      </c>
      <c r="BN1589">
        <v>0</v>
      </c>
      <c r="BO1589">
        <v>0</v>
      </c>
      <c r="BP1589">
        <v>3485</v>
      </c>
      <c r="BQ1589">
        <v>3485</v>
      </c>
      <c r="BR1589">
        <f t="shared" si="254"/>
        <v>-92</v>
      </c>
      <c r="BS1589">
        <f t="shared" si="255"/>
        <v>92</v>
      </c>
      <c r="BU1589">
        <f>R1589*9</f>
        <v>0</v>
      </c>
      <c r="BV1589">
        <f>IF(BU1589&gt;BG1589, 1, 0)</f>
        <v>0</v>
      </c>
    </row>
    <row r="1590" spans="1:74" x14ac:dyDescent="0.25">
      <c r="A1590" s="5" t="s">
        <v>1946</v>
      </c>
      <c r="B1590" s="5" t="s">
        <v>207</v>
      </c>
      <c r="C1590" s="5" t="s">
        <v>207</v>
      </c>
      <c r="D1590" s="1" t="s">
        <v>86</v>
      </c>
      <c r="E1590">
        <v>0</v>
      </c>
      <c r="F1590">
        <v>468</v>
      </c>
      <c r="G1590">
        <v>0</v>
      </c>
      <c r="H1590">
        <v>0</v>
      </c>
      <c r="I1590">
        <v>564</v>
      </c>
      <c r="J1590">
        <v>0</v>
      </c>
      <c r="K1590">
        <v>15</v>
      </c>
      <c r="L1590">
        <v>0</v>
      </c>
      <c r="M1590">
        <v>666</v>
      </c>
      <c r="N1590">
        <v>0</v>
      </c>
      <c r="O1590">
        <v>0</v>
      </c>
      <c r="P1590">
        <v>0</v>
      </c>
      <c r="Q1590">
        <v>244</v>
      </c>
      <c r="R1590">
        <v>74</v>
      </c>
      <c r="S1590" s="18">
        <f t="shared" si="246"/>
        <v>9</v>
      </c>
      <c r="T1590" s="17">
        <f t="shared" si="247"/>
        <v>74</v>
      </c>
      <c r="U1590" s="17">
        <f t="shared" si="248"/>
        <v>0</v>
      </c>
      <c r="V1590" s="17">
        <f t="shared" si="249"/>
        <v>0</v>
      </c>
      <c r="W1590" s="17">
        <f t="shared" si="250"/>
        <v>0</v>
      </c>
      <c r="X1590" s="17">
        <f t="shared" si="251"/>
        <v>170</v>
      </c>
      <c r="Y1590" s="19">
        <f t="shared" si="252"/>
        <v>0</v>
      </c>
      <c r="Z1590">
        <v>468</v>
      </c>
      <c r="AA1590">
        <v>0</v>
      </c>
      <c r="AB1590">
        <v>0</v>
      </c>
      <c r="AC1590">
        <v>0</v>
      </c>
      <c r="AD1590">
        <v>564</v>
      </c>
      <c r="AE1590">
        <v>0</v>
      </c>
      <c r="AF1590">
        <v>0</v>
      </c>
      <c r="AG1590">
        <v>0</v>
      </c>
      <c r="AH1590">
        <v>564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15</v>
      </c>
      <c r="AP1590">
        <v>15</v>
      </c>
      <c r="AQ1590">
        <v>15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f t="shared" si="253"/>
        <v>1173</v>
      </c>
      <c r="BF1590">
        <v>1047</v>
      </c>
      <c r="BG1590">
        <v>1047</v>
      </c>
      <c r="BH1590" t="s">
        <v>109</v>
      </c>
      <c r="BI1590" t="s">
        <v>2051</v>
      </c>
      <c r="BJ1590">
        <v>0</v>
      </c>
      <c r="BK1590">
        <v>579</v>
      </c>
      <c r="BL1590">
        <v>1047</v>
      </c>
      <c r="BM1590">
        <v>1230</v>
      </c>
      <c r="BN1590">
        <v>0</v>
      </c>
      <c r="BO1590">
        <v>0</v>
      </c>
      <c r="BP1590">
        <v>15</v>
      </c>
      <c r="BQ1590">
        <v>1245</v>
      </c>
      <c r="BR1590">
        <f t="shared" si="254"/>
        <v>-170</v>
      </c>
      <c r="BS1590">
        <f t="shared" si="255"/>
        <v>318</v>
      </c>
    </row>
    <row r="1591" spans="1:74" x14ac:dyDescent="0.25">
      <c r="A1591" s="5" t="s">
        <v>2090</v>
      </c>
      <c r="B1591" s="5" t="s">
        <v>61</v>
      </c>
      <c r="C1591" s="6" t="s">
        <v>61</v>
      </c>
      <c r="D1591" s="1" t="s">
        <v>203</v>
      </c>
      <c r="E1591">
        <v>0</v>
      </c>
      <c r="F1591">
        <v>0</v>
      </c>
      <c r="G1591">
        <v>0</v>
      </c>
      <c r="H1591">
        <v>0</v>
      </c>
      <c r="I1591">
        <v>250</v>
      </c>
      <c r="J1591">
        <v>190</v>
      </c>
      <c r="K1591">
        <v>150</v>
      </c>
      <c r="L1591">
        <v>813</v>
      </c>
      <c r="M1591">
        <v>0</v>
      </c>
      <c r="N1591">
        <v>0</v>
      </c>
      <c r="O1591">
        <v>0</v>
      </c>
      <c r="P1591">
        <v>0</v>
      </c>
      <c r="Q1591">
        <v>170</v>
      </c>
      <c r="R1591">
        <v>0</v>
      </c>
      <c r="S1591" s="18" t="e">
        <f t="shared" si="246"/>
        <v>#DIV/0!</v>
      </c>
      <c r="T1591" s="17" t="e">
        <f t="shared" si="247"/>
        <v>#DIV/0!</v>
      </c>
      <c r="U1591" s="17" t="e">
        <f t="shared" si="248"/>
        <v>#DIV/0!</v>
      </c>
      <c r="V1591" s="17" t="e">
        <f t="shared" si="249"/>
        <v>#DIV/0!</v>
      </c>
      <c r="W1591" s="17" t="e">
        <f t="shared" si="250"/>
        <v>#DIV/0!</v>
      </c>
      <c r="X1591" s="17" t="e">
        <f t="shared" si="251"/>
        <v>#DIV/0!</v>
      </c>
      <c r="Y1591" s="19" t="e">
        <f t="shared" si="252"/>
        <v>#DIV/0!</v>
      </c>
      <c r="Z1591">
        <v>0</v>
      </c>
      <c r="AA1591">
        <v>0</v>
      </c>
      <c r="AB1591">
        <v>0</v>
      </c>
      <c r="AC1591">
        <v>40</v>
      </c>
      <c r="AD1591">
        <v>0</v>
      </c>
      <c r="AE1591">
        <v>0</v>
      </c>
      <c r="AF1591">
        <v>0</v>
      </c>
      <c r="AG1591">
        <v>250</v>
      </c>
      <c r="AH1591">
        <v>250</v>
      </c>
      <c r="AI1591">
        <v>0</v>
      </c>
      <c r="AJ1591">
        <v>0</v>
      </c>
      <c r="AK1591">
        <v>190</v>
      </c>
      <c r="AL1591">
        <v>190</v>
      </c>
      <c r="AM1591">
        <v>0</v>
      </c>
      <c r="AN1591">
        <v>0</v>
      </c>
      <c r="AO1591">
        <v>150</v>
      </c>
      <c r="AP1591">
        <v>100</v>
      </c>
      <c r="AQ1591">
        <v>150</v>
      </c>
      <c r="AR1591">
        <v>50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813</v>
      </c>
      <c r="BA1591">
        <v>813</v>
      </c>
      <c r="BB1591">
        <v>0</v>
      </c>
      <c r="BC1591">
        <v>0</v>
      </c>
      <c r="BD1591">
        <v>0</v>
      </c>
      <c r="BE1591">
        <f t="shared" si="253"/>
        <v>2996</v>
      </c>
      <c r="BF1591">
        <v>1443</v>
      </c>
      <c r="BG1591">
        <v>1443</v>
      </c>
      <c r="BH1591" t="s">
        <v>190</v>
      </c>
      <c r="BI1591" t="s">
        <v>2156</v>
      </c>
      <c r="BJ1591">
        <v>40</v>
      </c>
      <c r="BK1591">
        <v>1403</v>
      </c>
      <c r="BL1591">
        <v>1443</v>
      </c>
      <c r="BM1591">
        <v>0</v>
      </c>
      <c r="BN1591">
        <v>0</v>
      </c>
      <c r="BO1591">
        <v>0</v>
      </c>
      <c r="BP1591">
        <v>1403</v>
      </c>
      <c r="BQ1591">
        <v>1403</v>
      </c>
      <c r="BR1591">
        <f t="shared" si="254"/>
        <v>-170</v>
      </c>
      <c r="BS1591">
        <f t="shared" si="255"/>
        <v>170</v>
      </c>
    </row>
    <row r="1592" spans="1:74" x14ac:dyDescent="0.25">
      <c r="A1592" s="5" t="s">
        <v>2090</v>
      </c>
      <c r="B1592" s="5" t="s">
        <v>61</v>
      </c>
      <c r="C1592" s="7" t="s">
        <v>61</v>
      </c>
      <c r="D1592" s="1" t="s">
        <v>2199</v>
      </c>
      <c r="E1592">
        <v>0</v>
      </c>
      <c r="F1592">
        <v>40</v>
      </c>
      <c r="G1592">
        <v>0</v>
      </c>
      <c r="H1592">
        <v>0</v>
      </c>
      <c r="I1592">
        <v>399</v>
      </c>
      <c r="J1592">
        <v>1056</v>
      </c>
      <c r="K1592">
        <v>677</v>
      </c>
      <c r="L1592">
        <v>3</v>
      </c>
      <c r="M1592">
        <v>0</v>
      </c>
      <c r="N1592">
        <v>0</v>
      </c>
      <c r="O1592">
        <v>0</v>
      </c>
      <c r="P1592">
        <v>135</v>
      </c>
      <c r="Q1592">
        <v>185</v>
      </c>
      <c r="R1592">
        <v>15</v>
      </c>
      <c r="S1592" s="18">
        <f t="shared" si="246"/>
        <v>9</v>
      </c>
      <c r="T1592" s="17">
        <f t="shared" si="247"/>
        <v>0</v>
      </c>
      <c r="U1592" s="17">
        <f t="shared" si="248"/>
        <v>0</v>
      </c>
      <c r="V1592" s="17">
        <f t="shared" si="249"/>
        <v>0</v>
      </c>
      <c r="W1592" s="17">
        <f t="shared" si="250"/>
        <v>15</v>
      </c>
      <c r="X1592" s="17">
        <f t="shared" si="251"/>
        <v>170</v>
      </c>
      <c r="Y1592" s="19">
        <f t="shared" si="252"/>
        <v>0</v>
      </c>
      <c r="Z1592">
        <v>40</v>
      </c>
      <c r="AA1592">
        <v>60</v>
      </c>
      <c r="AB1592">
        <v>0</v>
      </c>
      <c r="AC1592">
        <v>3200</v>
      </c>
      <c r="AD1592">
        <v>0</v>
      </c>
      <c r="AE1592">
        <v>0</v>
      </c>
      <c r="AF1592">
        <v>0</v>
      </c>
      <c r="AG1592">
        <v>399</v>
      </c>
      <c r="AH1592">
        <v>399</v>
      </c>
      <c r="AI1592">
        <v>0</v>
      </c>
      <c r="AJ1592">
        <v>0</v>
      </c>
      <c r="AK1592">
        <v>1056</v>
      </c>
      <c r="AL1592">
        <v>1056</v>
      </c>
      <c r="AM1592">
        <v>0</v>
      </c>
      <c r="AN1592">
        <v>0</v>
      </c>
      <c r="AO1592">
        <v>677</v>
      </c>
      <c r="AP1592">
        <v>393</v>
      </c>
      <c r="AQ1592">
        <v>677</v>
      </c>
      <c r="AR1592">
        <v>284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3</v>
      </c>
      <c r="BA1592">
        <v>3</v>
      </c>
      <c r="BB1592">
        <v>0</v>
      </c>
      <c r="BC1592">
        <v>0</v>
      </c>
      <c r="BD1592">
        <v>0</v>
      </c>
      <c r="BE1592">
        <f t="shared" si="253"/>
        <v>8147</v>
      </c>
      <c r="BF1592">
        <v>5435</v>
      </c>
      <c r="BG1592">
        <v>5435</v>
      </c>
      <c r="BH1592" t="s">
        <v>82</v>
      </c>
      <c r="BI1592" t="s">
        <v>2200</v>
      </c>
      <c r="BJ1592">
        <v>3260</v>
      </c>
      <c r="BK1592">
        <v>2135</v>
      </c>
      <c r="BL1592">
        <v>5435</v>
      </c>
      <c r="BM1592">
        <v>0</v>
      </c>
      <c r="BN1592">
        <v>0</v>
      </c>
      <c r="BO1592">
        <v>0</v>
      </c>
      <c r="BP1592">
        <v>2270</v>
      </c>
      <c r="BQ1592">
        <v>2270</v>
      </c>
      <c r="BR1592">
        <f t="shared" si="254"/>
        <v>-170</v>
      </c>
      <c r="BS1592">
        <f t="shared" si="255"/>
        <v>200</v>
      </c>
    </row>
    <row r="1593" spans="1:74" x14ac:dyDescent="0.25">
      <c r="A1593" s="5" t="s">
        <v>61</v>
      </c>
      <c r="B1593" s="5" t="s">
        <v>207</v>
      </c>
      <c r="C1593" s="5" t="s">
        <v>207</v>
      </c>
      <c r="D1593" s="1" t="s">
        <v>165</v>
      </c>
      <c r="E1593">
        <v>0</v>
      </c>
      <c r="F1593">
        <v>28</v>
      </c>
      <c r="G1593">
        <v>0</v>
      </c>
      <c r="H1593">
        <v>0</v>
      </c>
      <c r="I1593">
        <v>461</v>
      </c>
      <c r="J1593">
        <v>0</v>
      </c>
      <c r="K1593">
        <v>0</v>
      </c>
      <c r="L1593">
        <v>0</v>
      </c>
      <c r="M1593">
        <v>252</v>
      </c>
      <c r="N1593">
        <v>0</v>
      </c>
      <c r="O1593">
        <v>0</v>
      </c>
      <c r="P1593">
        <v>0</v>
      </c>
      <c r="Q1593">
        <v>199</v>
      </c>
      <c r="R1593">
        <v>28</v>
      </c>
      <c r="S1593" s="18">
        <f t="shared" si="246"/>
        <v>9</v>
      </c>
      <c r="T1593" s="17">
        <f t="shared" si="247"/>
        <v>28</v>
      </c>
      <c r="U1593" s="17">
        <f t="shared" si="248"/>
        <v>0</v>
      </c>
      <c r="V1593" s="17">
        <f t="shared" si="249"/>
        <v>0</v>
      </c>
      <c r="W1593" s="17">
        <f t="shared" si="250"/>
        <v>0</v>
      </c>
      <c r="X1593" s="17">
        <f t="shared" si="251"/>
        <v>171</v>
      </c>
      <c r="Y1593" s="19">
        <f t="shared" si="252"/>
        <v>0</v>
      </c>
      <c r="Z1593">
        <v>28</v>
      </c>
      <c r="AA1593">
        <v>0</v>
      </c>
      <c r="AB1593">
        <v>0</v>
      </c>
      <c r="AC1593">
        <v>0</v>
      </c>
      <c r="AD1593">
        <v>461</v>
      </c>
      <c r="AE1593">
        <v>0</v>
      </c>
      <c r="AF1593">
        <v>0</v>
      </c>
      <c r="AG1593">
        <v>0</v>
      </c>
      <c r="AH1593">
        <v>461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f t="shared" si="253"/>
        <v>922</v>
      </c>
      <c r="BF1593">
        <v>489</v>
      </c>
      <c r="BG1593">
        <v>489</v>
      </c>
      <c r="BH1593" t="s">
        <v>109</v>
      </c>
      <c r="BI1593" t="s">
        <v>329</v>
      </c>
      <c r="BJ1593">
        <v>0</v>
      </c>
      <c r="BK1593">
        <v>461</v>
      </c>
      <c r="BL1593">
        <v>489</v>
      </c>
      <c r="BM1593">
        <v>713</v>
      </c>
      <c r="BN1593">
        <v>0</v>
      </c>
      <c r="BO1593">
        <v>0</v>
      </c>
      <c r="BP1593">
        <v>0</v>
      </c>
      <c r="BQ1593">
        <v>713</v>
      </c>
      <c r="BR1593">
        <f t="shared" si="254"/>
        <v>-171</v>
      </c>
      <c r="BS1593">
        <f t="shared" si="255"/>
        <v>227</v>
      </c>
    </row>
    <row r="1594" spans="1:74" x14ac:dyDescent="0.25">
      <c r="A1594" s="6" t="s">
        <v>207</v>
      </c>
      <c r="B1594" s="6" t="s">
        <v>61</v>
      </c>
      <c r="C1594" s="6" t="s">
        <v>61</v>
      </c>
      <c r="D1594" s="1" t="s">
        <v>123</v>
      </c>
      <c r="E1594">
        <v>0</v>
      </c>
      <c r="F1594">
        <v>45</v>
      </c>
      <c r="G1594">
        <v>0</v>
      </c>
      <c r="H1594">
        <v>0</v>
      </c>
      <c r="I1594">
        <v>350</v>
      </c>
      <c r="J1594">
        <v>3506</v>
      </c>
      <c r="K1594">
        <v>205</v>
      </c>
      <c r="L1594">
        <v>30</v>
      </c>
      <c r="M1594">
        <v>0</v>
      </c>
      <c r="N1594">
        <v>0</v>
      </c>
      <c r="O1594">
        <v>0</v>
      </c>
      <c r="P1594">
        <v>405</v>
      </c>
      <c r="Q1594">
        <v>216</v>
      </c>
      <c r="R1594">
        <v>45</v>
      </c>
      <c r="S1594" s="18">
        <f t="shared" si="246"/>
        <v>9</v>
      </c>
      <c r="T1594" s="17">
        <f t="shared" si="247"/>
        <v>0</v>
      </c>
      <c r="U1594" s="17">
        <f t="shared" si="248"/>
        <v>0</v>
      </c>
      <c r="V1594" s="17">
        <f t="shared" si="249"/>
        <v>0</v>
      </c>
      <c r="W1594" s="17">
        <f t="shared" si="250"/>
        <v>45</v>
      </c>
      <c r="X1594" s="17">
        <f t="shared" si="251"/>
        <v>171</v>
      </c>
      <c r="Y1594" s="19">
        <f t="shared" si="252"/>
        <v>0</v>
      </c>
      <c r="Z1594">
        <v>45</v>
      </c>
      <c r="AA1594">
        <v>5</v>
      </c>
      <c r="AB1594">
        <v>256</v>
      </c>
      <c r="AC1594">
        <v>2050</v>
      </c>
      <c r="AD1594">
        <v>0</v>
      </c>
      <c r="AE1594">
        <v>0</v>
      </c>
      <c r="AF1594">
        <v>0</v>
      </c>
      <c r="AG1594">
        <v>350</v>
      </c>
      <c r="AH1594">
        <v>350</v>
      </c>
      <c r="AI1594">
        <v>0</v>
      </c>
      <c r="AJ1594">
        <v>0</v>
      </c>
      <c r="AK1594">
        <v>3506</v>
      </c>
      <c r="AL1594">
        <v>3506</v>
      </c>
      <c r="AM1594">
        <v>0</v>
      </c>
      <c r="AN1594">
        <v>0</v>
      </c>
      <c r="AO1594">
        <v>205</v>
      </c>
      <c r="AP1594">
        <v>78</v>
      </c>
      <c r="AQ1594">
        <v>205</v>
      </c>
      <c r="AR1594">
        <v>127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30</v>
      </c>
      <c r="BA1594">
        <v>30</v>
      </c>
      <c r="BB1594">
        <v>0</v>
      </c>
      <c r="BC1594">
        <v>0</v>
      </c>
      <c r="BD1594">
        <v>0</v>
      </c>
      <c r="BE1594">
        <f t="shared" si="253"/>
        <v>10437</v>
      </c>
      <c r="BF1594">
        <v>6447</v>
      </c>
      <c r="BG1594">
        <v>6447</v>
      </c>
      <c r="BH1594" t="s">
        <v>82</v>
      </c>
      <c r="BI1594" t="s">
        <v>455</v>
      </c>
      <c r="BJ1594">
        <v>2311</v>
      </c>
      <c r="BK1594">
        <v>4091</v>
      </c>
      <c r="BL1594">
        <v>6447</v>
      </c>
      <c r="BM1594">
        <v>0</v>
      </c>
      <c r="BN1594">
        <v>0</v>
      </c>
      <c r="BO1594">
        <v>0</v>
      </c>
      <c r="BP1594">
        <v>4496</v>
      </c>
      <c r="BQ1594">
        <v>4496</v>
      </c>
      <c r="BR1594">
        <f t="shared" si="254"/>
        <v>-171</v>
      </c>
      <c r="BS1594">
        <f t="shared" si="255"/>
        <v>261</v>
      </c>
    </row>
    <row r="1595" spans="1:74" x14ac:dyDescent="0.25">
      <c r="A1595" s="7" t="s">
        <v>1337</v>
      </c>
      <c r="B1595" s="7" t="s">
        <v>207</v>
      </c>
      <c r="C1595" s="7" t="s">
        <v>61</v>
      </c>
      <c r="D1595" s="1" t="s">
        <v>84</v>
      </c>
      <c r="E1595">
        <v>0</v>
      </c>
      <c r="F1595">
        <v>72</v>
      </c>
      <c r="G1595">
        <v>0</v>
      </c>
      <c r="H1595">
        <v>0</v>
      </c>
      <c r="I1595">
        <v>196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405</v>
      </c>
      <c r="Q1595">
        <v>216</v>
      </c>
      <c r="R1595">
        <v>45</v>
      </c>
      <c r="S1595" s="18">
        <f t="shared" si="246"/>
        <v>9</v>
      </c>
      <c r="T1595" s="17">
        <f t="shared" si="247"/>
        <v>0</v>
      </c>
      <c r="U1595" s="17">
        <f t="shared" si="248"/>
        <v>0</v>
      </c>
      <c r="V1595" s="17">
        <f t="shared" si="249"/>
        <v>0</v>
      </c>
      <c r="W1595" s="17">
        <f t="shared" si="250"/>
        <v>45</v>
      </c>
      <c r="X1595" s="17">
        <f t="shared" si="251"/>
        <v>171</v>
      </c>
      <c r="Y1595" s="19">
        <f t="shared" si="252"/>
        <v>0</v>
      </c>
      <c r="Z1595">
        <v>72</v>
      </c>
      <c r="AA1595">
        <v>0</v>
      </c>
      <c r="AB1595">
        <v>0</v>
      </c>
      <c r="AC1595">
        <v>0</v>
      </c>
      <c r="AD1595">
        <v>100</v>
      </c>
      <c r="AE1595">
        <v>0</v>
      </c>
      <c r="AF1595">
        <v>0</v>
      </c>
      <c r="AG1595">
        <v>96</v>
      </c>
      <c r="AH1595">
        <v>196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f t="shared" si="253"/>
        <v>392</v>
      </c>
      <c r="BF1595">
        <v>268</v>
      </c>
      <c r="BG1595">
        <v>268</v>
      </c>
      <c r="BH1595" t="s">
        <v>109</v>
      </c>
      <c r="BI1595" t="s">
        <v>1380</v>
      </c>
      <c r="BJ1595">
        <v>0</v>
      </c>
      <c r="BK1595">
        <v>196</v>
      </c>
      <c r="BL1595">
        <v>268</v>
      </c>
      <c r="BM1595">
        <v>100</v>
      </c>
      <c r="BN1595">
        <v>0</v>
      </c>
      <c r="BO1595">
        <v>0</v>
      </c>
      <c r="BP1595">
        <v>501</v>
      </c>
      <c r="BQ1595">
        <v>601</v>
      </c>
      <c r="BR1595">
        <f t="shared" si="254"/>
        <v>-171</v>
      </c>
      <c r="BS1595">
        <f t="shared" si="255"/>
        <v>261</v>
      </c>
    </row>
    <row r="1596" spans="1:74" x14ac:dyDescent="0.25">
      <c r="A1596" s="5" t="s">
        <v>1946</v>
      </c>
      <c r="B1596" s="5" t="s">
        <v>207</v>
      </c>
      <c r="C1596" s="5" t="s">
        <v>207</v>
      </c>
      <c r="D1596" s="1" t="s">
        <v>163</v>
      </c>
      <c r="E1596">
        <v>0</v>
      </c>
      <c r="F1596">
        <v>1400</v>
      </c>
      <c r="G1596">
        <v>0</v>
      </c>
      <c r="H1596">
        <v>0</v>
      </c>
      <c r="I1596">
        <v>208</v>
      </c>
      <c r="J1596">
        <v>1317</v>
      </c>
      <c r="K1596">
        <v>546</v>
      </c>
      <c r="L1596">
        <v>0</v>
      </c>
      <c r="M1596">
        <v>0</v>
      </c>
      <c r="N1596">
        <v>0</v>
      </c>
      <c r="O1596">
        <v>0</v>
      </c>
      <c r="P1596">
        <v>1242</v>
      </c>
      <c r="Q1596">
        <v>310</v>
      </c>
      <c r="R1596">
        <v>138</v>
      </c>
      <c r="S1596" s="18">
        <f t="shared" si="246"/>
        <v>9</v>
      </c>
      <c r="T1596" s="17">
        <f t="shared" si="247"/>
        <v>0</v>
      </c>
      <c r="U1596" s="17">
        <f t="shared" si="248"/>
        <v>0</v>
      </c>
      <c r="V1596" s="17">
        <f t="shared" si="249"/>
        <v>0</v>
      </c>
      <c r="W1596" s="17">
        <f t="shared" si="250"/>
        <v>138</v>
      </c>
      <c r="X1596" s="17">
        <f t="shared" si="251"/>
        <v>172</v>
      </c>
      <c r="Y1596" s="19">
        <f t="shared" si="252"/>
        <v>0</v>
      </c>
      <c r="Z1596">
        <v>1400</v>
      </c>
      <c r="AA1596">
        <v>0</v>
      </c>
      <c r="AB1596">
        <v>0</v>
      </c>
      <c r="AC1596">
        <v>1138</v>
      </c>
      <c r="AD1596">
        <v>0</v>
      </c>
      <c r="AE1596">
        <v>0</v>
      </c>
      <c r="AF1596">
        <v>0</v>
      </c>
      <c r="AG1596">
        <v>208</v>
      </c>
      <c r="AH1596">
        <v>208</v>
      </c>
      <c r="AI1596">
        <v>0</v>
      </c>
      <c r="AJ1596">
        <v>0</v>
      </c>
      <c r="AK1596">
        <v>1317</v>
      </c>
      <c r="AL1596">
        <v>1317</v>
      </c>
      <c r="AM1596">
        <v>0</v>
      </c>
      <c r="AN1596">
        <v>0</v>
      </c>
      <c r="AO1596">
        <v>546</v>
      </c>
      <c r="AP1596">
        <v>181</v>
      </c>
      <c r="AQ1596">
        <v>546</v>
      </c>
      <c r="AR1596">
        <v>365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f t="shared" si="253"/>
        <v>5826</v>
      </c>
      <c r="BF1596">
        <v>4609</v>
      </c>
      <c r="BG1596">
        <v>4609</v>
      </c>
      <c r="BH1596" t="s">
        <v>199</v>
      </c>
      <c r="BI1596" t="s">
        <v>2085</v>
      </c>
      <c r="BJ1596">
        <v>1138</v>
      </c>
      <c r="BK1596">
        <v>2071</v>
      </c>
      <c r="BL1596">
        <v>4609</v>
      </c>
      <c r="BM1596">
        <v>0</v>
      </c>
      <c r="BN1596">
        <v>0</v>
      </c>
      <c r="BO1596">
        <v>0</v>
      </c>
      <c r="BP1596">
        <v>3313</v>
      </c>
      <c r="BQ1596">
        <v>3313</v>
      </c>
      <c r="BR1596">
        <f t="shared" si="254"/>
        <v>-172</v>
      </c>
      <c r="BS1596">
        <f t="shared" si="255"/>
        <v>448</v>
      </c>
    </row>
    <row r="1597" spans="1:74" x14ac:dyDescent="0.25">
      <c r="A1597" s="5" t="s">
        <v>61</v>
      </c>
      <c r="B1597" s="5" t="s">
        <v>61</v>
      </c>
      <c r="C1597" s="5" t="s">
        <v>61</v>
      </c>
      <c r="D1597" s="1" t="s">
        <v>163</v>
      </c>
      <c r="E1597">
        <v>0</v>
      </c>
      <c r="F1597">
        <v>80</v>
      </c>
      <c r="G1597">
        <v>0</v>
      </c>
      <c r="H1597">
        <v>0</v>
      </c>
      <c r="I1597">
        <v>353</v>
      </c>
      <c r="J1597">
        <v>0</v>
      </c>
      <c r="K1597">
        <v>0</v>
      </c>
      <c r="L1597">
        <v>0</v>
      </c>
      <c r="M1597">
        <v>342</v>
      </c>
      <c r="N1597">
        <v>0</v>
      </c>
      <c r="O1597">
        <v>0</v>
      </c>
      <c r="P1597">
        <v>0</v>
      </c>
      <c r="Q1597">
        <v>211</v>
      </c>
      <c r="R1597">
        <v>38</v>
      </c>
      <c r="S1597" s="18">
        <f t="shared" si="246"/>
        <v>9</v>
      </c>
      <c r="T1597" s="17">
        <f t="shared" si="247"/>
        <v>38</v>
      </c>
      <c r="U1597" s="17">
        <f t="shared" si="248"/>
        <v>0</v>
      </c>
      <c r="V1597" s="17">
        <f t="shared" si="249"/>
        <v>0</v>
      </c>
      <c r="W1597" s="17">
        <f t="shared" si="250"/>
        <v>0</v>
      </c>
      <c r="X1597" s="17">
        <f t="shared" si="251"/>
        <v>173</v>
      </c>
      <c r="Y1597" s="19">
        <f t="shared" si="252"/>
        <v>0</v>
      </c>
      <c r="Z1597">
        <v>80</v>
      </c>
      <c r="AA1597">
        <v>0</v>
      </c>
      <c r="AB1597">
        <v>0</v>
      </c>
      <c r="AC1597">
        <v>0</v>
      </c>
      <c r="AD1597">
        <v>353</v>
      </c>
      <c r="AE1597">
        <v>0</v>
      </c>
      <c r="AF1597">
        <v>0</v>
      </c>
      <c r="AG1597">
        <v>0</v>
      </c>
      <c r="AH1597">
        <v>353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f t="shared" si="253"/>
        <v>706</v>
      </c>
      <c r="BF1597">
        <v>433</v>
      </c>
      <c r="BG1597">
        <v>433</v>
      </c>
      <c r="BH1597" t="s">
        <v>109</v>
      </c>
      <c r="BI1597" t="s">
        <v>164</v>
      </c>
      <c r="BJ1597">
        <v>0</v>
      </c>
      <c r="BK1597">
        <v>353</v>
      </c>
      <c r="BL1597">
        <v>433</v>
      </c>
      <c r="BM1597">
        <v>695</v>
      </c>
      <c r="BN1597">
        <v>0</v>
      </c>
      <c r="BO1597">
        <v>0</v>
      </c>
      <c r="BP1597">
        <v>0</v>
      </c>
      <c r="BQ1597">
        <v>695</v>
      </c>
      <c r="BR1597">
        <f t="shared" si="254"/>
        <v>-173</v>
      </c>
      <c r="BS1597">
        <f t="shared" si="255"/>
        <v>249</v>
      </c>
    </row>
    <row r="1598" spans="1:74" x14ac:dyDescent="0.25">
      <c r="A1598" s="5" t="s">
        <v>2294</v>
      </c>
      <c r="B1598" s="5" t="s">
        <v>207</v>
      </c>
      <c r="C1598" s="5" t="s">
        <v>61</v>
      </c>
      <c r="D1598" s="1" t="s">
        <v>131</v>
      </c>
      <c r="E1598">
        <v>0</v>
      </c>
      <c r="F1598">
        <v>7</v>
      </c>
      <c r="G1598">
        <v>0</v>
      </c>
      <c r="H1598">
        <v>0</v>
      </c>
      <c r="I1598">
        <v>174</v>
      </c>
      <c r="J1598">
        <v>940</v>
      </c>
      <c r="K1598">
        <v>283</v>
      </c>
      <c r="L1598">
        <v>79</v>
      </c>
      <c r="M1598">
        <v>0</v>
      </c>
      <c r="N1598">
        <v>0</v>
      </c>
      <c r="O1598">
        <v>0</v>
      </c>
      <c r="P1598">
        <v>63</v>
      </c>
      <c r="Q1598">
        <v>180</v>
      </c>
      <c r="R1598">
        <v>7</v>
      </c>
      <c r="S1598" s="18">
        <f t="shared" si="246"/>
        <v>9</v>
      </c>
      <c r="T1598" s="17">
        <f t="shared" si="247"/>
        <v>0</v>
      </c>
      <c r="U1598" s="17">
        <f t="shared" si="248"/>
        <v>0</v>
      </c>
      <c r="V1598" s="17">
        <f t="shared" si="249"/>
        <v>0</v>
      </c>
      <c r="W1598" s="17">
        <f t="shared" si="250"/>
        <v>7</v>
      </c>
      <c r="X1598" s="17">
        <f t="shared" si="251"/>
        <v>173</v>
      </c>
      <c r="Y1598" s="19">
        <f t="shared" si="252"/>
        <v>0</v>
      </c>
      <c r="Z1598">
        <v>7</v>
      </c>
      <c r="AA1598">
        <v>6</v>
      </c>
      <c r="AB1598">
        <v>30</v>
      </c>
      <c r="AC1598">
        <v>889</v>
      </c>
      <c r="AD1598">
        <v>0</v>
      </c>
      <c r="AE1598">
        <v>0</v>
      </c>
      <c r="AF1598">
        <v>0</v>
      </c>
      <c r="AG1598">
        <v>174</v>
      </c>
      <c r="AH1598">
        <v>174</v>
      </c>
      <c r="AI1598">
        <v>0</v>
      </c>
      <c r="AJ1598">
        <v>0</v>
      </c>
      <c r="AK1598">
        <v>940</v>
      </c>
      <c r="AL1598">
        <v>940</v>
      </c>
      <c r="AM1598">
        <v>0</v>
      </c>
      <c r="AN1598">
        <v>0</v>
      </c>
      <c r="AO1598">
        <v>283</v>
      </c>
      <c r="AP1598">
        <v>283</v>
      </c>
      <c r="AQ1598">
        <v>283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79</v>
      </c>
      <c r="BA1598">
        <v>79</v>
      </c>
      <c r="BB1598">
        <v>0</v>
      </c>
      <c r="BC1598">
        <v>0</v>
      </c>
      <c r="BD1598">
        <v>0</v>
      </c>
      <c r="BE1598">
        <f t="shared" si="253"/>
        <v>4124</v>
      </c>
      <c r="BF1598">
        <v>2408</v>
      </c>
      <c r="BG1598">
        <v>2408</v>
      </c>
      <c r="BH1598" t="s">
        <v>82</v>
      </c>
      <c r="BI1598" t="s">
        <v>2354</v>
      </c>
      <c r="BJ1598">
        <v>925</v>
      </c>
      <c r="BK1598">
        <v>1476</v>
      </c>
      <c r="BL1598">
        <v>2408</v>
      </c>
      <c r="BM1598">
        <v>0</v>
      </c>
      <c r="BN1598">
        <v>0</v>
      </c>
      <c r="BO1598">
        <v>0</v>
      </c>
      <c r="BP1598">
        <v>1539</v>
      </c>
      <c r="BQ1598">
        <v>1539</v>
      </c>
      <c r="BR1598">
        <f t="shared" si="254"/>
        <v>-173</v>
      </c>
      <c r="BS1598">
        <f t="shared" si="255"/>
        <v>187</v>
      </c>
    </row>
    <row r="1599" spans="1:74" x14ac:dyDescent="0.25">
      <c r="A1599" s="5" t="s">
        <v>207</v>
      </c>
      <c r="B1599" s="5" t="s">
        <v>61</v>
      </c>
      <c r="C1599" s="5" t="s">
        <v>61</v>
      </c>
      <c r="D1599" s="1" t="s">
        <v>129</v>
      </c>
      <c r="E1599">
        <v>0</v>
      </c>
      <c r="F1599">
        <v>10</v>
      </c>
      <c r="G1599">
        <v>0</v>
      </c>
      <c r="H1599">
        <v>0</v>
      </c>
      <c r="I1599">
        <v>245</v>
      </c>
      <c r="J1599">
        <v>1200</v>
      </c>
      <c r="K1599">
        <v>200</v>
      </c>
      <c r="L1599">
        <v>100</v>
      </c>
      <c r="M1599">
        <v>0</v>
      </c>
      <c r="N1599">
        <v>0</v>
      </c>
      <c r="O1599">
        <v>0</v>
      </c>
      <c r="P1599">
        <v>90</v>
      </c>
      <c r="Q1599">
        <v>184</v>
      </c>
      <c r="R1599">
        <v>10</v>
      </c>
      <c r="S1599" s="18">
        <f t="shared" si="246"/>
        <v>9</v>
      </c>
      <c r="T1599" s="17">
        <f t="shared" si="247"/>
        <v>0</v>
      </c>
      <c r="U1599" s="17">
        <f t="shared" si="248"/>
        <v>0</v>
      </c>
      <c r="V1599" s="17">
        <f t="shared" si="249"/>
        <v>0</v>
      </c>
      <c r="W1599" s="17">
        <f t="shared" si="250"/>
        <v>10</v>
      </c>
      <c r="X1599" s="17">
        <f t="shared" si="251"/>
        <v>174</v>
      </c>
      <c r="Y1599" s="19">
        <f t="shared" si="252"/>
        <v>0</v>
      </c>
      <c r="Z1599">
        <v>10</v>
      </c>
      <c r="AA1599">
        <v>20</v>
      </c>
      <c r="AB1599">
        <v>210</v>
      </c>
      <c r="AC1599">
        <v>1200</v>
      </c>
      <c r="AD1599">
        <v>0</v>
      </c>
      <c r="AE1599">
        <v>0</v>
      </c>
      <c r="AF1599">
        <v>0</v>
      </c>
      <c r="AG1599">
        <v>245</v>
      </c>
      <c r="AH1599">
        <v>245</v>
      </c>
      <c r="AI1599">
        <v>0</v>
      </c>
      <c r="AJ1599">
        <v>0</v>
      </c>
      <c r="AK1599">
        <v>1200</v>
      </c>
      <c r="AL1599">
        <v>1200</v>
      </c>
      <c r="AM1599">
        <v>0</v>
      </c>
      <c r="AN1599">
        <v>0</v>
      </c>
      <c r="AO1599">
        <v>200</v>
      </c>
      <c r="AP1599">
        <v>155</v>
      </c>
      <c r="AQ1599">
        <v>200</v>
      </c>
      <c r="AR1599">
        <v>45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100</v>
      </c>
      <c r="BA1599">
        <v>100</v>
      </c>
      <c r="BB1599">
        <v>0</v>
      </c>
      <c r="BC1599">
        <v>0</v>
      </c>
      <c r="BD1599">
        <v>0</v>
      </c>
      <c r="BE1599">
        <f t="shared" si="253"/>
        <v>4890</v>
      </c>
      <c r="BF1599">
        <v>3185</v>
      </c>
      <c r="BG1599">
        <v>3185</v>
      </c>
      <c r="BH1599" t="s">
        <v>82</v>
      </c>
      <c r="BI1599" t="s">
        <v>458</v>
      </c>
      <c r="BJ1599">
        <v>1430</v>
      </c>
      <c r="BK1599">
        <v>1745</v>
      </c>
      <c r="BL1599">
        <v>3185</v>
      </c>
      <c r="BM1599">
        <v>0</v>
      </c>
      <c r="BN1599">
        <v>0</v>
      </c>
      <c r="BO1599">
        <v>0</v>
      </c>
      <c r="BP1599">
        <v>1835</v>
      </c>
      <c r="BQ1599">
        <v>1835</v>
      </c>
      <c r="BR1599">
        <f t="shared" si="254"/>
        <v>-174</v>
      </c>
      <c r="BS1599">
        <f t="shared" si="255"/>
        <v>194</v>
      </c>
    </row>
    <row r="1600" spans="1:74" x14ac:dyDescent="0.25">
      <c r="A1600" s="5" t="s">
        <v>61</v>
      </c>
      <c r="B1600" s="5" t="s">
        <v>207</v>
      </c>
      <c r="C1600" s="5" t="s">
        <v>207</v>
      </c>
      <c r="D1600" s="1" t="s">
        <v>88</v>
      </c>
      <c r="E1600">
        <v>0</v>
      </c>
      <c r="F1600">
        <v>0</v>
      </c>
      <c r="G1600">
        <v>0</v>
      </c>
      <c r="H1600">
        <v>0</v>
      </c>
      <c r="I1600">
        <v>100</v>
      </c>
      <c r="J1600">
        <v>0</v>
      </c>
      <c r="K1600">
        <v>1250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175</v>
      </c>
      <c r="R1600">
        <v>0</v>
      </c>
      <c r="S1600" s="18" t="e">
        <f t="shared" si="246"/>
        <v>#DIV/0!</v>
      </c>
      <c r="T1600" s="17" t="e">
        <f t="shared" si="247"/>
        <v>#DIV/0!</v>
      </c>
      <c r="U1600" s="17" t="e">
        <f t="shared" si="248"/>
        <v>#DIV/0!</v>
      </c>
      <c r="V1600" s="17" t="e">
        <f t="shared" si="249"/>
        <v>#DIV/0!</v>
      </c>
      <c r="W1600" s="17" t="e">
        <f t="shared" si="250"/>
        <v>#DIV/0!</v>
      </c>
      <c r="X1600" s="17" t="e">
        <f t="shared" si="251"/>
        <v>#DIV/0!</v>
      </c>
      <c r="Y1600" s="19" t="e">
        <f t="shared" si="252"/>
        <v>#DIV/0!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100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1250</v>
      </c>
      <c r="AP1600">
        <v>450</v>
      </c>
      <c r="AQ1600">
        <v>1250</v>
      </c>
      <c r="AR1600">
        <v>800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f t="shared" si="253"/>
        <v>3950</v>
      </c>
      <c r="BF1600">
        <v>1350</v>
      </c>
      <c r="BG1600">
        <v>1350</v>
      </c>
      <c r="BH1600" t="s">
        <v>82</v>
      </c>
      <c r="BI1600" t="s">
        <v>291</v>
      </c>
      <c r="BJ1600">
        <v>0</v>
      </c>
      <c r="BK1600">
        <v>1350</v>
      </c>
      <c r="BL1600">
        <v>1350</v>
      </c>
      <c r="BM1600">
        <v>0</v>
      </c>
      <c r="BN1600">
        <v>0</v>
      </c>
      <c r="BO1600">
        <v>0</v>
      </c>
      <c r="BP1600">
        <v>1350</v>
      </c>
      <c r="BQ1600">
        <v>1350</v>
      </c>
      <c r="BR1600">
        <f t="shared" si="254"/>
        <v>-175</v>
      </c>
      <c r="BS1600">
        <f t="shared" si="255"/>
        <v>175</v>
      </c>
    </row>
    <row r="1601" spans="1:74" x14ac:dyDescent="0.25">
      <c r="A1601" s="5" t="s">
        <v>207</v>
      </c>
      <c r="B1601" s="5" t="s">
        <v>627</v>
      </c>
      <c r="C1601" s="5" t="s">
        <v>207</v>
      </c>
      <c r="D1601" s="1" t="s">
        <v>81</v>
      </c>
      <c r="E1601">
        <v>4.5</v>
      </c>
      <c r="F1601">
        <v>100</v>
      </c>
      <c r="G1601">
        <v>0</v>
      </c>
      <c r="H1601">
        <v>0</v>
      </c>
      <c r="I1601">
        <v>0</v>
      </c>
      <c r="J1601">
        <v>757</v>
      </c>
      <c r="K1601">
        <v>85</v>
      </c>
      <c r="L1601">
        <v>13</v>
      </c>
      <c r="M1601">
        <v>0</v>
      </c>
      <c r="N1601">
        <v>0</v>
      </c>
      <c r="O1601">
        <v>0</v>
      </c>
      <c r="P1601">
        <v>270</v>
      </c>
      <c r="Q1601">
        <v>205</v>
      </c>
      <c r="R1601">
        <v>30</v>
      </c>
      <c r="S1601" s="18">
        <f t="shared" si="246"/>
        <v>9</v>
      </c>
      <c r="T1601" s="17">
        <f t="shared" si="247"/>
        <v>0</v>
      </c>
      <c r="U1601" s="17">
        <f t="shared" si="248"/>
        <v>0</v>
      </c>
      <c r="V1601" s="17">
        <f t="shared" si="249"/>
        <v>0</v>
      </c>
      <c r="W1601" s="17">
        <f t="shared" si="250"/>
        <v>30</v>
      </c>
      <c r="X1601" s="17">
        <f t="shared" si="251"/>
        <v>175</v>
      </c>
      <c r="Y1601" s="19">
        <f t="shared" si="252"/>
        <v>0</v>
      </c>
      <c r="Z1601">
        <v>100</v>
      </c>
      <c r="AA1601">
        <v>2</v>
      </c>
      <c r="AB1601">
        <v>360</v>
      </c>
      <c r="AC1601">
        <v>766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757</v>
      </c>
      <c r="AL1601">
        <v>757</v>
      </c>
      <c r="AM1601">
        <v>0</v>
      </c>
      <c r="AN1601">
        <v>0</v>
      </c>
      <c r="AO1601">
        <v>85</v>
      </c>
      <c r="AP1601">
        <v>85</v>
      </c>
      <c r="AQ1601">
        <v>85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13</v>
      </c>
      <c r="BA1601">
        <v>13</v>
      </c>
      <c r="BB1601">
        <v>0</v>
      </c>
      <c r="BC1601">
        <v>0</v>
      </c>
      <c r="BD1601">
        <v>0</v>
      </c>
      <c r="BE1601">
        <f t="shared" si="253"/>
        <v>2561</v>
      </c>
      <c r="BF1601">
        <v>2087.5</v>
      </c>
      <c r="BG1601">
        <v>2087.5</v>
      </c>
      <c r="BH1601" t="s">
        <v>82</v>
      </c>
      <c r="BI1601" t="s">
        <v>668</v>
      </c>
      <c r="BJ1601">
        <v>1132.5</v>
      </c>
      <c r="BK1601">
        <v>855</v>
      </c>
      <c r="BL1601">
        <v>2087.5</v>
      </c>
      <c r="BM1601">
        <v>0</v>
      </c>
      <c r="BN1601">
        <v>0</v>
      </c>
      <c r="BO1601">
        <v>0</v>
      </c>
      <c r="BP1601">
        <v>1125</v>
      </c>
      <c r="BQ1601">
        <v>1125</v>
      </c>
      <c r="BR1601">
        <f t="shared" si="254"/>
        <v>-175</v>
      </c>
      <c r="BS1601">
        <f t="shared" si="255"/>
        <v>235</v>
      </c>
    </row>
    <row r="1602" spans="1:74" x14ac:dyDescent="0.25">
      <c r="A1602" s="5" t="s">
        <v>875</v>
      </c>
      <c r="B1602" s="5" t="s">
        <v>61</v>
      </c>
      <c r="C1602" s="5" t="s">
        <v>207</v>
      </c>
      <c r="D1602" s="1" t="s">
        <v>119</v>
      </c>
      <c r="E1602">
        <v>0</v>
      </c>
      <c r="F1602">
        <v>0</v>
      </c>
      <c r="G1602">
        <v>0</v>
      </c>
      <c r="H1602">
        <v>0</v>
      </c>
      <c r="I1602">
        <v>1500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175</v>
      </c>
      <c r="R1602">
        <v>0</v>
      </c>
      <c r="S1602" s="18" t="e">
        <f t="shared" ref="S1602:S1665" si="256">(M1602+N1602+O1602+P1602)/R1602</f>
        <v>#DIV/0!</v>
      </c>
      <c r="T1602" s="17" t="e">
        <f t="shared" ref="T1602:T1665" si="257">M1602/$S1602</f>
        <v>#DIV/0!</v>
      </c>
      <c r="U1602" s="17" t="e">
        <f t="shared" ref="U1602:U1665" si="258">N1602/$S1602</f>
        <v>#DIV/0!</v>
      </c>
      <c r="V1602" s="17" t="e">
        <f t="shared" ref="V1602:V1665" si="259">O1602/$S1602</f>
        <v>#DIV/0!</v>
      </c>
      <c r="W1602" s="17" t="e">
        <f t="shared" ref="W1602:W1665" si="260">P1602/$S1602</f>
        <v>#DIV/0!</v>
      </c>
      <c r="X1602" s="17" t="e">
        <f t="shared" ref="X1602:X1665" si="261">Q1602-T1602-U1602-W1602</f>
        <v>#DIV/0!</v>
      </c>
      <c r="Y1602" s="19" t="e">
        <f t="shared" ref="Y1602:Y1665" si="262">V1602/X1602</f>
        <v>#DIV/0!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1500</v>
      </c>
      <c r="AH1602">
        <v>1500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f t="shared" ref="BE1602:BE1665" si="263">SUM(AC1602:BD1602)</f>
        <v>3000</v>
      </c>
      <c r="BF1602">
        <v>1500</v>
      </c>
      <c r="BG1602">
        <v>1500</v>
      </c>
      <c r="BH1602" t="s">
        <v>109</v>
      </c>
      <c r="BI1602" t="s">
        <v>901</v>
      </c>
      <c r="BJ1602">
        <v>0</v>
      </c>
      <c r="BK1602">
        <v>1500</v>
      </c>
      <c r="BL1602">
        <v>1500</v>
      </c>
      <c r="BM1602">
        <v>0</v>
      </c>
      <c r="BN1602">
        <v>0</v>
      </c>
      <c r="BO1602">
        <v>0</v>
      </c>
      <c r="BP1602">
        <v>1500</v>
      </c>
      <c r="BQ1602">
        <v>1500</v>
      </c>
      <c r="BR1602">
        <f t="shared" ref="BR1602:BR1665" si="264">R1602-Q1602</f>
        <v>-175</v>
      </c>
      <c r="BS1602">
        <f t="shared" ref="BS1602:BS1665" si="265">R1602+Q1602</f>
        <v>175</v>
      </c>
    </row>
    <row r="1603" spans="1:74" x14ac:dyDescent="0.25">
      <c r="A1603" s="5" t="s">
        <v>1135</v>
      </c>
      <c r="B1603" s="5" t="s">
        <v>61</v>
      </c>
      <c r="C1603" s="5" t="s">
        <v>61</v>
      </c>
      <c r="D1603" s="1" t="s">
        <v>111</v>
      </c>
      <c r="E1603">
        <v>80</v>
      </c>
      <c r="F1603">
        <v>9388</v>
      </c>
      <c r="G1603">
        <v>0</v>
      </c>
      <c r="H1603">
        <v>0</v>
      </c>
      <c r="I1603">
        <v>210</v>
      </c>
      <c r="J1603">
        <v>10400</v>
      </c>
      <c r="K1603">
        <v>2700</v>
      </c>
      <c r="L1603">
        <v>125</v>
      </c>
      <c r="M1603">
        <v>0</v>
      </c>
      <c r="N1603">
        <v>0</v>
      </c>
      <c r="O1603">
        <v>0</v>
      </c>
      <c r="P1603">
        <v>17028</v>
      </c>
      <c r="Q1603">
        <v>2067</v>
      </c>
      <c r="R1603">
        <v>1892</v>
      </c>
      <c r="S1603" s="18">
        <f t="shared" si="256"/>
        <v>9</v>
      </c>
      <c r="T1603" s="17">
        <f t="shared" si="257"/>
        <v>0</v>
      </c>
      <c r="U1603" s="17">
        <f t="shared" si="258"/>
        <v>0</v>
      </c>
      <c r="V1603" s="17">
        <f t="shared" si="259"/>
        <v>0</v>
      </c>
      <c r="W1603" s="17">
        <f t="shared" si="260"/>
        <v>1892</v>
      </c>
      <c r="X1603" s="17">
        <f t="shared" si="261"/>
        <v>175</v>
      </c>
      <c r="Y1603" s="19">
        <f t="shared" si="262"/>
        <v>0</v>
      </c>
      <c r="Z1603">
        <v>9388</v>
      </c>
      <c r="AA1603">
        <v>8</v>
      </c>
      <c r="AB1603">
        <v>0</v>
      </c>
      <c r="AC1603">
        <v>7520</v>
      </c>
      <c r="AD1603">
        <v>0</v>
      </c>
      <c r="AE1603">
        <v>0</v>
      </c>
      <c r="AF1603">
        <v>0</v>
      </c>
      <c r="AG1603">
        <v>210</v>
      </c>
      <c r="AH1603">
        <v>210</v>
      </c>
      <c r="AI1603">
        <v>0</v>
      </c>
      <c r="AJ1603">
        <v>0</v>
      </c>
      <c r="AK1603">
        <v>10400</v>
      </c>
      <c r="AL1603">
        <v>10400</v>
      </c>
      <c r="AM1603">
        <v>0</v>
      </c>
      <c r="AN1603">
        <v>0</v>
      </c>
      <c r="AO1603">
        <v>2700</v>
      </c>
      <c r="AP1603">
        <v>2100</v>
      </c>
      <c r="AQ1603">
        <v>2700</v>
      </c>
      <c r="AR1603">
        <v>600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125</v>
      </c>
      <c r="BA1603">
        <v>125</v>
      </c>
      <c r="BB1603">
        <v>0</v>
      </c>
      <c r="BC1603">
        <v>0</v>
      </c>
      <c r="BD1603">
        <v>0</v>
      </c>
      <c r="BE1603">
        <f t="shared" si="263"/>
        <v>37090</v>
      </c>
      <c r="BF1603">
        <v>30431</v>
      </c>
      <c r="BG1603">
        <v>30431</v>
      </c>
      <c r="BH1603" t="s">
        <v>82</v>
      </c>
      <c r="BI1603" t="s">
        <v>1154</v>
      </c>
      <c r="BJ1603">
        <v>7608</v>
      </c>
      <c r="BK1603">
        <v>13435</v>
      </c>
      <c r="BL1603">
        <v>30431</v>
      </c>
      <c r="BM1603">
        <v>0</v>
      </c>
      <c r="BN1603">
        <v>0</v>
      </c>
      <c r="BO1603">
        <v>0</v>
      </c>
      <c r="BP1603">
        <v>30463</v>
      </c>
      <c r="BQ1603">
        <v>30463</v>
      </c>
      <c r="BR1603">
        <f t="shared" si="264"/>
        <v>-175</v>
      </c>
      <c r="BS1603">
        <f t="shared" si="265"/>
        <v>3959</v>
      </c>
    </row>
    <row r="1604" spans="1:74" x14ac:dyDescent="0.25">
      <c r="A1604" s="5" t="s">
        <v>1661</v>
      </c>
      <c r="B1604" s="5" t="s">
        <v>359</v>
      </c>
      <c r="C1604" s="5" t="s">
        <v>207</v>
      </c>
      <c r="D1604" s="1" t="s">
        <v>141</v>
      </c>
      <c r="E1604">
        <v>0</v>
      </c>
      <c r="F1604">
        <v>950</v>
      </c>
      <c r="G1604">
        <v>0</v>
      </c>
      <c r="H1604">
        <v>0</v>
      </c>
      <c r="I1604">
        <v>0</v>
      </c>
      <c r="J1604">
        <v>3100</v>
      </c>
      <c r="K1604">
        <v>225</v>
      </c>
      <c r="L1604">
        <v>90</v>
      </c>
      <c r="M1604">
        <v>0</v>
      </c>
      <c r="N1604">
        <v>0</v>
      </c>
      <c r="O1604">
        <v>0</v>
      </c>
      <c r="P1604">
        <v>684</v>
      </c>
      <c r="Q1604">
        <v>251</v>
      </c>
      <c r="R1604">
        <v>76</v>
      </c>
      <c r="S1604" s="18">
        <f t="shared" si="256"/>
        <v>9</v>
      </c>
      <c r="T1604" s="17">
        <f t="shared" si="257"/>
        <v>0</v>
      </c>
      <c r="U1604" s="17">
        <f t="shared" si="258"/>
        <v>0</v>
      </c>
      <c r="V1604" s="17">
        <f t="shared" si="259"/>
        <v>0</v>
      </c>
      <c r="W1604" s="17">
        <f t="shared" si="260"/>
        <v>76</v>
      </c>
      <c r="X1604" s="17">
        <f t="shared" si="261"/>
        <v>175</v>
      </c>
      <c r="Y1604" s="19">
        <f t="shared" si="262"/>
        <v>0</v>
      </c>
      <c r="Z1604">
        <v>950</v>
      </c>
      <c r="AA1604">
        <v>5</v>
      </c>
      <c r="AB1604">
        <v>336</v>
      </c>
      <c r="AC1604">
        <v>1850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3100</v>
      </c>
      <c r="AL1604">
        <v>3100</v>
      </c>
      <c r="AM1604">
        <v>0</v>
      </c>
      <c r="AN1604">
        <v>0</v>
      </c>
      <c r="AO1604">
        <v>225</v>
      </c>
      <c r="AP1604">
        <v>100</v>
      </c>
      <c r="AQ1604">
        <v>225</v>
      </c>
      <c r="AR1604">
        <v>125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90</v>
      </c>
      <c r="BA1604">
        <v>90</v>
      </c>
      <c r="BB1604">
        <v>0</v>
      </c>
      <c r="BC1604">
        <v>0</v>
      </c>
      <c r="BD1604">
        <v>0</v>
      </c>
      <c r="BE1604">
        <f t="shared" si="263"/>
        <v>8905</v>
      </c>
      <c r="BF1604">
        <v>6556</v>
      </c>
      <c r="BG1604">
        <v>6556</v>
      </c>
      <c r="BH1604" t="s">
        <v>82</v>
      </c>
      <c r="BI1604" t="s">
        <v>1917</v>
      </c>
      <c r="BJ1604">
        <v>2191</v>
      </c>
      <c r="BK1604">
        <v>3415</v>
      </c>
      <c r="BL1604">
        <v>6556</v>
      </c>
      <c r="BM1604">
        <v>0</v>
      </c>
      <c r="BN1604">
        <v>0</v>
      </c>
      <c r="BO1604">
        <v>0</v>
      </c>
      <c r="BP1604">
        <v>4099</v>
      </c>
      <c r="BQ1604">
        <v>4099</v>
      </c>
      <c r="BR1604">
        <f t="shared" si="264"/>
        <v>-175</v>
      </c>
      <c r="BS1604">
        <f t="shared" si="265"/>
        <v>327</v>
      </c>
    </row>
    <row r="1605" spans="1:74" x14ac:dyDescent="0.25">
      <c r="A1605" s="5" t="s">
        <v>1946</v>
      </c>
      <c r="B1605" s="5" t="s">
        <v>207</v>
      </c>
      <c r="C1605" s="5" t="s">
        <v>207</v>
      </c>
      <c r="D1605" s="1" t="s">
        <v>143</v>
      </c>
      <c r="E1605">
        <v>0</v>
      </c>
      <c r="F1605">
        <v>620</v>
      </c>
      <c r="G1605">
        <v>0</v>
      </c>
      <c r="H1605">
        <v>0</v>
      </c>
      <c r="I1605">
        <v>115</v>
      </c>
      <c r="J1605">
        <v>0</v>
      </c>
      <c r="K1605">
        <v>5</v>
      </c>
      <c r="L1605">
        <v>0</v>
      </c>
      <c r="M1605">
        <v>468</v>
      </c>
      <c r="N1605">
        <v>0</v>
      </c>
      <c r="O1605">
        <v>0</v>
      </c>
      <c r="P1605">
        <v>0</v>
      </c>
      <c r="Q1605">
        <v>227</v>
      </c>
      <c r="R1605">
        <v>52</v>
      </c>
      <c r="S1605" s="18">
        <f t="shared" si="256"/>
        <v>9</v>
      </c>
      <c r="T1605" s="17">
        <f t="shared" si="257"/>
        <v>52</v>
      </c>
      <c r="U1605" s="17">
        <f t="shared" si="258"/>
        <v>0</v>
      </c>
      <c r="V1605" s="17">
        <f t="shared" si="259"/>
        <v>0</v>
      </c>
      <c r="W1605" s="17">
        <f t="shared" si="260"/>
        <v>0</v>
      </c>
      <c r="X1605" s="17">
        <f t="shared" si="261"/>
        <v>175</v>
      </c>
      <c r="Y1605" s="19">
        <f t="shared" si="262"/>
        <v>0</v>
      </c>
      <c r="Z1605">
        <v>620</v>
      </c>
      <c r="AA1605">
        <v>0</v>
      </c>
      <c r="AB1605">
        <v>0</v>
      </c>
      <c r="AC1605">
        <v>0</v>
      </c>
      <c r="AD1605">
        <v>115</v>
      </c>
      <c r="AE1605">
        <v>0</v>
      </c>
      <c r="AF1605">
        <v>0</v>
      </c>
      <c r="AG1605">
        <v>0</v>
      </c>
      <c r="AH1605">
        <v>115</v>
      </c>
      <c r="AI1605">
        <v>0</v>
      </c>
      <c r="AJ1605">
        <v>0</v>
      </c>
      <c r="AK1605">
        <v>0</v>
      </c>
      <c r="AL1605">
        <v>0</v>
      </c>
      <c r="AM1605">
        <v>5</v>
      </c>
      <c r="AN1605">
        <v>0</v>
      </c>
      <c r="AO1605">
        <v>0</v>
      </c>
      <c r="AP1605">
        <v>5</v>
      </c>
      <c r="AQ1605">
        <v>5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f t="shared" si="263"/>
        <v>245</v>
      </c>
      <c r="BF1605">
        <v>740</v>
      </c>
      <c r="BG1605">
        <v>740</v>
      </c>
      <c r="BH1605" t="s">
        <v>190</v>
      </c>
      <c r="BI1605" t="s">
        <v>2075</v>
      </c>
      <c r="BJ1605">
        <v>0</v>
      </c>
      <c r="BK1605">
        <v>120</v>
      </c>
      <c r="BL1605">
        <v>740</v>
      </c>
      <c r="BM1605">
        <v>588</v>
      </c>
      <c r="BN1605">
        <v>0</v>
      </c>
      <c r="BO1605">
        <v>0</v>
      </c>
      <c r="BP1605">
        <v>0</v>
      </c>
      <c r="BQ1605">
        <v>588</v>
      </c>
      <c r="BR1605">
        <f t="shared" si="264"/>
        <v>-175</v>
      </c>
      <c r="BS1605">
        <f t="shared" si="265"/>
        <v>279</v>
      </c>
    </row>
    <row r="1606" spans="1:74" x14ac:dyDescent="0.25">
      <c r="A1606" s="5" t="s">
        <v>875</v>
      </c>
      <c r="B1606" s="5" t="s">
        <v>61</v>
      </c>
      <c r="C1606" s="5" t="s">
        <v>207</v>
      </c>
      <c r="D1606" s="1" t="s">
        <v>90</v>
      </c>
      <c r="E1606">
        <v>0</v>
      </c>
      <c r="F1606">
        <v>0</v>
      </c>
      <c r="G1606">
        <v>0</v>
      </c>
      <c r="H1606">
        <v>0</v>
      </c>
      <c r="I1606">
        <v>300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92</v>
      </c>
      <c r="R1606">
        <v>0</v>
      </c>
      <c r="S1606" s="18" t="e">
        <f t="shared" si="256"/>
        <v>#DIV/0!</v>
      </c>
      <c r="T1606" s="17" t="e">
        <f t="shared" si="257"/>
        <v>#DIV/0!</v>
      </c>
      <c r="U1606" s="17" t="e">
        <f t="shared" si="258"/>
        <v>#DIV/0!</v>
      </c>
      <c r="V1606" s="17" t="e">
        <f t="shared" si="259"/>
        <v>#DIV/0!</v>
      </c>
      <c r="W1606" s="17" t="e">
        <f t="shared" si="260"/>
        <v>#DIV/0!</v>
      </c>
      <c r="X1606" s="17" t="e">
        <f t="shared" si="261"/>
        <v>#DIV/0!</v>
      </c>
      <c r="Y1606" s="19" t="e">
        <f t="shared" si="262"/>
        <v>#DIV/0!</v>
      </c>
      <c r="Z1606">
        <v>0</v>
      </c>
      <c r="AA1606">
        <v>0</v>
      </c>
      <c r="AB1606">
        <v>0</v>
      </c>
      <c r="AC1606">
        <v>0</v>
      </c>
      <c r="AD1606">
        <v>300</v>
      </c>
      <c r="AE1606">
        <v>0</v>
      </c>
      <c r="AF1606">
        <v>0</v>
      </c>
      <c r="AG1606">
        <v>0</v>
      </c>
      <c r="AH1606">
        <v>300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f t="shared" si="263"/>
        <v>600</v>
      </c>
      <c r="BF1606">
        <v>300</v>
      </c>
      <c r="BG1606">
        <v>300</v>
      </c>
      <c r="BH1606" t="s">
        <v>63</v>
      </c>
      <c r="BI1606" t="s">
        <v>888</v>
      </c>
      <c r="BJ1606">
        <v>0</v>
      </c>
      <c r="BK1606">
        <v>300</v>
      </c>
      <c r="BL1606">
        <v>300</v>
      </c>
      <c r="BM1606">
        <v>300</v>
      </c>
      <c r="BN1606">
        <v>0</v>
      </c>
      <c r="BO1606">
        <v>0</v>
      </c>
      <c r="BP1606">
        <v>0</v>
      </c>
      <c r="BQ1606">
        <v>300</v>
      </c>
      <c r="BR1606">
        <f t="shared" si="264"/>
        <v>-92</v>
      </c>
      <c r="BS1606">
        <f t="shared" si="265"/>
        <v>92</v>
      </c>
      <c r="BU1606">
        <f>R1606*9</f>
        <v>0</v>
      </c>
      <c r="BV1606">
        <f>IF(BU1606&gt;BG1606, 1, 0)</f>
        <v>0</v>
      </c>
    </row>
    <row r="1607" spans="1:74" x14ac:dyDescent="0.25">
      <c r="A1607" s="5" t="s">
        <v>207</v>
      </c>
      <c r="B1607" s="5" t="s">
        <v>61</v>
      </c>
      <c r="C1607" s="5" t="s">
        <v>207</v>
      </c>
      <c r="D1607" s="1" t="s">
        <v>143</v>
      </c>
      <c r="E1607">
        <v>0</v>
      </c>
      <c r="F1607">
        <v>0</v>
      </c>
      <c r="G1607">
        <v>0</v>
      </c>
      <c r="H1607">
        <v>0</v>
      </c>
      <c r="I1607">
        <v>115</v>
      </c>
      <c r="J1607">
        <v>825</v>
      </c>
      <c r="K1607">
        <v>325</v>
      </c>
      <c r="L1607">
        <v>15</v>
      </c>
      <c r="M1607">
        <v>0</v>
      </c>
      <c r="N1607">
        <v>0</v>
      </c>
      <c r="O1607">
        <v>0</v>
      </c>
      <c r="P1607">
        <v>0</v>
      </c>
      <c r="Q1607">
        <v>176</v>
      </c>
      <c r="R1607">
        <v>0</v>
      </c>
      <c r="S1607" s="18" t="e">
        <f t="shared" si="256"/>
        <v>#DIV/0!</v>
      </c>
      <c r="T1607" s="17" t="e">
        <f t="shared" si="257"/>
        <v>#DIV/0!</v>
      </c>
      <c r="U1607" s="17" t="e">
        <f t="shared" si="258"/>
        <v>#DIV/0!</v>
      </c>
      <c r="V1607" s="17" t="e">
        <f t="shared" si="259"/>
        <v>#DIV/0!</v>
      </c>
      <c r="W1607" s="17" t="e">
        <f t="shared" si="260"/>
        <v>#DIV/0!</v>
      </c>
      <c r="X1607" s="17" t="e">
        <f t="shared" si="261"/>
        <v>#DIV/0!</v>
      </c>
      <c r="Y1607" s="19" t="e">
        <f t="shared" si="262"/>
        <v>#DIV/0!</v>
      </c>
      <c r="Z1607">
        <v>0</v>
      </c>
      <c r="AA1607">
        <v>0</v>
      </c>
      <c r="AB1607">
        <v>0</v>
      </c>
      <c r="AC1607">
        <v>350</v>
      </c>
      <c r="AD1607">
        <v>0</v>
      </c>
      <c r="AE1607">
        <v>0</v>
      </c>
      <c r="AF1607">
        <v>0</v>
      </c>
      <c r="AG1607">
        <v>115</v>
      </c>
      <c r="AH1607">
        <v>115</v>
      </c>
      <c r="AI1607">
        <v>0</v>
      </c>
      <c r="AJ1607">
        <v>0</v>
      </c>
      <c r="AK1607">
        <v>825</v>
      </c>
      <c r="AL1607">
        <v>825</v>
      </c>
      <c r="AM1607">
        <v>0</v>
      </c>
      <c r="AN1607">
        <v>0</v>
      </c>
      <c r="AO1607">
        <v>325</v>
      </c>
      <c r="AP1607">
        <v>75</v>
      </c>
      <c r="AQ1607">
        <v>325</v>
      </c>
      <c r="AR1607">
        <v>250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15</v>
      </c>
      <c r="BA1607">
        <v>15</v>
      </c>
      <c r="BB1607">
        <v>0</v>
      </c>
      <c r="BC1607">
        <v>0</v>
      </c>
      <c r="BD1607">
        <v>0</v>
      </c>
      <c r="BE1607">
        <f t="shared" si="263"/>
        <v>3235</v>
      </c>
      <c r="BF1607">
        <v>1630</v>
      </c>
      <c r="BG1607">
        <v>1630</v>
      </c>
      <c r="BH1607" t="s">
        <v>82</v>
      </c>
      <c r="BI1607" t="s">
        <v>501</v>
      </c>
      <c r="BJ1607">
        <v>350</v>
      </c>
      <c r="BK1607">
        <v>1280</v>
      </c>
      <c r="BL1607">
        <v>1630</v>
      </c>
      <c r="BM1607">
        <v>0</v>
      </c>
      <c r="BN1607">
        <v>0</v>
      </c>
      <c r="BO1607">
        <v>0</v>
      </c>
      <c r="BP1607">
        <v>1280</v>
      </c>
      <c r="BQ1607">
        <v>1280</v>
      </c>
      <c r="BR1607">
        <f t="shared" si="264"/>
        <v>-176</v>
      </c>
      <c r="BS1607">
        <f t="shared" si="265"/>
        <v>176</v>
      </c>
    </row>
    <row r="1608" spans="1:74" x14ac:dyDescent="0.25">
      <c r="A1608" s="5" t="s">
        <v>1017</v>
      </c>
      <c r="B1608" s="5" t="s">
        <v>61</v>
      </c>
      <c r="C1608" s="5" t="s">
        <v>207</v>
      </c>
      <c r="D1608" s="1" t="s">
        <v>113</v>
      </c>
      <c r="E1608">
        <v>0</v>
      </c>
      <c r="F1608">
        <v>495</v>
      </c>
      <c r="G1608">
        <v>0</v>
      </c>
      <c r="H1608">
        <v>0</v>
      </c>
      <c r="I1608">
        <v>1407</v>
      </c>
      <c r="J1608">
        <v>2653</v>
      </c>
      <c r="K1608">
        <v>106</v>
      </c>
      <c r="L1608">
        <v>0</v>
      </c>
      <c r="M1608">
        <v>756</v>
      </c>
      <c r="N1608">
        <v>0</v>
      </c>
      <c r="O1608">
        <v>0</v>
      </c>
      <c r="P1608">
        <v>0</v>
      </c>
      <c r="Q1608">
        <v>260</v>
      </c>
      <c r="R1608">
        <v>84</v>
      </c>
      <c r="S1608" s="18">
        <f t="shared" si="256"/>
        <v>9</v>
      </c>
      <c r="T1608" s="17">
        <f t="shared" si="257"/>
        <v>84</v>
      </c>
      <c r="U1608" s="17">
        <f t="shared" si="258"/>
        <v>0</v>
      </c>
      <c r="V1608" s="17">
        <f t="shared" si="259"/>
        <v>0</v>
      </c>
      <c r="W1608" s="17">
        <f t="shared" si="260"/>
        <v>0</v>
      </c>
      <c r="X1608" s="17">
        <f t="shared" si="261"/>
        <v>176</v>
      </c>
      <c r="Y1608" s="19">
        <f t="shared" si="262"/>
        <v>0</v>
      </c>
      <c r="Z1608">
        <v>495</v>
      </c>
      <c r="AA1608">
        <v>5</v>
      </c>
      <c r="AB1608">
        <v>150</v>
      </c>
      <c r="AC1608">
        <v>0</v>
      </c>
      <c r="AD1608">
        <v>170</v>
      </c>
      <c r="AE1608">
        <v>0</v>
      </c>
      <c r="AF1608">
        <v>0</v>
      </c>
      <c r="AG1608">
        <v>1237</v>
      </c>
      <c r="AH1608">
        <v>1407</v>
      </c>
      <c r="AI1608">
        <v>0</v>
      </c>
      <c r="AJ1608">
        <v>0</v>
      </c>
      <c r="AK1608">
        <v>2653</v>
      </c>
      <c r="AL1608">
        <v>2653</v>
      </c>
      <c r="AM1608">
        <v>0</v>
      </c>
      <c r="AN1608">
        <v>0</v>
      </c>
      <c r="AO1608">
        <v>106</v>
      </c>
      <c r="AP1608">
        <v>0</v>
      </c>
      <c r="AQ1608">
        <v>106</v>
      </c>
      <c r="AR1608">
        <v>106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f t="shared" si="263"/>
        <v>8438</v>
      </c>
      <c r="BF1608">
        <v>4816</v>
      </c>
      <c r="BG1608">
        <v>4816</v>
      </c>
      <c r="BH1608" t="s">
        <v>82</v>
      </c>
      <c r="BI1608" t="s">
        <v>1068</v>
      </c>
      <c r="BJ1608">
        <v>155</v>
      </c>
      <c r="BK1608">
        <v>4166</v>
      </c>
      <c r="BL1608">
        <v>4816</v>
      </c>
      <c r="BM1608">
        <v>926</v>
      </c>
      <c r="BN1608">
        <v>0</v>
      </c>
      <c r="BO1608">
        <v>0</v>
      </c>
      <c r="BP1608">
        <v>3996</v>
      </c>
      <c r="BQ1608">
        <v>4922</v>
      </c>
      <c r="BR1608">
        <f t="shared" si="264"/>
        <v>-176</v>
      </c>
      <c r="BS1608">
        <f t="shared" si="265"/>
        <v>344</v>
      </c>
    </row>
    <row r="1609" spans="1:74" x14ac:dyDescent="0.25">
      <c r="A1609" s="5" t="s">
        <v>207</v>
      </c>
      <c r="B1609" s="5" t="s">
        <v>627</v>
      </c>
      <c r="C1609" s="5" t="s">
        <v>61</v>
      </c>
      <c r="D1609" s="1" t="s">
        <v>117</v>
      </c>
      <c r="E1609">
        <v>0</v>
      </c>
      <c r="F1609">
        <v>35</v>
      </c>
      <c r="G1609">
        <v>0</v>
      </c>
      <c r="H1609">
        <v>0</v>
      </c>
      <c r="I1609">
        <v>20</v>
      </c>
      <c r="J1609">
        <v>3344</v>
      </c>
      <c r="K1609">
        <v>197</v>
      </c>
      <c r="L1609">
        <v>25</v>
      </c>
      <c r="M1609">
        <v>0</v>
      </c>
      <c r="N1609">
        <v>0</v>
      </c>
      <c r="O1609">
        <v>0</v>
      </c>
      <c r="P1609">
        <v>180</v>
      </c>
      <c r="Q1609">
        <v>197</v>
      </c>
      <c r="R1609">
        <v>20</v>
      </c>
      <c r="S1609" s="18">
        <f t="shared" si="256"/>
        <v>9</v>
      </c>
      <c r="T1609" s="17">
        <f t="shared" si="257"/>
        <v>0</v>
      </c>
      <c r="U1609" s="17">
        <f t="shared" si="258"/>
        <v>0</v>
      </c>
      <c r="V1609" s="17">
        <f t="shared" si="259"/>
        <v>0</v>
      </c>
      <c r="W1609" s="17">
        <f t="shared" si="260"/>
        <v>20</v>
      </c>
      <c r="X1609" s="17">
        <f t="shared" si="261"/>
        <v>177</v>
      </c>
      <c r="Y1609" s="19">
        <f t="shared" si="262"/>
        <v>0</v>
      </c>
      <c r="Z1609">
        <v>35</v>
      </c>
      <c r="AA1609">
        <v>24</v>
      </c>
      <c r="AB1609">
        <v>0</v>
      </c>
      <c r="AC1609">
        <v>2296</v>
      </c>
      <c r="AD1609">
        <v>0</v>
      </c>
      <c r="AE1609">
        <v>0</v>
      </c>
      <c r="AF1609">
        <v>0</v>
      </c>
      <c r="AG1609">
        <v>20</v>
      </c>
      <c r="AH1609">
        <v>20</v>
      </c>
      <c r="AI1609">
        <v>0</v>
      </c>
      <c r="AJ1609">
        <v>0</v>
      </c>
      <c r="AK1609">
        <v>3344</v>
      </c>
      <c r="AL1609">
        <v>3344</v>
      </c>
      <c r="AM1609">
        <v>0</v>
      </c>
      <c r="AN1609">
        <v>0</v>
      </c>
      <c r="AO1609">
        <v>197</v>
      </c>
      <c r="AP1609">
        <v>49</v>
      </c>
      <c r="AQ1609">
        <v>197</v>
      </c>
      <c r="AR1609">
        <v>148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25</v>
      </c>
      <c r="BA1609">
        <v>25</v>
      </c>
      <c r="BB1609">
        <v>0</v>
      </c>
      <c r="BC1609">
        <v>0</v>
      </c>
      <c r="BD1609">
        <v>0</v>
      </c>
      <c r="BE1609">
        <f t="shared" si="263"/>
        <v>9665</v>
      </c>
      <c r="BF1609">
        <v>5941</v>
      </c>
      <c r="BG1609">
        <v>5941</v>
      </c>
      <c r="BH1609" t="s">
        <v>82</v>
      </c>
      <c r="BI1609" t="s">
        <v>652</v>
      </c>
      <c r="BJ1609">
        <v>2320</v>
      </c>
      <c r="BK1609">
        <v>3586</v>
      </c>
      <c r="BL1609">
        <v>5941</v>
      </c>
      <c r="BM1609">
        <v>0</v>
      </c>
      <c r="BN1609">
        <v>0</v>
      </c>
      <c r="BO1609">
        <v>0</v>
      </c>
      <c r="BP1609">
        <v>3766</v>
      </c>
      <c r="BQ1609">
        <v>3766</v>
      </c>
      <c r="BR1609">
        <f t="shared" si="264"/>
        <v>-177</v>
      </c>
      <c r="BS1609">
        <f t="shared" si="265"/>
        <v>217</v>
      </c>
    </row>
    <row r="1610" spans="1:74" x14ac:dyDescent="0.25">
      <c r="A1610" s="5" t="s">
        <v>1451</v>
      </c>
      <c r="B1610" s="5" t="s">
        <v>207</v>
      </c>
      <c r="C1610" s="5" t="s">
        <v>207</v>
      </c>
      <c r="D1610" s="1" t="s">
        <v>62</v>
      </c>
      <c r="E1610">
        <v>0</v>
      </c>
      <c r="F1610">
        <v>0</v>
      </c>
      <c r="G1610">
        <v>0</v>
      </c>
      <c r="H1610">
        <v>0</v>
      </c>
      <c r="I1610">
        <v>24</v>
      </c>
      <c r="J1610">
        <v>0</v>
      </c>
      <c r="K1610">
        <v>1252</v>
      </c>
      <c r="L1610">
        <v>70</v>
      </c>
      <c r="M1610">
        <v>0</v>
      </c>
      <c r="N1610">
        <v>0</v>
      </c>
      <c r="O1610">
        <v>0</v>
      </c>
      <c r="P1610">
        <v>0</v>
      </c>
      <c r="Q1610">
        <v>92</v>
      </c>
      <c r="R1610">
        <v>0</v>
      </c>
      <c r="S1610" s="18" t="e">
        <f t="shared" si="256"/>
        <v>#DIV/0!</v>
      </c>
      <c r="T1610" s="17" t="e">
        <f t="shared" si="257"/>
        <v>#DIV/0!</v>
      </c>
      <c r="U1610" s="17" t="e">
        <f t="shared" si="258"/>
        <v>#DIV/0!</v>
      </c>
      <c r="V1610" s="17" t="e">
        <f t="shared" si="259"/>
        <v>#DIV/0!</v>
      </c>
      <c r="W1610" s="17" t="e">
        <f t="shared" si="260"/>
        <v>#DIV/0!</v>
      </c>
      <c r="X1610" s="17" t="e">
        <f t="shared" si="261"/>
        <v>#DIV/0!</v>
      </c>
      <c r="Y1610" s="19" t="e">
        <f t="shared" si="262"/>
        <v>#DIV/0!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24</v>
      </c>
      <c r="AH1610">
        <v>24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1252</v>
      </c>
      <c r="AP1610">
        <v>35</v>
      </c>
      <c r="AQ1610">
        <v>1252</v>
      </c>
      <c r="AR1610">
        <v>1217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70</v>
      </c>
      <c r="BA1610">
        <v>70</v>
      </c>
      <c r="BB1610">
        <v>0</v>
      </c>
      <c r="BC1610">
        <v>0</v>
      </c>
      <c r="BD1610">
        <v>0</v>
      </c>
      <c r="BE1610">
        <f t="shared" si="263"/>
        <v>3944</v>
      </c>
      <c r="BF1610">
        <v>1346</v>
      </c>
      <c r="BG1610">
        <v>1346</v>
      </c>
      <c r="BH1610" t="s">
        <v>63</v>
      </c>
      <c r="BI1610" t="s">
        <v>208</v>
      </c>
      <c r="BJ1610">
        <v>0</v>
      </c>
      <c r="BK1610">
        <v>1346</v>
      </c>
      <c r="BL1610">
        <v>1346</v>
      </c>
      <c r="BM1610">
        <v>0</v>
      </c>
      <c r="BN1610">
        <v>0</v>
      </c>
      <c r="BO1610">
        <v>0</v>
      </c>
      <c r="BP1610">
        <v>1346</v>
      </c>
      <c r="BQ1610">
        <v>1346</v>
      </c>
      <c r="BR1610">
        <f t="shared" si="264"/>
        <v>-92</v>
      </c>
      <c r="BS1610">
        <f t="shared" si="265"/>
        <v>92</v>
      </c>
      <c r="BU1610">
        <f>R1610*9</f>
        <v>0</v>
      </c>
      <c r="BV1610">
        <f>IF(BU1610&gt;BG1610, 1, 0)</f>
        <v>0</v>
      </c>
    </row>
    <row r="1611" spans="1:74" x14ac:dyDescent="0.25">
      <c r="A1611" s="5" t="s">
        <v>627</v>
      </c>
      <c r="B1611" s="5" t="s">
        <v>61</v>
      </c>
      <c r="C1611" s="5" t="s">
        <v>61</v>
      </c>
      <c r="D1611" s="1" t="s">
        <v>65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1873</v>
      </c>
      <c r="K1611">
        <v>13</v>
      </c>
      <c r="L1611">
        <v>79</v>
      </c>
      <c r="M1611">
        <v>0</v>
      </c>
      <c r="N1611">
        <v>0</v>
      </c>
      <c r="O1611">
        <v>0</v>
      </c>
      <c r="P1611">
        <v>0</v>
      </c>
      <c r="Q1611">
        <v>95</v>
      </c>
      <c r="R1611">
        <v>0</v>
      </c>
      <c r="S1611" s="18" t="e">
        <f t="shared" si="256"/>
        <v>#DIV/0!</v>
      </c>
      <c r="T1611" s="17" t="e">
        <f t="shared" si="257"/>
        <v>#DIV/0!</v>
      </c>
      <c r="U1611" s="17" t="e">
        <f t="shared" si="258"/>
        <v>#DIV/0!</v>
      </c>
      <c r="V1611" s="17" t="e">
        <f t="shared" si="259"/>
        <v>#DIV/0!</v>
      </c>
      <c r="W1611" s="17" t="e">
        <f t="shared" si="260"/>
        <v>#DIV/0!</v>
      </c>
      <c r="X1611" s="17" t="e">
        <f t="shared" si="261"/>
        <v>#DIV/0!</v>
      </c>
      <c r="Y1611" s="19" t="e">
        <f t="shared" si="262"/>
        <v>#DIV/0!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1873</v>
      </c>
      <c r="AL1611">
        <v>1873</v>
      </c>
      <c r="AM1611">
        <v>0</v>
      </c>
      <c r="AN1611">
        <v>0</v>
      </c>
      <c r="AO1611">
        <v>13</v>
      </c>
      <c r="AP1611">
        <v>7</v>
      </c>
      <c r="AQ1611">
        <v>6</v>
      </c>
      <c r="AR1611">
        <v>6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79</v>
      </c>
      <c r="BA1611">
        <v>79</v>
      </c>
      <c r="BB1611">
        <v>0</v>
      </c>
      <c r="BC1611">
        <v>0</v>
      </c>
      <c r="BD1611">
        <v>0</v>
      </c>
      <c r="BE1611">
        <f t="shared" si="263"/>
        <v>3936</v>
      </c>
      <c r="BF1611">
        <v>1958</v>
      </c>
      <c r="BG1611">
        <v>1958</v>
      </c>
      <c r="BH1611" t="s">
        <v>63</v>
      </c>
      <c r="BI1611" t="s">
        <v>811</v>
      </c>
      <c r="BJ1611">
        <v>0</v>
      </c>
      <c r="BK1611">
        <v>1958</v>
      </c>
      <c r="BL1611">
        <v>1958</v>
      </c>
      <c r="BM1611">
        <v>0</v>
      </c>
      <c r="BN1611">
        <v>0</v>
      </c>
      <c r="BO1611">
        <v>0</v>
      </c>
      <c r="BP1611">
        <v>1965</v>
      </c>
      <c r="BQ1611">
        <v>1965</v>
      </c>
      <c r="BR1611">
        <f t="shared" si="264"/>
        <v>-95</v>
      </c>
      <c r="BS1611">
        <f t="shared" si="265"/>
        <v>95</v>
      </c>
      <c r="BU1611">
        <f>R1611*9</f>
        <v>0</v>
      </c>
      <c r="BV1611">
        <f>IF(BU1611&gt;BG1611, 1, 0)</f>
        <v>0</v>
      </c>
    </row>
    <row r="1612" spans="1:74" x14ac:dyDescent="0.25">
      <c r="A1612" s="5" t="s">
        <v>207</v>
      </c>
      <c r="B1612" s="5" t="s">
        <v>61</v>
      </c>
      <c r="C1612" s="5" t="s">
        <v>207</v>
      </c>
      <c r="D1612" s="1" t="s">
        <v>139</v>
      </c>
      <c r="E1612">
        <v>0</v>
      </c>
      <c r="F1612">
        <v>0</v>
      </c>
      <c r="G1612">
        <v>0</v>
      </c>
      <c r="H1612">
        <v>0</v>
      </c>
      <c r="I1612">
        <v>677</v>
      </c>
      <c r="J1612">
        <v>2043</v>
      </c>
      <c r="K1612">
        <v>778</v>
      </c>
      <c r="L1612">
        <v>98</v>
      </c>
      <c r="M1612">
        <v>0</v>
      </c>
      <c r="N1612">
        <v>0</v>
      </c>
      <c r="O1612">
        <v>0</v>
      </c>
      <c r="P1612">
        <v>0</v>
      </c>
      <c r="Q1612">
        <v>178</v>
      </c>
      <c r="R1612">
        <v>0</v>
      </c>
      <c r="S1612" s="18" t="e">
        <f t="shared" si="256"/>
        <v>#DIV/0!</v>
      </c>
      <c r="T1612" s="17" t="e">
        <f t="shared" si="257"/>
        <v>#DIV/0!</v>
      </c>
      <c r="U1612" s="17" t="e">
        <f t="shared" si="258"/>
        <v>#DIV/0!</v>
      </c>
      <c r="V1612" s="17" t="e">
        <f t="shared" si="259"/>
        <v>#DIV/0!</v>
      </c>
      <c r="W1612" s="17" t="e">
        <f t="shared" si="260"/>
        <v>#DIV/0!</v>
      </c>
      <c r="X1612" s="17" t="e">
        <f t="shared" si="261"/>
        <v>#DIV/0!</v>
      </c>
      <c r="Y1612" s="19" t="e">
        <f t="shared" si="262"/>
        <v>#DIV/0!</v>
      </c>
      <c r="Z1612">
        <v>0</v>
      </c>
      <c r="AA1612">
        <v>0</v>
      </c>
      <c r="AB1612">
        <v>0</v>
      </c>
      <c r="AC1612">
        <v>1579</v>
      </c>
      <c r="AD1612">
        <v>0</v>
      </c>
      <c r="AE1612">
        <v>0</v>
      </c>
      <c r="AF1612">
        <v>0</v>
      </c>
      <c r="AG1612">
        <v>677</v>
      </c>
      <c r="AH1612">
        <v>677</v>
      </c>
      <c r="AI1612">
        <v>0</v>
      </c>
      <c r="AJ1612">
        <v>0</v>
      </c>
      <c r="AK1612">
        <v>2043</v>
      </c>
      <c r="AL1612">
        <v>2043</v>
      </c>
      <c r="AM1612">
        <v>0</v>
      </c>
      <c r="AN1612">
        <v>0</v>
      </c>
      <c r="AO1612">
        <v>778</v>
      </c>
      <c r="AP1612">
        <v>600</v>
      </c>
      <c r="AQ1612">
        <v>778</v>
      </c>
      <c r="AR1612">
        <v>178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98</v>
      </c>
      <c r="BA1612">
        <v>98</v>
      </c>
      <c r="BB1612">
        <v>0</v>
      </c>
      <c r="BC1612">
        <v>0</v>
      </c>
      <c r="BD1612">
        <v>0</v>
      </c>
      <c r="BE1612">
        <f t="shared" si="263"/>
        <v>9549</v>
      </c>
      <c r="BF1612">
        <v>5175</v>
      </c>
      <c r="BG1612">
        <v>5175</v>
      </c>
      <c r="BH1612" t="s">
        <v>82</v>
      </c>
      <c r="BI1612" t="s">
        <v>499</v>
      </c>
      <c r="BJ1612">
        <v>1579</v>
      </c>
      <c r="BK1612">
        <v>3596</v>
      </c>
      <c r="BL1612">
        <v>5175</v>
      </c>
      <c r="BM1612">
        <v>0</v>
      </c>
      <c r="BN1612">
        <v>0</v>
      </c>
      <c r="BO1612">
        <v>0</v>
      </c>
      <c r="BP1612">
        <v>3596</v>
      </c>
      <c r="BQ1612">
        <v>3596</v>
      </c>
      <c r="BR1612">
        <f t="shared" si="264"/>
        <v>-178</v>
      </c>
      <c r="BS1612">
        <f t="shared" si="265"/>
        <v>178</v>
      </c>
    </row>
    <row r="1613" spans="1:74" x14ac:dyDescent="0.25">
      <c r="A1613" s="5" t="s">
        <v>207</v>
      </c>
      <c r="B1613" s="5" t="s">
        <v>627</v>
      </c>
      <c r="C1613" s="5" t="s">
        <v>61</v>
      </c>
      <c r="D1613" s="1" t="s">
        <v>98</v>
      </c>
      <c r="E1613">
        <v>0</v>
      </c>
      <c r="F1613">
        <v>0</v>
      </c>
      <c r="G1613">
        <v>0</v>
      </c>
      <c r="H1613">
        <v>0</v>
      </c>
      <c r="I1613">
        <v>650</v>
      </c>
      <c r="J1613">
        <v>2822</v>
      </c>
      <c r="K1613">
        <v>63</v>
      </c>
      <c r="L1613">
        <v>87</v>
      </c>
      <c r="M1613">
        <v>0</v>
      </c>
      <c r="N1613">
        <v>0</v>
      </c>
      <c r="O1613">
        <v>0</v>
      </c>
      <c r="P1613">
        <v>0</v>
      </c>
      <c r="Q1613">
        <v>178</v>
      </c>
      <c r="R1613">
        <v>0</v>
      </c>
      <c r="S1613" s="18" t="e">
        <f t="shared" si="256"/>
        <v>#DIV/0!</v>
      </c>
      <c r="T1613" s="17" t="e">
        <f t="shared" si="257"/>
        <v>#DIV/0!</v>
      </c>
      <c r="U1613" s="17" t="e">
        <f t="shared" si="258"/>
        <v>#DIV/0!</v>
      </c>
      <c r="V1613" s="17" t="e">
        <f t="shared" si="259"/>
        <v>#DIV/0!</v>
      </c>
      <c r="W1613" s="17" t="e">
        <f t="shared" si="260"/>
        <v>#DIV/0!</v>
      </c>
      <c r="X1613" s="17" t="e">
        <f t="shared" si="261"/>
        <v>#DIV/0!</v>
      </c>
      <c r="Y1613" s="19" t="e">
        <f t="shared" si="262"/>
        <v>#DIV/0!</v>
      </c>
      <c r="Z1613">
        <v>0</v>
      </c>
      <c r="AA1613">
        <v>4</v>
      </c>
      <c r="AB1613">
        <v>0</v>
      </c>
      <c r="AC1613">
        <v>2045</v>
      </c>
      <c r="AD1613">
        <v>0</v>
      </c>
      <c r="AE1613">
        <v>0</v>
      </c>
      <c r="AF1613">
        <v>0</v>
      </c>
      <c r="AG1613">
        <v>650</v>
      </c>
      <c r="AH1613">
        <v>650</v>
      </c>
      <c r="AI1613">
        <v>0</v>
      </c>
      <c r="AJ1613">
        <v>0</v>
      </c>
      <c r="AK1613">
        <v>2822</v>
      </c>
      <c r="AL1613">
        <v>2822</v>
      </c>
      <c r="AM1613">
        <v>0</v>
      </c>
      <c r="AN1613">
        <v>0</v>
      </c>
      <c r="AO1613">
        <v>63</v>
      </c>
      <c r="AP1613">
        <v>25</v>
      </c>
      <c r="AQ1613">
        <v>63</v>
      </c>
      <c r="AR1613">
        <v>38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87</v>
      </c>
      <c r="BA1613">
        <v>87</v>
      </c>
      <c r="BB1613">
        <v>0</v>
      </c>
      <c r="BC1613">
        <v>0</v>
      </c>
      <c r="BD1613">
        <v>0</v>
      </c>
      <c r="BE1613">
        <f t="shared" si="263"/>
        <v>9352</v>
      </c>
      <c r="BF1613">
        <v>5671</v>
      </c>
      <c r="BG1613">
        <v>5671</v>
      </c>
      <c r="BH1613" t="s">
        <v>82</v>
      </c>
      <c r="BI1613" t="s">
        <v>643</v>
      </c>
      <c r="BJ1613">
        <v>2049</v>
      </c>
      <c r="BK1613">
        <v>3622</v>
      </c>
      <c r="BL1613">
        <v>5671</v>
      </c>
      <c r="BM1613">
        <v>0</v>
      </c>
      <c r="BN1613">
        <v>0</v>
      </c>
      <c r="BO1613">
        <v>0</v>
      </c>
      <c r="BP1613">
        <v>3622</v>
      </c>
      <c r="BQ1613">
        <v>3622</v>
      </c>
      <c r="BR1613">
        <f t="shared" si="264"/>
        <v>-178</v>
      </c>
      <c r="BS1613">
        <f t="shared" si="265"/>
        <v>178</v>
      </c>
    </row>
    <row r="1614" spans="1:74" x14ac:dyDescent="0.25">
      <c r="A1614" s="5" t="s">
        <v>359</v>
      </c>
      <c r="B1614" s="5" t="s">
        <v>61</v>
      </c>
      <c r="C1614" s="5" t="s">
        <v>61</v>
      </c>
      <c r="D1614" s="1" t="s">
        <v>65</v>
      </c>
      <c r="E1614">
        <v>0</v>
      </c>
      <c r="F1614">
        <v>0</v>
      </c>
      <c r="G1614">
        <v>0</v>
      </c>
      <c r="H1614">
        <v>0</v>
      </c>
      <c r="I1614">
        <v>630</v>
      </c>
      <c r="J1614">
        <v>0</v>
      </c>
      <c r="K1614">
        <v>74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98</v>
      </c>
      <c r="R1614">
        <v>0</v>
      </c>
      <c r="S1614" s="18" t="e">
        <f t="shared" si="256"/>
        <v>#DIV/0!</v>
      </c>
      <c r="T1614" s="17" t="e">
        <f t="shared" si="257"/>
        <v>#DIV/0!</v>
      </c>
      <c r="U1614" s="17" t="e">
        <f t="shared" si="258"/>
        <v>#DIV/0!</v>
      </c>
      <c r="V1614" s="17" t="e">
        <f t="shared" si="259"/>
        <v>#DIV/0!</v>
      </c>
      <c r="W1614" s="17" t="e">
        <f t="shared" si="260"/>
        <v>#DIV/0!</v>
      </c>
      <c r="X1614" s="17" t="e">
        <f t="shared" si="261"/>
        <v>#DIV/0!</v>
      </c>
      <c r="Y1614" s="19" t="e">
        <f t="shared" si="262"/>
        <v>#DIV/0!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630</v>
      </c>
      <c r="AH1614">
        <v>630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74</v>
      </c>
      <c r="AP1614">
        <v>74</v>
      </c>
      <c r="AQ1614">
        <v>74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f t="shared" si="263"/>
        <v>1482</v>
      </c>
      <c r="BF1614">
        <v>704</v>
      </c>
      <c r="BG1614">
        <v>704</v>
      </c>
      <c r="BH1614" t="s">
        <v>63</v>
      </c>
      <c r="BI1614" t="s">
        <v>698</v>
      </c>
      <c r="BJ1614">
        <v>0</v>
      </c>
      <c r="BK1614">
        <v>704</v>
      </c>
      <c r="BL1614">
        <v>704</v>
      </c>
      <c r="BM1614">
        <v>0</v>
      </c>
      <c r="BN1614">
        <v>0</v>
      </c>
      <c r="BO1614">
        <v>0</v>
      </c>
      <c r="BP1614">
        <v>704</v>
      </c>
      <c r="BQ1614">
        <v>704</v>
      </c>
      <c r="BR1614">
        <f t="shared" si="264"/>
        <v>-98</v>
      </c>
      <c r="BS1614">
        <f t="shared" si="265"/>
        <v>98</v>
      </c>
      <c r="BU1614">
        <f>R1614*9</f>
        <v>0</v>
      </c>
      <c r="BV1614">
        <f>IF(BU1614&gt;BG1614, 1, 0)</f>
        <v>0</v>
      </c>
    </row>
    <row r="1615" spans="1:74" x14ac:dyDescent="0.25">
      <c r="A1615" s="5" t="s">
        <v>1661</v>
      </c>
      <c r="B1615" s="5" t="s">
        <v>359</v>
      </c>
      <c r="C1615" s="5" t="s">
        <v>207</v>
      </c>
      <c r="D1615" s="1" t="s">
        <v>113</v>
      </c>
      <c r="E1615">
        <v>0</v>
      </c>
      <c r="F1615">
        <v>2176</v>
      </c>
      <c r="G1615">
        <v>0</v>
      </c>
      <c r="H1615">
        <v>0</v>
      </c>
      <c r="I1615">
        <v>24</v>
      </c>
      <c r="J1615">
        <v>1566</v>
      </c>
      <c r="K1615">
        <v>98</v>
      </c>
      <c r="L1615">
        <v>69</v>
      </c>
      <c r="M1615">
        <v>0</v>
      </c>
      <c r="N1615">
        <v>0</v>
      </c>
      <c r="O1615">
        <v>0</v>
      </c>
      <c r="P1615">
        <v>5067</v>
      </c>
      <c r="Q1615">
        <v>741</v>
      </c>
      <c r="R1615">
        <v>563</v>
      </c>
      <c r="S1615" s="18">
        <f t="shared" si="256"/>
        <v>9</v>
      </c>
      <c r="T1615" s="17">
        <f t="shared" si="257"/>
        <v>0</v>
      </c>
      <c r="U1615" s="17">
        <f t="shared" si="258"/>
        <v>0</v>
      </c>
      <c r="V1615" s="17">
        <f t="shared" si="259"/>
        <v>0</v>
      </c>
      <c r="W1615" s="17">
        <f t="shared" si="260"/>
        <v>563</v>
      </c>
      <c r="X1615" s="17">
        <f t="shared" si="261"/>
        <v>178</v>
      </c>
      <c r="Y1615" s="19">
        <f t="shared" si="262"/>
        <v>0</v>
      </c>
      <c r="Z1615">
        <v>2176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24</v>
      </c>
      <c r="AH1615">
        <v>24</v>
      </c>
      <c r="AI1615">
        <v>0</v>
      </c>
      <c r="AJ1615">
        <v>0</v>
      </c>
      <c r="AK1615">
        <v>1566</v>
      </c>
      <c r="AL1615">
        <v>1566</v>
      </c>
      <c r="AM1615">
        <v>0</v>
      </c>
      <c r="AN1615">
        <v>0</v>
      </c>
      <c r="AO1615">
        <v>98</v>
      </c>
      <c r="AP1615">
        <v>58</v>
      </c>
      <c r="AQ1615">
        <v>98</v>
      </c>
      <c r="AR1615">
        <v>40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69</v>
      </c>
      <c r="BA1615">
        <v>69</v>
      </c>
      <c r="BB1615">
        <v>0</v>
      </c>
      <c r="BC1615">
        <v>0</v>
      </c>
      <c r="BD1615">
        <v>0</v>
      </c>
      <c r="BE1615">
        <f t="shared" si="263"/>
        <v>3612</v>
      </c>
      <c r="BF1615">
        <v>4331</v>
      </c>
      <c r="BG1615">
        <v>4331</v>
      </c>
      <c r="BH1615" t="s">
        <v>190</v>
      </c>
      <c r="BI1615" t="s">
        <v>1906</v>
      </c>
      <c r="BJ1615">
        <v>0</v>
      </c>
      <c r="BK1615">
        <v>1757</v>
      </c>
      <c r="BL1615">
        <v>3933</v>
      </c>
      <c r="BM1615">
        <v>0</v>
      </c>
      <c r="BN1615">
        <v>0</v>
      </c>
      <c r="BO1615">
        <v>0</v>
      </c>
      <c r="BP1615">
        <v>6824</v>
      </c>
      <c r="BQ1615">
        <v>6824</v>
      </c>
      <c r="BR1615">
        <f t="shared" si="264"/>
        <v>-178</v>
      </c>
      <c r="BS1615">
        <f t="shared" si="265"/>
        <v>1304</v>
      </c>
    </row>
    <row r="1616" spans="1:74" x14ac:dyDescent="0.25">
      <c r="A1616" s="5" t="s">
        <v>2090</v>
      </c>
      <c r="B1616" s="5" t="s">
        <v>207</v>
      </c>
      <c r="C1616" s="5" t="s">
        <v>61</v>
      </c>
      <c r="D1616" s="1" t="s">
        <v>173</v>
      </c>
      <c r="E1616">
        <v>0</v>
      </c>
      <c r="F1616">
        <v>5671</v>
      </c>
      <c r="G1616">
        <v>0</v>
      </c>
      <c r="H1616">
        <v>0</v>
      </c>
      <c r="I1616">
        <v>104</v>
      </c>
      <c r="J1616">
        <v>662</v>
      </c>
      <c r="K1616">
        <v>476</v>
      </c>
      <c r="L1616">
        <v>213</v>
      </c>
      <c r="M1616">
        <v>8046</v>
      </c>
      <c r="N1616">
        <v>0</v>
      </c>
      <c r="O1616">
        <v>0</v>
      </c>
      <c r="P1616">
        <v>1773</v>
      </c>
      <c r="Q1616">
        <v>1269</v>
      </c>
      <c r="R1616">
        <v>1091</v>
      </c>
      <c r="S1616" s="18">
        <f t="shared" si="256"/>
        <v>9</v>
      </c>
      <c r="T1616" s="17">
        <f t="shared" si="257"/>
        <v>894</v>
      </c>
      <c r="U1616" s="17">
        <f t="shared" si="258"/>
        <v>0</v>
      </c>
      <c r="V1616" s="17">
        <f t="shared" si="259"/>
        <v>0</v>
      </c>
      <c r="W1616" s="17">
        <f t="shared" si="260"/>
        <v>197</v>
      </c>
      <c r="X1616" s="17">
        <f t="shared" si="261"/>
        <v>178</v>
      </c>
      <c r="Y1616" s="19">
        <f t="shared" si="262"/>
        <v>0</v>
      </c>
      <c r="Z1616">
        <v>5671</v>
      </c>
      <c r="AA1616">
        <v>0</v>
      </c>
      <c r="AB1616">
        <v>287</v>
      </c>
      <c r="AC1616">
        <v>0</v>
      </c>
      <c r="AD1616">
        <v>72</v>
      </c>
      <c r="AE1616">
        <v>0</v>
      </c>
      <c r="AF1616">
        <v>0</v>
      </c>
      <c r="AG1616">
        <v>32</v>
      </c>
      <c r="AH1616">
        <v>104</v>
      </c>
      <c r="AI1616">
        <v>0</v>
      </c>
      <c r="AJ1616">
        <v>0</v>
      </c>
      <c r="AK1616">
        <v>662</v>
      </c>
      <c r="AL1616">
        <v>662</v>
      </c>
      <c r="AM1616">
        <v>0</v>
      </c>
      <c r="AN1616">
        <v>0</v>
      </c>
      <c r="AO1616">
        <v>476</v>
      </c>
      <c r="AP1616">
        <v>350</v>
      </c>
      <c r="AQ1616">
        <v>476</v>
      </c>
      <c r="AR1616">
        <v>126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213</v>
      </c>
      <c r="BA1616">
        <v>213</v>
      </c>
      <c r="BB1616">
        <v>0</v>
      </c>
      <c r="BC1616">
        <v>0</v>
      </c>
      <c r="BD1616">
        <v>0</v>
      </c>
      <c r="BE1616">
        <f t="shared" si="263"/>
        <v>3386</v>
      </c>
      <c r="BF1616">
        <v>8057</v>
      </c>
      <c r="BG1616">
        <v>8057</v>
      </c>
      <c r="BH1616" t="s">
        <v>190</v>
      </c>
      <c r="BI1616" t="s">
        <v>2265</v>
      </c>
      <c r="BJ1616">
        <v>287</v>
      </c>
      <c r="BK1616">
        <v>1455</v>
      </c>
      <c r="BL1616">
        <v>7413</v>
      </c>
      <c r="BM1616">
        <v>8118</v>
      </c>
      <c r="BN1616">
        <v>0</v>
      </c>
      <c r="BO1616">
        <v>0</v>
      </c>
      <c r="BP1616">
        <v>3156</v>
      </c>
      <c r="BQ1616">
        <v>11274</v>
      </c>
      <c r="BR1616">
        <f t="shared" si="264"/>
        <v>-178</v>
      </c>
      <c r="BS1616">
        <f t="shared" si="265"/>
        <v>2360</v>
      </c>
    </row>
    <row r="1617" spans="1:74" x14ac:dyDescent="0.25">
      <c r="A1617" s="5" t="s">
        <v>207</v>
      </c>
      <c r="B1617" s="5" t="s">
        <v>359</v>
      </c>
      <c r="C1617" s="5" t="s">
        <v>61</v>
      </c>
      <c r="D1617" s="1" t="s">
        <v>84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1560</v>
      </c>
      <c r="K1617">
        <v>593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179</v>
      </c>
      <c r="R1617">
        <v>0</v>
      </c>
      <c r="S1617" s="18" t="e">
        <f t="shared" si="256"/>
        <v>#DIV/0!</v>
      </c>
      <c r="T1617" s="17" t="e">
        <f t="shared" si="257"/>
        <v>#DIV/0!</v>
      </c>
      <c r="U1617" s="17" t="e">
        <f t="shared" si="258"/>
        <v>#DIV/0!</v>
      </c>
      <c r="V1617" s="17" t="e">
        <f t="shared" si="259"/>
        <v>#DIV/0!</v>
      </c>
      <c r="W1617" s="17" t="e">
        <f t="shared" si="260"/>
        <v>#DIV/0!</v>
      </c>
      <c r="X1617" s="17" t="e">
        <f t="shared" si="261"/>
        <v>#DIV/0!</v>
      </c>
      <c r="Y1617" s="19" t="e">
        <f t="shared" si="262"/>
        <v>#DIV/0!</v>
      </c>
      <c r="Z1617">
        <v>0</v>
      </c>
      <c r="AA1617">
        <v>0</v>
      </c>
      <c r="AB1617">
        <v>0</v>
      </c>
      <c r="AC1617">
        <v>498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1560</v>
      </c>
      <c r="AL1617">
        <v>1560</v>
      </c>
      <c r="AM1617">
        <v>0</v>
      </c>
      <c r="AN1617">
        <v>0</v>
      </c>
      <c r="AO1617">
        <v>593</v>
      </c>
      <c r="AP1617">
        <v>308</v>
      </c>
      <c r="AQ1617">
        <v>593</v>
      </c>
      <c r="AR1617">
        <v>285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f t="shared" si="263"/>
        <v>5397</v>
      </c>
      <c r="BF1617">
        <v>2651</v>
      </c>
      <c r="BG1617">
        <v>2651</v>
      </c>
      <c r="BH1617" t="s">
        <v>82</v>
      </c>
      <c r="BI1617" t="s">
        <v>604</v>
      </c>
      <c r="BJ1617">
        <v>498</v>
      </c>
      <c r="BK1617">
        <v>2153</v>
      </c>
      <c r="BL1617">
        <v>2651</v>
      </c>
      <c r="BM1617">
        <v>0</v>
      </c>
      <c r="BN1617">
        <v>0</v>
      </c>
      <c r="BO1617">
        <v>0</v>
      </c>
      <c r="BP1617">
        <v>2153</v>
      </c>
      <c r="BQ1617">
        <v>2153</v>
      </c>
      <c r="BR1617">
        <f t="shared" si="264"/>
        <v>-179</v>
      </c>
      <c r="BS1617">
        <f t="shared" si="265"/>
        <v>179</v>
      </c>
    </row>
    <row r="1618" spans="1:74" x14ac:dyDescent="0.25">
      <c r="A1618" s="5" t="s">
        <v>207</v>
      </c>
      <c r="B1618" s="5" t="s">
        <v>627</v>
      </c>
      <c r="C1618" s="5" t="s">
        <v>61</v>
      </c>
      <c r="D1618" s="1" t="s">
        <v>100</v>
      </c>
      <c r="E1618">
        <v>0</v>
      </c>
      <c r="F1618">
        <v>48</v>
      </c>
      <c r="G1618">
        <v>0</v>
      </c>
      <c r="H1618">
        <v>0</v>
      </c>
      <c r="I1618">
        <v>42</v>
      </c>
      <c r="J1618">
        <v>2336</v>
      </c>
      <c r="K1618">
        <v>300</v>
      </c>
      <c r="L1618">
        <v>111</v>
      </c>
      <c r="M1618">
        <v>0</v>
      </c>
      <c r="N1618">
        <v>216</v>
      </c>
      <c r="O1618">
        <v>0</v>
      </c>
      <c r="P1618">
        <v>0</v>
      </c>
      <c r="Q1618">
        <v>203</v>
      </c>
      <c r="R1618">
        <v>24</v>
      </c>
      <c r="S1618" s="18">
        <f t="shared" si="256"/>
        <v>9</v>
      </c>
      <c r="T1618" s="17">
        <f t="shared" si="257"/>
        <v>0</v>
      </c>
      <c r="U1618" s="17">
        <f t="shared" si="258"/>
        <v>24</v>
      </c>
      <c r="V1618" s="17">
        <f t="shared" si="259"/>
        <v>0</v>
      </c>
      <c r="W1618" s="17">
        <f t="shared" si="260"/>
        <v>0</v>
      </c>
      <c r="X1618" s="17">
        <f t="shared" si="261"/>
        <v>179</v>
      </c>
      <c r="Y1618" s="19">
        <f t="shared" si="262"/>
        <v>0</v>
      </c>
      <c r="Z1618">
        <v>48</v>
      </c>
      <c r="AA1618">
        <v>2</v>
      </c>
      <c r="AB1618">
        <v>0</v>
      </c>
      <c r="AC1618">
        <v>1365</v>
      </c>
      <c r="AD1618">
        <v>0</v>
      </c>
      <c r="AE1618">
        <v>42</v>
      </c>
      <c r="AF1618">
        <v>0</v>
      </c>
      <c r="AG1618">
        <v>0</v>
      </c>
      <c r="AH1618">
        <v>42</v>
      </c>
      <c r="AI1618">
        <v>0</v>
      </c>
      <c r="AJ1618">
        <v>2336</v>
      </c>
      <c r="AK1618">
        <v>0</v>
      </c>
      <c r="AL1618">
        <v>2336</v>
      </c>
      <c r="AM1618">
        <v>0</v>
      </c>
      <c r="AN1618">
        <v>0</v>
      </c>
      <c r="AO1618">
        <v>300</v>
      </c>
      <c r="AP1618">
        <v>120</v>
      </c>
      <c r="AQ1618">
        <v>300</v>
      </c>
      <c r="AR1618">
        <v>180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111</v>
      </c>
      <c r="BA1618">
        <v>111</v>
      </c>
      <c r="BB1618">
        <v>0</v>
      </c>
      <c r="BC1618">
        <v>0</v>
      </c>
      <c r="BD1618">
        <v>0</v>
      </c>
      <c r="BE1618">
        <f t="shared" si="263"/>
        <v>7243</v>
      </c>
      <c r="BF1618">
        <v>4204</v>
      </c>
      <c r="BG1618">
        <v>4204</v>
      </c>
      <c r="BH1618" t="s">
        <v>82</v>
      </c>
      <c r="BI1618" t="s">
        <v>644</v>
      </c>
      <c r="BJ1618">
        <v>1367</v>
      </c>
      <c r="BK1618">
        <v>2789</v>
      </c>
      <c r="BL1618">
        <v>4204</v>
      </c>
      <c r="BM1618">
        <v>0</v>
      </c>
      <c r="BN1618">
        <v>2594</v>
      </c>
      <c r="BO1618">
        <v>0</v>
      </c>
      <c r="BP1618">
        <v>411</v>
      </c>
      <c r="BQ1618">
        <v>3005</v>
      </c>
      <c r="BR1618">
        <f t="shared" si="264"/>
        <v>-179</v>
      </c>
      <c r="BS1618">
        <f t="shared" si="265"/>
        <v>227</v>
      </c>
    </row>
    <row r="1619" spans="1:74" x14ac:dyDescent="0.25">
      <c r="A1619" s="5" t="s">
        <v>1946</v>
      </c>
      <c r="B1619" s="5" t="s">
        <v>207</v>
      </c>
      <c r="C1619" s="5" t="s">
        <v>207</v>
      </c>
      <c r="D1619" s="1" t="s">
        <v>84</v>
      </c>
      <c r="E1619">
        <v>0</v>
      </c>
      <c r="F1619">
        <v>0</v>
      </c>
      <c r="G1619">
        <v>0</v>
      </c>
      <c r="H1619">
        <v>0</v>
      </c>
      <c r="I1619">
        <v>615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99</v>
      </c>
      <c r="R1619">
        <v>0</v>
      </c>
      <c r="S1619" s="18" t="e">
        <f t="shared" si="256"/>
        <v>#DIV/0!</v>
      </c>
      <c r="T1619" s="17" t="e">
        <f t="shared" si="257"/>
        <v>#DIV/0!</v>
      </c>
      <c r="U1619" s="17" t="e">
        <f t="shared" si="258"/>
        <v>#DIV/0!</v>
      </c>
      <c r="V1619" s="17" t="e">
        <f t="shared" si="259"/>
        <v>#DIV/0!</v>
      </c>
      <c r="W1619" s="17" t="e">
        <f t="shared" si="260"/>
        <v>#DIV/0!</v>
      </c>
      <c r="X1619" s="17" t="e">
        <f t="shared" si="261"/>
        <v>#DIV/0!</v>
      </c>
      <c r="Y1619" s="19" t="e">
        <f t="shared" si="262"/>
        <v>#DIV/0!</v>
      </c>
      <c r="Z1619">
        <v>0</v>
      </c>
      <c r="AA1619">
        <v>0</v>
      </c>
      <c r="AB1619">
        <v>0</v>
      </c>
      <c r="AC1619">
        <v>0</v>
      </c>
      <c r="AD1619">
        <v>615</v>
      </c>
      <c r="AE1619">
        <v>0</v>
      </c>
      <c r="AF1619">
        <v>0</v>
      </c>
      <c r="AG1619">
        <v>0</v>
      </c>
      <c r="AH1619">
        <v>615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f t="shared" si="263"/>
        <v>1230</v>
      </c>
      <c r="BF1619">
        <v>615</v>
      </c>
      <c r="BG1619">
        <v>615</v>
      </c>
      <c r="BH1619" t="s">
        <v>63</v>
      </c>
      <c r="BI1619" t="s">
        <v>2050</v>
      </c>
      <c r="BJ1619">
        <v>0</v>
      </c>
      <c r="BK1619">
        <v>615</v>
      </c>
      <c r="BL1619">
        <v>615</v>
      </c>
      <c r="BM1619">
        <v>615</v>
      </c>
      <c r="BN1619">
        <v>0</v>
      </c>
      <c r="BO1619">
        <v>0</v>
      </c>
      <c r="BP1619">
        <v>0</v>
      </c>
      <c r="BQ1619">
        <v>615</v>
      </c>
      <c r="BR1619">
        <f t="shared" si="264"/>
        <v>-99</v>
      </c>
      <c r="BS1619">
        <f t="shared" si="265"/>
        <v>99</v>
      </c>
      <c r="BU1619">
        <f>R1619*9</f>
        <v>0</v>
      </c>
      <c r="BV1619">
        <f>IF(BU1619&gt;BG1619, 1, 0)</f>
        <v>0</v>
      </c>
    </row>
    <row r="1620" spans="1:74" x14ac:dyDescent="0.25">
      <c r="A1620" s="5" t="s">
        <v>1946</v>
      </c>
      <c r="B1620" s="5" t="s">
        <v>207</v>
      </c>
      <c r="C1620" s="5" t="s">
        <v>207</v>
      </c>
      <c r="D1620" s="1" t="s">
        <v>117</v>
      </c>
      <c r="E1620">
        <v>0</v>
      </c>
      <c r="F1620">
        <v>1050</v>
      </c>
      <c r="G1620">
        <v>0</v>
      </c>
      <c r="H1620">
        <v>0</v>
      </c>
      <c r="I1620">
        <v>32</v>
      </c>
      <c r="J1620">
        <v>1729</v>
      </c>
      <c r="K1620">
        <v>226</v>
      </c>
      <c r="L1620">
        <v>35</v>
      </c>
      <c r="M1620">
        <v>0</v>
      </c>
      <c r="N1620">
        <v>0</v>
      </c>
      <c r="O1620">
        <v>0</v>
      </c>
      <c r="P1620">
        <v>2484</v>
      </c>
      <c r="Q1620">
        <v>455</v>
      </c>
      <c r="R1620">
        <v>276</v>
      </c>
      <c r="S1620" s="18">
        <f t="shared" si="256"/>
        <v>9</v>
      </c>
      <c r="T1620" s="17">
        <f t="shared" si="257"/>
        <v>0</v>
      </c>
      <c r="U1620" s="17">
        <f t="shared" si="258"/>
        <v>0</v>
      </c>
      <c r="V1620" s="17">
        <f t="shared" si="259"/>
        <v>0</v>
      </c>
      <c r="W1620" s="17">
        <f t="shared" si="260"/>
        <v>276</v>
      </c>
      <c r="X1620" s="17">
        <f t="shared" si="261"/>
        <v>179</v>
      </c>
      <c r="Y1620" s="19">
        <f t="shared" si="262"/>
        <v>0</v>
      </c>
      <c r="Z1620">
        <v>1050</v>
      </c>
      <c r="AA1620">
        <v>10</v>
      </c>
      <c r="AB1620">
        <v>184</v>
      </c>
      <c r="AC1620">
        <v>2333</v>
      </c>
      <c r="AD1620">
        <v>0</v>
      </c>
      <c r="AE1620">
        <v>0</v>
      </c>
      <c r="AF1620">
        <v>0</v>
      </c>
      <c r="AG1620">
        <v>32</v>
      </c>
      <c r="AH1620">
        <v>32</v>
      </c>
      <c r="AI1620">
        <v>0</v>
      </c>
      <c r="AJ1620">
        <v>0</v>
      </c>
      <c r="AK1620">
        <v>1729</v>
      </c>
      <c r="AL1620">
        <v>1729</v>
      </c>
      <c r="AM1620">
        <v>0</v>
      </c>
      <c r="AN1620">
        <v>0</v>
      </c>
      <c r="AO1620">
        <v>226</v>
      </c>
      <c r="AP1620">
        <v>0</v>
      </c>
      <c r="AQ1620">
        <v>226</v>
      </c>
      <c r="AR1620">
        <v>226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35</v>
      </c>
      <c r="BA1620">
        <v>35</v>
      </c>
      <c r="BB1620">
        <v>0</v>
      </c>
      <c r="BC1620">
        <v>0</v>
      </c>
      <c r="BD1620">
        <v>0</v>
      </c>
      <c r="BE1620">
        <f t="shared" si="263"/>
        <v>6603</v>
      </c>
      <c r="BF1620">
        <v>5599</v>
      </c>
      <c r="BG1620">
        <v>5599</v>
      </c>
      <c r="BH1620" t="s">
        <v>82</v>
      </c>
      <c r="BI1620" t="s">
        <v>2063</v>
      </c>
      <c r="BJ1620">
        <v>2527</v>
      </c>
      <c r="BK1620">
        <v>2022</v>
      </c>
      <c r="BL1620">
        <v>5599</v>
      </c>
      <c r="BM1620">
        <v>0</v>
      </c>
      <c r="BN1620">
        <v>0</v>
      </c>
      <c r="BO1620">
        <v>0</v>
      </c>
      <c r="BP1620">
        <v>4506</v>
      </c>
      <c r="BQ1620">
        <v>4506</v>
      </c>
      <c r="BR1620">
        <f t="shared" si="264"/>
        <v>-179</v>
      </c>
      <c r="BS1620">
        <f t="shared" si="265"/>
        <v>731</v>
      </c>
    </row>
    <row r="1621" spans="1:74" x14ac:dyDescent="0.25">
      <c r="A1621" s="5" t="s">
        <v>207</v>
      </c>
      <c r="B1621" s="5" t="s">
        <v>61</v>
      </c>
      <c r="C1621" s="5" t="s">
        <v>359</v>
      </c>
      <c r="D1621" s="1" t="s">
        <v>86</v>
      </c>
      <c r="E1621">
        <v>0</v>
      </c>
      <c r="F1621">
        <v>390</v>
      </c>
      <c r="G1621">
        <v>0</v>
      </c>
      <c r="H1621">
        <v>0</v>
      </c>
      <c r="I1621">
        <v>1800</v>
      </c>
      <c r="J1621">
        <v>0</v>
      </c>
      <c r="K1621">
        <v>0</v>
      </c>
      <c r="L1621">
        <v>0</v>
      </c>
      <c r="M1621">
        <v>1692</v>
      </c>
      <c r="N1621">
        <v>0</v>
      </c>
      <c r="O1621">
        <v>0</v>
      </c>
      <c r="P1621">
        <v>0</v>
      </c>
      <c r="Q1621">
        <v>368</v>
      </c>
      <c r="R1621">
        <v>188</v>
      </c>
      <c r="S1621" s="18">
        <f t="shared" si="256"/>
        <v>9</v>
      </c>
      <c r="T1621" s="17">
        <f t="shared" si="257"/>
        <v>188</v>
      </c>
      <c r="U1621" s="17">
        <f t="shared" si="258"/>
        <v>0</v>
      </c>
      <c r="V1621" s="17">
        <f t="shared" si="259"/>
        <v>0</v>
      </c>
      <c r="W1621" s="17">
        <f t="shared" si="260"/>
        <v>0</v>
      </c>
      <c r="X1621" s="17">
        <f t="shared" si="261"/>
        <v>180</v>
      </c>
      <c r="Y1621" s="19">
        <f t="shared" si="262"/>
        <v>0</v>
      </c>
      <c r="Z1621">
        <v>390</v>
      </c>
      <c r="AA1621">
        <v>0</v>
      </c>
      <c r="AB1621">
        <v>0</v>
      </c>
      <c r="AC1621">
        <v>0</v>
      </c>
      <c r="AD1621">
        <v>1800</v>
      </c>
      <c r="AE1621">
        <v>0</v>
      </c>
      <c r="AF1621">
        <v>0</v>
      </c>
      <c r="AG1621">
        <v>0</v>
      </c>
      <c r="AH1621">
        <v>1800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f t="shared" si="263"/>
        <v>3600</v>
      </c>
      <c r="BF1621">
        <v>2190</v>
      </c>
      <c r="BG1621">
        <v>2190</v>
      </c>
      <c r="BH1621" t="s">
        <v>109</v>
      </c>
      <c r="BI1621" t="s">
        <v>511</v>
      </c>
      <c r="BJ1621">
        <v>0</v>
      </c>
      <c r="BK1621">
        <v>1800</v>
      </c>
      <c r="BL1621">
        <v>2190</v>
      </c>
      <c r="BM1621">
        <v>3492</v>
      </c>
      <c r="BN1621">
        <v>0</v>
      </c>
      <c r="BO1621">
        <v>0</v>
      </c>
      <c r="BP1621">
        <v>0</v>
      </c>
      <c r="BQ1621">
        <v>3492</v>
      </c>
      <c r="BR1621">
        <f t="shared" si="264"/>
        <v>-180</v>
      </c>
      <c r="BS1621">
        <f t="shared" si="265"/>
        <v>556</v>
      </c>
    </row>
    <row r="1622" spans="1:74" x14ac:dyDescent="0.25">
      <c r="A1622" s="5" t="s">
        <v>1017</v>
      </c>
      <c r="B1622" s="5" t="s">
        <v>61</v>
      </c>
      <c r="C1622" s="5" t="s">
        <v>61</v>
      </c>
      <c r="D1622" s="1" t="s">
        <v>127</v>
      </c>
      <c r="E1622">
        <v>0</v>
      </c>
      <c r="F1622">
        <v>100</v>
      </c>
      <c r="G1622">
        <v>0</v>
      </c>
      <c r="H1622">
        <v>0</v>
      </c>
      <c r="I1622">
        <v>169</v>
      </c>
      <c r="J1622">
        <v>1200</v>
      </c>
      <c r="K1622">
        <v>14</v>
      </c>
      <c r="L1622">
        <v>55</v>
      </c>
      <c r="M1622">
        <v>0</v>
      </c>
      <c r="N1622">
        <v>0</v>
      </c>
      <c r="O1622">
        <v>0</v>
      </c>
      <c r="P1622">
        <v>297</v>
      </c>
      <c r="Q1622">
        <v>213</v>
      </c>
      <c r="R1622">
        <v>33</v>
      </c>
      <c r="S1622" s="18">
        <f t="shared" si="256"/>
        <v>9</v>
      </c>
      <c r="T1622" s="17">
        <f t="shared" si="257"/>
        <v>0</v>
      </c>
      <c r="U1622" s="17">
        <f t="shared" si="258"/>
        <v>0</v>
      </c>
      <c r="V1622" s="17">
        <f t="shared" si="259"/>
        <v>0</v>
      </c>
      <c r="W1622" s="17">
        <f t="shared" si="260"/>
        <v>33</v>
      </c>
      <c r="X1622" s="17">
        <f t="shared" si="261"/>
        <v>180</v>
      </c>
      <c r="Y1622" s="19">
        <f t="shared" si="262"/>
        <v>0</v>
      </c>
      <c r="Z1622">
        <v>100</v>
      </c>
      <c r="AA1622">
        <v>0</v>
      </c>
      <c r="AB1622">
        <v>0</v>
      </c>
      <c r="AC1622">
        <v>800</v>
      </c>
      <c r="AD1622">
        <v>0</v>
      </c>
      <c r="AE1622">
        <v>0</v>
      </c>
      <c r="AF1622">
        <v>0</v>
      </c>
      <c r="AG1622">
        <v>169</v>
      </c>
      <c r="AH1622">
        <v>169</v>
      </c>
      <c r="AI1622">
        <v>0</v>
      </c>
      <c r="AJ1622">
        <v>0</v>
      </c>
      <c r="AK1622">
        <v>1200</v>
      </c>
      <c r="AL1622">
        <v>1200</v>
      </c>
      <c r="AM1622">
        <v>0</v>
      </c>
      <c r="AN1622">
        <v>0</v>
      </c>
      <c r="AO1622">
        <v>14</v>
      </c>
      <c r="AP1622">
        <v>4</v>
      </c>
      <c r="AQ1622">
        <v>14</v>
      </c>
      <c r="AR1622">
        <v>10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55</v>
      </c>
      <c r="BA1622">
        <v>55</v>
      </c>
      <c r="BB1622">
        <v>0</v>
      </c>
      <c r="BC1622">
        <v>0</v>
      </c>
      <c r="BD1622">
        <v>0</v>
      </c>
      <c r="BE1622">
        <f t="shared" si="263"/>
        <v>3690</v>
      </c>
      <c r="BF1622">
        <v>2338</v>
      </c>
      <c r="BG1622">
        <v>2338</v>
      </c>
      <c r="BH1622" t="s">
        <v>82</v>
      </c>
      <c r="BI1622" t="s">
        <v>727</v>
      </c>
      <c r="BJ1622">
        <v>800</v>
      </c>
      <c r="BK1622">
        <v>1438</v>
      </c>
      <c r="BL1622">
        <v>2338</v>
      </c>
      <c r="BM1622">
        <v>0</v>
      </c>
      <c r="BN1622">
        <v>0</v>
      </c>
      <c r="BO1622">
        <v>0</v>
      </c>
      <c r="BP1622">
        <v>1735</v>
      </c>
      <c r="BQ1622">
        <v>1735</v>
      </c>
      <c r="BR1622">
        <f t="shared" si="264"/>
        <v>-180</v>
      </c>
      <c r="BS1622">
        <f t="shared" si="265"/>
        <v>246</v>
      </c>
    </row>
    <row r="1623" spans="1:74" x14ac:dyDescent="0.25">
      <c r="A1623" s="5" t="s">
        <v>1451</v>
      </c>
      <c r="B1623" s="5" t="s">
        <v>61</v>
      </c>
      <c r="C1623" s="5" t="s">
        <v>207</v>
      </c>
      <c r="D1623" s="1" t="s">
        <v>77</v>
      </c>
      <c r="E1623">
        <v>0</v>
      </c>
      <c r="F1623">
        <v>323</v>
      </c>
      <c r="G1623">
        <v>0</v>
      </c>
      <c r="H1623">
        <v>0</v>
      </c>
      <c r="I1623">
        <v>486</v>
      </c>
      <c r="J1623">
        <v>0</v>
      </c>
      <c r="K1623">
        <v>0</v>
      </c>
      <c r="L1623">
        <v>0</v>
      </c>
      <c r="M1623">
        <v>2907</v>
      </c>
      <c r="N1623">
        <v>0</v>
      </c>
      <c r="O1623">
        <v>0</v>
      </c>
      <c r="P1623">
        <v>0</v>
      </c>
      <c r="Q1623">
        <v>503</v>
      </c>
      <c r="R1623">
        <v>323</v>
      </c>
      <c r="S1623" s="18">
        <f t="shared" si="256"/>
        <v>9</v>
      </c>
      <c r="T1623" s="17">
        <f t="shared" si="257"/>
        <v>323</v>
      </c>
      <c r="U1623" s="17">
        <f t="shared" si="258"/>
        <v>0</v>
      </c>
      <c r="V1623" s="17">
        <f t="shared" si="259"/>
        <v>0</v>
      </c>
      <c r="W1623" s="17">
        <f t="shared" si="260"/>
        <v>0</v>
      </c>
      <c r="X1623" s="17">
        <f t="shared" si="261"/>
        <v>180</v>
      </c>
      <c r="Y1623" s="19">
        <f t="shared" si="262"/>
        <v>0</v>
      </c>
      <c r="Z1623">
        <v>323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486</v>
      </c>
      <c r="AH1623">
        <v>486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f t="shared" si="263"/>
        <v>972</v>
      </c>
      <c r="BF1623">
        <v>809</v>
      </c>
      <c r="BG1623">
        <v>809</v>
      </c>
      <c r="BH1623" t="s">
        <v>109</v>
      </c>
      <c r="BI1623" t="s">
        <v>1477</v>
      </c>
      <c r="BJ1623">
        <v>0</v>
      </c>
      <c r="BK1623">
        <v>486</v>
      </c>
      <c r="BL1623">
        <v>809</v>
      </c>
      <c r="BM1623">
        <v>2907</v>
      </c>
      <c r="BN1623">
        <v>0</v>
      </c>
      <c r="BO1623">
        <v>0</v>
      </c>
      <c r="BP1623">
        <v>486</v>
      </c>
      <c r="BQ1623">
        <v>3393</v>
      </c>
      <c r="BR1623">
        <f t="shared" si="264"/>
        <v>-180</v>
      </c>
      <c r="BS1623">
        <f t="shared" si="265"/>
        <v>826</v>
      </c>
    </row>
    <row r="1624" spans="1:74" x14ac:dyDescent="0.25">
      <c r="A1624" s="5" t="s">
        <v>1017</v>
      </c>
      <c r="B1624" s="5" t="s">
        <v>61</v>
      </c>
      <c r="C1624" s="5" t="s">
        <v>207</v>
      </c>
      <c r="D1624" s="1" t="s">
        <v>106</v>
      </c>
      <c r="E1624">
        <v>13</v>
      </c>
      <c r="F1624">
        <v>87</v>
      </c>
      <c r="G1624">
        <v>0</v>
      </c>
      <c r="H1624">
        <v>0</v>
      </c>
      <c r="I1624">
        <v>1114</v>
      </c>
      <c r="J1624">
        <v>4181</v>
      </c>
      <c r="K1624">
        <v>181</v>
      </c>
      <c r="L1624">
        <v>42</v>
      </c>
      <c r="M1624">
        <v>783</v>
      </c>
      <c r="N1624">
        <v>0</v>
      </c>
      <c r="O1624">
        <v>0</v>
      </c>
      <c r="P1624">
        <v>0</v>
      </c>
      <c r="Q1624">
        <v>268</v>
      </c>
      <c r="R1624">
        <v>87</v>
      </c>
      <c r="S1624" s="18">
        <f t="shared" si="256"/>
        <v>9</v>
      </c>
      <c r="T1624" s="17">
        <f t="shared" si="257"/>
        <v>87</v>
      </c>
      <c r="U1624" s="17">
        <f t="shared" si="258"/>
        <v>0</v>
      </c>
      <c r="V1624" s="17">
        <f t="shared" si="259"/>
        <v>0</v>
      </c>
      <c r="W1624" s="17">
        <f t="shared" si="260"/>
        <v>0</v>
      </c>
      <c r="X1624" s="17">
        <f t="shared" si="261"/>
        <v>181</v>
      </c>
      <c r="Y1624" s="19">
        <f t="shared" si="262"/>
        <v>0</v>
      </c>
      <c r="Z1624">
        <v>87</v>
      </c>
      <c r="AA1624">
        <v>0</v>
      </c>
      <c r="AB1624">
        <v>132</v>
      </c>
      <c r="AC1624">
        <v>0</v>
      </c>
      <c r="AD1624">
        <v>0</v>
      </c>
      <c r="AE1624">
        <v>0</v>
      </c>
      <c r="AF1624">
        <v>0</v>
      </c>
      <c r="AG1624">
        <v>1114</v>
      </c>
      <c r="AH1624">
        <v>1114</v>
      </c>
      <c r="AI1624">
        <v>0</v>
      </c>
      <c r="AJ1624">
        <v>0</v>
      </c>
      <c r="AK1624">
        <v>4181</v>
      </c>
      <c r="AL1624">
        <v>4181</v>
      </c>
      <c r="AM1624">
        <v>0</v>
      </c>
      <c r="AN1624">
        <v>0</v>
      </c>
      <c r="AO1624">
        <v>181</v>
      </c>
      <c r="AP1624">
        <v>116</v>
      </c>
      <c r="AQ1624">
        <v>181</v>
      </c>
      <c r="AR1624">
        <v>65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42</v>
      </c>
      <c r="BA1624">
        <v>42</v>
      </c>
      <c r="BB1624">
        <v>0</v>
      </c>
      <c r="BC1624">
        <v>0</v>
      </c>
      <c r="BD1624">
        <v>0</v>
      </c>
      <c r="BE1624">
        <f t="shared" si="263"/>
        <v>11217</v>
      </c>
      <c r="BF1624">
        <v>5750</v>
      </c>
      <c r="BG1624">
        <v>5750</v>
      </c>
      <c r="BH1624" t="s">
        <v>82</v>
      </c>
      <c r="BI1624" t="s">
        <v>1065</v>
      </c>
      <c r="BJ1624">
        <v>145</v>
      </c>
      <c r="BK1624">
        <v>5518</v>
      </c>
      <c r="BL1624">
        <v>5750</v>
      </c>
      <c r="BM1624">
        <v>783</v>
      </c>
      <c r="BN1624">
        <v>0</v>
      </c>
      <c r="BO1624">
        <v>0</v>
      </c>
      <c r="BP1624">
        <v>5518</v>
      </c>
      <c r="BQ1624">
        <v>6301</v>
      </c>
      <c r="BR1624">
        <f t="shared" si="264"/>
        <v>-181</v>
      </c>
      <c r="BS1624">
        <f t="shared" si="265"/>
        <v>355</v>
      </c>
    </row>
    <row r="1625" spans="1:74" x14ac:dyDescent="0.25">
      <c r="A1625" s="5" t="s">
        <v>1661</v>
      </c>
      <c r="B1625" s="5" t="s">
        <v>207</v>
      </c>
      <c r="C1625" s="5" t="s">
        <v>207</v>
      </c>
      <c r="D1625" s="1" t="s">
        <v>198</v>
      </c>
      <c r="E1625">
        <v>12</v>
      </c>
      <c r="F1625">
        <v>46</v>
      </c>
      <c r="G1625">
        <v>0</v>
      </c>
      <c r="H1625">
        <v>0</v>
      </c>
      <c r="I1625">
        <v>190</v>
      </c>
      <c r="J1625">
        <v>2240</v>
      </c>
      <c r="K1625">
        <v>63</v>
      </c>
      <c r="L1625">
        <v>47</v>
      </c>
      <c r="M1625">
        <v>0</v>
      </c>
      <c r="N1625">
        <v>0</v>
      </c>
      <c r="O1625">
        <v>0</v>
      </c>
      <c r="P1625">
        <v>351</v>
      </c>
      <c r="Q1625">
        <v>220</v>
      </c>
      <c r="R1625">
        <v>39</v>
      </c>
      <c r="S1625" s="18">
        <f t="shared" si="256"/>
        <v>9</v>
      </c>
      <c r="T1625" s="17">
        <f t="shared" si="257"/>
        <v>0</v>
      </c>
      <c r="U1625" s="17">
        <f t="shared" si="258"/>
        <v>0</v>
      </c>
      <c r="V1625" s="17">
        <f t="shared" si="259"/>
        <v>0</v>
      </c>
      <c r="W1625" s="17">
        <f t="shared" si="260"/>
        <v>39</v>
      </c>
      <c r="X1625" s="17">
        <f t="shared" si="261"/>
        <v>181</v>
      </c>
      <c r="Y1625" s="19">
        <f t="shared" si="262"/>
        <v>0</v>
      </c>
      <c r="Z1625">
        <v>46</v>
      </c>
      <c r="AA1625">
        <v>0</v>
      </c>
      <c r="AB1625">
        <v>0</v>
      </c>
      <c r="AC1625">
        <v>1440</v>
      </c>
      <c r="AD1625">
        <v>0</v>
      </c>
      <c r="AE1625">
        <v>0</v>
      </c>
      <c r="AF1625">
        <v>0</v>
      </c>
      <c r="AG1625">
        <v>190</v>
      </c>
      <c r="AH1625">
        <v>190</v>
      </c>
      <c r="AI1625">
        <v>0</v>
      </c>
      <c r="AJ1625">
        <v>0</v>
      </c>
      <c r="AK1625">
        <v>2240</v>
      </c>
      <c r="AL1625">
        <v>2240</v>
      </c>
      <c r="AM1625">
        <v>0</v>
      </c>
      <c r="AN1625">
        <v>0</v>
      </c>
      <c r="AO1625">
        <v>63</v>
      </c>
      <c r="AP1625">
        <v>28</v>
      </c>
      <c r="AQ1625">
        <v>63</v>
      </c>
      <c r="AR1625">
        <v>35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47</v>
      </c>
      <c r="BA1625">
        <v>47</v>
      </c>
      <c r="BB1625">
        <v>0</v>
      </c>
      <c r="BC1625">
        <v>0</v>
      </c>
      <c r="BD1625">
        <v>0</v>
      </c>
      <c r="BE1625">
        <f t="shared" si="263"/>
        <v>6583</v>
      </c>
      <c r="BF1625">
        <v>4038</v>
      </c>
      <c r="BG1625">
        <v>4038</v>
      </c>
      <c r="BH1625" t="s">
        <v>82</v>
      </c>
      <c r="BI1625" t="s">
        <v>1854</v>
      </c>
      <c r="BJ1625">
        <v>1452</v>
      </c>
      <c r="BK1625">
        <v>2540</v>
      </c>
      <c r="BL1625">
        <v>4038</v>
      </c>
      <c r="BM1625">
        <v>0</v>
      </c>
      <c r="BN1625">
        <v>0</v>
      </c>
      <c r="BO1625">
        <v>0</v>
      </c>
      <c r="BP1625">
        <v>2891</v>
      </c>
      <c r="BQ1625">
        <v>2891</v>
      </c>
      <c r="BR1625">
        <f t="shared" si="264"/>
        <v>-181</v>
      </c>
      <c r="BS1625">
        <f t="shared" si="265"/>
        <v>259</v>
      </c>
    </row>
    <row r="1626" spans="1:74" x14ac:dyDescent="0.25">
      <c r="A1626" s="5" t="s">
        <v>61</v>
      </c>
      <c r="B1626" s="5" t="s">
        <v>61</v>
      </c>
      <c r="C1626" s="5" t="s">
        <v>61</v>
      </c>
      <c r="D1626" s="1" t="s">
        <v>88</v>
      </c>
      <c r="E1626">
        <v>0</v>
      </c>
      <c r="F1626">
        <v>41</v>
      </c>
      <c r="G1626">
        <v>0</v>
      </c>
      <c r="H1626">
        <v>0</v>
      </c>
      <c r="I1626">
        <v>228</v>
      </c>
      <c r="J1626">
        <v>332</v>
      </c>
      <c r="K1626">
        <v>168</v>
      </c>
      <c r="L1626">
        <v>20</v>
      </c>
      <c r="M1626">
        <v>0</v>
      </c>
      <c r="N1626">
        <v>0</v>
      </c>
      <c r="O1626">
        <v>0</v>
      </c>
      <c r="P1626">
        <v>369</v>
      </c>
      <c r="Q1626">
        <v>223</v>
      </c>
      <c r="R1626">
        <v>41</v>
      </c>
      <c r="S1626" s="18">
        <f t="shared" si="256"/>
        <v>9</v>
      </c>
      <c r="T1626" s="17">
        <f t="shared" si="257"/>
        <v>0</v>
      </c>
      <c r="U1626" s="17">
        <f t="shared" si="258"/>
        <v>0</v>
      </c>
      <c r="V1626" s="17">
        <f t="shared" si="259"/>
        <v>0</v>
      </c>
      <c r="W1626" s="17">
        <f t="shared" si="260"/>
        <v>41</v>
      </c>
      <c r="X1626" s="17">
        <f t="shared" si="261"/>
        <v>182</v>
      </c>
      <c r="Y1626" s="19">
        <f t="shared" si="262"/>
        <v>0</v>
      </c>
      <c r="Z1626">
        <v>41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228</v>
      </c>
      <c r="AH1626">
        <v>228</v>
      </c>
      <c r="AI1626">
        <v>0</v>
      </c>
      <c r="AJ1626">
        <v>0</v>
      </c>
      <c r="AK1626">
        <v>332</v>
      </c>
      <c r="AL1626">
        <v>332</v>
      </c>
      <c r="AM1626">
        <v>0</v>
      </c>
      <c r="AN1626">
        <v>0</v>
      </c>
      <c r="AO1626">
        <v>168</v>
      </c>
      <c r="AP1626">
        <v>67</v>
      </c>
      <c r="AQ1626">
        <v>168</v>
      </c>
      <c r="AR1626">
        <v>101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20</v>
      </c>
      <c r="BA1626">
        <v>20</v>
      </c>
      <c r="BB1626">
        <v>0</v>
      </c>
      <c r="BC1626">
        <v>0</v>
      </c>
      <c r="BD1626">
        <v>0</v>
      </c>
      <c r="BE1626">
        <f t="shared" si="263"/>
        <v>1664</v>
      </c>
      <c r="BF1626">
        <v>789</v>
      </c>
      <c r="BG1626">
        <v>789</v>
      </c>
      <c r="BH1626" t="s">
        <v>82</v>
      </c>
      <c r="BI1626" t="s">
        <v>89</v>
      </c>
      <c r="BJ1626">
        <v>0</v>
      </c>
      <c r="BK1626">
        <v>748</v>
      </c>
      <c r="BL1626">
        <v>789</v>
      </c>
      <c r="BM1626">
        <v>0</v>
      </c>
      <c r="BN1626">
        <v>0</v>
      </c>
      <c r="BO1626">
        <v>0</v>
      </c>
      <c r="BP1626">
        <v>1117</v>
      </c>
      <c r="BQ1626">
        <v>1117</v>
      </c>
      <c r="BR1626">
        <f t="shared" si="264"/>
        <v>-182</v>
      </c>
      <c r="BS1626">
        <f t="shared" si="265"/>
        <v>264</v>
      </c>
    </row>
    <row r="1627" spans="1:74" x14ac:dyDescent="0.25">
      <c r="A1627" s="5" t="s">
        <v>1017</v>
      </c>
      <c r="B1627" s="5" t="s">
        <v>61</v>
      </c>
      <c r="C1627" s="5" t="s">
        <v>61</v>
      </c>
      <c r="D1627" s="1" t="s">
        <v>77</v>
      </c>
      <c r="E1627">
        <v>0</v>
      </c>
      <c r="F1627">
        <v>95</v>
      </c>
      <c r="G1627">
        <v>0</v>
      </c>
      <c r="H1627">
        <v>0</v>
      </c>
      <c r="I1627">
        <v>467</v>
      </c>
      <c r="J1627">
        <v>153</v>
      </c>
      <c r="K1627">
        <v>667</v>
      </c>
      <c r="L1627">
        <v>151</v>
      </c>
      <c r="M1627">
        <v>567</v>
      </c>
      <c r="N1627">
        <v>0</v>
      </c>
      <c r="O1627">
        <v>0</v>
      </c>
      <c r="P1627">
        <v>279</v>
      </c>
      <c r="Q1627">
        <v>276</v>
      </c>
      <c r="R1627">
        <v>94</v>
      </c>
      <c r="S1627" s="18">
        <f t="shared" si="256"/>
        <v>9</v>
      </c>
      <c r="T1627" s="17">
        <f t="shared" si="257"/>
        <v>63</v>
      </c>
      <c r="U1627" s="17">
        <f t="shared" si="258"/>
        <v>0</v>
      </c>
      <c r="V1627" s="17">
        <f t="shared" si="259"/>
        <v>0</v>
      </c>
      <c r="W1627" s="17">
        <f t="shared" si="260"/>
        <v>31</v>
      </c>
      <c r="X1627" s="17">
        <f t="shared" si="261"/>
        <v>182</v>
      </c>
      <c r="Y1627" s="19">
        <f t="shared" si="262"/>
        <v>0</v>
      </c>
      <c r="Z1627">
        <v>95</v>
      </c>
      <c r="AA1627">
        <v>0</v>
      </c>
      <c r="AB1627">
        <v>0</v>
      </c>
      <c r="AC1627">
        <v>200</v>
      </c>
      <c r="AD1627">
        <v>0</v>
      </c>
      <c r="AE1627">
        <v>0</v>
      </c>
      <c r="AF1627">
        <v>0</v>
      </c>
      <c r="AG1627">
        <v>467</v>
      </c>
      <c r="AH1627">
        <v>467</v>
      </c>
      <c r="AI1627">
        <v>0</v>
      </c>
      <c r="AJ1627">
        <v>0</v>
      </c>
      <c r="AK1627">
        <v>153</v>
      </c>
      <c r="AL1627">
        <v>153</v>
      </c>
      <c r="AM1627">
        <v>0</v>
      </c>
      <c r="AN1627">
        <v>0</v>
      </c>
      <c r="AO1627">
        <v>667</v>
      </c>
      <c r="AP1627">
        <v>547</v>
      </c>
      <c r="AQ1627">
        <v>667</v>
      </c>
      <c r="AR1627">
        <v>120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151</v>
      </c>
      <c r="BA1627">
        <v>151</v>
      </c>
      <c r="BB1627">
        <v>0</v>
      </c>
      <c r="BC1627">
        <v>0</v>
      </c>
      <c r="BD1627">
        <v>0</v>
      </c>
      <c r="BE1627">
        <f t="shared" si="263"/>
        <v>3743</v>
      </c>
      <c r="BF1627">
        <v>1733</v>
      </c>
      <c r="BG1627">
        <v>1733</v>
      </c>
      <c r="BH1627" t="s">
        <v>109</v>
      </c>
      <c r="BI1627" t="s">
        <v>1024</v>
      </c>
      <c r="BJ1627">
        <v>200</v>
      </c>
      <c r="BK1627">
        <v>1438</v>
      </c>
      <c r="BL1627">
        <v>1733</v>
      </c>
      <c r="BM1627">
        <v>567</v>
      </c>
      <c r="BN1627">
        <v>0</v>
      </c>
      <c r="BO1627">
        <v>0</v>
      </c>
      <c r="BP1627">
        <v>1717</v>
      </c>
      <c r="BQ1627">
        <v>2284</v>
      </c>
      <c r="BR1627">
        <f t="shared" si="264"/>
        <v>-182</v>
      </c>
      <c r="BS1627">
        <f t="shared" si="265"/>
        <v>370</v>
      </c>
    </row>
    <row r="1628" spans="1:74" x14ac:dyDescent="0.25">
      <c r="A1628" s="5" t="s">
        <v>1451</v>
      </c>
      <c r="B1628" s="5" t="s">
        <v>61</v>
      </c>
      <c r="C1628" s="5" t="s">
        <v>61</v>
      </c>
      <c r="D1628" s="1" t="s">
        <v>86</v>
      </c>
      <c r="E1628">
        <v>0</v>
      </c>
      <c r="F1628">
        <v>0</v>
      </c>
      <c r="G1628">
        <v>0</v>
      </c>
      <c r="H1628">
        <v>0</v>
      </c>
      <c r="I1628">
        <v>100</v>
      </c>
      <c r="J1628">
        <v>2891</v>
      </c>
      <c r="K1628">
        <v>341</v>
      </c>
      <c r="L1628">
        <v>42</v>
      </c>
      <c r="M1628">
        <v>0</v>
      </c>
      <c r="N1628">
        <v>0</v>
      </c>
      <c r="O1628">
        <v>0</v>
      </c>
      <c r="P1628">
        <v>0</v>
      </c>
      <c r="Q1628">
        <v>182</v>
      </c>
      <c r="R1628">
        <v>0</v>
      </c>
      <c r="S1628" s="18" t="e">
        <f t="shared" si="256"/>
        <v>#DIV/0!</v>
      </c>
      <c r="T1628" s="17" t="e">
        <f t="shared" si="257"/>
        <v>#DIV/0!</v>
      </c>
      <c r="U1628" s="17" t="e">
        <f t="shared" si="258"/>
        <v>#DIV/0!</v>
      </c>
      <c r="V1628" s="17" t="e">
        <f t="shared" si="259"/>
        <v>#DIV/0!</v>
      </c>
      <c r="W1628" s="17" t="e">
        <f t="shared" si="260"/>
        <v>#DIV/0!</v>
      </c>
      <c r="X1628" s="17" t="e">
        <f t="shared" si="261"/>
        <v>#DIV/0!</v>
      </c>
      <c r="Y1628" s="19" t="e">
        <f t="shared" si="262"/>
        <v>#DIV/0!</v>
      </c>
      <c r="Z1628">
        <v>0</v>
      </c>
      <c r="AA1628">
        <v>4</v>
      </c>
      <c r="AB1628">
        <v>441</v>
      </c>
      <c r="AC1628">
        <v>2242</v>
      </c>
      <c r="AD1628">
        <v>0</v>
      </c>
      <c r="AE1628">
        <v>0</v>
      </c>
      <c r="AF1628">
        <v>0</v>
      </c>
      <c r="AG1628">
        <v>100</v>
      </c>
      <c r="AH1628">
        <v>100</v>
      </c>
      <c r="AI1628">
        <v>0</v>
      </c>
      <c r="AJ1628">
        <v>0</v>
      </c>
      <c r="AK1628">
        <v>2891</v>
      </c>
      <c r="AL1628">
        <v>2891</v>
      </c>
      <c r="AM1628">
        <v>0</v>
      </c>
      <c r="AN1628">
        <v>0</v>
      </c>
      <c r="AO1628">
        <v>341</v>
      </c>
      <c r="AP1628">
        <v>0</v>
      </c>
      <c r="AQ1628">
        <v>341</v>
      </c>
      <c r="AR1628">
        <v>341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42</v>
      </c>
      <c r="BA1628">
        <v>42</v>
      </c>
      <c r="BB1628">
        <v>0</v>
      </c>
      <c r="BC1628">
        <v>0</v>
      </c>
      <c r="BD1628">
        <v>0</v>
      </c>
      <c r="BE1628">
        <f t="shared" si="263"/>
        <v>9331</v>
      </c>
      <c r="BF1628">
        <v>6061</v>
      </c>
      <c r="BG1628">
        <v>6061</v>
      </c>
      <c r="BH1628" t="s">
        <v>82</v>
      </c>
      <c r="BI1628" t="s">
        <v>747</v>
      </c>
      <c r="BJ1628">
        <v>2687</v>
      </c>
      <c r="BK1628">
        <v>3374</v>
      </c>
      <c r="BL1628">
        <v>6061</v>
      </c>
      <c r="BM1628">
        <v>0</v>
      </c>
      <c r="BN1628">
        <v>0</v>
      </c>
      <c r="BO1628">
        <v>0</v>
      </c>
      <c r="BP1628">
        <v>3374</v>
      </c>
      <c r="BQ1628">
        <v>3374</v>
      </c>
      <c r="BR1628">
        <f t="shared" si="264"/>
        <v>-182</v>
      </c>
      <c r="BS1628">
        <f t="shared" si="265"/>
        <v>182</v>
      </c>
    </row>
    <row r="1629" spans="1:74" x14ac:dyDescent="0.25">
      <c r="A1629" s="5" t="s">
        <v>1661</v>
      </c>
      <c r="B1629" s="5" t="s">
        <v>207</v>
      </c>
      <c r="C1629" s="5" t="s">
        <v>61</v>
      </c>
      <c r="D1629" s="1" t="s">
        <v>129</v>
      </c>
      <c r="E1629">
        <v>115</v>
      </c>
      <c r="F1629">
        <v>112</v>
      </c>
      <c r="G1629">
        <v>0</v>
      </c>
      <c r="H1629">
        <v>0</v>
      </c>
      <c r="I1629">
        <v>0</v>
      </c>
      <c r="J1629">
        <v>1648</v>
      </c>
      <c r="K1629">
        <v>347</v>
      </c>
      <c r="L1629">
        <v>12</v>
      </c>
      <c r="M1629">
        <v>0</v>
      </c>
      <c r="N1629">
        <v>0</v>
      </c>
      <c r="O1629">
        <v>0</v>
      </c>
      <c r="P1629">
        <v>252</v>
      </c>
      <c r="Q1629">
        <v>210</v>
      </c>
      <c r="R1629">
        <v>28</v>
      </c>
      <c r="S1629" s="18">
        <f t="shared" si="256"/>
        <v>9</v>
      </c>
      <c r="T1629" s="17">
        <f t="shared" si="257"/>
        <v>0</v>
      </c>
      <c r="U1629" s="17">
        <f t="shared" si="258"/>
        <v>0</v>
      </c>
      <c r="V1629" s="17">
        <f t="shared" si="259"/>
        <v>0</v>
      </c>
      <c r="W1629" s="17">
        <f t="shared" si="260"/>
        <v>28</v>
      </c>
      <c r="X1629" s="17">
        <f t="shared" si="261"/>
        <v>182</v>
      </c>
      <c r="Y1629" s="19">
        <f t="shared" si="262"/>
        <v>0</v>
      </c>
      <c r="Z1629">
        <v>112</v>
      </c>
      <c r="AA1629">
        <v>0</v>
      </c>
      <c r="AB1629">
        <v>0</v>
      </c>
      <c r="AC1629">
        <v>2442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1648</v>
      </c>
      <c r="AL1629">
        <v>1648</v>
      </c>
      <c r="AM1629">
        <v>0</v>
      </c>
      <c r="AN1629">
        <v>0</v>
      </c>
      <c r="AO1629">
        <v>347</v>
      </c>
      <c r="AP1629">
        <v>112</v>
      </c>
      <c r="AQ1629">
        <v>347</v>
      </c>
      <c r="AR1629">
        <v>235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12</v>
      </c>
      <c r="BA1629">
        <v>12</v>
      </c>
      <c r="BB1629">
        <v>0</v>
      </c>
      <c r="BC1629">
        <v>0</v>
      </c>
      <c r="BD1629">
        <v>0</v>
      </c>
      <c r="BE1629">
        <f t="shared" si="263"/>
        <v>6803</v>
      </c>
      <c r="BF1629">
        <v>4676</v>
      </c>
      <c r="BG1629">
        <v>4676</v>
      </c>
      <c r="BH1629" t="s">
        <v>82</v>
      </c>
      <c r="BI1629" t="s">
        <v>1788</v>
      </c>
      <c r="BJ1629">
        <v>2557</v>
      </c>
      <c r="BK1629">
        <v>2007</v>
      </c>
      <c r="BL1629">
        <v>4676</v>
      </c>
      <c r="BM1629">
        <v>0</v>
      </c>
      <c r="BN1629">
        <v>0</v>
      </c>
      <c r="BO1629">
        <v>0</v>
      </c>
      <c r="BP1629">
        <v>2259</v>
      </c>
      <c r="BQ1629">
        <v>2259</v>
      </c>
      <c r="BR1629">
        <f t="shared" si="264"/>
        <v>-182</v>
      </c>
      <c r="BS1629">
        <f t="shared" si="265"/>
        <v>238</v>
      </c>
    </row>
    <row r="1630" spans="1:74" x14ac:dyDescent="0.25">
      <c r="A1630" s="5" t="s">
        <v>1946</v>
      </c>
      <c r="B1630" s="5" t="s">
        <v>207</v>
      </c>
      <c r="C1630" s="5" t="s">
        <v>61</v>
      </c>
      <c r="D1630" s="1" t="s">
        <v>100</v>
      </c>
      <c r="E1630">
        <v>0</v>
      </c>
      <c r="F1630">
        <v>12</v>
      </c>
      <c r="G1630">
        <v>0</v>
      </c>
      <c r="H1630">
        <v>0</v>
      </c>
      <c r="I1630">
        <v>0</v>
      </c>
      <c r="J1630">
        <v>615</v>
      </c>
      <c r="K1630">
        <v>24</v>
      </c>
      <c r="L1630">
        <v>75</v>
      </c>
      <c r="M1630">
        <v>0</v>
      </c>
      <c r="N1630">
        <v>0</v>
      </c>
      <c r="O1630">
        <v>0</v>
      </c>
      <c r="P1630">
        <v>45</v>
      </c>
      <c r="Q1630">
        <v>187</v>
      </c>
      <c r="R1630">
        <v>5</v>
      </c>
      <c r="S1630" s="18">
        <f t="shared" si="256"/>
        <v>9</v>
      </c>
      <c r="T1630" s="17">
        <f t="shared" si="257"/>
        <v>0</v>
      </c>
      <c r="U1630" s="17">
        <f t="shared" si="258"/>
        <v>0</v>
      </c>
      <c r="V1630" s="17">
        <f t="shared" si="259"/>
        <v>0</v>
      </c>
      <c r="W1630" s="17">
        <f t="shared" si="260"/>
        <v>5</v>
      </c>
      <c r="X1630" s="17">
        <f t="shared" si="261"/>
        <v>182</v>
      </c>
      <c r="Y1630" s="19">
        <f t="shared" si="262"/>
        <v>0</v>
      </c>
      <c r="Z1630">
        <v>12</v>
      </c>
      <c r="AA1630">
        <v>0</v>
      </c>
      <c r="AB1630">
        <v>0</v>
      </c>
      <c r="AC1630">
        <v>782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615</v>
      </c>
      <c r="AL1630">
        <v>615</v>
      </c>
      <c r="AM1630">
        <v>0</v>
      </c>
      <c r="AN1630">
        <v>0</v>
      </c>
      <c r="AO1630">
        <v>24</v>
      </c>
      <c r="AP1630">
        <v>0</v>
      </c>
      <c r="AQ1630">
        <v>24</v>
      </c>
      <c r="AR1630">
        <v>24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75</v>
      </c>
      <c r="BA1630">
        <v>75</v>
      </c>
      <c r="BB1630">
        <v>0</v>
      </c>
      <c r="BC1630">
        <v>0</v>
      </c>
      <c r="BD1630">
        <v>0</v>
      </c>
      <c r="BE1630">
        <f t="shared" si="263"/>
        <v>2234</v>
      </c>
      <c r="BF1630">
        <v>1508</v>
      </c>
      <c r="BG1630">
        <v>1508</v>
      </c>
      <c r="BH1630" t="s">
        <v>190</v>
      </c>
      <c r="BI1630" t="s">
        <v>2026</v>
      </c>
      <c r="BJ1630">
        <v>782</v>
      </c>
      <c r="BK1630">
        <v>714</v>
      </c>
      <c r="BL1630">
        <v>1508</v>
      </c>
      <c r="BM1630">
        <v>0</v>
      </c>
      <c r="BN1630">
        <v>0</v>
      </c>
      <c r="BO1630">
        <v>0</v>
      </c>
      <c r="BP1630">
        <v>759</v>
      </c>
      <c r="BQ1630">
        <v>759</v>
      </c>
      <c r="BR1630">
        <f t="shared" si="264"/>
        <v>-182</v>
      </c>
      <c r="BS1630">
        <f t="shared" si="265"/>
        <v>192</v>
      </c>
    </row>
    <row r="1631" spans="1:74" x14ac:dyDescent="0.25">
      <c r="A1631" s="5" t="s">
        <v>61</v>
      </c>
      <c r="B1631" s="5" t="s">
        <v>61</v>
      </c>
      <c r="C1631" s="5" t="s">
        <v>61</v>
      </c>
      <c r="D1631" s="1" t="s">
        <v>167</v>
      </c>
      <c r="E1631">
        <v>0</v>
      </c>
      <c r="F1631">
        <v>190</v>
      </c>
      <c r="G1631">
        <v>0</v>
      </c>
      <c r="H1631">
        <v>0</v>
      </c>
      <c r="I1631">
        <v>94</v>
      </c>
      <c r="J1631">
        <v>200</v>
      </c>
      <c r="K1631">
        <v>30</v>
      </c>
      <c r="L1631">
        <v>0</v>
      </c>
      <c r="M1631">
        <v>0</v>
      </c>
      <c r="N1631">
        <v>0</v>
      </c>
      <c r="O1631">
        <v>0</v>
      </c>
      <c r="P1631">
        <v>1251</v>
      </c>
      <c r="Q1631">
        <v>322</v>
      </c>
      <c r="R1631">
        <v>139</v>
      </c>
      <c r="S1631" s="18">
        <f t="shared" si="256"/>
        <v>9</v>
      </c>
      <c r="T1631" s="17">
        <f t="shared" si="257"/>
        <v>0</v>
      </c>
      <c r="U1631" s="17">
        <f t="shared" si="258"/>
        <v>0</v>
      </c>
      <c r="V1631" s="17">
        <f t="shared" si="259"/>
        <v>0</v>
      </c>
      <c r="W1631" s="17">
        <f t="shared" si="260"/>
        <v>139</v>
      </c>
      <c r="X1631" s="17">
        <f t="shared" si="261"/>
        <v>183</v>
      </c>
      <c r="Y1631" s="19">
        <f t="shared" si="262"/>
        <v>0</v>
      </c>
      <c r="Z1631">
        <v>190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94</v>
      </c>
      <c r="AH1631">
        <v>94</v>
      </c>
      <c r="AI1631">
        <v>0</v>
      </c>
      <c r="AJ1631">
        <v>0</v>
      </c>
      <c r="AK1631">
        <v>200</v>
      </c>
      <c r="AL1631">
        <v>200</v>
      </c>
      <c r="AM1631">
        <v>0</v>
      </c>
      <c r="AN1631">
        <v>0</v>
      </c>
      <c r="AO1631">
        <v>30</v>
      </c>
      <c r="AP1631">
        <v>10</v>
      </c>
      <c r="AQ1631">
        <v>30</v>
      </c>
      <c r="AR1631">
        <v>20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f t="shared" si="263"/>
        <v>678</v>
      </c>
      <c r="BF1631">
        <v>514</v>
      </c>
      <c r="BG1631">
        <v>514</v>
      </c>
      <c r="BH1631" t="s">
        <v>109</v>
      </c>
      <c r="BI1631" t="s">
        <v>168</v>
      </c>
      <c r="BJ1631">
        <v>0</v>
      </c>
      <c r="BK1631">
        <v>324</v>
      </c>
      <c r="BL1631">
        <v>514</v>
      </c>
      <c r="BM1631">
        <v>0</v>
      </c>
      <c r="BN1631">
        <v>0</v>
      </c>
      <c r="BO1631">
        <v>0</v>
      </c>
      <c r="BP1631">
        <v>1575</v>
      </c>
      <c r="BQ1631">
        <v>1575</v>
      </c>
      <c r="BR1631">
        <f t="shared" si="264"/>
        <v>-183</v>
      </c>
      <c r="BS1631">
        <f t="shared" si="265"/>
        <v>461</v>
      </c>
    </row>
    <row r="1632" spans="1:74" x14ac:dyDescent="0.25">
      <c r="A1632" s="5" t="s">
        <v>1661</v>
      </c>
      <c r="B1632" s="5" t="s">
        <v>359</v>
      </c>
      <c r="C1632" s="5" t="s">
        <v>207</v>
      </c>
      <c r="D1632" s="1" t="s">
        <v>65</v>
      </c>
      <c r="E1632">
        <v>0</v>
      </c>
      <c r="F1632">
        <v>0</v>
      </c>
      <c r="G1632">
        <v>0</v>
      </c>
      <c r="H1632">
        <v>0</v>
      </c>
      <c r="I1632">
        <v>243</v>
      </c>
      <c r="J1632">
        <v>0</v>
      </c>
      <c r="K1632">
        <v>305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105</v>
      </c>
      <c r="R1632">
        <v>0</v>
      </c>
      <c r="S1632" s="18" t="e">
        <f t="shared" si="256"/>
        <v>#DIV/0!</v>
      </c>
      <c r="T1632" s="17" t="e">
        <f t="shared" si="257"/>
        <v>#DIV/0!</v>
      </c>
      <c r="U1632" s="17" t="e">
        <f t="shared" si="258"/>
        <v>#DIV/0!</v>
      </c>
      <c r="V1632" s="17" t="e">
        <f t="shared" si="259"/>
        <v>#DIV/0!</v>
      </c>
      <c r="W1632" s="17" t="e">
        <f t="shared" si="260"/>
        <v>#DIV/0!</v>
      </c>
      <c r="X1632" s="17" t="e">
        <f t="shared" si="261"/>
        <v>#DIV/0!</v>
      </c>
      <c r="Y1632" s="19" t="e">
        <f t="shared" si="262"/>
        <v>#DIV/0!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243</v>
      </c>
      <c r="AH1632">
        <v>243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305</v>
      </c>
      <c r="AP1632">
        <v>270</v>
      </c>
      <c r="AQ1632">
        <v>305</v>
      </c>
      <c r="AR1632">
        <v>35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f t="shared" si="263"/>
        <v>1401</v>
      </c>
      <c r="BF1632">
        <v>548</v>
      </c>
      <c r="BG1632">
        <v>548</v>
      </c>
      <c r="BH1632" t="s">
        <v>63</v>
      </c>
      <c r="BI1632" t="s">
        <v>1883</v>
      </c>
      <c r="BJ1632">
        <v>0</v>
      </c>
      <c r="BK1632">
        <v>548</v>
      </c>
      <c r="BL1632">
        <v>548</v>
      </c>
      <c r="BM1632">
        <v>0</v>
      </c>
      <c r="BN1632">
        <v>0</v>
      </c>
      <c r="BO1632">
        <v>0</v>
      </c>
      <c r="BP1632">
        <v>548</v>
      </c>
      <c r="BQ1632">
        <v>548</v>
      </c>
      <c r="BR1632">
        <f t="shared" si="264"/>
        <v>-105</v>
      </c>
      <c r="BS1632">
        <f t="shared" si="265"/>
        <v>105</v>
      </c>
      <c r="BU1632">
        <f>R1632*9</f>
        <v>0</v>
      </c>
      <c r="BV1632">
        <f>IF(BU1632&gt;BG1632, 1, 0)</f>
        <v>0</v>
      </c>
    </row>
    <row r="1633" spans="1:74" x14ac:dyDescent="0.25">
      <c r="A1633" s="5" t="s">
        <v>1135</v>
      </c>
      <c r="B1633" s="5" t="s">
        <v>359</v>
      </c>
      <c r="C1633" s="5" t="s">
        <v>61</v>
      </c>
      <c r="D1633" s="1" t="s">
        <v>77</v>
      </c>
      <c r="E1633">
        <v>0</v>
      </c>
      <c r="F1633">
        <v>0</v>
      </c>
      <c r="G1633">
        <v>0</v>
      </c>
      <c r="H1633">
        <v>0</v>
      </c>
      <c r="I1633">
        <v>57</v>
      </c>
      <c r="J1633">
        <v>2223</v>
      </c>
      <c r="K1633">
        <v>30</v>
      </c>
      <c r="L1633">
        <v>35</v>
      </c>
      <c r="M1633">
        <v>0</v>
      </c>
      <c r="N1633">
        <v>0</v>
      </c>
      <c r="O1633">
        <v>0</v>
      </c>
      <c r="P1633">
        <v>0</v>
      </c>
      <c r="Q1633">
        <v>183</v>
      </c>
      <c r="R1633">
        <v>0</v>
      </c>
      <c r="S1633" s="18" t="e">
        <f t="shared" si="256"/>
        <v>#DIV/0!</v>
      </c>
      <c r="T1633" s="17" t="e">
        <f t="shared" si="257"/>
        <v>#DIV/0!</v>
      </c>
      <c r="U1633" s="17" t="e">
        <f t="shared" si="258"/>
        <v>#DIV/0!</v>
      </c>
      <c r="V1633" s="17" t="e">
        <f t="shared" si="259"/>
        <v>#DIV/0!</v>
      </c>
      <c r="W1633" s="17" t="e">
        <f t="shared" si="260"/>
        <v>#DIV/0!</v>
      </c>
      <c r="X1633" s="17" t="e">
        <f t="shared" si="261"/>
        <v>#DIV/0!</v>
      </c>
      <c r="Y1633" s="19" t="e">
        <f t="shared" si="262"/>
        <v>#DIV/0!</v>
      </c>
      <c r="Z1633">
        <v>0</v>
      </c>
      <c r="AA1633">
        <v>4</v>
      </c>
      <c r="AB1633">
        <v>55</v>
      </c>
      <c r="AC1633">
        <v>780</v>
      </c>
      <c r="AD1633">
        <v>0</v>
      </c>
      <c r="AE1633">
        <v>0</v>
      </c>
      <c r="AF1633">
        <v>0</v>
      </c>
      <c r="AG1633">
        <v>57</v>
      </c>
      <c r="AH1633">
        <v>57</v>
      </c>
      <c r="AI1633">
        <v>0</v>
      </c>
      <c r="AJ1633">
        <v>0</v>
      </c>
      <c r="AK1633">
        <v>2223</v>
      </c>
      <c r="AL1633">
        <v>2223</v>
      </c>
      <c r="AM1633">
        <v>0</v>
      </c>
      <c r="AN1633">
        <v>0</v>
      </c>
      <c r="AO1633">
        <v>30</v>
      </c>
      <c r="AP1633">
        <v>0</v>
      </c>
      <c r="AQ1633">
        <v>30</v>
      </c>
      <c r="AR1633">
        <v>30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35</v>
      </c>
      <c r="BA1633">
        <v>35</v>
      </c>
      <c r="BB1633">
        <v>0</v>
      </c>
      <c r="BC1633">
        <v>0</v>
      </c>
      <c r="BD1633">
        <v>0</v>
      </c>
      <c r="BE1633">
        <f t="shared" si="263"/>
        <v>5500</v>
      </c>
      <c r="BF1633">
        <v>3184</v>
      </c>
      <c r="BG1633">
        <v>3184</v>
      </c>
      <c r="BH1633" t="s">
        <v>82</v>
      </c>
      <c r="BI1633" t="s">
        <v>1315</v>
      </c>
      <c r="BJ1633">
        <v>839</v>
      </c>
      <c r="BK1633">
        <v>2345</v>
      </c>
      <c r="BL1633">
        <v>3184</v>
      </c>
      <c r="BM1633">
        <v>0</v>
      </c>
      <c r="BN1633">
        <v>0</v>
      </c>
      <c r="BO1633">
        <v>0</v>
      </c>
      <c r="BP1633">
        <v>2345</v>
      </c>
      <c r="BQ1633">
        <v>2345</v>
      </c>
      <c r="BR1633">
        <f t="shared" si="264"/>
        <v>-183</v>
      </c>
      <c r="BS1633">
        <f t="shared" si="265"/>
        <v>183</v>
      </c>
    </row>
    <row r="1634" spans="1:74" x14ac:dyDescent="0.25">
      <c r="A1634" s="5" t="s">
        <v>1661</v>
      </c>
      <c r="B1634" s="5" t="s">
        <v>61</v>
      </c>
      <c r="C1634" s="6" t="s">
        <v>61</v>
      </c>
      <c r="D1634" s="1" t="s">
        <v>96</v>
      </c>
      <c r="E1634">
        <v>0</v>
      </c>
      <c r="F1634">
        <v>220</v>
      </c>
      <c r="G1634">
        <v>0</v>
      </c>
      <c r="H1634">
        <v>0</v>
      </c>
      <c r="I1634">
        <v>4</v>
      </c>
      <c r="J1634">
        <v>1120</v>
      </c>
      <c r="K1634">
        <v>336</v>
      </c>
      <c r="L1634">
        <v>28</v>
      </c>
      <c r="M1634">
        <v>0</v>
      </c>
      <c r="N1634">
        <v>0</v>
      </c>
      <c r="O1634">
        <v>0</v>
      </c>
      <c r="P1634">
        <v>495</v>
      </c>
      <c r="Q1634">
        <v>238</v>
      </c>
      <c r="R1634">
        <v>55</v>
      </c>
      <c r="S1634" s="18">
        <f t="shared" si="256"/>
        <v>9</v>
      </c>
      <c r="T1634" s="17">
        <f t="shared" si="257"/>
        <v>0</v>
      </c>
      <c r="U1634" s="17">
        <f t="shared" si="258"/>
        <v>0</v>
      </c>
      <c r="V1634" s="17">
        <f t="shared" si="259"/>
        <v>0</v>
      </c>
      <c r="W1634" s="17">
        <f t="shared" si="260"/>
        <v>55</v>
      </c>
      <c r="X1634" s="17">
        <f t="shared" si="261"/>
        <v>183</v>
      </c>
      <c r="Y1634" s="19">
        <f t="shared" si="262"/>
        <v>0</v>
      </c>
      <c r="Z1634">
        <v>220</v>
      </c>
      <c r="AA1634">
        <v>0</v>
      </c>
      <c r="AB1634">
        <v>0</v>
      </c>
      <c r="AC1634">
        <v>640</v>
      </c>
      <c r="AD1634">
        <v>0</v>
      </c>
      <c r="AE1634">
        <v>0</v>
      </c>
      <c r="AF1634">
        <v>0</v>
      </c>
      <c r="AG1634">
        <v>4</v>
      </c>
      <c r="AH1634">
        <v>4</v>
      </c>
      <c r="AI1634">
        <v>0</v>
      </c>
      <c r="AJ1634">
        <v>0</v>
      </c>
      <c r="AK1634">
        <v>1120</v>
      </c>
      <c r="AL1634">
        <v>1120</v>
      </c>
      <c r="AM1634">
        <v>0</v>
      </c>
      <c r="AN1634">
        <v>0</v>
      </c>
      <c r="AO1634">
        <v>336</v>
      </c>
      <c r="AP1634">
        <v>291</v>
      </c>
      <c r="AQ1634">
        <v>336</v>
      </c>
      <c r="AR1634">
        <v>45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28</v>
      </c>
      <c r="BA1634">
        <v>28</v>
      </c>
      <c r="BB1634">
        <v>0</v>
      </c>
      <c r="BC1634">
        <v>0</v>
      </c>
      <c r="BD1634">
        <v>0</v>
      </c>
      <c r="BE1634">
        <f t="shared" si="263"/>
        <v>3952</v>
      </c>
      <c r="BF1634">
        <v>2348</v>
      </c>
      <c r="BG1634">
        <v>2348</v>
      </c>
      <c r="BH1634" t="s">
        <v>82</v>
      </c>
      <c r="BI1634" t="s">
        <v>1675</v>
      </c>
      <c r="BJ1634">
        <v>640</v>
      </c>
      <c r="BK1634">
        <v>1488</v>
      </c>
      <c r="BL1634">
        <v>2348</v>
      </c>
      <c r="BM1634">
        <v>0</v>
      </c>
      <c r="BN1634">
        <v>0</v>
      </c>
      <c r="BO1634">
        <v>0</v>
      </c>
      <c r="BP1634">
        <v>1983</v>
      </c>
      <c r="BQ1634">
        <v>1983</v>
      </c>
      <c r="BR1634">
        <f t="shared" si="264"/>
        <v>-183</v>
      </c>
      <c r="BS1634">
        <f t="shared" si="265"/>
        <v>293</v>
      </c>
    </row>
    <row r="1635" spans="1:74" x14ac:dyDescent="0.25">
      <c r="A1635" s="5" t="s">
        <v>627</v>
      </c>
      <c r="B1635" s="5" t="s">
        <v>61</v>
      </c>
      <c r="C1635" s="7" t="s">
        <v>61</v>
      </c>
      <c r="D1635" s="1" t="s">
        <v>81</v>
      </c>
      <c r="E1635">
        <v>0</v>
      </c>
      <c r="F1635">
        <v>23</v>
      </c>
      <c r="G1635">
        <v>0</v>
      </c>
      <c r="H1635">
        <v>0</v>
      </c>
      <c r="I1635">
        <v>773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207</v>
      </c>
      <c r="Q1635">
        <v>207</v>
      </c>
      <c r="R1635">
        <v>23</v>
      </c>
      <c r="S1635" s="18">
        <f t="shared" si="256"/>
        <v>9</v>
      </c>
      <c r="T1635" s="17">
        <f t="shared" si="257"/>
        <v>0</v>
      </c>
      <c r="U1635" s="17">
        <f t="shared" si="258"/>
        <v>0</v>
      </c>
      <c r="V1635" s="17">
        <f t="shared" si="259"/>
        <v>0</v>
      </c>
      <c r="W1635" s="17">
        <f t="shared" si="260"/>
        <v>23</v>
      </c>
      <c r="X1635" s="17">
        <f t="shared" si="261"/>
        <v>184</v>
      </c>
      <c r="Y1635" s="19">
        <f t="shared" si="262"/>
        <v>0</v>
      </c>
      <c r="Z1635">
        <v>23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773</v>
      </c>
      <c r="AH1635">
        <v>773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f t="shared" si="263"/>
        <v>1546</v>
      </c>
      <c r="BF1635">
        <v>796</v>
      </c>
      <c r="BG1635">
        <v>796</v>
      </c>
      <c r="BH1635" t="s">
        <v>109</v>
      </c>
      <c r="BI1635" t="s">
        <v>818</v>
      </c>
      <c r="BJ1635">
        <v>0</v>
      </c>
      <c r="BK1635">
        <v>773</v>
      </c>
      <c r="BL1635">
        <v>796</v>
      </c>
      <c r="BM1635">
        <v>0</v>
      </c>
      <c r="BN1635">
        <v>0</v>
      </c>
      <c r="BO1635">
        <v>0</v>
      </c>
      <c r="BP1635">
        <v>980</v>
      </c>
      <c r="BQ1635">
        <v>980</v>
      </c>
      <c r="BR1635">
        <f t="shared" si="264"/>
        <v>-184</v>
      </c>
      <c r="BS1635">
        <f t="shared" si="265"/>
        <v>230</v>
      </c>
    </row>
    <row r="1636" spans="1:74" x14ac:dyDescent="0.25">
      <c r="A1636" s="5" t="s">
        <v>1017</v>
      </c>
      <c r="B1636" s="5" t="s">
        <v>61</v>
      </c>
      <c r="C1636" s="5" t="s">
        <v>207</v>
      </c>
      <c r="D1636" s="1" t="s">
        <v>92</v>
      </c>
      <c r="E1636">
        <v>0</v>
      </c>
      <c r="F1636">
        <v>3628</v>
      </c>
      <c r="G1636">
        <v>0</v>
      </c>
      <c r="H1636">
        <v>0</v>
      </c>
      <c r="I1636">
        <v>478</v>
      </c>
      <c r="J1636">
        <v>0</v>
      </c>
      <c r="K1636">
        <v>24</v>
      </c>
      <c r="L1636">
        <v>0</v>
      </c>
      <c r="M1636">
        <v>6885</v>
      </c>
      <c r="N1636">
        <v>0</v>
      </c>
      <c r="O1636">
        <v>0</v>
      </c>
      <c r="P1636">
        <v>0</v>
      </c>
      <c r="Q1636">
        <v>949</v>
      </c>
      <c r="R1636">
        <v>765</v>
      </c>
      <c r="S1636" s="18">
        <f t="shared" si="256"/>
        <v>9</v>
      </c>
      <c r="T1636" s="17">
        <f t="shared" si="257"/>
        <v>765</v>
      </c>
      <c r="U1636" s="17">
        <f t="shared" si="258"/>
        <v>0</v>
      </c>
      <c r="V1636" s="17">
        <f t="shared" si="259"/>
        <v>0</v>
      </c>
      <c r="W1636" s="17">
        <f t="shared" si="260"/>
        <v>0</v>
      </c>
      <c r="X1636" s="17">
        <f t="shared" si="261"/>
        <v>184</v>
      </c>
      <c r="Y1636" s="19">
        <f t="shared" si="262"/>
        <v>0</v>
      </c>
      <c r="Z1636">
        <v>3628</v>
      </c>
      <c r="AA1636">
        <v>0</v>
      </c>
      <c r="AB1636">
        <v>0</v>
      </c>
      <c r="AC1636">
        <v>0</v>
      </c>
      <c r="AD1636">
        <v>478</v>
      </c>
      <c r="AE1636">
        <v>0</v>
      </c>
      <c r="AF1636">
        <v>0</v>
      </c>
      <c r="AG1636">
        <v>0</v>
      </c>
      <c r="AH1636">
        <v>478</v>
      </c>
      <c r="AI1636">
        <v>0</v>
      </c>
      <c r="AJ1636">
        <v>0</v>
      </c>
      <c r="AK1636">
        <v>0</v>
      </c>
      <c r="AL1636">
        <v>0</v>
      </c>
      <c r="AM1636">
        <v>24</v>
      </c>
      <c r="AN1636">
        <v>0</v>
      </c>
      <c r="AO1636">
        <v>0</v>
      </c>
      <c r="AP1636">
        <v>0</v>
      </c>
      <c r="AQ1636">
        <v>24</v>
      </c>
      <c r="AR1636">
        <v>24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f t="shared" si="263"/>
        <v>1028</v>
      </c>
      <c r="BF1636">
        <v>4130</v>
      </c>
      <c r="BG1636">
        <v>4130</v>
      </c>
      <c r="BH1636" t="s">
        <v>190</v>
      </c>
      <c r="BI1636" t="s">
        <v>1060</v>
      </c>
      <c r="BJ1636">
        <v>0</v>
      </c>
      <c r="BK1636">
        <v>502</v>
      </c>
      <c r="BL1636">
        <v>4130</v>
      </c>
      <c r="BM1636">
        <v>7387</v>
      </c>
      <c r="BN1636">
        <v>0</v>
      </c>
      <c r="BO1636">
        <v>0</v>
      </c>
      <c r="BP1636">
        <v>0</v>
      </c>
      <c r="BQ1636">
        <v>7387</v>
      </c>
      <c r="BR1636">
        <f t="shared" si="264"/>
        <v>-184</v>
      </c>
      <c r="BS1636">
        <f t="shared" si="265"/>
        <v>1714</v>
      </c>
    </row>
    <row r="1637" spans="1:74" x14ac:dyDescent="0.25">
      <c r="A1637" s="5" t="s">
        <v>1135</v>
      </c>
      <c r="B1637" s="5" t="s">
        <v>207</v>
      </c>
      <c r="C1637" s="5" t="s">
        <v>61</v>
      </c>
      <c r="D1637" s="1" t="s">
        <v>96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6000</v>
      </c>
      <c r="K1637">
        <v>0</v>
      </c>
      <c r="L1637">
        <v>100</v>
      </c>
      <c r="M1637">
        <v>0</v>
      </c>
      <c r="N1637">
        <v>0</v>
      </c>
      <c r="O1637">
        <v>0</v>
      </c>
      <c r="P1637">
        <v>0</v>
      </c>
      <c r="Q1637">
        <v>112</v>
      </c>
      <c r="R1637">
        <v>0</v>
      </c>
      <c r="S1637" s="18" t="e">
        <f t="shared" si="256"/>
        <v>#DIV/0!</v>
      </c>
      <c r="T1637" s="17" t="e">
        <f t="shared" si="257"/>
        <v>#DIV/0!</v>
      </c>
      <c r="U1637" s="17" t="e">
        <f t="shared" si="258"/>
        <v>#DIV/0!</v>
      </c>
      <c r="V1637" s="17" t="e">
        <f t="shared" si="259"/>
        <v>#DIV/0!</v>
      </c>
      <c r="W1637" s="17" t="e">
        <f t="shared" si="260"/>
        <v>#DIV/0!</v>
      </c>
      <c r="X1637" s="17" t="e">
        <f t="shared" si="261"/>
        <v>#DIV/0!</v>
      </c>
      <c r="Y1637" s="19" t="e">
        <f t="shared" si="262"/>
        <v>#DIV/0!</v>
      </c>
      <c r="Z1637">
        <v>0</v>
      </c>
      <c r="AA1637">
        <v>0</v>
      </c>
      <c r="AB1637">
        <v>0</v>
      </c>
      <c r="AC1637">
        <v>320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6000</v>
      </c>
      <c r="AK1637">
        <v>0</v>
      </c>
      <c r="AL1637">
        <v>6000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100</v>
      </c>
      <c r="AZ1637">
        <v>0</v>
      </c>
      <c r="BA1637">
        <v>100</v>
      </c>
      <c r="BB1637">
        <v>0</v>
      </c>
      <c r="BC1637">
        <v>0</v>
      </c>
      <c r="BD1637">
        <v>0</v>
      </c>
      <c r="BE1637">
        <f t="shared" si="263"/>
        <v>12520</v>
      </c>
      <c r="BF1637">
        <v>6420</v>
      </c>
      <c r="BG1637">
        <v>6420</v>
      </c>
      <c r="BH1637" t="s">
        <v>63</v>
      </c>
      <c r="BI1637" t="s">
        <v>1212</v>
      </c>
      <c r="BJ1637">
        <v>320</v>
      </c>
      <c r="BK1637">
        <v>6100</v>
      </c>
      <c r="BL1637">
        <v>6420</v>
      </c>
      <c r="BM1637">
        <v>0</v>
      </c>
      <c r="BN1637">
        <v>6100</v>
      </c>
      <c r="BO1637">
        <v>0</v>
      </c>
      <c r="BP1637">
        <v>0</v>
      </c>
      <c r="BQ1637">
        <v>6100</v>
      </c>
      <c r="BR1637">
        <f t="shared" si="264"/>
        <v>-112</v>
      </c>
      <c r="BS1637">
        <f t="shared" si="265"/>
        <v>112</v>
      </c>
      <c r="BU1637">
        <f>R1637*9</f>
        <v>0</v>
      </c>
      <c r="BV1637">
        <f>IF(BU1637&gt;BG1637, 1, 0)</f>
        <v>0</v>
      </c>
    </row>
    <row r="1638" spans="1:74" x14ac:dyDescent="0.25">
      <c r="A1638" s="5" t="s">
        <v>1451</v>
      </c>
      <c r="B1638" s="5" t="s">
        <v>207</v>
      </c>
      <c r="C1638" s="5" t="s">
        <v>207</v>
      </c>
      <c r="D1638" s="1" t="s">
        <v>151</v>
      </c>
      <c r="E1638">
        <v>0</v>
      </c>
      <c r="F1638">
        <v>1450</v>
      </c>
      <c r="G1638">
        <v>0</v>
      </c>
      <c r="H1638">
        <v>0</v>
      </c>
      <c r="I1638">
        <v>88</v>
      </c>
      <c r="J1638">
        <v>0</v>
      </c>
      <c r="K1638">
        <v>0</v>
      </c>
      <c r="L1638">
        <v>0</v>
      </c>
      <c r="M1638">
        <v>1665</v>
      </c>
      <c r="N1638">
        <v>0</v>
      </c>
      <c r="O1638">
        <v>0</v>
      </c>
      <c r="P1638">
        <v>0</v>
      </c>
      <c r="Q1638">
        <v>370</v>
      </c>
      <c r="R1638">
        <v>185</v>
      </c>
      <c r="S1638" s="18">
        <f t="shared" si="256"/>
        <v>9</v>
      </c>
      <c r="T1638" s="17">
        <f t="shared" si="257"/>
        <v>185</v>
      </c>
      <c r="U1638" s="17">
        <f t="shared" si="258"/>
        <v>0</v>
      </c>
      <c r="V1638" s="17">
        <f t="shared" si="259"/>
        <v>0</v>
      </c>
      <c r="W1638" s="17">
        <f t="shared" si="260"/>
        <v>0</v>
      </c>
      <c r="X1638" s="17">
        <f t="shared" si="261"/>
        <v>185</v>
      </c>
      <c r="Y1638" s="19">
        <f t="shared" si="262"/>
        <v>0</v>
      </c>
      <c r="Z1638">
        <v>1450</v>
      </c>
      <c r="AA1638">
        <v>0</v>
      </c>
      <c r="AB1638">
        <v>0</v>
      </c>
      <c r="AC1638">
        <v>0</v>
      </c>
      <c r="AD1638">
        <v>88</v>
      </c>
      <c r="AE1638">
        <v>0</v>
      </c>
      <c r="AF1638">
        <v>0</v>
      </c>
      <c r="AG1638">
        <v>0</v>
      </c>
      <c r="AH1638">
        <v>88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f t="shared" si="263"/>
        <v>176</v>
      </c>
      <c r="BF1638">
        <v>1538</v>
      </c>
      <c r="BG1638">
        <v>1538</v>
      </c>
      <c r="BH1638" t="s">
        <v>109</v>
      </c>
      <c r="BI1638" t="s">
        <v>331</v>
      </c>
      <c r="BJ1638">
        <v>0</v>
      </c>
      <c r="BK1638">
        <v>88</v>
      </c>
      <c r="BL1638">
        <v>1538</v>
      </c>
      <c r="BM1638">
        <v>1753</v>
      </c>
      <c r="BN1638">
        <v>0</v>
      </c>
      <c r="BO1638">
        <v>0</v>
      </c>
      <c r="BP1638">
        <v>0</v>
      </c>
      <c r="BQ1638">
        <v>1753</v>
      </c>
      <c r="BR1638">
        <f t="shared" si="264"/>
        <v>-185</v>
      </c>
      <c r="BS1638">
        <f t="shared" si="265"/>
        <v>555</v>
      </c>
    </row>
    <row r="1639" spans="1:74" x14ac:dyDescent="0.25">
      <c r="A1639" s="5" t="s">
        <v>1661</v>
      </c>
      <c r="B1639" s="5" t="s">
        <v>359</v>
      </c>
      <c r="C1639" s="5" t="s">
        <v>359</v>
      </c>
      <c r="D1639" s="1" t="s">
        <v>69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3348</v>
      </c>
      <c r="K1639">
        <v>10</v>
      </c>
      <c r="L1639">
        <v>36</v>
      </c>
      <c r="M1639">
        <v>0</v>
      </c>
      <c r="N1639">
        <v>0</v>
      </c>
      <c r="O1639">
        <v>0</v>
      </c>
      <c r="P1639">
        <v>0</v>
      </c>
      <c r="Q1639">
        <v>113</v>
      </c>
      <c r="R1639">
        <v>0</v>
      </c>
      <c r="S1639" s="18" t="e">
        <f t="shared" si="256"/>
        <v>#DIV/0!</v>
      </c>
      <c r="T1639" s="17" t="e">
        <f t="shared" si="257"/>
        <v>#DIV/0!</v>
      </c>
      <c r="U1639" s="17" t="e">
        <f t="shared" si="258"/>
        <v>#DIV/0!</v>
      </c>
      <c r="V1639" s="17" t="e">
        <f t="shared" si="259"/>
        <v>#DIV/0!</v>
      </c>
      <c r="W1639" s="17" t="e">
        <f t="shared" si="260"/>
        <v>#DIV/0!</v>
      </c>
      <c r="X1639" s="17" t="e">
        <f t="shared" si="261"/>
        <v>#DIV/0!</v>
      </c>
      <c r="Y1639" s="19" t="e">
        <f t="shared" si="262"/>
        <v>#DIV/0!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3348</v>
      </c>
      <c r="AL1639">
        <v>3348</v>
      </c>
      <c r="AM1639">
        <v>0</v>
      </c>
      <c r="AN1639">
        <v>0</v>
      </c>
      <c r="AO1639">
        <v>10</v>
      </c>
      <c r="AP1639">
        <v>0</v>
      </c>
      <c r="AQ1639">
        <v>10</v>
      </c>
      <c r="AR1639">
        <v>10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36</v>
      </c>
      <c r="BA1639">
        <v>36</v>
      </c>
      <c r="BB1639">
        <v>0</v>
      </c>
      <c r="BC1639">
        <v>0</v>
      </c>
      <c r="BD1639">
        <v>0</v>
      </c>
      <c r="BE1639">
        <f t="shared" si="263"/>
        <v>6798</v>
      </c>
      <c r="BF1639">
        <v>3394</v>
      </c>
      <c r="BG1639">
        <v>3394</v>
      </c>
      <c r="BH1639" t="s">
        <v>63</v>
      </c>
      <c r="BI1639" t="s">
        <v>1924</v>
      </c>
      <c r="BJ1639">
        <v>0</v>
      </c>
      <c r="BK1639">
        <v>3394</v>
      </c>
      <c r="BL1639">
        <v>3394</v>
      </c>
      <c r="BM1639">
        <v>0</v>
      </c>
      <c r="BN1639">
        <v>0</v>
      </c>
      <c r="BO1639">
        <v>0</v>
      </c>
      <c r="BP1639">
        <v>3394</v>
      </c>
      <c r="BQ1639">
        <v>3394</v>
      </c>
      <c r="BR1639">
        <f t="shared" si="264"/>
        <v>-113</v>
      </c>
      <c r="BS1639">
        <f t="shared" si="265"/>
        <v>113</v>
      </c>
      <c r="BU1639">
        <f>R1639*9</f>
        <v>0</v>
      </c>
      <c r="BV1639">
        <f>IF(BU1639&gt;BG1639, 1, 0)</f>
        <v>0</v>
      </c>
    </row>
    <row r="1640" spans="1:74" x14ac:dyDescent="0.25">
      <c r="A1640" s="5" t="s">
        <v>359</v>
      </c>
      <c r="B1640" s="5" t="s">
        <v>627</v>
      </c>
      <c r="C1640" s="5" t="s">
        <v>61</v>
      </c>
      <c r="D1640" s="1" t="s">
        <v>88</v>
      </c>
      <c r="E1640">
        <v>0</v>
      </c>
      <c r="F1640">
        <v>0</v>
      </c>
      <c r="G1640">
        <v>0</v>
      </c>
      <c r="H1640">
        <v>0</v>
      </c>
      <c r="I1640">
        <v>662</v>
      </c>
      <c r="J1640">
        <v>358</v>
      </c>
      <c r="K1640">
        <v>200</v>
      </c>
      <c r="L1640">
        <v>30</v>
      </c>
      <c r="M1640">
        <v>0</v>
      </c>
      <c r="N1640">
        <v>0</v>
      </c>
      <c r="O1640">
        <v>0</v>
      </c>
      <c r="P1640">
        <v>0</v>
      </c>
      <c r="Q1640">
        <v>186</v>
      </c>
      <c r="R1640">
        <v>0</v>
      </c>
      <c r="S1640" s="18" t="e">
        <f t="shared" si="256"/>
        <v>#DIV/0!</v>
      </c>
      <c r="T1640" s="17" t="e">
        <f t="shared" si="257"/>
        <v>#DIV/0!</v>
      </c>
      <c r="U1640" s="17" t="e">
        <f t="shared" si="258"/>
        <v>#DIV/0!</v>
      </c>
      <c r="V1640" s="17" t="e">
        <f t="shared" si="259"/>
        <v>#DIV/0!</v>
      </c>
      <c r="W1640" s="17" t="e">
        <f t="shared" si="260"/>
        <v>#DIV/0!</v>
      </c>
      <c r="X1640" s="17" t="e">
        <f t="shared" si="261"/>
        <v>#DIV/0!</v>
      </c>
      <c r="Y1640" s="19" t="e">
        <f t="shared" si="262"/>
        <v>#DIV/0!</v>
      </c>
      <c r="Z1640">
        <v>0</v>
      </c>
      <c r="AA1640">
        <v>0</v>
      </c>
      <c r="AB1640">
        <v>174</v>
      </c>
      <c r="AC1640">
        <v>680</v>
      </c>
      <c r="AD1640">
        <v>0</v>
      </c>
      <c r="AE1640">
        <v>0</v>
      </c>
      <c r="AF1640">
        <v>0</v>
      </c>
      <c r="AG1640">
        <v>662</v>
      </c>
      <c r="AH1640">
        <v>662</v>
      </c>
      <c r="AI1640">
        <v>0</v>
      </c>
      <c r="AJ1640">
        <v>0</v>
      </c>
      <c r="AK1640">
        <v>358</v>
      </c>
      <c r="AL1640">
        <v>358</v>
      </c>
      <c r="AM1640">
        <v>0</v>
      </c>
      <c r="AN1640">
        <v>0</v>
      </c>
      <c r="AO1640">
        <v>200</v>
      </c>
      <c r="AP1640">
        <v>0</v>
      </c>
      <c r="AQ1640">
        <v>200</v>
      </c>
      <c r="AR1640">
        <v>200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30</v>
      </c>
      <c r="BA1640">
        <v>30</v>
      </c>
      <c r="BB1640">
        <v>0</v>
      </c>
      <c r="BC1640">
        <v>0</v>
      </c>
      <c r="BD1640">
        <v>0</v>
      </c>
      <c r="BE1640">
        <f t="shared" si="263"/>
        <v>3380</v>
      </c>
      <c r="BF1640">
        <v>2104</v>
      </c>
      <c r="BG1640">
        <v>2104</v>
      </c>
      <c r="BH1640" t="s">
        <v>82</v>
      </c>
      <c r="BI1640" t="s">
        <v>803</v>
      </c>
      <c r="BJ1640">
        <v>854</v>
      </c>
      <c r="BK1640">
        <v>1250</v>
      </c>
      <c r="BL1640">
        <v>2104</v>
      </c>
      <c r="BM1640">
        <v>0</v>
      </c>
      <c r="BN1640">
        <v>0</v>
      </c>
      <c r="BO1640">
        <v>0</v>
      </c>
      <c r="BP1640">
        <v>1250</v>
      </c>
      <c r="BQ1640">
        <v>1250</v>
      </c>
      <c r="BR1640">
        <f t="shared" si="264"/>
        <v>-186</v>
      </c>
      <c r="BS1640">
        <f t="shared" si="265"/>
        <v>186</v>
      </c>
    </row>
    <row r="1641" spans="1:74" x14ac:dyDescent="0.25">
      <c r="A1641" s="5" t="s">
        <v>1661</v>
      </c>
      <c r="B1641" s="5" t="s">
        <v>61</v>
      </c>
      <c r="C1641" s="5" t="s">
        <v>359</v>
      </c>
      <c r="D1641" s="1" t="s">
        <v>81</v>
      </c>
      <c r="E1641">
        <v>0</v>
      </c>
      <c r="F1641">
        <v>3252</v>
      </c>
      <c r="G1641">
        <v>0</v>
      </c>
      <c r="H1641">
        <v>0</v>
      </c>
      <c r="I1641">
        <v>3050</v>
      </c>
      <c r="J1641">
        <v>0</v>
      </c>
      <c r="K1641">
        <v>30</v>
      </c>
      <c r="L1641">
        <v>0</v>
      </c>
      <c r="M1641">
        <v>0</v>
      </c>
      <c r="N1641">
        <v>0</v>
      </c>
      <c r="O1641">
        <v>0</v>
      </c>
      <c r="P1641">
        <v>6750</v>
      </c>
      <c r="Q1641">
        <v>936</v>
      </c>
      <c r="R1641">
        <v>750</v>
      </c>
      <c r="S1641" s="18">
        <f t="shared" si="256"/>
        <v>9</v>
      </c>
      <c r="T1641" s="17">
        <f t="shared" si="257"/>
        <v>0</v>
      </c>
      <c r="U1641" s="17">
        <f t="shared" si="258"/>
        <v>0</v>
      </c>
      <c r="V1641" s="17">
        <f t="shared" si="259"/>
        <v>0</v>
      </c>
      <c r="W1641" s="17">
        <f t="shared" si="260"/>
        <v>750</v>
      </c>
      <c r="X1641" s="17">
        <f t="shared" si="261"/>
        <v>186</v>
      </c>
      <c r="Y1641" s="19">
        <f t="shared" si="262"/>
        <v>0</v>
      </c>
      <c r="Z1641">
        <v>3252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3050</v>
      </c>
      <c r="AH1641">
        <v>3050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30</v>
      </c>
      <c r="AP1641">
        <v>0</v>
      </c>
      <c r="AQ1641">
        <v>30</v>
      </c>
      <c r="AR1641">
        <v>30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f t="shared" si="263"/>
        <v>6190</v>
      </c>
      <c r="BF1641">
        <v>6332</v>
      </c>
      <c r="BG1641">
        <v>6332</v>
      </c>
      <c r="BH1641" t="s">
        <v>109</v>
      </c>
      <c r="BI1641" t="s">
        <v>1721</v>
      </c>
      <c r="BJ1641">
        <v>0</v>
      </c>
      <c r="BK1641">
        <v>3080</v>
      </c>
      <c r="BL1641">
        <v>6332</v>
      </c>
      <c r="BM1641">
        <v>0</v>
      </c>
      <c r="BN1641">
        <v>0</v>
      </c>
      <c r="BO1641">
        <v>0</v>
      </c>
      <c r="BP1641">
        <v>9830</v>
      </c>
      <c r="BQ1641">
        <v>9830</v>
      </c>
      <c r="BR1641">
        <f t="shared" si="264"/>
        <v>-186</v>
      </c>
      <c r="BS1641">
        <f t="shared" si="265"/>
        <v>1686</v>
      </c>
    </row>
    <row r="1642" spans="1:74" x14ac:dyDescent="0.25">
      <c r="A1642" s="5" t="s">
        <v>2090</v>
      </c>
      <c r="B1642" s="5" t="s">
        <v>61</v>
      </c>
      <c r="C1642" s="5" t="s">
        <v>61</v>
      </c>
      <c r="D1642" s="1" t="s">
        <v>2187</v>
      </c>
      <c r="E1642">
        <v>130</v>
      </c>
      <c r="F1642">
        <v>0</v>
      </c>
      <c r="G1642">
        <v>0</v>
      </c>
      <c r="H1642">
        <v>0</v>
      </c>
      <c r="I1642">
        <v>101</v>
      </c>
      <c r="J1642">
        <v>1816</v>
      </c>
      <c r="K1642">
        <v>42</v>
      </c>
      <c r="L1642">
        <v>10</v>
      </c>
      <c r="M1642">
        <v>0</v>
      </c>
      <c r="N1642">
        <v>0</v>
      </c>
      <c r="O1642">
        <v>0</v>
      </c>
      <c r="P1642">
        <v>0</v>
      </c>
      <c r="Q1642">
        <v>186</v>
      </c>
      <c r="R1642">
        <v>0</v>
      </c>
      <c r="S1642" s="18" t="e">
        <f t="shared" si="256"/>
        <v>#DIV/0!</v>
      </c>
      <c r="T1642" s="17" t="e">
        <f t="shared" si="257"/>
        <v>#DIV/0!</v>
      </c>
      <c r="U1642" s="17" t="e">
        <f t="shared" si="258"/>
        <v>#DIV/0!</v>
      </c>
      <c r="V1642" s="17" t="e">
        <f t="shared" si="259"/>
        <v>#DIV/0!</v>
      </c>
      <c r="W1642" s="17" t="e">
        <f t="shared" si="260"/>
        <v>#DIV/0!</v>
      </c>
      <c r="X1642" s="17" t="e">
        <f t="shared" si="261"/>
        <v>#DIV/0!</v>
      </c>
      <c r="Y1642" s="19" t="e">
        <f t="shared" si="262"/>
        <v>#DIV/0!</v>
      </c>
      <c r="Z1642">
        <v>0</v>
      </c>
      <c r="AA1642">
        <v>6</v>
      </c>
      <c r="AB1642">
        <v>178</v>
      </c>
      <c r="AC1642">
        <v>2370</v>
      </c>
      <c r="AD1642">
        <v>0</v>
      </c>
      <c r="AE1642">
        <v>0</v>
      </c>
      <c r="AF1642">
        <v>0</v>
      </c>
      <c r="AG1642">
        <v>101</v>
      </c>
      <c r="AH1642">
        <v>101</v>
      </c>
      <c r="AI1642">
        <v>0</v>
      </c>
      <c r="AJ1642">
        <v>0</v>
      </c>
      <c r="AK1642">
        <v>1816</v>
      </c>
      <c r="AL1642">
        <v>1816</v>
      </c>
      <c r="AM1642">
        <v>0</v>
      </c>
      <c r="AN1642">
        <v>0</v>
      </c>
      <c r="AO1642">
        <v>42</v>
      </c>
      <c r="AP1642">
        <v>7</v>
      </c>
      <c r="AQ1642">
        <v>42</v>
      </c>
      <c r="AR1642">
        <v>35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10</v>
      </c>
      <c r="BA1642">
        <v>10</v>
      </c>
      <c r="BB1642">
        <v>0</v>
      </c>
      <c r="BC1642">
        <v>0</v>
      </c>
      <c r="BD1642">
        <v>0</v>
      </c>
      <c r="BE1642">
        <f t="shared" si="263"/>
        <v>6350</v>
      </c>
      <c r="BF1642">
        <v>4653</v>
      </c>
      <c r="BG1642">
        <v>4653</v>
      </c>
      <c r="BH1642" t="s">
        <v>82</v>
      </c>
      <c r="BI1642" t="s">
        <v>2188</v>
      </c>
      <c r="BJ1642">
        <v>2684</v>
      </c>
      <c r="BK1642">
        <v>1969</v>
      </c>
      <c r="BL1642">
        <v>4653</v>
      </c>
      <c r="BM1642">
        <v>0</v>
      </c>
      <c r="BN1642">
        <v>0</v>
      </c>
      <c r="BO1642">
        <v>0</v>
      </c>
      <c r="BP1642">
        <v>1969</v>
      </c>
      <c r="BQ1642">
        <v>1969</v>
      </c>
      <c r="BR1642">
        <f t="shared" si="264"/>
        <v>-186</v>
      </c>
      <c r="BS1642">
        <f t="shared" si="265"/>
        <v>186</v>
      </c>
    </row>
    <row r="1643" spans="1:74" x14ac:dyDescent="0.25">
      <c r="A1643" s="5" t="s">
        <v>359</v>
      </c>
      <c r="B1643" s="5" t="s">
        <v>61</v>
      </c>
      <c r="C1643" s="5" t="s">
        <v>61</v>
      </c>
      <c r="D1643" s="1" t="s">
        <v>67</v>
      </c>
      <c r="E1643">
        <v>0</v>
      </c>
      <c r="F1643">
        <v>0</v>
      </c>
      <c r="G1643">
        <v>0</v>
      </c>
      <c r="H1643">
        <v>0</v>
      </c>
      <c r="I1643">
        <v>670</v>
      </c>
      <c r="J1643">
        <v>0</v>
      </c>
      <c r="K1643">
        <v>25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115</v>
      </c>
      <c r="R1643">
        <v>0</v>
      </c>
      <c r="S1643" s="18" t="e">
        <f t="shared" si="256"/>
        <v>#DIV/0!</v>
      </c>
      <c r="T1643" s="17" t="e">
        <f t="shared" si="257"/>
        <v>#DIV/0!</v>
      </c>
      <c r="U1643" s="17" t="e">
        <f t="shared" si="258"/>
        <v>#DIV/0!</v>
      </c>
      <c r="V1643" s="17" t="e">
        <f t="shared" si="259"/>
        <v>#DIV/0!</v>
      </c>
      <c r="W1643" s="17" t="e">
        <f t="shared" si="260"/>
        <v>#DIV/0!</v>
      </c>
      <c r="X1643" s="17" t="e">
        <f t="shared" si="261"/>
        <v>#DIV/0!</v>
      </c>
      <c r="Y1643" s="19" t="e">
        <f t="shared" si="262"/>
        <v>#DIV/0!</v>
      </c>
      <c r="Z1643">
        <v>0</v>
      </c>
      <c r="AA1643">
        <v>0</v>
      </c>
      <c r="AB1643">
        <v>0</v>
      </c>
      <c r="AC1643">
        <v>25</v>
      </c>
      <c r="AD1643">
        <v>0</v>
      </c>
      <c r="AE1643">
        <v>0</v>
      </c>
      <c r="AF1643">
        <v>0</v>
      </c>
      <c r="AG1643">
        <v>670</v>
      </c>
      <c r="AH1643">
        <v>670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25</v>
      </c>
      <c r="AP1643">
        <v>0</v>
      </c>
      <c r="AQ1643">
        <v>25</v>
      </c>
      <c r="AR1643">
        <v>25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f t="shared" si="263"/>
        <v>1440</v>
      </c>
      <c r="BF1643">
        <v>720</v>
      </c>
      <c r="BG1643">
        <v>720</v>
      </c>
      <c r="BH1643" t="s">
        <v>63</v>
      </c>
      <c r="BI1643" t="s">
        <v>699</v>
      </c>
      <c r="BJ1643">
        <v>25</v>
      </c>
      <c r="BK1643">
        <v>695</v>
      </c>
      <c r="BL1643">
        <v>720</v>
      </c>
      <c r="BM1643">
        <v>0</v>
      </c>
      <c r="BN1643">
        <v>0</v>
      </c>
      <c r="BO1643">
        <v>0</v>
      </c>
      <c r="BP1643">
        <v>695</v>
      </c>
      <c r="BQ1643">
        <v>695</v>
      </c>
      <c r="BR1643">
        <f t="shared" si="264"/>
        <v>-115</v>
      </c>
      <c r="BS1643">
        <f t="shared" si="265"/>
        <v>115</v>
      </c>
      <c r="BU1643">
        <f>R1643*9</f>
        <v>0</v>
      </c>
      <c r="BV1643">
        <f>IF(BU1643&gt;BG1643, 1, 0)</f>
        <v>0</v>
      </c>
    </row>
    <row r="1644" spans="1:74" x14ac:dyDescent="0.25">
      <c r="A1644" s="5" t="s">
        <v>1451</v>
      </c>
      <c r="B1644" s="5" t="s">
        <v>359</v>
      </c>
      <c r="C1644" s="5" t="s">
        <v>61</v>
      </c>
      <c r="D1644" s="1" t="s">
        <v>73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1125</v>
      </c>
      <c r="K1644">
        <v>10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115</v>
      </c>
      <c r="R1644">
        <v>0</v>
      </c>
      <c r="S1644" s="18" t="e">
        <f t="shared" si="256"/>
        <v>#DIV/0!</v>
      </c>
      <c r="T1644" s="17" t="e">
        <f t="shared" si="257"/>
        <v>#DIV/0!</v>
      </c>
      <c r="U1644" s="17" t="e">
        <f t="shared" si="258"/>
        <v>#DIV/0!</v>
      </c>
      <c r="V1644" s="17" t="e">
        <f t="shared" si="259"/>
        <v>#DIV/0!</v>
      </c>
      <c r="W1644" s="17" t="e">
        <f t="shared" si="260"/>
        <v>#DIV/0!</v>
      </c>
      <c r="X1644" s="17" t="e">
        <f t="shared" si="261"/>
        <v>#DIV/0!</v>
      </c>
      <c r="Y1644" s="19" t="e">
        <f t="shared" si="262"/>
        <v>#DIV/0!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1125</v>
      </c>
      <c r="AJ1644">
        <v>0</v>
      </c>
      <c r="AK1644">
        <v>0</v>
      </c>
      <c r="AL1644">
        <v>1125</v>
      </c>
      <c r="AM1644">
        <v>10</v>
      </c>
      <c r="AN1644">
        <v>0</v>
      </c>
      <c r="AO1644">
        <v>0</v>
      </c>
      <c r="AP1644">
        <v>10</v>
      </c>
      <c r="AQ1644">
        <v>10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f t="shared" si="263"/>
        <v>2280</v>
      </c>
      <c r="BF1644">
        <v>1135</v>
      </c>
      <c r="BG1644">
        <v>1135</v>
      </c>
      <c r="BH1644" t="s">
        <v>63</v>
      </c>
      <c r="BI1644" t="s">
        <v>1535</v>
      </c>
      <c r="BJ1644">
        <v>0</v>
      </c>
      <c r="BK1644">
        <v>1135</v>
      </c>
      <c r="BL1644">
        <v>1135</v>
      </c>
      <c r="BM1644">
        <v>1135</v>
      </c>
      <c r="BN1644">
        <v>0</v>
      </c>
      <c r="BO1644">
        <v>0</v>
      </c>
      <c r="BP1644">
        <v>0</v>
      </c>
      <c r="BQ1644">
        <v>1135</v>
      </c>
      <c r="BR1644">
        <f t="shared" si="264"/>
        <v>-115</v>
      </c>
      <c r="BS1644">
        <f t="shared" si="265"/>
        <v>115</v>
      </c>
      <c r="BU1644">
        <f>R1644*9</f>
        <v>0</v>
      </c>
      <c r="BV1644">
        <f>IF(BU1644&gt;BG1644, 1, 0)</f>
        <v>0</v>
      </c>
    </row>
    <row r="1645" spans="1:74" x14ac:dyDescent="0.25">
      <c r="A1645" s="5" t="s">
        <v>61</v>
      </c>
      <c r="B1645" s="5" t="s">
        <v>207</v>
      </c>
      <c r="C1645" s="5" t="s">
        <v>207</v>
      </c>
      <c r="D1645" s="1" t="s">
        <v>147</v>
      </c>
      <c r="E1645">
        <v>15</v>
      </c>
      <c r="F1645">
        <v>28</v>
      </c>
      <c r="G1645">
        <v>0</v>
      </c>
      <c r="H1645">
        <v>0</v>
      </c>
      <c r="I1645">
        <v>237</v>
      </c>
      <c r="J1645">
        <v>0</v>
      </c>
      <c r="K1645">
        <v>0</v>
      </c>
      <c r="L1645">
        <v>0</v>
      </c>
      <c r="M1645">
        <v>252</v>
      </c>
      <c r="N1645">
        <v>0</v>
      </c>
      <c r="O1645">
        <v>0</v>
      </c>
      <c r="P1645">
        <v>63</v>
      </c>
      <c r="Q1645">
        <v>223</v>
      </c>
      <c r="R1645">
        <v>35</v>
      </c>
      <c r="S1645" s="18">
        <f t="shared" si="256"/>
        <v>9</v>
      </c>
      <c r="T1645" s="17">
        <f t="shared" si="257"/>
        <v>28</v>
      </c>
      <c r="U1645" s="17">
        <f t="shared" si="258"/>
        <v>0</v>
      </c>
      <c r="V1645" s="17">
        <f t="shared" si="259"/>
        <v>0</v>
      </c>
      <c r="W1645" s="17">
        <f t="shared" si="260"/>
        <v>7</v>
      </c>
      <c r="X1645" s="17">
        <f t="shared" si="261"/>
        <v>188</v>
      </c>
      <c r="Y1645" s="19">
        <f t="shared" si="262"/>
        <v>0</v>
      </c>
      <c r="Z1645">
        <v>28</v>
      </c>
      <c r="AA1645">
        <v>0</v>
      </c>
      <c r="AB1645">
        <v>0</v>
      </c>
      <c r="AC1645">
        <v>0</v>
      </c>
      <c r="AD1645">
        <v>237</v>
      </c>
      <c r="AE1645">
        <v>0</v>
      </c>
      <c r="AF1645">
        <v>0</v>
      </c>
      <c r="AG1645">
        <v>55</v>
      </c>
      <c r="AH1645">
        <v>292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60</v>
      </c>
      <c r="AP1645">
        <v>15</v>
      </c>
      <c r="AQ1645">
        <v>60</v>
      </c>
      <c r="AR1645">
        <v>45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6</v>
      </c>
      <c r="BA1645">
        <v>6</v>
      </c>
      <c r="BB1645">
        <v>0</v>
      </c>
      <c r="BC1645">
        <v>0</v>
      </c>
      <c r="BD1645">
        <v>0</v>
      </c>
      <c r="BE1645">
        <f t="shared" si="263"/>
        <v>776</v>
      </c>
      <c r="BF1645">
        <v>401</v>
      </c>
      <c r="BG1645">
        <v>401</v>
      </c>
      <c r="BH1645" t="s">
        <v>109</v>
      </c>
      <c r="BI1645" t="s">
        <v>320</v>
      </c>
      <c r="BJ1645">
        <v>15</v>
      </c>
      <c r="BK1645">
        <v>358</v>
      </c>
      <c r="BL1645">
        <v>401</v>
      </c>
      <c r="BM1645">
        <v>489</v>
      </c>
      <c r="BN1645">
        <v>0</v>
      </c>
      <c r="BO1645">
        <v>0</v>
      </c>
      <c r="BP1645">
        <v>184</v>
      </c>
      <c r="BQ1645">
        <v>673</v>
      </c>
      <c r="BR1645">
        <f t="shared" si="264"/>
        <v>-188</v>
      </c>
      <c r="BS1645">
        <f t="shared" si="265"/>
        <v>258</v>
      </c>
    </row>
    <row r="1646" spans="1:74" x14ac:dyDescent="0.25">
      <c r="A1646" s="5" t="s">
        <v>1135</v>
      </c>
      <c r="B1646" s="5" t="s">
        <v>207</v>
      </c>
      <c r="C1646" s="5" t="s">
        <v>207</v>
      </c>
      <c r="D1646" s="1" t="s">
        <v>79</v>
      </c>
      <c r="E1646">
        <v>0</v>
      </c>
      <c r="F1646">
        <v>0</v>
      </c>
      <c r="G1646">
        <v>0</v>
      </c>
      <c r="H1646">
        <v>0</v>
      </c>
      <c r="I1646">
        <v>115</v>
      </c>
      <c r="J1646">
        <v>1874</v>
      </c>
      <c r="K1646">
        <v>55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188</v>
      </c>
      <c r="R1646">
        <v>0</v>
      </c>
      <c r="S1646" s="18" t="e">
        <f t="shared" si="256"/>
        <v>#DIV/0!</v>
      </c>
      <c r="T1646" s="17" t="e">
        <f t="shared" si="257"/>
        <v>#DIV/0!</v>
      </c>
      <c r="U1646" s="17" t="e">
        <f t="shared" si="258"/>
        <v>#DIV/0!</v>
      </c>
      <c r="V1646" s="17" t="e">
        <f t="shared" si="259"/>
        <v>#DIV/0!</v>
      </c>
      <c r="W1646" s="17" t="e">
        <f t="shared" si="260"/>
        <v>#DIV/0!</v>
      </c>
      <c r="X1646" s="17" t="e">
        <f t="shared" si="261"/>
        <v>#DIV/0!</v>
      </c>
      <c r="Y1646" s="19" t="e">
        <f t="shared" si="262"/>
        <v>#DIV/0!</v>
      </c>
      <c r="Z1646">
        <v>0</v>
      </c>
      <c r="AA1646">
        <v>6</v>
      </c>
      <c r="AB1646">
        <v>180</v>
      </c>
      <c r="AC1646">
        <v>1210</v>
      </c>
      <c r="AD1646">
        <v>0</v>
      </c>
      <c r="AE1646">
        <v>0</v>
      </c>
      <c r="AF1646">
        <v>0</v>
      </c>
      <c r="AG1646">
        <v>115</v>
      </c>
      <c r="AH1646">
        <v>115</v>
      </c>
      <c r="AI1646">
        <v>0</v>
      </c>
      <c r="AJ1646">
        <v>0</v>
      </c>
      <c r="AK1646">
        <v>1874</v>
      </c>
      <c r="AL1646">
        <v>1874</v>
      </c>
      <c r="AM1646">
        <v>0</v>
      </c>
      <c r="AN1646">
        <v>0</v>
      </c>
      <c r="AO1646">
        <v>55</v>
      </c>
      <c r="AP1646">
        <v>25</v>
      </c>
      <c r="AQ1646">
        <v>55</v>
      </c>
      <c r="AR1646">
        <v>30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f t="shared" si="263"/>
        <v>5353</v>
      </c>
      <c r="BF1646">
        <v>3440</v>
      </c>
      <c r="BG1646">
        <v>3440</v>
      </c>
      <c r="BH1646" t="s">
        <v>82</v>
      </c>
      <c r="BI1646" t="s">
        <v>1263</v>
      </c>
      <c r="BJ1646">
        <v>1396</v>
      </c>
      <c r="BK1646">
        <v>2044</v>
      </c>
      <c r="BL1646">
        <v>3440</v>
      </c>
      <c r="BM1646">
        <v>0</v>
      </c>
      <c r="BN1646">
        <v>0</v>
      </c>
      <c r="BO1646">
        <v>0</v>
      </c>
      <c r="BP1646">
        <v>2044</v>
      </c>
      <c r="BQ1646">
        <v>2044</v>
      </c>
      <c r="BR1646">
        <f t="shared" si="264"/>
        <v>-188</v>
      </c>
      <c r="BS1646">
        <f t="shared" si="265"/>
        <v>188</v>
      </c>
    </row>
    <row r="1647" spans="1:74" x14ac:dyDescent="0.25">
      <c r="A1647" s="5" t="s">
        <v>61</v>
      </c>
      <c r="B1647" s="5" t="s">
        <v>61</v>
      </c>
      <c r="C1647" s="5" t="s">
        <v>61</v>
      </c>
      <c r="D1647" s="1" t="s">
        <v>100</v>
      </c>
      <c r="E1647">
        <v>0</v>
      </c>
      <c r="F1647">
        <v>4</v>
      </c>
      <c r="G1647">
        <v>0</v>
      </c>
      <c r="H1647">
        <v>0</v>
      </c>
      <c r="I1647">
        <v>45</v>
      </c>
      <c r="J1647">
        <v>3100</v>
      </c>
      <c r="K1647">
        <v>283</v>
      </c>
      <c r="L1647">
        <v>0</v>
      </c>
      <c r="M1647">
        <v>0</v>
      </c>
      <c r="N1647">
        <v>0</v>
      </c>
      <c r="O1647">
        <v>0</v>
      </c>
      <c r="P1647">
        <v>36</v>
      </c>
      <c r="Q1647">
        <v>193</v>
      </c>
      <c r="R1647">
        <v>4</v>
      </c>
      <c r="S1647" s="18">
        <f t="shared" si="256"/>
        <v>9</v>
      </c>
      <c r="T1647" s="17">
        <f t="shared" si="257"/>
        <v>0</v>
      </c>
      <c r="U1647" s="17">
        <f t="shared" si="258"/>
        <v>0</v>
      </c>
      <c r="V1647" s="17">
        <f t="shared" si="259"/>
        <v>0</v>
      </c>
      <c r="W1647" s="17">
        <f t="shared" si="260"/>
        <v>4</v>
      </c>
      <c r="X1647" s="17">
        <f t="shared" si="261"/>
        <v>189</v>
      </c>
      <c r="Y1647" s="19">
        <f t="shared" si="262"/>
        <v>0</v>
      </c>
      <c r="Z1647">
        <v>4</v>
      </c>
      <c r="AA1647">
        <v>36</v>
      </c>
      <c r="AB1647">
        <v>0</v>
      </c>
      <c r="AC1647">
        <v>1300</v>
      </c>
      <c r="AD1647">
        <v>0</v>
      </c>
      <c r="AE1647">
        <v>0</v>
      </c>
      <c r="AF1647">
        <v>0</v>
      </c>
      <c r="AG1647">
        <v>45</v>
      </c>
      <c r="AH1647">
        <v>45</v>
      </c>
      <c r="AI1647">
        <v>0</v>
      </c>
      <c r="AJ1647">
        <v>0</v>
      </c>
      <c r="AK1647">
        <v>3135</v>
      </c>
      <c r="AL1647">
        <v>3135</v>
      </c>
      <c r="AM1647">
        <v>0</v>
      </c>
      <c r="AN1647">
        <v>0</v>
      </c>
      <c r="AO1647">
        <v>283</v>
      </c>
      <c r="AP1647">
        <v>151</v>
      </c>
      <c r="AQ1647">
        <v>283</v>
      </c>
      <c r="AR1647">
        <v>132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f t="shared" si="263"/>
        <v>8509</v>
      </c>
      <c r="BF1647">
        <v>4943</v>
      </c>
      <c r="BG1647">
        <v>4943</v>
      </c>
      <c r="BH1647" t="s">
        <v>82</v>
      </c>
      <c r="BI1647" t="s">
        <v>101</v>
      </c>
      <c r="BJ1647">
        <v>1336</v>
      </c>
      <c r="BK1647">
        <v>3463</v>
      </c>
      <c r="BL1647">
        <v>4803</v>
      </c>
      <c r="BM1647">
        <v>0</v>
      </c>
      <c r="BN1647">
        <v>0</v>
      </c>
      <c r="BO1647">
        <v>0</v>
      </c>
      <c r="BP1647">
        <v>3499</v>
      </c>
      <c r="BQ1647">
        <v>3499</v>
      </c>
      <c r="BR1647">
        <f t="shared" si="264"/>
        <v>-189</v>
      </c>
      <c r="BS1647">
        <f t="shared" si="265"/>
        <v>197</v>
      </c>
    </row>
    <row r="1648" spans="1:74" x14ac:dyDescent="0.25">
      <c r="A1648" s="5" t="s">
        <v>1337</v>
      </c>
      <c r="B1648" s="5" t="s">
        <v>359</v>
      </c>
      <c r="C1648" s="6" t="s">
        <v>61</v>
      </c>
      <c r="D1648" s="1" t="s">
        <v>111</v>
      </c>
      <c r="E1648">
        <v>0</v>
      </c>
      <c r="F1648">
        <v>26</v>
      </c>
      <c r="G1648">
        <v>0</v>
      </c>
      <c r="H1648">
        <v>0</v>
      </c>
      <c r="I1648">
        <v>547</v>
      </c>
      <c r="J1648">
        <v>0</v>
      </c>
      <c r="K1648">
        <v>0</v>
      </c>
      <c r="L1648">
        <v>9</v>
      </c>
      <c r="M1648">
        <v>0</v>
      </c>
      <c r="N1648">
        <v>0</v>
      </c>
      <c r="O1648">
        <v>0</v>
      </c>
      <c r="P1648">
        <v>234</v>
      </c>
      <c r="Q1648">
        <v>215</v>
      </c>
      <c r="R1648">
        <v>26</v>
      </c>
      <c r="S1648" s="18">
        <f t="shared" si="256"/>
        <v>9</v>
      </c>
      <c r="T1648" s="17">
        <f t="shared" si="257"/>
        <v>0</v>
      </c>
      <c r="U1648" s="17">
        <f t="shared" si="258"/>
        <v>0</v>
      </c>
      <c r="V1648" s="17">
        <f t="shared" si="259"/>
        <v>0</v>
      </c>
      <c r="W1648" s="17">
        <f t="shared" si="260"/>
        <v>26</v>
      </c>
      <c r="X1648" s="17">
        <f t="shared" si="261"/>
        <v>189</v>
      </c>
      <c r="Y1648" s="19">
        <f t="shared" si="262"/>
        <v>0</v>
      </c>
      <c r="Z1648">
        <v>26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547</v>
      </c>
      <c r="AH1648">
        <v>547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9</v>
      </c>
      <c r="BA1648">
        <v>9</v>
      </c>
      <c r="BB1648">
        <v>0</v>
      </c>
      <c r="BC1648">
        <v>0</v>
      </c>
      <c r="BD1648">
        <v>0</v>
      </c>
      <c r="BE1648">
        <f t="shared" si="263"/>
        <v>1112</v>
      </c>
      <c r="BF1648">
        <v>582</v>
      </c>
      <c r="BG1648">
        <v>582</v>
      </c>
      <c r="BH1648" t="s">
        <v>109</v>
      </c>
      <c r="BI1648" t="s">
        <v>1434</v>
      </c>
      <c r="BJ1648">
        <v>0</v>
      </c>
      <c r="BK1648">
        <v>556</v>
      </c>
      <c r="BL1648">
        <v>582</v>
      </c>
      <c r="BM1648">
        <v>0</v>
      </c>
      <c r="BN1648">
        <v>0</v>
      </c>
      <c r="BO1648">
        <v>0</v>
      </c>
      <c r="BP1648">
        <v>790</v>
      </c>
      <c r="BQ1648">
        <v>790</v>
      </c>
      <c r="BR1648">
        <f t="shared" si="264"/>
        <v>-189</v>
      </c>
      <c r="BS1648">
        <f t="shared" si="265"/>
        <v>241</v>
      </c>
    </row>
    <row r="1649" spans="1:74" x14ac:dyDescent="0.25">
      <c r="A1649" s="5" t="s">
        <v>1946</v>
      </c>
      <c r="B1649" s="5" t="s">
        <v>207</v>
      </c>
      <c r="C1649" s="7" t="s">
        <v>61</v>
      </c>
      <c r="D1649" s="1" t="s">
        <v>73</v>
      </c>
      <c r="E1649">
        <v>0</v>
      </c>
      <c r="F1649">
        <v>0</v>
      </c>
      <c r="G1649">
        <v>0</v>
      </c>
      <c r="H1649">
        <v>0</v>
      </c>
      <c r="I1649">
        <v>850</v>
      </c>
      <c r="J1649">
        <v>0</v>
      </c>
      <c r="K1649">
        <v>165</v>
      </c>
      <c r="L1649">
        <v>112</v>
      </c>
      <c r="M1649">
        <v>0</v>
      </c>
      <c r="N1649">
        <v>0</v>
      </c>
      <c r="O1649">
        <v>0</v>
      </c>
      <c r="P1649">
        <v>0</v>
      </c>
      <c r="Q1649">
        <v>116</v>
      </c>
      <c r="R1649">
        <v>0</v>
      </c>
      <c r="S1649" s="18" t="e">
        <f t="shared" si="256"/>
        <v>#DIV/0!</v>
      </c>
      <c r="T1649" s="17" t="e">
        <f t="shared" si="257"/>
        <v>#DIV/0!</v>
      </c>
      <c r="U1649" s="17" t="e">
        <f t="shared" si="258"/>
        <v>#DIV/0!</v>
      </c>
      <c r="V1649" s="17" t="e">
        <f t="shared" si="259"/>
        <v>#DIV/0!</v>
      </c>
      <c r="W1649" s="17" t="e">
        <f t="shared" si="260"/>
        <v>#DIV/0!</v>
      </c>
      <c r="X1649" s="17" t="e">
        <f t="shared" si="261"/>
        <v>#DIV/0!</v>
      </c>
      <c r="Y1649" s="19" t="e">
        <f t="shared" si="262"/>
        <v>#DIV/0!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850</v>
      </c>
      <c r="AH1649">
        <v>850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165</v>
      </c>
      <c r="AP1649">
        <v>140</v>
      </c>
      <c r="AQ1649">
        <v>165</v>
      </c>
      <c r="AR1649">
        <v>25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112</v>
      </c>
      <c r="BA1649">
        <v>112</v>
      </c>
      <c r="BB1649">
        <v>0</v>
      </c>
      <c r="BC1649">
        <v>0</v>
      </c>
      <c r="BD1649">
        <v>0</v>
      </c>
      <c r="BE1649">
        <f t="shared" si="263"/>
        <v>2419</v>
      </c>
      <c r="BF1649">
        <v>1127</v>
      </c>
      <c r="BG1649">
        <v>1127</v>
      </c>
      <c r="BH1649" t="s">
        <v>63</v>
      </c>
      <c r="BI1649" t="s">
        <v>2014</v>
      </c>
      <c r="BJ1649">
        <v>0</v>
      </c>
      <c r="BK1649">
        <v>1127</v>
      </c>
      <c r="BL1649">
        <v>1127</v>
      </c>
      <c r="BM1649">
        <v>0</v>
      </c>
      <c r="BN1649">
        <v>0</v>
      </c>
      <c r="BO1649">
        <v>0</v>
      </c>
      <c r="BP1649">
        <v>1127</v>
      </c>
      <c r="BQ1649">
        <v>1127</v>
      </c>
      <c r="BR1649">
        <f t="shared" si="264"/>
        <v>-116</v>
      </c>
      <c r="BS1649">
        <f t="shared" si="265"/>
        <v>116</v>
      </c>
      <c r="BU1649">
        <f>R1649*9</f>
        <v>0</v>
      </c>
      <c r="BV1649">
        <f>IF(BU1649&gt;BG1649, 1, 0)</f>
        <v>0</v>
      </c>
    </row>
    <row r="1650" spans="1:74" x14ac:dyDescent="0.25">
      <c r="A1650" s="5" t="s">
        <v>2090</v>
      </c>
      <c r="B1650" s="5" t="s">
        <v>61</v>
      </c>
      <c r="C1650" s="5" t="s">
        <v>61</v>
      </c>
      <c r="D1650" s="1" t="s">
        <v>947</v>
      </c>
      <c r="E1650">
        <v>11</v>
      </c>
      <c r="F1650">
        <v>316</v>
      </c>
      <c r="G1650">
        <v>0</v>
      </c>
      <c r="H1650">
        <v>0</v>
      </c>
      <c r="I1650">
        <v>437</v>
      </c>
      <c r="J1650">
        <v>1043</v>
      </c>
      <c r="K1650">
        <v>266</v>
      </c>
      <c r="L1650">
        <v>168</v>
      </c>
      <c r="M1650">
        <v>0</v>
      </c>
      <c r="N1650">
        <v>0</v>
      </c>
      <c r="O1650">
        <v>0</v>
      </c>
      <c r="P1650">
        <v>954</v>
      </c>
      <c r="Q1650">
        <v>296</v>
      </c>
      <c r="R1650">
        <v>106</v>
      </c>
      <c r="S1650" s="18">
        <f t="shared" si="256"/>
        <v>9</v>
      </c>
      <c r="T1650" s="17">
        <f t="shared" si="257"/>
        <v>0</v>
      </c>
      <c r="U1650" s="17">
        <f t="shared" si="258"/>
        <v>0</v>
      </c>
      <c r="V1650" s="17">
        <f t="shared" si="259"/>
        <v>0</v>
      </c>
      <c r="W1650" s="17">
        <f t="shared" si="260"/>
        <v>106</v>
      </c>
      <c r="X1650" s="17">
        <f t="shared" si="261"/>
        <v>190</v>
      </c>
      <c r="Y1650" s="19">
        <f t="shared" si="262"/>
        <v>0</v>
      </c>
      <c r="Z1650">
        <v>316</v>
      </c>
      <c r="AA1650">
        <v>0</v>
      </c>
      <c r="AB1650">
        <v>0</v>
      </c>
      <c r="AC1650">
        <v>2547</v>
      </c>
      <c r="AD1650">
        <v>0</v>
      </c>
      <c r="AE1650">
        <v>0</v>
      </c>
      <c r="AF1650">
        <v>0</v>
      </c>
      <c r="AG1650">
        <v>437</v>
      </c>
      <c r="AH1650">
        <v>437</v>
      </c>
      <c r="AI1650">
        <v>0</v>
      </c>
      <c r="AJ1650">
        <v>0</v>
      </c>
      <c r="AK1650">
        <v>1043</v>
      </c>
      <c r="AL1650">
        <v>1043</v>
      </c>
      <c r="AM1650">
        <v>0</v>
      </c>
      <c r="AN1650">
        <v>0</v>
      </c>
      <c r="AO1650">
        <v>266</v>
      </c>
      <c r="AP1650">
        <v>191</v>
      </c>
      <c r="AQ1650">
        <v>266</v>
      </c>
      <c r="AR1650">
        <v>75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168</v>
      </c>
      <c r="BA1650">
        <v>168</v>
      </c>
      <c r="BB1650">
        <v>0</v>
      </c>
      <c r="BC1650">
        <v>0</v>
      </c>
      <c r="BD1650">
        <v>0</v>
      </c>
      <c r="BE1650">
        <f t="shared" si="263"/>
        <v>6641</v>
      </c>
      <c r="BF1650">
        <v>4788</v>
      </c>
      <c r="BG1650">
        <v>4788</v>
      </c>
      <c r="BH1650" t="s">
        <v>190</v>
      </c>
      <c r="BI1650" t="s">
        <v>2163</v>
      </c>
      <c r="BJ1650">
        <v>2558</v>
      </c>
      <c r="BK1650">
        <v>1914</v>
      </c>
      <c r="BL1650">
        <v>4788</v>
      </c>
      <c r="BM1650">
        <v>0</v>
      </c>
      <c r="BN1650">
        <v>0</v>
      </c>
      <c r="BO1650">
        <v>0</v>
      </c>
      <c r="BP1650">
        <v>2868</v>
      </c>
      <c r="BQ1650">
        <v>2868</v>
      </c>
      <c r="BR1650">
        <f t="shared" si="264"/>
        <v>-190</v>
      </c>
      <c r="BS1650">
        <f t="shared" si="265"/>
        <v>402</v>
      </c>
    </row>
    <row r="1651" spans="1:74" x14ac:dyDescent="0.25">
      <c r="A1651" s="5" t="s">
        <v>2090</v>
      </c>
      <c r="B1651" s="5" t="s">
        <v>207</v>
      </c>
      <c r="C1651" s="5" t="s">
        <v>61</v>
      </c>
      <c r="D1651" s="1" t="s">
        <v>111</v>
      </c>
      <c r="E1651">
        <v>0</v>
      </c>
      <c r="F1651">
        <v>1091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s="16">
        <v>1091</v>
      </c>
      <c r="P1651">
        <v>0</v>
      </c>
      <c r="Q1651">
        <v>46</v>
      </c>
      <c r="R1651">
        <v>254</v>
      </c>
      <c r="S1651" s="18">
        <f t="shared" si="256"/>
        <v>4.2952755905511815</v>
      </c>
      <c r="T1651" s="17">
        <f t="shared" si="257"/>
        <v>0</v>
      </c>
      <c r="U1651" s="17">
        <f t="shared" si="258"/>
        <v>0</v>
      </c>
      <c r="V1651" s="17">
        <f t="shared" si="259"/>
        <v>253.99999999999997</v>
      </c>
      <c r="W1651" s="17">
        <f t="shared" si="260"/>
        <v>0</v>
      </c>
      <c r="X1651" s="17">
        <f t="shared" si="261"/>
        <v>46</v>
      </c>
      <c r="Y1651" s="19">
        <f t="shared" si="262"/>
        <v>5.5217391304347823</v>
      </c>
      <c r="Z1651">
        <v>1091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f t="shared" si="263"/>
        <v>0</v>
      </c>
      <c r="BF1651">
        <v>1091</v>
      </c>
      <c r="BG1651">
        <v>1091</v>
      </c>
      <c r="BH1651" t="s">
        <v>546</v>
      </c>
      <c r="BI1651" t="s">
        <v>2234</v>
      </c>
      <c r="BJ1651">
        <v>0</v>
      </c>
      <c r="BK1651">
        <v>0</v>
      </c>
      <c r="BL1651">
        <v>1091</v>
      </c>
      <c r="BM1651">
        <v>0</v>
      </c>
      <c r="BN1651">
        <v>0</v>
      </c>
      <c r="BO1651">
        <v>1091</v>
      </c>
      <c r="BP1651">
        <v>0</v>
      </c>
      <c r="BQ1651">
        <v>1091</v>
      </c>
      <c r="BR1651">
        <f t="shared" si="264"/>
        <v>208</v>
      </c>
      <c r="BS1651">
        <f t="shared" si="265"/>
        <v>300</v>
      </c>
    </row>
    <row r="1652" spans="1:74" x14ac:dyDescent="0.25">
      <c r="A1652" s="5" t="s">
        <v>61</v>
      </c>
      <c r="B1652" s="5" t="s">
        <v>61</v>
      </c>
      <c r="C1652" s="5" t="s">
        <v>61</v>
      </c>
      <c r="D1652" s="1" t="s">
        <v>77</v>
      </c>
      <c r="E1652">
        <v>0</v>
      </c>
      <c r="F1652">
        <v>0</v>
      </c>
      <c r="G1652">
        <v>0</v>
      </c>
      <c r="H1652">
        <v>0</v>
      </c>
      <c r="I1652">
        <v>160</v>
      </c>
      <c r="J1652">
        <v>1108</v>
      </c>
      <c r="K1652">
        <v>133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120</v>
      </c>
      <c r="R1652">
        <v>0</v>
      </c>
      <c r="S1652" s="18" t="e">
        <f t="shared" si="256"/>
        <v>#DIV/0!</v>
      </c>
      <c r="T1652" s="17" t="e">
        <f t="shared" si="257"/>
        <v>#DIV/0!</v>
      </c>
      <c r="U1652" s="17" t="e">
        <f t="shared" si="258"/>
        <v>#DIV/0!</v>
      </c>
      <c r="V1652" s="17" t="e">
        <f t="shared" si="259"/>
        <v>#DIV/0!</v>
      </c>
      <c r="W1652" s="17" t="e">
        <f t="shared" si="260"/>
        <v>#DIV/0!</v>
      </c>
      <c r="X1652" s="17" t="e">
        <f t="shared" si="261"/>
        <v>#DIV/0!</v>
      </c>
      <c r="Y1652" s="19" t="e">
        <f t="shared" si="262"/>
        <v>#DIV/0!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160</v>
      </c>
      <c r="AH1652">
        <v>160</v>
      </c>
      <c r="AI1652">
        <v>0</v>
      </c>
      <c r="AJ1652">
        <v>0</v>
      </c>
      <c r="AK1652">
        <v>1108</v>
      </c>
      <c r="AL1652">
        <v>1108</v>
      </c>
      <c r="AM1652">
        <v>0</v>
      </c>
      <c r="AN1652">
        <v>0</v>
      </c>
      <c r="AO1652">
        <v>133</v>
      </c>
      <c r="AP1652">
        <v>1</v>
      </c>
      <c r="AQ1652">
        <v>133</v>
      </c>
      <c r="AR1652">
        <v>132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f t="shared" si="263"/>
        <v>2935</v>
      </c>
      <c r="BF1652">
        <v>1401</v>
      </c>
      <c r="BG1652">
        <v>1401</v>
      </c>
      <c r="BH1652" t="s">
        <v>63</v>
      </c>
      <c r="BI1652" t="s">
        <v>78</v>
      </c>
      <c r="BJ1652">
        <v>0</v>
      </c>
      <c r="BK1652">
        <v>1401</v>
      </c>
      <c r="BL1652">
        <v>1401</v>
      </c>
      <c r="BM1652">
        <v>0</v>
      </c>
      <c r="BN1652">
        <v>0</v>
      </c>
      <c r="BO1652">
        <v>0</v>
      </c>
      <c r="BP1652">
        <v>1401</v>
      </c>
      <c r="BQ1652">
        <v>1401</v>
      </c>
      <c r="BR1652">
        <f t="shared" si="264"/>
        <v>-120</v>
      </c>
      <c r="BS1652">
        <f t="shared" si="265"/>
        <v>120</v>
      </c>
      <c r="BU1652">
        <f>R1652*9</f>
        <v>0</v>
      </c>
      <c r="BV1652">
        <f>IF(BU1652&gt;BG1652, 1, 0)</f>
        <v>0</v>
      </c>
    </row>
    <row r="1653" spans="1:74" x14ac:dyDescent="0.25">
      <c r="A1653" s="5" t="s">
        <v>1946</v>
      </c>
      <c r="B1653" s="5" t="s">
        <v>207</v>
      </c>
      <c r="C1653" s="5" t="s">
        <v>207</v>
      </c>
      <c r="D1653" s="1" t="s">
        <v>75</v>
      </c>
      <c r="E1653">
        <v>0</v>
      </c>
      <c r="F1653">
        <v>0</v>
      </c>
      <c r="G1653">
        <v>0</v>
      </c>
      <c r="H1653">
        <v>0</v>
      </c>
      <c r="I1653">
        <v>646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121</v>
      </c>
      <c r="R1653">
        <v>0</v>
      </c>
      <c r="S1653" s="18" t="e">
        <f t="shared" si="256"/>
        <v>#DIV/0!</v>
      </c>
      <c r="T1653" s="17" t="e">
        <f t="shared" si="257"/>
        <v>#DIV/0!</v>
      </c>
      <c r="U1653" s="17" t="e">
        <f t="shared" si="258"/>
        <v>#DIV/0!</v>
      </c>
      <c r="V1653" s="17" t="e">
        <f t="shared" si="259"/>
        <v>#DIV/0!</v>
      </c>
      <c r="W1653" s="17" t="e">
        <f t="shared" si="260"/>
        <v>#DIV/0!</v>
      </c>
      <c r="X1653" s="17" t="e">
        <f t="shared" si="261"/>
        <v>#DIV/0!</v>
      </c>
      <c r="Y1653" s="19" t="e">
        <f t="shared" si="262"/>
        <v>#DIV/0!</v>
      </c>
      <c r="Z1653">
        <v>0</v>
      </c>
      <c r="AA1653">
        <v>0</v>
      </c>
      <c r="AB1653">
        <v>0</v>
      </c>
      <c r="AC1653">
        <v>0</v>
      </c>
      <c r="AD1653">
        <v>285</v>
      </c>
      <c r="AE1653">
        <v>0</v>
      </c>
      <c r="AF1653">
        <v>0</v>
      </c>
      <c r="AG1653">
        <v>361</v>
      </c>
      <c r="AH1653">
        <v>646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f t="shared" si="263"/>
        <v>1292</v>
      </c>
      <c r="BF1653">
        <v>646</v>
      </c>
      <c r="BG1653">
        <v>646</v>
      </c>
      <c r="BH1653" t="s">
        <v>63</v>
      </c>
      <c r="BI1653" t="s">
        <v>2046</v>
      </c>
      <c r="BJ1653">
        <v>0</v>
      </c>
      <c r="BK1653">
        <v>646</v>
      </c>
      <c r="BL1653">
        <v>646</v>
      </c>
      <c r="BM1653">
        <v>285</v>
      </c>
      <c r="BN1653">
        <v>0</v>
      </c>
      <c r="BO1653">
        <v>0</v>
      </c>
      <c r="BP1653">
        <v>361</v>
      </c>
      <c r="BQ1653">
        <v>646</v>
      </c>
      <c r="BR1653">
        <f t="shared" si="264"/>
        <v>-121</v>
      </c>
      <c r="BS1653">
        <f t="shared" si="265"/>
        <v>121</v>
      </c>
      <c r="BU1653">
        <f>R1653*9</f>
        <v>0</v>
      </c>
      <c r="BV1653">
        <f>IF(BU1653&gt;BG1653, 1, 0)</f>
        <v>0</v>
      </c>
    </row>
    <row r="1654" spans="1:74" x14ac:dyDescent="0.25">
      <c r="A1654" s="5" t="s">
        <v>207</v>
      </c>
      <c r="B1654" s="5" t="s">
        <v>61</v>
      </c>
      <c r="C1654" s="5" t="s">
        <v>207</v>
      </c>
      <c r="D1654" s="1" t="s">
        <v>77</v>
      </c>
      <c r="E1654">
        <v>0</v>
      </c>
      <c r="F1654">
        <v>0</v>
      </c>
      <c r="G1654">
        <v>0</v>
      </c>
      <c r="H1654">
        <v>0</v>
      </c>
      <c r="I1654">
        <v>1385</v>
      </c>
      <c r="J1654">
        <v>0</v>
      </c>
      <c r="K1654">
        <v>0</v>
      </c>
      <c r="L1654">
        <v>45</v>
      </c>
      <c r="M1654">
        <v>0</v>
      </c>
      <c r="N1654">
        <v>0</v>
      </c>
      <c r="O1654">
        <v>0</v>
      </c>
      <c r="P1654">
        <v>0</v>
      </c>
      <c r="Q1654">
        <v>123</v>
      </c>
      <c r="R1654">
        <v>0</v>
      </c>
      <c r="S1654" s="18" t="e">
        <f t="shared" si="256"/>
        <v>#DIV/0!</v>
      </c>
      <c r="T1654" s="17" t="e">
        <f t="shared" si="257"/>
        <v>#DIV/0!</v>
      </c>
      <c r="U1654" s="17" t="e">
        <f t="shared" si="258"/>
        <v>#DIV/0!</v>
      </c>
      <c r="V1654" s="17" t="e">
        <f t="shared" si="259"/>
        <v>#DIV/0!</v>
      </c>
      <c r="W1654" s="17" t="e">
        <f t="shared" si="260"/>
        <v>#DIV/0!</v>
      </c>
      <c r="X1654" s="17" t="e">
        <f t="shared" si="261"/>
        <v>#DIV/0!</v>
      </c>
      <c r="Y1654" s="19" t="e">
        <f t="shared" si="262"/>
        <v>#DIV/0!</v>
      </c>
      <c r="Z1654">
        <v>0</v>
      </c>
      <c r="AA1654">
        <v>0</v>
      </c>
      <c r="AB1654">
        <v>0</v>
      </c>
      <c r="AC1654">
        <v>0</v>
      </c>
      <c r="AD1654">
        <v>1385</v>
      </c>
      <c r="AE1654">
        <v>0</v>
      </c>
      <c r="AF1654">
        <v>0</v>
      </c>
      <c r="AG1654">
        <v>0</v>
      </c>
      <c r="AH1654">
        <v>1385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45</v>
      </c>
      <c r="AY1654">
        <v>0</v>
      </c>
      <c r="AZ1654">
        <v>0</v>
      </c>
      <c r="BA1654">
        <v>45</v>
      </c>
      <c r="BB1654">
        <v>0</v>
      </c>
      <c r="BC1654">
        <v>0</v>
      </c>
      <c r="BD1654">
        <v>0</v>
      </c>
      <c r="BE1654">
        <f t="shared" si="263"/>
        <v>2860</v>
      </c>
      <c r="BF1654">
        <v>1430</v>
      </c>
      <c r="BG1654">
        <v>1430</v>
      </c>
      <c r="BH1654" t="s">
        <v>63</v>
      </c>
      <c r="BI1654" t="s">
        <v>469</v>
      </c>
      <c r="BJ1654">
        <v>0</v>
      </c>
      <c r="BK1654">
        <v>1430</v>
      </c>
      <c r="BL1654">
        <v>1430</v>
      </c>
      <c r="BM1654">
        <v>1430</v>
      </c>
      <c r="BN1654">
        <v>0</v>
      </c>
      <c r="BO1654">
        <v>0</v>
      </c>
      <c r="BP1654">
        <v>0</v>
      </c>
      <c r="BQ1654">
        <v>1430</v>
      </c>
      <c r="BR1654">
        <f t="shared" si="264"/>
        <v>-123</v>
      </c>
      <c r="BS1654">
        <f t="shared" si="265"/>
        <v>123</v>
      </c>
      <c r="BU1654">
        <f>R1654*9</f>
        <v>0</v>
      </c>
      <c r="BV1654">
        <f>IF(BU1654&gt;BG1654, 1, 0)</f>
        <v>0</v>
      </c>
    </row>
    <row r="1655" spans="1:74" x14ac:dyDescent="0.25">
      <c r="A1655" s="5" t="s">
        <v>61</v>
      </c>
      <c r="B1655" s="5" t="s">
        <v>207</v>
      </c>
      <c r="C1655" s="5" t="s">
        <v>207</v>
      </c>
      <c r="D1655" s="1" t="s">
        <v>106</v>
      </c>
      <c r="E1655">
        <v>0</v>
      </c>
      <c r="F1655">
        <v>15</v>
      </c>
      <c r="G1655">
        <v>0</v>
      </c>
      <c r="H1655">
        <v>0</v>
      </c>
      <c r="I1655">
        <v>415</v>
      </c>
      <c r="J1655">
        <v>0</v>
      </c>
      <c r="K1655">
        <v>0</v>
      </c>
      <c r="L1655">
        <v>0</v>
      </c>
      <c r="M1655">
        <v>135</v>
      </c>
      <c r="N1655">
        <v>0</v>
      </c>
      <c r="O1655">
        <v>0</v>
      </c>
      <c r="P1655">
        <v>0</v>
      </c>
      <c r="Q1655">
        <v>208</v>
      </c>
      <c r="R1655">
        <v>15</v>
      </c>
      <c r="S1655" s="18">
        <f t="shared" si="256"/>
        <v>9</v>
      </c>
      <c r="T1655" s="17">
        <f t="shared" si="257"/>
        <v>15</v>
      </c>
      <c r="U1655" s="17">
        <f t="shared" si="258"/>
        <v>0</v>
      </c>
      <c r="V1655" s="17">
        <f t="shared" si="259"/>
        <v>0</v>
      </c>
      <c r="W1655" s="17">
        <f t="shared" si="260"/>
        <v>0</v>
      </c>
      <c r="X1655" s="17">
        <f t="shared" si="261"/>
        <v>193</v>
      </c>
      <c r="Y1655" s="19">
        <f t="shared" si="262"/>
        <v>0</v>
      </c>
      <c r="Z1655">
        <v>15</v>
      </c>
      <c r="AA1655">
        <v>0</v>
      </c>
      <c r="AB1655">
        <v>0</v>
      </c>
      <c r="AC1655">
        <v>0</v>
      </c>
      <c r="AD1655">
        <v>415</v>
      </c>
      <c r="AE1655">
        <v>0</v>
      </c>
      <c r="AF1655">
        <v>0</v>
      </c>
      <c r="AG1655">
        <v>0</v>
      </c>
      <c r="AH1655">
        <v>415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f t="shared" si="263"/>
        <v>830</v>
      </c>
      <c r="BF1655">
        <v>430</v>
      </c>
      <c r="BG1655">
        <v>430</v>
      </c>
      <c r="BH1655" t="s">
        <v>109</v>
      </c>
      <c r="BI1655" t="s">
        <v>300</v>
      </c>
      <c r="BJ1655">
        <v>0</v>
      </c>
      <c r="BK1655">
        <v>415</v>
      </c>
      <c r="BL1655">
        <v>430</v>
      </c>
      <c r="BM1655">
        <v>550</v>
      </c>
      <c r="BN1655">
        <v>0</v>
      </c>
      <c r="BO1655">
        <v>0</v>
      </c>
      <c r="BP1655">
        <v>0</v>
      </c>
      <c r="BQ1655">
        <v>550</v>
      </c>
      <c r="BR1655">
        <f t="shared" si="264"/>
        <v>-193</v>
      </c>
      <c r="BS1655">
        <f t="shared" si="265"/>
        <v>223</v>
      </c>
    </row>
    <row r="1656" spans="1:74" x14ac:dyDescent="0.25">
      <c r="A1656" s="5" t="s">
        <v>1661</v>
      </c>
      <c r="B1656" s="5" t="s">
        <v>207</v>
      </c>
      <c r="C1656" s="5" t="s">
        <v>61</v>
      </c>
      <c r="D1656" s="1" t="s">
        <v>69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793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123</v>
      </c>
      <c r="R1656">
        <v>0</v>
      </c>
      <c r="S1656" s="18" t="e">
        <f t="shared" si="256"/>
        <v>#DIV/0!</v>
      </c>
      <c r="T1656" s="17" t="e">
        <f t="shared" si="257"/>
        <v>#DIV/0!</v>
      </c>
      <c r="U1656" s="17" t="e">
        <f t="shared" si="258"/>
        <v>#DIV/0!</v>
      </c>
      <c r="V1656" s="17" t="e">
        <f t="shared" si="259"/>
        <v>#DIV/0!</v>
      </c>
      <c r="W1656" s="17" t="e">
        <f t="shared" si="260"/>
        <v>#DIV/0!</v>
      </c>
      <c r="X1656" s="17" t="e">
        <f t="shared" si="261"/>
        <v>#DIV/0!</v>
      </c>
      <c r="Y1656" s="19" t="e">
        <f t="shared" si="262"/>
        <v>#DIV/0!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793</v>
      </c>
      <c r="AP1656">
        <v>0</v>
      </c>
      <c r="AQ1656">
        <v>793</v>
      </c>
      <c r="AR1656">
        <v>793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f t="shared" si="263"/>
        <v>2379</v>
      </c>
      <c r="BF1656">
        <v>793</v>
      </c>
      <c r="BG1656">
        <v>793</v>
      </c>
      <c r="BH1656" t="s">
        <v>63</v>
      </c>
      <c r="BI1656" t="s">
        <v>1761</v>
      </c>
      <c r="BJ1656">
        <v>0</v>
      </c>
      <c r="BK1656">
        <v>793</v>
      </c>
      <c r="BL1656">
        <v>793</v>
      </c>
      <c r="BM1656">
        <v>0</v>
      </c>
      <c r="BN1656">
        <v>0</v>
      </c>
      <c r="BO1656">
        <v>0</v>
      </c>
      <c r="BP1656">
        <v>793</v>
      </c>
      <c r="BQ1656">
        <v>793</v>
      </c>
      <c r="BR1656">
        <f t="shared" si="264"/>
        <v>-123</v>
      </c>
      <c r="BS1656">
        <f t="shared" si="265"/>
        <v>123</v>
      </c>
      <c r="BU1656">
        <f>R1656*9</f>
        <v>0</v>
      </c>
      <c r="BV1656">
        <f>IF(BU1656&gt;BG1656, 1, 0)</f>
        <v>0</v>
      </c>
    </row>
    <row r="1657" spans="1:74" x14ac:dyDescent="0.25">
      <c r="A1657" s="5" t="s">
        <v>1017</v>
      </c>
      <c r="B1657" s="5" t="s">
        <v>61</v>
      </c>
      <c r="C1657" s="5" t="s">
        <v>207</v>
      </c>
      <c r="D1657" s="1" t="s">
        <v>79</v>
      </c>
      <c r="E1657">
        <v>0</v>
      </c>
      <c r="F1657">
        <v>2400</v>
      </c>
      <c r="G1657">
        <v>0</v>
      </c>
      <c r="H1657">
        <v>0</v>
      </c>
      <c r="I1657">
        <v>12</v>
      </c>
      <c r="J1657">
        <v>0</v>
      </c>
      <c r="K1657">
        <v>34</v>
      </c>
      <c r="L1657">
        <v>24</v>
      </c>
      <c r="M1657">
        <v>4374</v>
      </c>
      <c r="N1657">
        <v>0</v>
      </c>
      <c r="O1657">
        <v>0</v>
      </c>
      <c r="P1657">
        <v>0</v>
      </c>
      <c r="Q1657">
        <v>679</v>
      </c>
      <c r="R1657">
        <v>486</v>
      </c>
      <c r="S1657" s="18">
        <f t="shared" si="256"/>
        <v>9</v>
      </c>
      <c r="T1657" s="17">
        <f t="shared" si="257"/>
        <v>486</v>
      </c>
      <c r="U1657" s="17">
        <f t="shared" si="258"/>
        <v>0</v>
      </c>
      <c r="V1657" s="17">
        <f t="shared" si="259"/>
        <v>0</v>
      </c>
      <c r="W1657" s="17">
        <f t="shared" si="260"/>
        <v>0</v>
      </c>
      <c r="X1657" s="17">
        <f t="shared" si="261"/>
        <v>193</v>
      </c>
      <c r="Y1657" s="19">
        <f t="shared" si="262"/>
        <v>0</v>
      </c>
      <c r="Z1657">
        <v>2400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12</v>
      </c>
      <c r="AH1657">
        <v>12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34</v>
      </c>
      <c r="AP1657">
        <v>0</v>
      </c>
      <c r="AQ1657">
        <v>34</v>
      </c>
      <c r="AR1657">
        <v>34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24</v>
      </c>
      <c r="BA1657">
        <v>24</v>
      </c>
      <c r="BB1657">
        <v>0</v>
      </c>
      <c r="BC1657">
        <v>0</v>
      </c>
      <c r="BD1657">
        <v>0</v>
      </c>
      <c r="BE1657">
        <f t="shared" si="263"/>
        <v>174</v>
      </c>
      <c r="BF1657">
        <v>2470</v>
      </c>
      <c r="BG1657">
        <v>2470</v>
      </c>
      <c r="BH1657" t="s">
        <v>109</v>
      </c>
      <c r="BI1657" t="s">
        <v>1054</v>
      </c>
      <c r="BJ1657">
        <v>0</v>
      </c>
      <c r="BK1657">
        <v>70</v>
      </c>
      <c r="BL1657">
        <v>2470</v>
      </c>
      <c r="BM1657">
        <v>4374</v>
      </c>
      <c r="BN1657">
        <v>0</v>
      </c>
      <c r="BO1657">
        <v>0</v>
      </c>
      <c r="BP1657">
        <v>70</v>
      </c>
      <c r="BQ1657">
        <v>4444</v>
      </c>
      <c r="BR1657">
        <f t="shared" si="264"/>
        <v>-193</v>
      </c>
      <c r="BS1657">
        <f t="shared" si="265"/>
        <v>1165</v>
      </c>
    </row>
    <row r="1658" spans="1:74" x14ac:dyDescent="0.25">
      <c r="A1658" s="5" t="s">
        <v>61</v>
      </c>
      <c r="B1658" s="5" t="s">
        <v>359</v>
      </c>
      <c r="C1658" s="5" t="s">
        <v>61</v>
      </c>
      <c r="D1658" s="1" t="s">
        <v>127</v>
      </c>
      <c r="E1658">
        <v>0</v>
      </c>
      <c r="F1658">
        <v>372</v>
      </c>
      <c r="G1658">
        <v>0</v>
      </c>
      <c r="H1658">
        <v>0</v>
      </c>
      <c r="I1658">
        <v>1200</v>
      </c>
      <c r="J1658">
        <v>0</v>
      </c>
      <c r="K1658">
        <v>0</v>
      </c>
      <c r="L1658">
        <v>0</v>
      </c>
      <c r="M1658">
        <v>2304</v>
      </c>
      <c r="N1658">
        <v>0</v>
      </c>
      <c r="O1658">
        <v>0</v>
      </c>
      <c r="P1658">
        <v>144</v>
      </c>
      <c r="Q1658">
        <v>466</v>
      </c>
      <c r="R1658">
        <v>272</v>
      </c>
      <c r="S1658" s="18">
        <f t="shared" si="256"/>
        <v>9</v>
      </c>
      <c r="T1658" s="17">
        <f t="shared" si="257"/>
        <v>256</v>
      </c>
      <c r="U1658" s="17">
        <f t="shared" si="258"/>
        <v>0</v>
      </c>
      <c r="V1658" s="17">
        <f t="shared" si="259"/>
        <v>0</v>
      </c>
      <c r="W1658" s="17">
        <f t="shared" si="260"/>
        <v>16</v>
      </c>
      <c r="X1658" s="17">
        <f t="shared" si="261"/>
        <v>194</v>
      </c>
      <c r="Y1658" s="19">
        <f t="shared" si="262"/>
        <v>0</v>
      </c>
      <c r="Z1658">
        <v>372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1200</v>
      </c>
      <c r="AH1658">
        <v>1200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f t="shared" si="263"/>
        <v>2400</v>
      </c>
      <c r="BF1658">
        <v>1572</v>
      </c>
      <c r="BG1658">
        <v>1572</v>
      </c>
      <c r="BH1658" t="s">
        <v>109</v>
      </c>
      <c r="BI1658" t="s">
        <v>391</v>
      </c>
      <c r="BJ1658">
        <v>0</v>
      </c>
      <c r="BK1658">
        <v>1200</v>
      </c>
      <c r="BL1658">
        <v>1572</v>
      </c>
      <c r="BM1658">
        <v>2304</v>
      </c>
      <c r="BN1658">
        <v>0</v>
      </c>
      <c r="BO1658">
        <v>0</v>
      </c>
      <c r="BP1658">
        <v>1344</v>
      </c>
      <c r="BQ1658">
        <v>3648</v>
      </c>
      <c r="BR1658">
        <f t="shared" si="264"/>
        <v>-194</v>
      </c>
      <c r="BS1658">
        <f t="shared" si="265"/>
        <v>738</v>
      </c>
    </row>
    <row r="1659" spans="1:74" x14ac:dyDescent="0.25">
      <c r="A1659" s="5" t="s">
        <v>359</v>
      </c>
      <c r="B1659" s="5" t="s">
        <v>359</v>
      </c>
      <c r="C1659" s="5" t="s">
        <v>61</v>
      </c>
      <c r="D1659" s="1" t="s">
        <v>100</v>
      </c>
      <c r="E1659">
        <v>0</v>
      </c>
      <c r="F1659">
        <v>0</v>
      </c>
      <c r="G1659">
        <v>0</v>
      </c>
      <c r="H1659">
        <v>0</v>
      </c>
      <c r="I1659">
        <v>70</v>
      </c>
      <c r="J1659">
        <v>2600</v>
      </c>
      <c r="K1659">
        <v>115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194</v>
      </c>
      <c r="R1659">
        <v>0</v>
      </c>
      <c r="S1659" s="18" t="e">
        <f t="shared" si="256"/>
        <v>#DIV/0!</v>
      </c>
      <c r="T1659" s="17" t="e">
        <f t="shared" si="257"/>
        <v>#DIV/0!</v>
      </c>
      <c r="U1659" s="17" t="e">
        <f t="shared" si="258"/>
        <v>#DIV/0!</v>
      </c>
      <c r="V1659" s="17" t="e">
        <f t="shared" si="259"/>
        <v>#DIV/0!</v>
      </c>
      <c r="W1659" s="17" t="e">
        <f t="shared" si="260"/>
        <v>#DIV/0!</v>
      </c>
      <c r="X1659" s="17" t="e">
        <f t="shared" si="261"/>
        <v>#DIV/0!</v>
      </c>
      <c r="Y1659" s="19" t="e">
        <f t="shared" si="262"/>
        <v>#DIV/0!</v>
      </c>
      <c r="Z1659">
        <v>0</v>
      </c>
      <c r="AA1659">
        <v>0</v>
      </c>
      <c r="AB1659">
        <v>120</v>
      </c>
      <c r="AC1659">
        <v>2400</v>
      </c>
      <c r="AD1659">
        <v>0</v>
      </c>
      <c r="AE1659">
        <v>0</v>
      </c>
      <c r="AF1659">
        <v>0</v>
      </c>
      <c r="AG1659">
        <v>70</v>
      </c>
      <c r="AH1659">
        <v>70</v>
      </c>
      <c r="AI1659">
        <v>0</v>
      </c>
      <c r="AJ1659">
        <v>0</v>
      </c>
      <c r="AK1659">
        <v>2600</v>
      </c>
      <c r="AL1659">
        <v>2600</v>
      </c>
      <c r="AM1659">
        <v>0</v>
      </c>
      <c r="AN1659">
        <v>0</v>
      </c>
      <c r="AO1659">
        <v>115</v>
      </c>
      <c r="AP1659">
        <v>45</v>
      </c>
      <c r="AQ1659">
        <v>115</v>
      </c>
      <c r="AR1659">
        <v>70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f t="shared" si="263"/>
        <v>8085</v>
      </c>
      <c r="BF1659">
        <v>5305</v>
      </c>
      <c r="BG1659">
        <v>5305</v>
      </c>
      <c r="BH1659" t="s">
        <v>82</v>
      </c>
      <c r="BI1659" t="s">
        <v>774</v>
      </c>
      <c r="BJ1659">
        <v>2520</v>
      </c>
      <c r="BK1659">
        <v>2785</v>
      </c>
      <c r="BL1659">
        <v>5305</v>
      </c>
      <c r="BM1659">
        <v>0</v>
      </c>
      <c r="BN1659">
        <v>0</v>
      </c>
      <c r="BO1659">
        <v>0</v>
      </c>
      <c r="BP1659">
        <v>2785</v>
      </c>
      <c r="BQ1659">
        <v>2785</v>
      </c>
      <c r="BR1659">
        <f t="shared" si="264"/>
        <v>-194</v>
      </c>
      <c r="BS1659">
        <f t="shared" si="265"/>
        <v>194</v>
      </c>
    </row>
    <row r="1660" spans="1:74" x14ac:dyDescent="0.25">
      <c r="A1660" s="5" t="s">
        <v>1946</v>
      </c>
      <c r="B1660" s="5" t="s">
        <v>61</v>
      </c>
      <c r="C1660" s="5" t="s">
        <v>61</v>
      </c>
      <c r="D1660" s="1" t="s">
        <v>113</v>
      </c>
      <c r="E1660">
        <v>105</v>
      </c>
      <c r="F1660">
        <v>0</v>
      </c>
      <c r="G1660">
        <v>0</v>
      </c>
      <c r="H1660">
        <v>0</v>
      </c>
      <c r="I1660">
        <v>250</v>
      </c>
      <c r="J1660">
        <v>6100</v>
      </c>
      <c r="K1660">
        <v>168</v>
      </c>
      <c r="L1660">
        <v>143</v>
      </c>
      <c r="M1660">
        <v>0</v>
      </c>
      <c r="N1660">
        <v>0</v>
      </c>
      <c r="O1660">
        <v>0</v>
      </c>
      <c r="P1660">
        <v>0</v>
      </c>
      <c r="Q1660">
        <v>194</v>
      </c>
      <c r="R1660">
        <v>0</v>
      </c>
      <c r="S1660" s="18" t="e">
        <f t="shared" si="256"/>
        <v>#DIV/0!</v>
      </c>
      <c r="T1660" s="17" t="e">
        <f t="shared" si="257"/>
        <v>#DIV/0!</v>
      </c>
      <c r="U1660" s="17" t="e">
        <f t="shared" si="258"/>
        <v>#DIV/0!</v>
      </c>
      <c r="V1660" s="17" t="e">
        <f t="shared" si="259"/>
        <v>#DIV/0!</v>
      </c>
      <c r="W1660" s="17" t="e">
        <f t="shared" si="260"/>
        <v>#DIV/0!</v>
      </c>
      <c r="X1660" s="17" t="e">
        <f t="shared" si="261"/>
        <v>#DIV/0!</v>
      </c>
      <c r="Y1660" s="19" t="e">
        <f t="shared" si="262"/>
        <v>#DIV/0!</v>
      </c>
      <c r="Z1660">
        <v>0</v>
      </c>
      <c r="AA1660">
        <v>10</v>
      </c>
      <c r="AB1660">
        <v>0</v>
      </c>
      <c r="AC1660">
        <v>1148</v>
      </c>
      <c r="AD1660">
        <v>0</v>
      </c>
      <c r="AE1660">
        <v>0</v>
      </c>
      <c r="AF1660">
        <v>0</v>
      </c>
      <c r="AG1660">
        <v>250</v>
      </c>
      <c r="AH1660">
        <v>250</v>
      </c>
      <c r="AI1660">
        <v>0</v>
      </c>
      <c r="AJ1660">
        <v>0</v>
      </c>
      <c r="AK1660">
        <v>6100</v>
      </c>
      <c r="AL1660">
        <v>6100</v>
      </c>
      <c r="AM1660">
        <v>0</v>
      </c>
      <c r="AN1660">
        <v>0</v>
      </c>
      <c r="AO1660">
        <v>168</v>
      </c>
      <c r="AP1660">
        <v>0</v>
      </c>
      <c r="AQ1660">
        <v>168</v>
      </c>
      <c r="AR1660">
        <v>168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143</v>
      </c>
      <c r="BA1660">
        <v>143</v>
      </c>
      <c r="BB1660">
        <v>0</v>
      </c>
      <c r="BC1660">
        <v>0</v>
      </c>
      <c r="BD1660">
        <v>0</v>
      </c>
      <c r="BE1660">
        <f t="shared" si="263"/>
        <v>14638</v>
      </c>
      <c r="BF1660">
        <v>7924</v>
      </c>
      <c r="BG1660">
        <v>7924</v>
      </c>
      <c r="BH1660" t="s">
        <v>82</v>
      </c>
      <c r="BI1660" t="s">
        <v>1969</v>
      </c>
      <c r="BJ1660">
        <v>1263</v>
      </c>
      <c r="BK1660">
        <v>6661</v>
      </c>
      <c r="BL1660">
        <v>7924</v>
      </c>
      <c r="BM1660">
        <v>0</v>
      </c>
      <c r="BN1660">
        <v>0</v>
      </c>
      <c r="BO1660">
        <v>0</v>
      </c>
      <c r="BP1660">
        <v>6661</v>
      </c>
      <c r="BQ1660">
        <v>6661</v>
      </c>
      <c r="BR1660">
        <f t="shared" si="264"/>
        <v>-194</v>
      </c>
      <c r="BS1660">
        <f t="shared" si="265"/>
        <v>194</v>
      </c>
    </row>
    <row r="1661" spans="1:74" x14ac:dyDescent="0.25">
      <c r="A1661" s="5" t="s">
        <v>1451</v>
      </c>
      <c r="B1661" s="5" t="s">
        <v>61</v>
      </c>
      <c r="C1661" s="5" t="s">
        <v>207</v>
      </c>
      <c r="D1661" s="1" t="s">
        <v>86</v>
      </c>
      <c r="E1661">
        <v>0</v>
      </c>
      <c r="F1661">
        <v>90</v>
      </c>
      <c r="G1661">
        <v>0</v>
      </c>
      <c r="H1661">
        <v>0</v>
      </c>
      <c r="I1661">
        <v>407</v>
      </c>
      <c r="J1661">
        <v>2675</v>
      </c>
      <c r="K1661">
        <v>432</v>
      </c>
      <c r="L1661">
        <v>20</v>
      </c>
      <c r="M1661">
        <v>0</v>
      </c>
      <c r="N1661">
        <v>0</v>
      </c>
      <c r="O1661">
        <v>0</v>
      </c>
      <c r="P1661">
        <v>297</v>
      </c>
      <c r="Q1661">
        <v>228</v>
      </c>
      <c r="R1661">
        <v>33</v>
      </c>
      <c r="S1661" s="18">
        <f t="shared" si="256"/>
        <v>9</v>
      </c>
      <c r="T1661" s="17">
        <f t="shared" si="257"/>
        <v>0</v>
      </c>
      <c r="U1661" s="17">
        <f t="shared" si="258"/>
        <v>0</v>
      </c>
      <c r="V1661" s="17">
        <f t="shared" si="259"/>
        <v>0</v>
      </c>
      <c r="W1661" s="17">
        <f t="shared" si="260"/>
        <v>33</v>
      </c>
      <c r="X1661" s="17">
        <f t="shared" si="261"/>
        <v>195</v>
      </c>
      <c r="Y1661" s="19">
        <f t="shared" si="262"/>
        <v>0</v>
      </c>
      <c r="Z1661">
        <v>90</v>
      </c>
      <c r="AA1661">
        <v>6</v>
      </c>
      <c r="AB1661">
        <v>350</v>
      </c>
      <c r="AC1661">
        <v>2783</v>
      </c>
      <c r="AD1661">
        <v>0</v>
      </c>
      <c r="AE1661">
        <v>0</v>
      </c>
      <c r="AF1661">
        <v>0</v>
      </c>
      <c r="AG1661">
        <v>407</v>
      </c>
      <c r="AH1661">
        <v>407</v>
      </c>
      <c r="AI1661">
        <v>0</v>
      </c>
      <c r="AJ1661">
        <v>0</v>
      </c>
      <c r="AK1661">
        <v>2675</v>
      </c>
      <c r="AL1661">
        <v>2675</v>
      </c>
      <c r="AM1661">
        <v>0</v>
      </c>
      <c r="AN1661">
        <v>0</v>
      </c>
      <c r="AO1661">
        <v>432</v>
      </c>
      <c r="AP1661">
        <v>317</v>
      </c>
      <c r="AQ1661">
        <v>432</v>
      </c>
      <c r="AR1661">
        <v>115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20</v>
      </c>
      <c r="BA1661">
        <v>20</v>
      </c>
      <c r="BB1661">
        <v>0</v>
      </c>
      <c r="BC1661">
        <v>0</v>
      </c>
      <c r="BD1661">
        <v>0</v>
      </c>
      <c r="BE1661">
        <f t="shared" si="263"/>
        <v>10283</v>
      </c>
      <c r="BF1661">
        <v>6763</v>
      </c>
      <c r="BG1661">
        <v>6763</v>
      </c>
      <c r="BH1661" t="s">
        <v>82</v>
      </c>
      <c r="BI1661" t="s">
        <v>1481</v>
      </c>
      <c r="BJ1661">
        <v>3139</v>
      </c>
      <c r="BK1661">
        <v>3534</v>
      </c>
      <c r="BL1661">
        <v>6763</v>
      </c>
      <c r="BM1661">
        <v>0</v>
      </c>
      <c r="BN1661">
        <v>0</v>
      </c>
      <c r="BO1661">
        <v>0</v>
      </c>
      <c r="BP1661">
        <v>3831</v>
      </c>
      <c r="BQ1661">
        <v>3831</v>
      </c>
      <c r="BR1661">
        <f t="shared" si="264"/>
        <v>-195</v>
      </c>
      <c r="BS1661">
        <f t="shared" si="265"/>
        <v>261</v>
      </c>
    </row>
    <row r="1662" spans="1:74" x14ac:dyDescent="0.25">
      <c r="A1662" s="5" t="s">
        <v>61</v>
      </c>
      <c r="B1662" s="5" t="s">
        <v>207</v>
      </c>
      <c r="C1662" s="5" t="s">
        <v>207</v>
      </c>
      <c r="D1662" s="1" t="s">
        <v>175</v>
      </c>
      <c r="E1662">
        <v>0</v>
      </c>
      <c r="F1662">
        <v>41</v>
      </c>
      <c r="G1662">
        <v>0</v>
      </c>
      <c r="H1662">
        <v>0</v>
      </c>
      <c r="I1662">
        <v>97</v>
      </c>
      <c r="J1662">
        <v>0</v>
      </c>
      <c r="K1662">
        <v>0</v>
      </c>
      <c r="L1662">
        <v>0</v>
      </c>
      <c r="M1662">
        <v>369</v>
      </c>
      <c r="N1662">
        <v>0</v>
      </c>
      <c r="O1662">
        <v>0</v>
      </c>
      <c r="P1662">
        <v>0</v>
      </c>
      <c r="Q1662">
        <v>237</v>
      </c>
      <c r="R1662">
        <v>41</v>
      </c>
      <c r="S1662" s="18">
        <f t="shared" si="256"/>
        <v>9</v>
      </c>
      <c r="T1662" s="17">
        <f t="shared" si="257"/>
        <v>41</v>
      </c>
      <c r="U1662" s="17">
        <f t="shared" si="258"/>
        <v>0</v>
      </c>
      <c r="V1662" s="17">
        <f t="shared" si="259"/>
        <v>0</v>
      </c>
      <c r="W1662" s="17">
        <f t="shared" si="260"/>
        <v>0</v>
      </c>
      <c r="X1662" s="17">
        <f t="shared" si="261"/>
        <v>196</v>
      </c>
      <c r="Y1662" s="19">
        <f t="shared" si="262"/>
        <v>0</v>
      </c>
      <c r="Z1662">
        <v>41</v>
      </c>
      <c r="AA1662">
        <v>0</v>
      </c>
      <c r="AB1662">
        <v>0</v>
      </c>
      <c r="AC1662">
        <v>0</v>
      </c>
      <c r="AD1662">
        <v>97</v>
      </c>
      <c r="AE1662">
        <v>0</v>
      </c>
      <c r="AF1662">
        <v>0</v>
      </c>
      <c r="AG1662">
        <v>0</v>
      </c>
      <c r="AH1662">
        <v>97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f t="shared" si="263"/>
        <v>194</v>
      </c>
      <c r="BF1662">
        <v>138</v>
      </c>
      <c r="BG1662">
        <v>138</v>
      </c>
      <c r="BH1662" t="s">
        <v>109</v>
      </c>
      <c r="BI1662" t="s">
        <v>334</v>
      </c>
      <c r="BJ1662">
        <v>0</v>
      </c>
      <c r="BK1662">
        <v>97</v>
      </c>
      <c r="BL1662">
        <v>138</v>
      </c>
      <c r="BM1662">
        <v>466</v>
      </c>
      <c r="BN1662">
        <v>0</v>
      </c>
      <c r="BO1662">
        <v>0</v>
      </c>
      <c r="BP1662">
        <v>0</v>
      </c>
      <c r="BQ1662">
        <v>466</v>
      </c>
      <c r="BR1662">
        <f t="shared" si="264"/>
        <v>-196</v>
      </c>
      <c r="BS1662">
        <f t="shared" si="265"/>
        <v>278</v>
      </c>
    </row>
    <row r="1663" spans="1:74" x14ac:dyDescent="0.25">
      <c r="A1663" s="5" t="s">
        <v>207</v>
      </c>
      <c r="B1663" s="5" t="s">
        <v>61</v>
      </c>
      <c r="C1663" s="5" t="s">
        <v>61</v>
      </c>
      <c r="D1663" s="1" t="s">
        <v>62</v>
      </c>
      <c r="E1663">
        <v>0</v>
      </c>
      <c r="F1663">
        <v>0</v>
      </c>
      <c r="G1663">
        <v>0</v>
      </c>
      <c r="H1663">
        <v>0</v>
      </c>
      <c r="I1663">
        <v>490</v>
      </c>
      <c r="J1663">
        <v>0</v>
      </c>
      <c r="K1663">
        <v>230</v>
      </c>
      <c r="L1663">
        <v>100</v>
      </c>
      <c r="M1663">
        <v>0</v>
      </c>
      <c r="N1663">
        <v>0</v>
      </c>
      <c r="O1663">
        <v>0</v>
      </c>
      <c r="P1663">
        <v>0</v>
      </c>
      <c r="Q1663">
        <v>124</v>
      </c>
      <c r="R1663">
        <v>0</v>
      </c>
      <c r="S1663" s="18" t="e">
        <f t="shared" si="256"/>
        <v>#DIV/0!</v>
      </c>
      <c r="T1663" s="17" t="e">
        <f t="shared" si="257"/>
        <v>#DIV/0!</v>
      </c>
      <c r="U1663" s="17" t="e">
        <f t="shared" si="258"/>
        <v>#DIV/0!</v>
      </c>
      <c r="V1663" s="17" t="e">
        <f t="shared" si="259"/>
        <v>#DIV/0!</v>
      </c>
      <c r="W1663" s="17" t="e">
        <f t="shared" si="260"/>
        <v>#DIV/0!</v>
      </c>
      <c r="X1663" s="17" t="e">
        <f t="shared" si="261"/>
        <v>#DIV/0!</v>
      </c>
      <c r="Y1663" s="19" t="e">
        <f t="shared" si="262"/>
        <v>#DIV/0!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490</v>
      </c>
      <c r="AH1663">
        <v>490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230</v>
      </c>
      <c r="AP1663">
        <v>0</v>
      </c>
      <c r="AQ1663">
        <v>230</v>
      </c>
      <c r="AR1663">
        <v>230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100</v>
      </c>
      <c r="BA1663">
        <v>100</v>
      </c>
      <c r="BB1663">
        <v>0</v>
      </c>
      <c r="BC1663">
        <v>0</v>
      </c>
      <c r="BD1663">
        <v>0</v>
      </c>
      <c r="BE1663">
        <f t="shared" si="263"/>
        <v>1870</v>
      </c>
      <c r="BF1663">
        <v>820</v>
      </c>
      <c r="BG1663">
        <v>820</v>
      </c>
      <c r="BH1663" t="s">
        <v>63</v>
      </c>
      <c r="BI1663" t="s">
        <v>426</v>
      </c>
      <c r="BJ1663">
        <v>0</v>
      </c>
      <c r="BK1663">
        <v>820</v>
      </c>
      <c r="BL1663">
        <v>820</v>
      </c>
      <c r="BM1663">
        <v>0</v>
      </c>
      <c r="BN1663">
        <v>0</v>
      </c>
      <c r="BO1663">
        <v>0</v>
      </c>
      <c r="BP1663">
        <v>820</v>
      </c>
      <c r="BQ1663">
        <v>820</v>
      </c>
      <c r="BR1663">
        <f t="shared" si="264"/>
        <v>-124</v>
      </c>
      <c r="BS1663">
        <f t="shared" si="265"/>
        <v>124</v>
      </c>
      <c r="BU1663">
        <f>R1663*9</f>
        <v>0</v>
      </c>
      <c r="BV1663">
        <f>IF(BU1663&gt;BG1663, 1, 0)</f>
        <v>0</v>
      </c>
    </row>
    <row r="1664" spans="1:74" x14ac:dyDescent="0.25">
      <c r="A1664" s="5" t="s">
        <v>1017</v>
      </c>
      <c r="B1664" s="5" t="s">
        <v>207</v>
      </c>
      <c r="C1664" s="5" t="s">
        <v>207</v>
      </c>
      <c r="D1664" s="1" t="s">
        <v>71</v>
      </c>
      <c r="E1664">
        <v>0</v>
      </c>
      <c r="F1664">
        <v>191</v>
      </c>
      <c r="G1664">
        <v>0</v>
      </c>
      <c r="H1664">
        <v>0</v>
      </c>
      <c r="I1664">
        <v>1350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1710</v>
      </c>
      <c r="Q1664">
        <v>386</v>
      </c>
      <c r="R1664">
        <v>190</v>
      </c>
      <c r="S1664" s="18">
        <f t="shared" si="256"/>
        <v>9</v>
      </c>
      <c r="T1664" s="17">
        <f t="shared" si="257"/>
        <v>0</v>
      </c>
      <c r="U1664" s="17">
        <f t="shared" si="258"/>
        <v>0</v>
      </c>
      <c r="V1664" s="17">
        <f t="shared" si="259"/>
        <v>0</v>
      </c>
      <c r="W1664" s="17">
        <f t="shared" si="260"/>
        <v>190</v>
      </c>
      <c r="X1664" s="17">
        <f t="shared" si="261"/>
        <v>196</v>
      </c>
      <c r="Y1664" s="19">
        <f t="shared" si="262"/>
        <v>0</v>
      </c>
      <c r="Z1664">
        <v>191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1350</v>
      </c>
      <c r="AH1664">
        <v>1350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f t="shared" si="263"/>
        <v>2700</v>
      </c>
      <c r="BF1664">
        <v>1541</v>
      </c>
      <c r="BG1664">
        <v>1541</v>
      </c>
      <c r="BH1664" t="s">
        <v>109</v>
      </c>
      <c r="BI1664" t="s">
        <v>1112</v>
      </c>
      <c r="BJ1664">
        <v>0</v>
      </c>
      <c r="BK1664">
        <v>1350</v>
      </c>
      <c r="BL1664">
        <v>1541</v>
      </c>
      <c r="BM1664">
        <v>0</v>
      </c>
      <c r="BN1664">
        <v>0</v>
      </c>
      <c r="BO1664">
        <v>0</v>
      </c>
      <c r="BP1664">
        <v>3060</v>
      </c>
      <c r="BQ1664">
        <v>3060</v>
      </c>
      <c r="BR1664">
        <f t="shared" si="264"/>
        <v>-196</v>
      </c>
      <c r="BS1664">
        <f t="shared" si="265"/>
        <v>576</v>
      </c>
    </row>
    <row r="1665" spans="1:74" x14ac:dyDescent="0.25">
      <c r="A1665" s="5" t="s">
        <v>207</v>
      </c>
      <c r="B1665" s="5" t="s">
        <v>61</v>
      </c>
      <c r="C1665" s="5" t="s">
        <v>61</v>
      </c>
      <c r="D1665" s="1" t="s">
        <v>127</v>
      </c>
      <c r="E1665">
        <v>0</v>
      </c>
      <c r="F1665">
        <v>9</v>
      </c>
      <c r="G1665">
        <v>0</v>
      </c>
      <c r="H1665">
        <v>0</v>
      </c>
      <c r="I1665">
        <v>134</v>
      </c>
      <c r="J1665">
        <v>1160</v>
      </c>
      <c r="K1665">
        <v>460</v>
      </c>
      <c r="L1665">
        <v>20</v>
      </c>
      <c r="M1665">
        <v>0</v>
      </c>
      <c r="N1665">
        <v>0</v>
      </c>
      <c r="O1665">
        <v>0</v>
      </c>
      <c r="P1665">
        <v>81</v>
      </c>
      <c r="Q1665">
        <v>206</v>
      </c>
      <c r="R1665">
        <v>9</v>
      </c>
      <c r="S1665" s="18">
        <f t="shared" si="256"/>
        <v>9</v>
      </c>
      <c r="T1665" s="17">
        <f t="shared" si="257"/>
        <v>0</v>
      </c>
      <c r="U1665" s="17">
        <f t="shared" si="258"/>
        <v>0</v>
      </c>
      <c r="V1665" s="17">
        <f t="shared" si="259"/>
        <v>0</v>
      </c>
      <c r="W1665" s="17">
        <f t="shared" si="260"/>
        <v>9</v>
      </c>
      <c r="X1665" s="17">
        <f t="shared" si="261"/>
        <v>197</v>
      </c>
      <c r="Y1665" s="19">
        <f t="shared" si="262"/>
        <v>0</v>
      </c>
      <c r="Z1665">
        <v>9</v>
      </c>
      <c r="AA1665">
        <v>5</v>
      </c>
      <c r="AB1665">
        <v>450</v>
      </c>
      <c r="AC1665">
        <v>800</v>
      </c>
      <c r="AD1665">
        <v>0</v>
      </c>
      <c r="AE1665">
        <v>0</v>
      </c>
      <c r="AF1665">
        <v>0</v>
      </c>
      <c r="AG1665">
        <v>134</v>
      </c>
      <c r="AH1665">
        <v>134</v>
      </c>
      <c r="AI1665">
        <v>0</v>
      </c>
      <c r="AJ1665">
        <v>0</v>
      </c>
      <c r="AK1665">
        <v>1160</v>
      </c>
      <c r="AL1665">
        <v>1160</v>
      </c>
      <c r="AM1665">
        <v>0</v>
      </c>
      <c r="AN1665">
        <v>0</v>
      </c>
      <c r="AO1665">
        <v>460</v>
      </c>
      <c r="AP1665">
        <v>10</v>
      </c>
      <c r="AQ1665">
        <v>460</v>
      </c>
      <c r="AR1665">
        <v>450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20</v>
      </c>
      <c r="BA1665">
        <v>20</v>
      </c>
      <c r="BB1665">
        <v>0</v>
      </c>
      <c r="BC1665">
        <v>0</v>
      </c>
      <c r="BD1665">
        <v>0</v>
      </c>
      <c r="BE1665">
        <f t="shared" si="263"/>
        <v>4808</v>
      </c>
      <c r="BF1665">
        <v>3038</v>
      </c>
      <c r="BG1665">
        <v>3038</v>
      </c>
      <c r="BH1665" t="s">
        <v>82</v>
      </c>
      <c r="BI1665" t="s">
        <v>457</v>
      </c>
      <c r="BJ1665">
        <v>1255</v>
      </c>
      <c r="BK1665">
        <v>1774</v>
      </c>
      <c r="BL1665">
        <v>3038</v>
      </c>
      <c r="BM1665">
        <v>0</v>
      </c>
      <c r="BN1665">
        <v>0</v>
      </c>
      <c r="BO1665">
        <v>0</v>
      </c>
      <c r="BP1665">
        <v>1855</v>
      </c>
      <c r="BQ1665">
        <v>1855</v>
      </c>
      <c r="BR1665">
        <f t="shared" si="264"/>
        <v>-197</v>
      </c>
      <c r="BS1665">
        <f t="shared" si="265"/>
        <v>215</v>
      </c>
    </row>
    <row r="1666" spans="1:74" x14ac:dyDescent="0.25">
      <c r="A1666" s="5" t="s">
        <v>875</v>
      </c>
      <c r="B1666" s="5" t="s">
        <v>207</v>
      </c>
      <c r="C1666" s="5" t="s">
        <v>61</v>
      </c>
      <c r="D1666" s="1" t="s">
        <v>139</v>
      </c>
      <c r="E1666">
        <v>77</v>
      </c>
      <c r="F1666">
        <v>0</v>
      </c>
      <c r="G1666">
        <v>0</v>
      </c>
      <c r="H1666">
        <v>0</v>
      </c>
      <c r="I1666">
        <v>252</v>
      </c>
      <c r="J1666">
        <v>2585</v>
      </c>
      <c r="K1666">
        <v>122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197</v>
      </c>
      <c r="R1666">
        <v>0</v>
      </c>
      <c r="S1666" s="18" t="e">
        <f t="shared" ref="S1666:S1729" si="266">(M1666+N1666+O1666+P1666)/R1666</f>
        <v>#DIV/0!</v>
      </c>
      <c r="T1666" s="17" t="e">
        <f t="shared" ref="T1666:T1729" si="267">M1666/$S1666</f>
        <v>#DIV/0!</v>
      </c>
      <c r="U1666" s="17" t="e">
        <f t="shared" ref="U1666:U1729" si="268">N1666/$S1666</f>
        <v>#DIV/0!</v>
      </c>
      <c r="V1666" s="17" t="e">
        <f t="shared" ref="V1666:V1729" si="269">O1666/$S1666</f>
        <v>#DIV/0!</v>
      </c>
      <c r="W1666" s="17" t="e">
        <f t="shared" ref="W1666:W1729" si="270">P1666/$S1666</f>
        <v>#DIV/0!</v>
      </c>
      <c r="X1666" s="17" t="e">
        <f t="shared" ref="X1666:X1729" si="271">Q1666-T1666-U1666-W1666</f>
        <v>#DIV/0!</v>
      </c>
      <c r="Y1666" s="19" t="e">
        <f t="shared" ref="Y1666:Y1729" si="272">V1666/X1666</f>
        <v>#DIV/0!</v>
      </c>
      <c r="Z1666">
        <v>0</v>
      </c>
      <c r="AA1666">
        <v>0</v>
      </c>
      <c r="AB1666">
        <v>0</v>
      </c>
      <c r="AC1666">
        <v>2400</v>
      </c>
      <c r="AD1666">
        <v>0</v>
      </c>
      <c r="AE1666">
        <v>252</v>
      </c>
      <c r="AF1666">
        <v>0</v>
      </c>
      <c r="AG1666">
        <v>0</v>
      </c>
      <c r="AH1666">
        <v>252</v>
      </c>
      <c r="AI1666">
        <v>0</v>
      </c>
      <c r="AJ1666">
        <v>2585</v>
      </c>
      <c r="AK1666">
        <v>0</v>
      </c>
      <c r="AL1666">
        <v>2585</v>
      </c>
      <c r="AM1666">
        <v>0</v>
      </c>
      <c r="AN1666">
        <v>122</v>
      </c>
      <c r="AO1666">
        <v>0</v>
      </c>
      <c r="AP1666">
        <v>0</v>
      </c>
      <c r="AQ1666">
        <v>122</v>
      </c>
      <c r="AR1666">
        <v>122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f t="shared" ref="BE1666:BE1729" si="273">SUM(AC1666:BD1666)</f>
        <v>8440</v>
      </c>
      <c r="BF1666">
        <v>5436</v>
      </c>
      <c r="BG1666">
        <v>5436</v>
      </c>
      <c r="BH1666" t="s">
        <v>82</v>
      </c>
      <c r="BI1666" t="s">
        <v>1002</v>
      </c>
      <c r="BJ1666">
        <v>2477</v>
      </c>
      <c r="BK1666">
        <v>2959</v>
      </c>
      <c r="BL1666">
        <v>5436</v>
      </c>
      <c r="BM1666">
        <v>0</v>
      </c>
      <c r="BN1666">
        <v>2959</v>
      </c>
      <c r="BO1666">
        <v>0</v>
      </c>
      <c r="BP1666">
        <v>0</v>
      </c>
      <c r="BQ1666">
        <v>2959</v>
      </c>
      <c r="BR1666">
        <f t="shared" ref="BR1666:BR1729" si="274">R1666-Q1666</f>
        <v>-197</v>
      </c>
      <c r="BS1666">
        <f t="shared" ref="BS1666:BS1729" si="275">R1666+Q1666</f>
        <v>197</v>
      </c>
    </row>
    <row r="1667" spans="1:74" x14ac:dyDescent="0.25">
      <c r="A1667" s="5" t="s">
        <v>359</v>
      </c>
      <c r="B1667" s="5" t="s">
        <v>207</v>
      </c>
      <c r="C1667" s="5" t="s">
        <v>61</v>
      </c>
      <c r="D1667" s="1" t="s">
        <v>65</v>
      </c>
      <c r="E1667">
        <v>0</v>
      </c>
      <c r="F1667">
        <v>0</v>
      </c>
      <c r="G1667">
        <v>0</v>
      </c>
      <c r="H1667">
        <v>0</v>
      </c>
      <c r="I1667">
        <v>1110</v>
      </c>
      <c r="J1667">
        <v>0</v>
      </c>
      <c r="K1667">
        <v>190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125</v>
      </c>
      <c r="R1667">
        <v>0</v>
      </c>
      <c r="S1667" s="18" t="e">
        <f t="shared" si="266"/>
        <v>#DIV/0!</v>
      </c>
      <c r="T1667" s="17" t="e">
        <f t="shared" si="267"/>
        <v>#DIV/0!</v>
      </c>
      <c r="U1667" s="17" t="e">
        <f t="shared" si="268"/>
        <v>#DIV/0!</v>
      </c>
      <c r="V1667" s="17" t="e">
        <f t="shared" si="269"/>
        <v>#DIV/0!</v>
      </c>
      <c r="W1667" s="17" t="e">
        <f t="shared" si="270"/>
        <v>#DIV/0!</v>
      </c>
      <c r="X1667" s="17" t="e">
        <f t="shared" si="271"/>
        <v>#DIV/0!</v>
      </c>
      <c r="Y1667" s="19" t="e">
        <f t="shared" si="272"/>
        <v>#DIV/0!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1110</v>
      </c>
      <c r="AH1667">
        <v>1110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190</v>
      </c>
      <c r="AP1667">
        <v>0</v>
      </c>
      <c r="AQ1667">
        <v>0</v>
      </c>
      <c r="AR1667">
        <v>190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f t="shared" si="273"/>
        <v>2600</v>
      </c>
      <c r="BF1667">
        <v>1110</v>
      </c>
      <c r="BG1667">
        <v>1110</v>
      </c>
      <c r="BH1667" t="s">
        <v>63</v>
      </c>
      <c r="BI1667" t="s">
        <v>732</v>
      </c>
      <c r="BJ1667">
        <v>0</v>
      </c>
      <c r="BK1667">
        <v>1110</v>
      </c>
      <c r="BL1667">
        <v>1110</v>
      </c>
      <c r="BM1667">
        <v>0</v>
      </c>
      <c r="BN1667">
        <v>0</v>
      </c>
      <c r="BO1667">
        <v>0</v>
      </c>
      <c r="BP1667">
        <v>1300</v>
      </c>
      <c r="BQ1667">
        <v>1300</v>
      </c>
      <c r="BR1667">
        <f t="shared" si="274"/>
        <v>-125</v>
      </c>
      <c r="BS1667">
        <f t="shared" si="275"/>
        <v>125</v>
      </c>
      <c r="BU1667">
        <f>R1667*9</f>
        <v>0</v>
      </c>
      <c r="BV1667">
        <f>IF(BU1667&gt;BG1667, 1, 0)</f>
        <v>0</v>
      </c>
    </row>
    <row r="1668" spans="1:74" x14ac:dyDescent="0.25">
      <c r="A1668" s="5" t="s">
        <v>1337</v>
      </c>
      <c r="B1668" s="5" t="s">
        <v>207</v>
      </c>
      <c r="C1668" s="5" t="s">
        <v>61</v>
      </c>
      <c r="D1668" s="1" t="s">
        <v>96</v>
      </c>
      <c r="E1668">
        <v>0</v>
      </c>
      <c r="F1668">
        <v>243</v>
      </c>
      <c r="G1668">
        <v>0</v>
      </c>
      <c r="H1668">
        <v>0</v>
      </c>
      <c r="I1668">
        <v>220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1386</v>
      </c>
      <c r="Q1668">
        <v>353</v>
      </c>
      <c r="R1668">
        <v>154</v>
      </c>
      <c r="S1668" s="18">
        <f t="shared" si="266"/>
        <v>9</v>
      </c>
      <c r="T1668" s="17">
        <f t="shared" si="267"/>
        <v>0</v>
      </c>
      <c r="U1668" s="17">
        <f t="shared" si="268"/>
        <v>0</v>
      </c>
      <c r="V1668" s="17">
        <f t="shared" si="269"/>
        <v>0</v>
      </c>
      <c r="W1668" s="17">
        <f t="shared" si="270"/>
        <v>154</v>
      </c>
      <c r="X1668" s="17">
        <f t="shared" si="271"/>
        <v>199</v>
      </c>
      <c r="Y1668" s="19">
        <f t="shared" si="272"/>
        <v>0</v>
      </c>
      <c r="Z1668">
        <v>243</v>
      </c>
      <c r="AA1668">
        <v>0</v>
      </c>
      <c r="AB1668">
        <v>0</v>
      </c>
      <c r="AC1668">
        <v>0</v>
      </c>
      <c r="AD1668">
        <v>220</v>
      </c>
      <c r="AE1668">
        <v>0</v>
      </c>
      <c r="AF1668">
        <v>0</v>
      </c>
      <c r="AG1668">
        <v>0</v>
      </c>
      <c r="AH1668">
        <v>220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f t="shared" si="273"/>
        <v>440</v>
      </c>
      <c r="BF1668">
        <v>463</v>
      </c>
      <c r="BG1668">
        <v>463</v>
      </c>
      <c r="BH1668" t="s">
        <v>109</v>
      </c>
      <c r="BI1668" t="s">
        <v>1386</v>
      </c>
      <c r="BJ1668">
        <v>0</v>
      </c>
      <c r="BK1668">
        <v>220</v>
      </c>
      <c r="BL1668">
        <v>463</v>
      </c>
      <c r="BM1668">
        <v>220</v>
      </c>
      <c r="BN1668">
        <v>0</v>
      </c>
      <c r="BO1668">
        <v>0</v>
      </c>
      <c r="BP1668">
        <v>1386</v>
      </c>
      <c r="BQ1668">
        <v>1606</v>
      </c>
      <c r="BR1668">
        <f t="shared" si="274"/>
        <v>-199</v>
      </c>
      <c r="BS1668">
        <f t="shared" si="275"/>
        <v>507</v>
      </c>
    </row>
    <row r="1669" spans="1:74" x14ac:dyDescent="0.25">
      <c r="A1669" s="5" t="s">
        <v>1451</v>
      </c>
      <c r="B1669" s="5" t="s">
        <v>207</v>
      </c>
      <c r="C1669" s="5" t="s">
        <v>207</v>
      </c>
      <c r="D1669" s="1" t="s">
        <v>125</v>
      </c>
      <c r="E1669">
        <v>0</v>
      </c>
      <c r="F1669">
        <v>0</v>
      </c>
      <c r="G1669">
        <v>0</v>
      </c>
      <c r="H1669">
        <v>0</v>
      </c>
      <c r="I1669">
        <v>332</v>
      </c>
      <c r="J1669">
        <v>2908</v>
      </c>
      <c r="K1669">
        <v>128</v>
      </c>
      <c r="L1669">
        <v>23</v>
      </c>
      <c r="M1669">
        <v>0</v>
      </c>
      <c r="N1669">
        <v>0</v>
      </c>
      <c r="O1669">
        <v>0</v>
      </c>
      <c r="P1669">
        <v>0</v>
      </c>
      <c r="Q1669">
        <v>199</v>
      </c>
      <c r="R1669">
        <v>0</v>
      </c>
      <c r="S1669" s="18" t="e">
        <f t="shared" si="266"/>
        <v>#DIV/0!</v>
      </c>
      <c r="T1669" s="17" t="e">
        <f t="shared" si="267"/>
        <v>#DIV/0!</v>
      </c>
      <c r="U1669" s="17" t="e">
        <f t="shared" si="268"/>
        <v>#DIV/0!</v>
      </c>
      <c r="V1669" s="17" t="e">
        <f t="shared" si="269"/>
        <v>#DIV/0!</v>
      </c>
      <c r="W1669" s="17" t="e">
        <f t="shared" si="270"/>
        <v>#DIV/0!</v>
      </c>
      <c r="X1669" s="17" t="e">
        <f t="shared" si="271"/>
        <v>#DIV/0!</v>
      </c>
      <c r="Y1669" s="19" t="e">
        <f t="shared" si="272"/>
        <v>#DIV/0!</v>
      </c>
      <c r="Z1669">
        <v>0</v>
      </c>
      <c r="AA1669">
        <v>4</v>
      </c>
      <c r="AB1669">
        <v>0</v>
      </c>
      <c r="AC1669">
        <v>870</v>
      </c>
      <c r="AD1669">
        <v>0</v>
      </c>
      <c r="AE1669">
        <v>0</v>
      </c>
      <c r="AF1669">
        <v>0</v>
      </c>
      <c r="AG1669">
        <v>332</v>
      </c>
      <c r="AH1669">
        <v>332</v>
      </c>
      <c r="AI1669">
        <v>0</v>
      </c>
      <c r="AJ1669">
        <v>0</v>
      </c>
      <c r="AK1669">
        <v>2908</v>
      </c>
      <c r="AL1669">
        <v>2908</v>
      </c>
      <c r="AM1669">
        <v>0</v>
      </c>
      <c r="AN1669">
        <v>0</v>
      </c>
      <c r="AO1669">
        <v>128</v>
      </c>
      <c r="AP1669">
        <v>10</v>
      </c>
      <c r="AQ1669">
        <v>128</v>
      </c>
      <c r="AR1669">
        <v>118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23</v>
      </c>
      <c r="BA1669">
        <v>23</v>
      </c>
      <c r="BB1669">
        <v>0</v>
      </c>
      <c r="BC1669">
        <v>0</v>
      </c>
      <c r="BD1669">
        <v>0</v>
      </c>
      <c r="BE1669">
        <f t="shared" si="273"/>
        <v>7780</v>
      </c>
      <c r="BF1669">
        <v>4265</v>
      </c>
      <c r="BG1669">
        <v>4265</v>
      </c>
      <c r="BH1669" t="s">
        <v>82</v>
      </c>
      <c r="BI1669" t="s">
        <v>1582</v>
      </c>
      <c r="BJ1669">
        <v>874</v>
      </c>
      <c r="BK1669">
        <v>3391</v>
      </c>
      <c r="BL1669">
        <v>4265</v>
      </c>
      <c r="BM1669">
        <v>0</v>
      </c>
      <c r="BN1669">
        <v>0</v>
      </c>
      <c r="BO1669">
        <v>0</v>
      </c>
      <c r="BP1669">
        <v>3391</v>
      </c>
      <c r="BQ1669">
        <v>3391</v>
      </c>
      <c r="BR1669">
        <f t="shared" si="274"/>
        <v>-199</v>
      </c>
      <c r="BS1669">
        <f t="shared" si="275"/>
        <v>199</v>
      </c>
    </row>
    <row r="1670" spans="1:74" x14ac:dyDescent="0.25">
      <c r="A1670" s="5" t="s">
        <v>1661</v>
      </c>
      <c r="B1670" s="5" t="s">
        <v>61</v>
      </c>
      <c r="C1670" s="5" t="s">
        <v>359</v>
      </c>
      <c r="D1670" s="1" t="s">
        <v>125</v>
      </c>
      <c r="E1670">
        <v>0</v>
      </c>
      <c r="F1670">
        <v>66</v>
      </c>
      <c r="G1670">
        <v>0</v>
      </c>
      <c r="H1670">
        <v>0</v>
      </c>
      <c r="I1670">
        <v>100</v>
      </c>
      <c r="J1670">
        <v>2958</v>
      </c>
      <c r="K1670">
        <v>160</v>
      </c>
      <c r="L1670">
        <v>14</v>
      </c>
      <c r="M1670">
        <v>0</v>
      </c>
      <c r="N1670">
        <v>0</v>
      </c>
      <c r="O1670">
        <v>0</v>
      </c>
      <c r="P1670">
        <v>396</v>
      </c>
      <c r="Q1670">
        <v>243</v>
      </c>
      <c r="R1670">
        <v>44</v>
      </c>
      <c r="S1670" s="18">
        <f t="shared" si="266"/>
        <v>9</v>
      </c>
      <c r="T1670" s="17">
        <f t="shared" si="267"/>
        <v>0</v>
      </c>
      <c r="U1670" s="17">
        <f t="shared" si="268"/>
        <v>0</v>
      </c>
      <c r="V1670" s="17">
        <f t="shared" si="269"/>
        <v>0</v>
      </c>
      <c r="W1670" s="17">
        <f t="shared" si="270"/>
        <v>44</v>
      </c>
      <c r="X1670" s="17">
        <f t="shared" si="271"/>
        <v>199</v>
      </c>
      <c r="Y1670" s="19">
        <f t="shared" si="272"/>
        <v>0</v>
      </c>
      <c r="Z1670">
        <v>66</v>
      </c>
      <c r="AA1670">
        <v>0</v>
      </c>
      <c r="AB1670">
        <v>0</v>
      </c>
      <c r="AC1670">
        <v>1833</v>
      </c>
      <c r="AD1670">
        <v>0</v>
      </c>
      <c r="AE1670">
        <v>0</v>
      </c>
      <c r="AF1670">
        <v>0</v>
      </c>
      <c r="AG1670">
        <v>100</v>
      </c>
      <c r="AH1670">
        <v>100</v>
      </c>
      <c r="AI1670">
        <v>0</v>
      </c>
      <c r="AJ1670">
        <v>0</v>
      </c>
      <c r="AK1670">
        <v>2958</v>
      </c>
      <c r="AL1670">
        <v>2958</v>
      </c>
      <c r="AM1670">
        <v>0</v>
      </c>
      <c r="AN1670">
        <v>0</v>
      </c>
      <c r="AO1670">
        <v>160</v>
      </c>
      <c r="AP1670">
        <v>60</v>
      </c>
      <c r="AQ1670">
        <v>160</v>
      </c>
      <c r="AR1670">
        <v>100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14</v>
      </c>
      <c r="BA1670">
        <v>14</v>
      </c>
      <c r="BB1670">
        <v>0</v>
      </c>
      <c r="BC1670">
        <v>0</v>
      </c>
      <c r="BD1670">
        <v>0</v>
      </c>
      <c r="BE1670">
        <f t="shared" si="273"/>
        <v>8457</v>
      </c>
      <c r="BF1670">
        <v>5131</v>
      </c>
      <c r="BG1670">
        <v>5131</v>
      </c>
      <c r="BH1670" t="s">
        <v>82</v>
      </c>
      <c r="BI1670" t="s">
        <v>1062</v>
      </c>
      <c r="BJ1670">
        <v>1833</v>
      </c>
      <c r="BK1670">
        <v>3232</v>
      </c>
      <c r="BL1670">
        <v>5131</v>
      </c>
      <c r="BM1670">
        <v>0</v>
      </c>
      <c r="BN1670">
        <v>0</v>
      </c>
      <c r="BO1670">
        <v>0</v>
      </c>
      <c r="BP1670">
        <v>3628</v>
      </c>
      <c r="BQ1670">
        <v>3628</v>
      </c>
      <c r="BR1670">
        <f t="shared" si="274"/>
        <v>-199</v>
      </c>
      <c r="BS1670">
        <f t="shared" si="275"/>
        <v>287</v>
      </c>
    </row>
    <row r="1671" spans="1:74" x14ac:dyDescent="0.25">
      <c r="A1671" s="5" t="s">
        <v>61</v>
      </c>
      <c r="B1671" s="5" t="s">
        <v>61</v>
      </c>
      <c r="C1671" s="5" t="s">
        <v>61</v>
      </c>
      <c r="D1671" s="1" t="s">
        <v>131</v>
      </c>
      <c r="E1671">
        <v>0</v>
      </c>
      <c r="F1671">
        <v>95</v>
      </c>
      <c r="G1671">
        <v>0</v>
      </c>
      <c r="H1671">
        <v>0</v>
      </c>
      <c r="I1671">
        <v>1159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558</v>
      </c>
      <c r="Q1671">
        <v>262</v>
      </c>
      <c r="R1671">
        <v>62</v>
      </c>
      <c r="S1671" s="18">
        <f t="shared" si="266"/>
        <v>9</v>
      </c>
      <c r="T1671" s="17">
        <f t="shared" si="267"/>
        <v>0</v>
      </c>
      <c r="U1671" s="17">
        <f t="shared" si="268"/>
        <v>0</v>
      </c>
      <c r="V1671" s="17">
        <f t="shared" si="269"/>
        <v>0</v>
      </c>
      <c r="W1671" s="17">
        <f t="shared" si="270"/>
        <v>62</v>
      </c>
      <c r="X1671" s="17">
        <f t="shared" si="271"/>
        <v>200</v>
      </c>
      <c r="Y1671" s="19">
        <f t="shared" si="272"/>
        <v>0</v>
      </c>
      <c r="Z1671">
        <v>95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1159</v>
      </c>
      <c r="AH1671">
        <v>1159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f t="shared" si="273"/>
        <v>2318</v>
      </c>
      <c r="BF1671">
        <v>1254</v>
      </c>
      <c r="BG1671">
        <v>1254</v>
      </c>
      <c r="BH1671" t="s">
        <v>109</v>
      </c>
      <c r="BI1671" t="s">
        <v>132</v>
      </c>
      <c r="BJ1671">
        <v>0</v>
      </c>
      <c r="BK1671">
        <v>1159</v>
      </c>
      <c r="BL1671">
        <v>1254</v>
      </c>
      <c r="BM1671">
        <v>0</v>
      </c>
      <c r="BN1671">
        <v>0</v>
      </c>
      <c r="BO1671">
        <v>0</v>
      </c>
      <c r="BP1671">
        <v>1717</v>
      </c>
      <c r="BQ1671">
        <v>1717</v>
      </c>
      <c r="BR1671">
        <f t="shared" si="274"/>
        <v>-200</v>
      </c>
      <c r="BS1671">
        <f t="shared" si="275"/>
        <v>324</v>
      </c>
    </row>
    <row r="1672" spans="1:74" x14ac:dyDescent="0.25">
      <c r="A1672" s="5" t="s">
        <v>359</v>
      </c>
      <c r="B1672" s="5" t="s">
        <v>61</v>
      </c>
      <c r="C1672" s="5" t="s">
        <v>61</v>
      </c>
      <c r="D1672" s="1" t="s">
        <v>131</v>
      </c>
      <c r="E1672">
        <v>0</v>
      </c>
      <c r="F1672">
        <v>0</v>
      </c>
      <c r="G1672">
        <v>0</v>
      </c>
      <c r="H1672">
        <v>0</v>
      </c>
      <c r="I1672">
        <v>95</v>
      </c>
      <c r="J1672">
        <v>5000</v>
      </c>
      <c r="K1672">
        <v>2300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200</v>
      </c>
      <c r="R1672">
        <v>0</v>
      </c>
      <c r="S1672" s="18" t="e">
        <f t="shared" si="266"/>
        <v>#DIV/0!</v>
      </c>
      <c r="T1672" s="17" t="e">
        <f t="shared" si="267"/>
        <v>#DIV/0!</v>
      </c>
      <c r="U1672" s="17" t="e">
        <f t="shared" si="268"/>
        <v>#DIV/0!</v>
      </c>
      <c r="V1672" s="17" t="e">
        <f t="shared" si="269"/>
        <v>#DIV/0!</v>
      </c>
      <c r="W1672" s="17" t="e">
        <f t="shared" si="270"/>
        <v>#DIV/0!</v>
      </c>
      <c r="X1672" s="17" t="e">
        <f t="shared" si="271"/>
        <v>#DIV/0!</v>
      </c>
      <c r="Y1672" s="19" t="e">
        <f t="shared" si="272"/>
        <v>#DIV/0!</v>
      </c>
      <c r="Z1672">
        <v>0</v>
      </c>
      <c r="AA1672">
        <v>0</v>
      </c>
      <c r="AB1672">
        <v>116</v>
      </c>
      <c r="AC1672">
        <v>10800</v>
      </c>
      <c r="AD1672">
        <v>0</v>
      </c>
      <c r="AE1672">
        <v>0</v>
      </c>
      <c r="AF1672">
        <v>0</v>
      </c>
      <c r="AG1672">
        <v>95</v>
      </c>
      <c r="AH1672">
        <v>95</v>
      </c>
      <c r="AI1672">
        <v>0</v>
      </c>
      <c r="AJ1672">
        <v>0</v>
      </c>
      <c r="AK1672">
        <v>5000</v>
      </c>
      <c r="AL1672">
        <v>5000</v>
      </c>
      <c r="AM1672">
        <v>0</v>
      </c>
      <c r="AN1672">
        <v>0</v>
      </c>
      <c r="AO1672">
        <v>2300</v>
      </c>
      <c r="AP1672">
        <v>1700</v>
      </c>
      <c r="AQ1672">
        <v>2300</v>
      </c>
      <c r="AR1672">
        <v>600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f t="shared" si="273"/>
        <v>27890</v>
      </c>
      <c r="BF1672">
        <v>18311</v>
      </c>
      <c r="BG1672">
        <v>18311</v>
      </c>
      <c r="BH1672" t="s">
        <v>82</v>
      </c>
      <c r="BI1672" t="s">
        <v>728</v>
      </c>
      <c r="BJ1672">
        <v>10916</v>
      </c>
      <c r="BK1672">
        <v>7395</v>
      </c>
      <c r="BL1672">
        <v>18311</v>
      </c>
      <c r="BM1672">
        <v>0</v>
      </c>
      <c r="BN1672">
        <v>0</v>
      </c>
      <c r="BO1672">
        <v>0</v>
      </c>
      <c r="BP1672">
        <v>7395</v>
      </c>
      <c r="BQ1672">
        <v>7395</v>
      </c>
      <c r="BR1672">
        <f t="shared" si="274"/>
        <v>-200</v>
      </c>
      <c r="BS1672">
        <f t="shared" si="275"/>
        <v>200</v>
      </c>
    </row>
    <row r="1673" spans="1:74" x14ac:dyDescent="0.25">
      <c r="A1673" s="5" t="s">
        <v>1337</v>
      </c>
      <c r="B1673" s="5" t="s">
        <v>359</v>
      </c>
      <c r="C1673" s="5" t="s">
        <v>61</v>
      </c>
      <c r="D1673" s="1" t="s">
        <v>100</v>
      </c>
      <c r="E1673">
        <v>0</v>
      </c>
      <c r="F1673">
        <v>280</v>
      </c>
      <c r="G1673">
        <v>0</v>
      </c>
      <c r="H1673">
        <v>0</v>
      </c>
      <c r="I1673">
        <v>690</v>
      </c>
      <c r="J1673">
        <v>0</v>
      </c>
      <c r="K1673">
        <v>0</v>
      </c>
      <c r="L1673">
        <v>0</v>
      </c>
      <c r="M1673">
        <v>0</v>
      </c>
      <c r="N1673">
        <v>1125</v>
      </c>
      <c r="O1673">
        <v>0</v>
      </c>
      <c r="P1673">
        <v>1395</v>
      </c>
      <c r="Q1673">
        <v>480</v>
      </c>
      <c r="R1673">
        <v>280</v>
      </c>
      <c r="S1673" s="18">
        <f t="shared" si="266"/>
        <v>9</v>
      </c>
      <c r="T1673" s="17">
        <f t="shared" si="267"/>
        <v>0</v>
      </c>
      <c r="U1673" s="17">
        <f t="shared" si="268"/>
        <v>125</v>
      </c>
      <c r="V1673" s="17">
        <f t="shared" si="269"/>
        <v>0</v>
      </c>
      <c r="W1673" s="17">
        <f t="shared" si="270"/>
        <v>155</v>
      </c>
      <c r="X1673" s="17">
        <f t="shared" si="271"/>
        <v>200</v>
      </c>
      <c r="Y1673" s="19">
        <f t="shared" si="272"/>
        <v>0</v>
      </c>
      <c r="Z1673">
        <v>280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690</v>
      </c>
      <c r="AH1673">
        <v>690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f t="shared" si="273"/>
        <v>1380</v>
      </c>
      <c r="BF1673">
        <v>970</v>
      </c>
      <c r="BG1673">
        <v>970</v>
      </c>
      <c r="BH1673" t="s">
        <v>109</v>
      </c>
      <c r="BI1673" t="s">
        <v>799</v>
      </c>
      <c r="BJ1673">
        <v>0</v>
      </c>
      <c r="BK1673">
        <v>690</v>
      </c>
      <c r="BL1673">
        <v>970</v>
      </c>
      <c r="BM1673">
        <v>0</v>
      </c>
      <c r="BN1673">
        <v>1125</v>
      </c>
      <c r="BO1673">
        <v>0</v>
      </c>
      <c r="BP1673">
        <v>2085</v>
      </c>
      <c r="BQ1673">
        <v>3210</v>
      </c>
      <c r="BR1673">
        <f t="shared" si="274"/>
        <v>-200</v>
      </c>
      <c r="BS1673">
        <f t="shared" si="275"/>
        <v>760</v>
      </c>
    </row>
    <row r="1674" spans="1:74" x14ac:dyDescent="0.25">
      <c r="A1674" s="5" t="s">
        <v>359</v>
      </c>
      <c r="B1674" s="5" t="s">
        <v>627</v>
      </c>
      <c r="C1674" s="5" t="s">
        <v>61</v>
      </c>
      <c r="D1674" s="1" t="s">
        <v>69</v>
      </c>
      <c r="E1674">
        <v>0</v>
      </c>
      <c r="F1674">
        <v>0</v>
      </c>
      <c r="G1674">
        <v>0</v>
      </c>
      <c r="H1674">
        <v>0</v>
      </c>
      <c r="I1674">
        <v>2160</v>
      </c>
      <c r="J1674">
        <v>0</v>
      </c>
      <c r="K1674">
        <v>40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133</v>
      </c>
      <c r="R1674">
        <v>0</v>
      </c>
      <c r="S1674" s="18" t="e">
        <f t="shared" si="266"/>
        <v>#DIV/0!</v>
      </c>
      <c r="T1674" s="17" t="e">
        <f t="shared" si="267"/>
        <v>#DIV/0!</v>
      </c>
      <c r="U1674" s="17" t="e">
        <f t="shared" si="268"/>
        <v>#DIV/0!</v>
      </c>
      <c r="V1674" s="17" t="e">
        <f t="shared" si="269"/>
        <v>#DIV/0!</v>
      </c>
      <c r="W1674" s="17" t="e">
        <f t="shared" si="270"/>
        <v>#DIV/0!</v>
      </c>
      <c r="X1674" s="17" t="e">
        <f t="shared" si="271"/>
        <v>#DIV/0!</v>
      </c>
      <c r="Y1674" s="19" t="e">
        <f t="shared" si="272"/>
        <v>#DIV/0!</v>
      </c>
      <c r="Z1674">
        <v>0</v>
      </c>
      <c r="AA1674">
        <v>0</v>
      </c>
      <c r="AB1674">
        <v>0</v>
      </c>
      <c r="AC1674">
        <v>45</v>
      </c>
      <c r="AD1674">
        <v>0</v>
      </c>
      <c r="AE1674">
        <v>0</v>
      </c>
      <c r="AF1674">
        <v>0</v>
      </c>
      <c r="AG1674">
        <v>2160</v>
      </c>
      <c r="AH1674">
        <v>2160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40</v>
      </c>
      <c r="AP1674">
        <v>20</v>
      </c>
      <c r="AQ1674">
        <v>40</v>
      </c>
      <c r="AR1674">
        <v>20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f t="shared" si="273"/>
        <v>4485</v>
      </c>
      <c r="BF1674">
        <v>2245</v>
      </c>
      <c r="BG1674">
        <v>2245</v>
      </c>
      <c r="BH1674" t="s">
        <v>63</v>
      </c>
      <c r="BI1674" t="s">
        <v>795</v>
      </c>
      <c r="BJ1674">
        <v>45</v>
      </c>
      <c r="BK1674">
        <v>2200</v>
      </c>
      <c r="BL1674">
        <v>2245</v>
      </c>
      <c r="BM1674">
        <v>0</v>
      </c>
      <c r="BN1674">
        <v>0</v>
      </c>
      <c r="BO1674">
        <v>0</v>
      </c>
      <c r="BP1674">
        <v>2200</v>
      </c>
      <c r="BQ1674">
        <v>2200</v>
      </c>
      <c r="BR1674">
        <f t="shared" si="274"/>
        <v>-133</v>
      </c>
      <c r="BS1674">
        <f t="shared" si="275"/>
        <v>133</v>
      </c>
      <c r="BU1674">
        <f>R1674*9</f>
        <v>0</v>
      </c>
      <c r="BV1674">
        <f>IF(BU1674&gt;BG1674, 1, 0)</f>
        <v>0</v>
      </c>
    </row>
    <row r="1675" spans="1:74" x14ac:dyDescent="0.25">
      <c r="A1675" s="5" t="s">
        <v>1661</v>
      </c>
      <c r="B1675" s="5" t="s">
        <v>207</v>
      </c>
      <c r="C1675" s="5" t="s">
        <v>207</v>
      </c>
      <c r="D1675" s="1" t="s">
        <v>196</v>
      </c>
      <c r="E1675">
        <v>498</v>
      </c>
      <c r="F1675">
        <v>10</v>
      </c>
      <c r="G1675">
        <v>0</v>
      </c>
      <c r="H1675">
        <v>0</v>
      </c>
      <c r="I1675">
        <v>88</v>
      </c>
      <c r="J1675">
        <v>3339</v>
      </c>
      <c r="K1675">
        <v>1211</v>
      </c>
      <c r="L1675">
        <v>11</v>
      </c>
      <c r="M1675">
        <v>0</v>
      </c>
      <c r="N1675">
        <v>0</v>
      </c>
      <c r="O1675">
        <v>0</v>
      </c>
      <c r="P1675">
        <v>45</v>
      </c>
      <c r="Q1675">
        <v>205</v>
      </c>
      <c r="R1675">
        <v>5</v>
      </c>
      <c r="S1675" s="18">
        <f t="shared" si="266"/>
        <v>9</v>
      </c>
      <c r="T1675" s="17">
        <f t="shared" si="267"/>
        <v>0</v>
      </c>
      <c r="U1675" s="17">
        <f t="shared" si="268"/>
        <v>0</v>
      </c>
      <c r="V1675" s="17">
        <f t="shared" si="269"/>
        <v>0</v>
      </c>
      <c r="W1675" s="17">
        <f t="shared" si="270"/>
        <v>5</v>
      </c>
      <c r="X1675" s="17">
        <f t="shared" si="271"/>
        <v>200</v>
      </c>
      <c r="Y1675" s="19">
        <f t="shared" si="272"/>
        <v>0</v>
      </c>
      <c r="Z1675">
        <v>10</v>
      </c>
      <c r="AA1675">
        <v>4</v>
      </c>
      <c r="AB1675">
        <v>0</v>
      </c>
      <c r="AC1675">
        <v>2147</v>
      </c>
      <c r="AD1675">
        <v>0</v>
      </c>
      <c r="AE1675">
        <v>0</v>
      </c>
      <c r="AF1675">
        <v>0</v>
      </c>
      <c r="AG1675">
        <v>88</v>
      </c>
      <c r="AH1675">
        <v>88</v>
      </c>
      <c r="AI1675">
        <v>0</v>
      </c>
      <c r="AJ1675">
        <v>0</v>
      </c>
      <c r="AK1675">
        <v>3339</v>
      </c>
      <c r="AL1675">
        <v>3339</v>
      </c>
      <c r="AM1675">
        <v>0</v>
      </c>
      <c r="AN1675">
        <v>0</v>
      </c>
      <c r="AO1675">
        <v>1211</v>
      </c>
      <c r="AP1675">
        <v>779</v>
      </c>
      <c r="AQ1675">
        <v>1211</v>
      </c>
      <c r="AR1675">
        <v>432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11</v>
      </c>
      <c r="BA1675">
        <v>11</v>
      </c>
      <c r="BB1675">
        <v>0</v>
      </c>
      <c r="BC1675">
        <v>0</v>
      </c>
      <c r="BD1675">
        <v>0</v>
      </c>
      <c r="BE1675">
        <f t="shared" si="273"/>
        <v>12656</v>
      </c>
      <c r="BF1675">
        <v>7308</v>
      </c>
      <c r="BG1675">
        <v>7308</v>
      </c>
      <c r="BH1675" t="s">
        <v>82</v>
      </c>
      <c r="BI1675" t="s">
        <v>1853</v>
      </c>
      <c r="BJ1675">
        <v>2649</v>
      </c>
      <c r="BK1675">
        <v>4649</v>
      </c>
      <c r="BL1675">
        <v>7308</v>
      </c>
      <c r="BM1675">
        <v>0</v>
      </c>
      <c r="BN1675">
        <v>0</v>
      </c>
      <c r="BO1675">
        <v>0</v>
      </c>
      <c r="BP1675">
        <v>4694</v>
      </c>
      <c r="BQ1675">
        <v>4694</v>
      </c>
      <c r="BR1675">
        <f t="shared" si="274"/>
        <v>-200</v>
      </c>
      <c r="BS1675">
        <f t="shared" si="275"/>
        <v>210</v>
      </c>
    </row>
    <row r="1676" spans="1:74" x14ac:dyDescent="0.25">
      <c r="A1676" s="5" t="s">
        <v>61</v>
      </c>
      <c r="B1676" s="5" t="s">
        <v>61</v>
      </c>
      <c r="C1676" s="5" t="s">
        <v>61</v>
      </c>
      <c r="D1676" s="1" t="s">
        <v>135</v>
      </c>
      <c r="E1676">
        <v>0</v>
      </c>
      <c r="F1676">
        <v>130</v>
      </c>
      <c r="G1676">
        <v>0</v>
      </c>
      <c r="H1676">
        <v>0</v>
      </c>
      <c r="I1676">
        <v>235</v>
      </c>
      <c r="J1676">
        <v>0</v>
      </c>
      <c r="K1676">
        <v>0</v>
      </c>
      <c r="L1676">
        <v>0</v>
      </c>
      <c r="M1676">
        <v>630</v>
      </c>
      <c r="N1676">
        <v>0</v>
      </c>
      <c r="O1676">
        <v>0</v>
      </c>
      <c r="P1676">
        <v>0</v>
      </c>
      <c r="Q1676">
        <v>271</v>
      </c>
      <c r="R1676">
        <v>70</v>
      </c>
      <c r="S1676" s="18">
        <f t="shared" si="266"/>
        <v>9</v>
      </c>
      <c r="T1676" s="17">
        <f t="shared" si="267"/>
        <v>70</v>
      </c>
      <c r="U1676" s="17">
        <f t="shared" si="268"/>
        <v>0</v>
      </c>
      <c r="V1676" s="17">
        <f t="shared" si="269"/>
        <v>0</v>
      </c>
      <c r="W1676" s="17">
        <f t="shared" si="270"/>
        <v>0</v>
      </c>
      <c r="X1676" s="17">
        <f t="shared" si="271"/>
        <v>201</v>
      </c>
      <c r="Y1676" s="19">
        <f t="shared" si="272"/>
        <v>0</v>
      </c>
      <c r="Z1676">
        <v>130</v>
      </c>
      <c r="AA1676">
        <v>0</v>
      </c>
      <c r="AB1676">
        <v>0</v>
      </c>
      <c r="AC1676">
        <v>0</v>
      </c>
      <c r="AD1676">
        <v>235</v>
      </c>
      <c r="AE1676">
        <v>0</v>
      </c>
      <c r="AF1676">
        <v>0</v>
      </c>
      <c r="AG1676">
        <v>0</v>
      </c>
      <c r="AH1676">
        <v>235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f t="shared" si="273"/>
        <v>470</v>
      </c>
      <c r="BF1676">
        <v>365</v>
      </c>
      <c r="BG1676">
        <v>365</v>
      </c>
      <c r="BH1676" t="s">
        <v>109</v>
      </c>
      <c r="BI1676" t="s">
        <v>136</v>
      </c>
      <c r="BJ1676">
        <v>0</v>
      </c>
      <c r="BK1676">
        <v>235</v>
      </c>
      <c r="BL1676">
        <v>365</v>
      </c>
      <c r="BM1676">
        <v>865</v>
      </c>
      <c r="BN1676">
        <v>0</v>
      </c>
      <c r="BO1676">
        <v>0</v>
      </c>
      <c r="BP1676">
        <v>0</v>
      </c>
      <c r="BQ1676">
        <v>865</v>
      </c>
      <c r="BR1676">
        <f t="shared" si="274"/>
        <v>-201</v>
      </c>
      <c r="BS1676">
        <f t="shared" si="275"/>
        <v>341</v>
      </c>
    </row>
    <row r="1677" spans="1:74" x14ac:dyDescent="0.25">
      <c r="A1677" s="5" t="s">
        <v>207</v>
      </c>
      <c r="B1677" s="5" t="s">
        <v>61</v>
      </c>
      <c r="C1677" s="5" t="s">
        <v>359</v>
      </c>
      <c r="D1677" s="1" t="s">
        <v>106</v>
      </c>
      <c r="E1677">
        <v>0</v>
      </c>
      <c r="F1677">
        <v>40</v>
      </c>
      <c r="G1677">
        <v>0</v>
      </c>
      <c r="H1677">
        <v>0</v>
      </c>
      <c r="I1677">
        <v>116</v>
      </c>
      <c r="J1677">
        <v>3300</v>
      </c>
      <c r="K1677">
        <v>253</v>
      </c>
      <c r="L1677">
        <v>19</v>
      </c>
      <c r="M1677">
        <v>0</v>
      </c>
      <c r="N1677">
        <v>0</v>
      </c>
      <c r="O1677">
        <v>0</v>
      </c>
      <c r="P1677">
        <v>180</v>
      </c>
      <c r="Q1677">
        <v>221</v>
      </c>
      <c r="R1677">
        <v>20</v>
      </c>
      <c r="S1677" s="18">
        <f t="shared" si="266"/>
        <v>9</v>
      </c>
      <c r="T1677" s="17">
        <f t="shared" si="267"/>
        <v>0</v>
      </c>
      <c r="U1677" s="17">
        <f t="shared" si="268"/>
        <v>0</v>
      </c>
      <c r="V1677" s="17">
        <f t="shared" si="269"/>
        <v>0</v>
      </c>
      <c r="W1677" s="17">
        <f t="shared" si="270"/>
        <v>20</v>
      </c>
      <c r="X1677" s="17">
        <f t="shared" si="271"/>
        <v>201</v>
      </c>
      <c r="Y1677" s="19">
        <f t="shared" si="272"/>
        <v>0</v>
      </c>
      <c r="Z1677">
        <v>40</v>
      </c>
      <c r="AA1677">
        <v>4</v>
      </c>
      <c r="AB1677">
        <v>127</v>
      </c>
      <c r="AC1677">
        <v>1153</v>
      </c>
      <c r="AD1677">
        <v>0</v>
      </c>
      <c r="AE1677">
        <v>0</v>
      </c>
      <c r="AF1677">
        <v>0</v>
      </c>
      <c r="AG1677">
        <v>116</v>
      </c>
      <c r="AH1677">
        <v>116</v>
      </c>
      <c r="AI1677">
        <v>0</v>
      </c>
      <c r="AJ1677">
        <v>0</v>
      </c>
      <c r="AK1677">
        <v>3300</v>
      </c>
      <c r="AL1677">
        <v>3300</v>
      </c>
      <c r="AM1677">
        <v>0</v>
      </c>
      <c r="AN1677">
        <v>0</v>
      </c>
      <c r="AO1677">
        <v>253</v>
      </c>
      <c r="AP1677">
        <v>106</v>
      </c>
      <c r="AQ1677">
        <v>253</v>
      </c>
      <c r="AR1677">
        <v>147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19</v>
      </c>
      <c r="BA1677">
        <v>19</v>
      </c>
      <c r="BB1677">
        <v>0</v>
      </c>
      <c r="BC1677">
        <v>0</v>
      </c>
      <c r="BD1677">
        <v>0</v>
      </c>
      <c r="BE1677">
        <f t="shared" si="273"/>
        <v>8782</v>
      </c>
      <c r="BF1677">
        <v>5012</v>
      </c>
      <c r="BG1677">
        <v>5012</v>
      </c>
      <c r="BH1677" t="s">
        <v>82</v>
      </c>
      <c r="BI1677" t="s">
        <v>519</v>
      </c>
      <c r="BJ1677">
        <v>1284</v>
      </c>
      <c r="BK1677">
        <v>3688</v>
      </c>
      <c r="BL1677">
        <v>5012</v>
      </c>
      <c r="BM1677">
        <v>0</v>
      </c>
      <c r="BN1677">
        <v>0</v>
      </c>
      <c r="BO1677">
        <v>0</v>
      </c>
      <c r="BP1677">
        <v>3868</v>
      </c>
      <c r="BQ1677">
        <v>3868</v>
      </c>
      <c r="BR1677">
        <f t="shared" si="274"/>
        <v>-201</v>
      </c>
      <c r="BS1677">
        <f t="shared" si="275"/>
        <v>241</v>
      </c>
    </row>
    <row r="1678" spans="1:74" x14ac:dyDescent="0.25">
      <c r="A1678" s="5" t="s">
        <v>207</v>
      </c>
      <c r="B1678" s="5" t="s">
        <v>627</v>
      </c>
      <c r="C1678" s="5" t="s">
        <v>61</v>
      </c>
      <c r="D1678" s="1" t="s">
        <v>102</v>
      </c>
      <c r="E1678">
        <v>0</v>
      </c>
      <c r="F1678">
        <v>0</v>
      </c>
      <c r="G1678">
        <v>0</v>
      </c>
      <c r="H1678">
        <v>0</v>
      </c>
      <c r="I1678">
        <v>190</v>
      </c>
      <c r="J1678">
        <v>2710</v>
      </c>
      <c r="K1678">
        <v>203</v>
      </c>
      <c r="L1678">
        <v>36</v>
      </c>
      <c r="M1678">
        <v>0</v>
      </c>
      <c r="N1678">
        <v>0</v>
      </c>
      <c r="O1678">
        <v>0</v>
      </c>
      <c r="P1678">
        <v>0</v>
      </c>
      <c r="Q1678">
        <v>201</v>
      </c>
      <c r="R1678">
        <v>0</v>
      </c>
      <c r="S1678" s="18" t="e">
        <f t="shared" si="266"/>
        <v>#DIV/0!</v>
      </c>
      <c r="T1678" s="17" t="e">
        <f t="shared" si="267"/>
        <v>#DIV/0!</v>
      </c>
      <c r="U1678" s="17" t="e">
        <f t="shared" si="268"/>
        <v>#DIV/0!</v>
      </c>
      <c r="V1678" s="17" t="e">
        <f t="shared" si="269"/>
        <v>#DIV/0!</v>
      </c>
      <c r="W1678" s="17" t="e">
        <f t="shared" si="270"/>
        <v>#DIV/0!</v>
      </c>
      <c r="X1678" s="17" t="e">
        <f t="shared" si="271"/>
        <v>#DIV/0!</v>
      </c>
      <c r="Y1678" s="19" t="e">
        <f t="shared" si="272"/>
        <v>#DIV/0!</v>
      </c>
      <c r="Z1678">
        <v>0</v>
      </c>
      <c r="AA1678">
        <v>6</v>
      </c>
      <c r="AB1678">
        <v>0</v>
      </c>
      <c r="AC1678">
        <v>1632</v>
      </c>
      <c r="AD1678">
        <v>0</v>
      </c>
      <c r="AE1678">
        <v>190</v>
      </c>
      <c r="AF1678">
        <v>0</v>
      </c>
      <c r="AG1678">
        <v>0</v>
      </c>
      <c r="AH1678">
        <v>190</v>
      </c>
      <c r="AI1678">
        <v>0</v>
      </c>
      <c r="AJ1678">
        <v>2010</v>
      </c>
      <c r="AK1678">
        <v>700</v>
      </c>
      <c r="AL1678">
        <v>2710</v>
      </c>
      <c r="AM1678">
        <v>0</v>
      </c>
      <c r="AN1678">
        <v>0</v>
      </c>
      <c r="AO1678">
        <v>203</v>
      </c>
      <c r="AP1678">
        <v>100</v>
      </c>
      <c r="AQ1678">
        <v>203</v>
      </c>
      <c r="AR1678">
        <v>103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36</v>
      </c>
      <c r="BA1678">
        <v>36</v>
      </c>
      <c r="BB1678">
        <v>0</v>
      </c>
      <c r="BC1678">
        <v>0</v>
      </c>
      <c r="BD1678">
        <v>0</v>
      </c>
      <c r="BE1678">
        <f t="shared" si="273"/>
        <v>8113</v>
      </c>
      <c r="BF1678">
        <v>4777</v>
      </c>
      <c r="BG1678">
        <v>4777</v>
      </c>
      <c r="BH1678" t="s">
        <v>82</v>
      </c>
      <c r="BI1678" t="s">
        <v>645</v>
      </c>
      <c r="BJ1678">
        <v>1638</v>
      </c>
      <c r="BK1678">
        <v>3139</v>
      </c>
      <c r="BL1678">
        <v>4777</v>
      </c>
      <c r="BM1678">
        <v>0</v>
      </c>
      <c r="BN1678">
        <v>2200</v>
      </c>
      <c r="BO1678">
        <v>0</v>
      </c>
      <c r="BP1678">
        <v>939</v>
      </c>
      <c r="BQ1678">
        <v>3139</v>
      </c>
      <c r="BR1678">
        <f t="shared" si="274"/>
        <v>-201</v>
      </c>
      <c r="BS1678">
        <f t="shared" si="275"/>
        <v>201</v>
      </c>
    </row>
    <row r="1679" spans="1:74" x14ac:dyDescent="0.25">
      <c r="A1679" s="5" t="s">
        <v>359</v>
      </c>
      <c r="B1679" s="5" t="s">
        <v>359</v>
      </c>
      <c r="C1679" s="5" t="s">
        <v>61</v>
      </c>
      <c r="D1679" s="1" t="s">
        <v>98</v>
      </c>
      <c r="E1679">
        <v>25</v>
      </c>
      <c r="F1679">
        <v>492</v>
      </c>
      <c r="G1679">
        <v>0</v>
      </c>
      <c r="H1679">
        <v>0</v>
      </c>
      <c r="I1679">
        <v>308</v>
      </c>
      <c r="J1679">
        <v>3145</v>
      </c>
      <c r="K1679">
        <v>209</v>
      </c>
      <c r="L1679">
        <v>0</v>
      </c>
      <c r="M1679">
        <v>0</v>
      </c>
      <c r="N1679">
        <v>0</v>
      </c>
      <c r="O1679">
        <v>0</v>
      </c>
      <c r="P1679">
        <v>855</v>
      </c>
      <c r="Q1679">
        <v>296</v>
      </c>
      <c r="R1679">
        <v>95</v>
      </c>
      <c r="S1679" s="18">
        <f t="shared" si="266"/>
        <v>9</v>
      </c>
      <c r="T1679" s="17">
        <f t="shared" si="267"/>
        <v>0</v>
      </c>
      <c r="U1679" s="17">
        <f t="shared" si="268"/>
        <v>0</v>
      </c>
      <c r="V1679" s="17">
        <f t="shared" si="269"/>
        <v>0</v>
      </c>
      <c r="W1679" s="17">
        <f t="shared" si="270"/>
        <v>95</v>
      </c>
      <c r="X1679" s="17">
        <f t="shared" si="271"/>
        <v>201</v>
      </c>
      <c r="Y1679" s="19">
        <f t="shared" si="272"/>
        <v>0</v>
      </c>
      <c r="Z1679">
        <v>492</v>
      </c>
      <c r="AA1679">
        <v>300</v>
      </c>
      <c r="AB1679">
        <v>320</v>
      </c>
      <c r="AC1679">
        <v>800</v>
      </c>
      <c r="AD1679">
        <v>0</v>
      </c>
      <c r="AE1679">
        <v>0</v>
      </c>
      <c r="AF1679">
        <v>0</v>
      </c>
      <c r="AG1679">
        <v>308</v>
      </c>
      <c r="AH1679">
        <v>308</v>
      </c>
      <c r="AI1679">
        <v>0</v>
      </c>
      <c r="AJ1679">
        <v>0</v>
      </c>
      <c r="AK1679">
        <v>3145</v>
      </c>
      <c r="AL1679">
        <v>3145</v>
      </c>
      <c r="AM1679">
        <v>0</v>
      </c>
      <c r="AN1679">
        <v>0</v>
      </c>
      <c r="AO1679">
        <v>209</v>
      </c>
      <c r="AP1679">
        <v>122</v>
      </c>
      <c r="AQ1679">
        <v>209</v>
      </c>
      <c r="AR1679">
        <v>87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f t="shared" si="273"/>
        <v>8333</v>
      </c>
      <c r="BF1679">
        <v>5599</v>
      </c>
      <c r="BG1679">
        <v>5599</v>
      </c>
      <c r="BH1679" t="s">
        <v>82</v>
      </c>
      <c r="BI1679" t="s">
        <v>773</v>
      </c>
      <c r="BJ1679">
        <v>1445</v>
      </c>
      <c r="BK1679">
        <v>3662</v>
      </c>
      <c r="BL1679">
        <v>5599</v>
      </c>
      <c r="BM1679">
        <v>0</v>
      </c>
      <c r="BN1679">
        <v>0</v>
      </c>
      <c r="BO1679">
        <v>0</v>
      </c>
      <c r="BP1679">
        <v>4517</v>
      </c>
      <c r="BQ1679">
        <v>4517</v>
      </c>
      <c r="BR1679">
        <f t="shared" si="274"/>
        <v>-201</v>
      </c>
      <c r="BS1679">
        <f t="shared" si="275"/>
        <v>391</v>
      </c>
    </row>
    <row r="1680" spans="1:74" x14ac:dyDescent="0.25">
      <c r="A1680" s="5" t="s">
        <v>1946</v>
      </c>
      <c r="B1680" s="5" t="s">
        <v>61</v>
      </c>
      <c r="C1680" s="5" t="s">
        <v>61</v>
      </c>
      <c r="D1680" s="1" t="s">
        <v>167</v>
      </c>
      <c r="E1680">
        <v>0</v>
      </c>
      <c r="F1680">
        <v>1600</v>
      </c>
      <c r="G1680">
        <v>0</v>
      </c>
      <c r="H1680">
        <v>0</v>
      </c>
      <c r="I1680">
        <v>540</v>
      </c>
      <c r="J1680">
        <v>3150</v>
      </c>
      <c r="K1680">
        <v>230</v>
      </c>
      <c r="L1680">
        <v>140</v>
      </c>
      <c r="M1680">
        <v>0</v>
      </c>
      <c r="N1680">
        <v>0</v>
      </c>
      <c r="O1680">
        <v>0</v>
      </c>
      <c r="P1680">
        <v>5094</v>
      </c>
      <c r="Q1680">
        <v>767</v>
      </c>
      <c r="R1680">
        <v>566</v>
      </c>
      <c r="S1680" s="18">
        <f t="shared" si="266"/>
        <v>9</v>
      </c>
      <c r="T1680" s="17">
        <f t="shared" si="267"/>
        <v>0</v>
      </c>
      <c r="U1680" s="17">
        <f t="shared" si="268"/>
        <v>0</v>
      </c>
      <c r="V1680" s="17">
        <f t="shared" si="269"/>
        <v>0</v>
      </c>
      <c r="W1680" s="17">
        <f t="shared" si="270"/>
        <v>566</v>
      </c>
      <c r="X1680" s="17">
        <f t="shared" si="271"/>
        <v>201</v>
      </c>
      <c r="Y1680" s="19">
        <f t="shared" si="272"/>
        <v>0</v>
      </c>
      <c r="Z1680">
        <v>1600</v>
      </c>
      <c r="AA1680">
        <v>0</v>
      </c>
      <c r="AB1680">
        <v>0</v>
      </c>
      <c r="AC1680">
        <v>845</v>
      </c>
      <c r="AD1680">
        <v>0</v>
      </c>
      <c r="AE1680">
        <v>0</v>
      </c>
      <c r="AF1680">
        <v>0</v>
      </c>
      <c r="AG1680">
        <v>540</v>
      </c>
      <c r="AH1680">
        <v>540</v>
      </c>
      <c r="AI1680">
        <v>0</v>
      </c>
      <c r="AJ1680">
        <v>0</v>
      </c>
      <c r="AK1680">
        <v>3150</v>
      </c>
      <c r="AL1680">
        <v>3150</v>
      </c>
      <c r="AM1680">
        <v>0</v>
      </c>
      <c r="AN1680">
        <v>0</v>
      </c>
      <c r="AO1680">
        <v>230</v>
      </c>
      <c r="AP1680">
        <v>30</v>
      </c>
      <c r="AQ1680">
        <v>230</v>
      </c>
      <c r="AR1680">
        <v>200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140</v>
      </c>
      <c r="BA1680">
        <v>140</v>
      </c>
      <c r="BB1680">
        <v>0</v>
      </c>
      <c r="BC1680">
        <v>0</v>
      </c>
      <c r="BD1680">
        <v>0</v>
      </c>
      <c r="BE1680">
        <f t="shared" si="273"/>
        <v>9195</v>
      </c>
      <c r="BF1680">
        <v>6505</v>
      </c>
      <c r="BG1680">
        <v>6505</v>
      </c>
      <c r="BH1680" t="s">
        <v>190</v>
      </c>
      <c r="BI1680" t="s">
        <v>1995</v>
      </c>
      <c r="BJ1680">
        <v>845</v>
      </c>
      <c r="BK1680">
        <v>4060</v>
      </c>
      <c r="BL1680">
        <v>6505</v>
      </c>
      <c r="BM1680">
        <v>0</v>
      </c>
      <c r="BN1680">
        <v>0</v>
      </c>
      <c r="BO1680">
        <v>0</v>
      </c>
      <c r="BP1680">
        <v>9154</v>
      </c>
      <c r="BQ1680">
        <v>9154</v>
      </c>
      <c r="BR1680">
        <f t="shared" si="274"/>
        <v>-201</v>
      </c>
      <c r="BS1680">
        <f t="shared" si="275"/>
        <v>1333</v>
      </c>
    </row>
    <row r="1681" spans="1:74" x14ac:dyDescent="0.25">
      <c r="A1681" s="5" t="s">
        <v>1946</v>
      </c>
      <c r="B1681" s="5" t="s">
        <v>207</v>
      </c>
      <c r="C1681" s="5" t="s">
        <v>61</v>
      </c>
      <c r="D1681" s="1" t="s">
        <v>84</v>
      </c>
      <c r="E1681">
        <v>0</v>
      </c>
      <c r="F1681">
        <v>170</v>
      </c>
      <c r="G1681">
        <v>0</v>
      </c>
      <c r="H1681">
        <v>0</v>
      </c>
      <c r="I1681">
        <v>800</v>
      </c>
      <c r="J1681">
        <v>0</v>
      </c>
      <c r="K1681">
        <v>500</v>
      </c>
      <c r="L1681">
        <v>0</v>
      </c>
      <c r="M1681">
        <v>306</v>
      </c>
      <c r="N1681">
        <v>0</v>
      </c>
      <c r="O1681">
        <v>0</v>
      </c>
      <c r="P1681">
        <v>0</v>
      </c>
      <c r="Q1681">
        <v>235</v>
      </c>
      <c r="R1681">
        <v>34</v>
      </c>
      <c r="S1681" s="18">
        <f t="shared" si="266"/>
        <v>9</v>
      </c>
      <c r="T1681" s="17">
        <f t="shared" si="267"/>
        <v>34</v>
      </c>
      <c r="U1681" s="17">
        <f t="shared" si="268"/>
        <v>0</v>
      </c>
      <c r="V1681" s="17">
        <f t="shared" si="269"/>
        <v>0</v>
      </c>
      <c r="W1681" s="17">
        <f t="shared" si="270"/>
        <v>0</v>
      </c>
      <c r="X1681" s="17">
        <f t="shared" si="271"/>
        <v>201</v>
      </c>
      <c r="Y1681" s="19">
        <f t="shared" si="272"/>
        <v>0</v>
      </c>
      <c r="Z1681">
        <v>170</v>
      </c>
      <c r="AA1681">
        <v>0</v>
      </c>
      <c r="AB1681">
        <v>0</v>
      </c>
      <c r="AC1681">
        <v>0</v>
      </c>
      <c r="AD1681">
        <v>800</v>
      </c>
      <c r="AE1681">
        <v>0</v>
      </c>
      <c r="AF1681">
        <v>0</v>
      </c>
      <c r="AG1681">
        <v>0</v>
      </c>
      <c r="AH1681">
        <v>800</v>
      </c>
      <c r="AI1681">
        <v>0</v>
      </c>
      <c r="AJ1681">
        <v>0</v>
      </c>
      <c r="AK1681">
        <v>0</v>
      </c>
      <c r="AL1681">
        <v>0</v>
      </c>
      <c r="AM1681">
        <v>500</v>
      </c>
      <c r="AN1681">
        <v>0</v>
      </c>
      <c r="AO1681">
        <v>0</v>
      </c>
      <c r="AP1681">
        <v>250</v>
      </c>
      <c r="AQ1681">
        <v>500</v>
      </c>
      <c r="AR1681">
        <v>250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f t="shared" si="273"/>
        <v>3100</v>
      </c>
      <c r="BF1681">
        <v>1470</v>
      </c>
      <c r="BG1681">
        <v>1470</v>
      </c>
      <c r="BH1681" t="s">
        <v>109</v>
      </c>
      <c r="BI1681" t="s">
        <v>2019</v>
      </c>
      <c r="BJ1681">
        <v>0</v>
      </c>
      <c r="BK1681">
        <v>1300</v>
      </c>
      <c r="BL1681">
        <v>1470</v>
      </c>
      <c r="BM1681">
        <v>1606</v>
      </c>
      <c r="BN1681">
        <v>0</v>
      </c>
      <c r="BO1681">
        <v>0</v>
      </c>
      <c r="BP1681">
        <v>0</v>
      </c>
      <c r="BQ1681">
        <v>1606</v>
      </c>
      <c r="BR1681">
        <f t="shared" si="274"/>
        <v>-201</v>
      </c>
      <c r="BS1681">
        <f t="shared" si="275"/>
        <v>269</v>
      </c>
    </row>
    <row r="1682" spans="1:74" x14ac:dyDescent="0.25">
      <c r="A1682" s="5" t="s">
        <v>2090</v>
      </c>
      <c r="B1682" s="5" t="s">
        <v>61</v>
      </c>
      <c r="C1682" s="5" t="s">
        <v>61</v>
      </c>
      <c r="D1682" s="1" t="s">
        <v>2201</v>
      </c>
      <c r="E1682">
        <v>0</v>
      </c>
      <c r="F1682">
        <v>923</v>
      </c>
      <c r="G1682">
        <v>0</v>
      </c>
      <c r="H1682">
        <v>0</v>
      </c>
      <c r="I1682">
        <v>295</v>
      </c>
      <c r="J1682">
        <v>1320</v>
      </c>
      <c r="K1682">
        <v>738</v>
      </c>
      <c r="L1682">
        <v>89</v>
      </c>
      <c r="M1682">
        <v>0</v>
      </c>
      <c r="N1682">
        <v>0</v>
      </c>
      <c r="O1682">
        <v>0</v>
      </c>
      <c r="P1682">
        <v>855</v>
      </c>
      <c r="Q1682">
        <v>296</v>
      </c>
      <c r="R1682">
        <v>95</v>
      </c>
      <c r="S1682" s="18">
        <f t="shared" si="266"/>
        <v>9</v>
      </c>
      <c r="T1682" s="17">
        <f t="shared" si="267"/>
        <v>0</v>
      </c>
      <c r="U1682" s="17">
        <f t="shared" si="268"/>
        <v>0</v>
      </c>
      <c r="V1682" s="17">
        <f t="shared" si="269"/>
        <v>0</v>
      </c>
      <c r="W1682" s="17">
        <f t="shared" si="270"/>
        <v>95</v>
      </c>
      <c r="X1682" s="17">
        <f t="shared" si="271"/>
        <v>201</v>
      </c>
      <c r="Y1682" s="19">
        <f t="shared" si="272"/>
        <v>0</v>
      </c>
      <c r="Z1682">
        <v>923</v>
      </c>
      <c r="AA1682">
        <v>0</v>
      </c>
      <c r="AB1682">
        <v>0</v>
      </c>
      <c r="AC1682">
        <v>700</v>
      </c>
      <c r="AD1682">
        <v>0</v>
      </c>
      <c r="AE1682">
        <v>0</v>
      </c>
      <c r="AF1682">
        <v>0</v>
      </c>
      <c r="AG1682">
        <v>295</v>
      </c>
      <c r="AH1682">
        <v>295</v>
      </c>
      <c r="AI1682">
        <v>0</v>
      </c>
      <c r="AJ1682">
        <v>0</v>
      </c>
      <c r="AK1682">
        <v>1320</v>
      </c>
      <c r="AL1682">
        <v>1320</v>
      </c>
      <c r="AM1682">
        <v>0</v>
      </c>
      <c r="AN1682">
        <v>0</v>
      </c>
      <c r="AO1682">
        <v>738</v>
      </c>
      <c r="AP1682">
        <v>464</v>
      </c>
      <c r="AQ1682">
        <v>738</v>
      </c>
      <c r="AR1682">
        <v>274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89</v>
      </c>
      <c r="BA1682">
        <v>89</v>
      </c>
      <c r="BB1682">
        <v>0</v>
      </c>
      <c r="BC1682">
        <v>0</v>
      </c>
      <c r="BD1682">
        <v>0</v>
      </c>
      <c r="BE1682">
        <f t="shared" si="273"/>
        <v>6322</v>
      </c>
      <c r="BF1682">
        <v>4065</v>
      </c>
      <c r="BG1682">
        <v>4065</v>
      </c>
      <c r="BH1682" t="s">
        <v>82</v>
      </c>
      <c r="BI1682" t="s">
        <v>2202</v>
      </c>
      <c r="BJ1682">
        <v>700</v>
      </c>
      <c r="BK1682">
        <v>2442</v>
      </c>
      <c r="BL1682">
        <v>4065</v>
      </c>
      <c r="BM1682">
        <v>0</v>
      </c>
      <c r="BN1682">
        <v>0</v>
      </c>
      <c r="BO1682">
        <v>0</v>
      </c>
      <c r="BP1682">
        <v>3297</v>
      </c>
      <c r="BQ1682">
        <v>3297</v>
      </c>
      <c r="BR1682">
        <f t="shared" si="274"/>
        <v>-201</v>
      </c>
      <c r="BS1682">
        <f t="shared" si="275"/>
        <v>391</v>
      </c>
    </row>
    <row r="1683" spans="1:74" x14ac:dyDescent="0.25">
      <c r="A1683" s="5" t="s">
        <v>1661</v>
      </c>
      <c r="B1683" s="5" t="s">
        <v>207</v>
      </c>
      <c r="C1683" s="5" t="s">
        <v>61</v>
      </c>
      <c r="D1683" s="1" t="s">
        <v>71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1800</v>
      </c>
      <c r="K1683">
        <v>0</v>
      </c>
      <c r="L1683">
        <v>80</v>
      </c>
      <c r="M1683">
        <v>0</v>
      </c>
      <c r="N1683">
        <v>0</v>
      </c>
      <c r="O1683">
        <v>0</v>
      </c>
      <c r="P1683">
        <v>0</v>
      </c>
      <c r="Q1683">
        <v>133</v>
      </c>
      <c r="R1683">
        <v>0</v>
      </c>
      <c r="S1683" s="18" t="e">
        <f t="shared" si="266"/>
        <v>#DIV/0!</v>
      </c>
      <c r="T1683" s="17" t="e">
        <f t="shared" si="267"/>
        <v>#DIV/0!</v>
      </c>
      <c r="U1683" s="17" t="e">
        <f t="shared" si="268"/>
        <v>#DIV/0!</v>
      </c>
      <c r="V1683" s="17" t="e">
        <f t="shared" si="269"/>
        <v>#DIV/0!</v>
      </c>
      <c r="W1683" s="17" t="e">
        <f t="shared" si="270"/>
        <v>#DIV/0!</v>
      </c>
      <c r="X1683" s="17" t="e">
        <f t="shared" si="271"/>
        <v>#DIV/0!</v>
      </c>
      <c r="Y1683" s="19" t="e">
        <f t="shared" si="272"/>
        <v>#DIV/0!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1800</v>
      </c>
      <c r="AL1683">
        <v>1800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80</v>
      </c>
      <c r="BA1683">
        <v>80</v>
      </c>
      <c r="BB1683">
        <v>0</v>
      </c>
      <c r="BC1683">
        <v>0</v>
      </c>
      <c r="BD1683">
        <v>0</v>
      </c>
      <c r="BE1683">
        <f t="shared" si="273"/>
        <v>3760</v>
      </c>
      <c r="BF1683">
        <v>1880</v>
      </c>
      <c r="BG1683">
        <v>1880</v>
      </c>
      <c r="BH1683" t="s">
        <v>63</v>
      </c>
      <c r="BI1683" t="s">
        <v>1762</v>
      </c>
      <c r="BJ1683">
        <v>0</v>
      </c>
      <c r="BK1683">
        <v>1880</v>
      </c>
      <c r="BL1683">
        <v>1880</v>
      </c>
      <c r="BM1683">
        <v>0</v>
      </c>
      <c r="BN1683">
        <v>0</v>
      </c>
      <c r="BO1683">
        <v>0</v>
      </c>
      <c r="BP1683">
        <v>1880</v>
      </c>
      <c r="BQ1683">
        <v>1880</v>
      </c>
      <c r="BR1683">
        <f t="shared" si="274"/>
        <v>-133</v>
      </c>
      <c r="BS1683">
        <f t="shared" si="275"/>
        <v>133</v>
      </c>
      <c r="BU1683">
        <f>R1683*9</f>
        <v>0</v>
      </c>
      <c r="BV1683">
        <f>IF(BU1683&gt;BG1683, 1, 0)</f>
        <v>0</v>
      </c>
    </row>
    <row r="1684" spans="1:74" x14ac:dyDescent="0.25">
      <c r="A1684" s="5" t="s">
        <v>1451</v>
      </c>
      <c r="B1684" s="5" t="s">
        <v>359</v>
      </c>
      <c r="C1684" s="5" t="s">
        <v>61</v>
      </c>
      <c r="D1684" s="1" t="s">
        <v>141</v>
      </c>
      <c r="E1684">
        <v>0</v>
      </c>
      <c r="F1684">
        <v>160</v>
      </c>
      <c r="G1684">
        <v>0</v>
      </c>
      <c r="H1684">
        <v>0</v>
      </c>
      <c r="I1684">
        <v>50</v>
      </c>
      <c r="J1684">
        <v>3311</v>
      </c>
      <c r="K1684">
        <v>485</v>
      </c>
      <c r="L1684">
        <v>45</v>
      </c>
      <c r="M1684">
        <v>0</v>
      </c>
      <c r="N1684">
        <v>0</v>
      </c>
      <c r="O1684">
        <v>0</v>
      </c>
      <c r="P1684">
        <v>1512</v>
      </c>
      <c r="Q1684">
        <v>370</v>
      </c>
      <c r="R1684">
        <v>168</v>
      </c>
      <c r="S1684" s="18">
        <f t="shared" si="266"/>
        <v>9</v>
      </c>
      <c r="T1684" s="17">
        <f t="shared" si="267"/>
        <v>0</v>
      </c>
      <c r="U1684" s="17">
        <f t="shared" si="268"/>
        <v>0</v>
      </c>
      <c r="V1684" s="17">
        <f t="shared" si="269"/>
        <v>0</v>
      </c>
      <c r="W1684" s="17">
        <f t="shared" si="270"/>
        <v>168</v>
      </c>
      <c r="X1684" s="17">
        <f t="shared" si="271"/>
        <v>202</v>
      </c>
      <c r="Y1684" s="19">
        <f t="shared" si="272"/>
        <v>0</v>
      </c>
      <c r="Z1684">
        <v>160</v>
      </c>
      <c r="AA1684">
        <v>0</v>
      </c>
      <c r="AB1684">
        <v>90</v>
      </c>
      <c r="AC1684">
        <v>1850</v>
      </c>
      <c r="AD1684">
        <v>0</v>
      </c>
      <c r="AE1684">
        <v>0</v>
      </c>
      <c r="AF1684">
        <v>0</v>
      </c>
      <c r="AG1684">
        <v>50</v>
      </c>
      <c r="AH1684">
        <v>50</v>
      </c>
      <c r="AI1684">
        <v>0</v>
      </c>
      <c r="AJ1684">
        <v>0</v>
      </c>
      <c r="AK1684">
        <v>3311</v>
      </c>
      <c r="AL1684">
        <v>3311</v>
      </c>
      <c r="AM1684">
        <v>0</v>
      </c>
      <c r="AN1684">
        <v>0</v>
      </c>
      <c r="AO1684">
        <v>485</v>
      </c>
      <c r="AP1684">
        <v>165</v>
      </c>
      <c r="AQ1684">
        <v>485</v>
      </c>
      <c r="AR1684">
        <v>320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45</v>
      </c>
      <c r="BA1684">
        <v>45</v>
      </c>
      <c r="BB1684">
        <v>0</v>
      </c>
      <c r="BC1684">
        <v>0</v>
      </c>
      <c r="BD1684">
        <v>0</v>
      </c>
      <c r="BE1684">
        <f t="shared" si="273"/>
        <v>10117</v>
      </c>
      <c r="BF1684">
        <v>5991</v>
      </c>
      <c r="BG1684">
        <v>5991</v>
      </c>
      <c r="BH1684" t="s">
        <v>82</v>
      </c>
      <c r="BI1684" t="s">
        <v>1633</v>
      </c>
      <c r="BJ1684">
        <v>1940</v>
      </c>
      <c r="BK1684">
        <v>3891</v>
      </c>
      <c r="BL1684">
        <v>5991</v>
      </c>
      <c r="BM1684">
        <v>0</v>
      </c>
      <c r="BN1684">
        <v>0</v>
      </c>
      <c r="BO1684">
        <v>0</v>
      </c>
      <c r="BP1684">
        <v>5403</v>
      </c>
      <c r="BQ1684">
        <v>5403</v>
      </c>
      <c r="BR1684">
        <f t="shared" si="274"/>
        <v>-202</v>
      </c>
      <c r="BS1684">
        <f t="shared" si="275"/>
        <v>538</v>
      </c>
    </row>
    <row r="1685" spans="1:74" x14ac:dyDescent="0.25">
      <c r="A1685" s="5" t="s">
        <v>875</v>
      </c>
      <c r="B1685" s="5" t="s">
        <v>61</v>
      </c>
      <c r="C1685" s="5" t="s">
        <v>207</v>
      </c>
      <c r="D1685" s="1" t="s">
        <v>88</v>
      </c>
      <c r="E1685">
        <v>0</v>
      </c>
      <c r="F1685">
        <v>0</v>
      </c>
      <c r="G1685">
        <v>0</v>
      </c>
      <c r="H1685">
        <v>0</v>
      </c>
      <c r="I1685">
        <v>569</v>
      </c>
      <c r="J1685">
        <v>1450</v>
      </c>
      <c r="K1685">
        <v>138</v>
      </c>
      <c r="L1685">
        <v>50</v>
      </c>
      <c r="M1685">
        <v>0</v>
      </c>
      <c r="N1685">
        <v>0</v>
      </c>
      <c r="O1685">
        <v>0</v>
      </c>
      <c r="P1685">
        <v>0</v>
      </c>
      <c r="Q1685">
        <v>134</v>
      </c>
      <c r="R1685">
        <v>0</v>
      </c>
      <c r="S1685" s="18" t="e">
        <f t="shared" si="266"/>
        <v>#DIV/0!</v>
      </c>
      <c r="T1685" s="17" t="e">
        <f t="shared" si="267"/>
        <v>#DIV/0!</v>
      </c>
      <c r="U1685" s="17" t="e">
        <f t="shared" si="268"/>
        <v>#DIV/0!</v>
      </c>
      <c r="V1685" s="17" t="e">
        <f t="shared" si="269"/>
        <v>#DIV/0!</v>
      </c>
      <c r="W1685" s="17" t="e">
        <f t="shared" si="270"/>
        <v>#DIV/0!</v>
      </c>
      <c r="X1685" s="17" t="e">
        <f t="shared" si="271"/>
        <v>#DIV/0!</v>
      </c>
      <c r="Y1685" s="19" t="e">
        <f t="shared" si="272"/>
        <v>#DIV/0!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450</v>
      </c>
      <c r="AF1685">
        <v>0</v>
      </c>
      <c r="AG1685">
        <v>119</v>
      </c>
      <c r="AH1685">
        <v>569</v>
      </c>
      <c r="AI1685">
        <v>0</v>
      </c>
      <c r="AJ1685">
        <v>1450</v>
      </c>
      <c r="AK1685">
        <v>0</v>
      </c>
      <c r="AL1685">
        <v>1450</v>
      </c>
      <c r="AM1685">
        <v>0</v>
      </c>
      <c r="AN1685">
        <v>0</v>
      </c>
      <c r="AO1685">
        <v>138</v>
      </c>
      <c r="AP1685">
        <v>58</v>
      </c>
      <c r="AQ1685">
        <v>138</v>
      </c>
      <c r="AR1685">
        <v>80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15</v>
      </c>
      <c r="AZ1685">
        <v>35</v>
      </c>
      <c r="BA1685">
        <v>50</v>
      </c>
      <c r="BB1685">
        <v>0</v>
      </c>
      <c r="BC1685">
        <v>0</v>
      </c>
      <c r="BD1685">
        <v>0</v>
      </c>
      <c r="BE1685">
        <f t="shared" si="273"/>
        <v>4552</v>
      </c>
      <c r="BF1685">
        <v>2207</v>
      </c>
      <c r="BG1685">
        <v>2207</v>
      </c>
      <c r="BH1685" t="s">
        <v>63</v>
      </c>
      <c r="BI1685" t="s">
        <v>887</v>
      </c>
      <c r="BJ1685">
        <v>0</v>
      </c>
      <c r="BK1685">
        <v>2207</v>
      </c>
      <c r="BL1685">
        <v>2207</v>
      </c>
      <c r="BM1685">
        <v>0</v>
      </c>
      <c r="BN1685">
        <v>1915</v>
      </c>
      <c r="BO1685">
        <v>0</v>
      </c>
      <c r="BP1685">
        <v>292</v>
      </c>
      <c r="BQ1685">
        <v>2207</v>
      </c>
      <c r="BR1685">
        <f t="shared" si="274"/>
        <v>-134</v>
      </c>
      <c r="BS1685">
        <f t="shared" si="275"/>
        <v>134</v>
      </c>
      <c r="BU1685">
        <f>R1685*9</f>
        <v>0</v>
      </c>
      <c r="BV1685">
        <f>IF(BU1685&gt;BG1685, 1, 0)</f>
        <v>0</v>
      </c>
    </row>
    <row r="1686" spans="1:74" x14ac:dyDescent="0.25">
      <c r="A1686" s="5" t="s">
        <v>61</v>
      </c>
      <c r="B1686" s="5" t="s">
        <v>207</v>
      </c>
      <c r="C1686" s="5" t="s">
        <v>207</v>
      </c>
      <c r="D1686" s="1" t="s">
        <v>86</v>
      </c>
      <c r="E1686">
        <v>0</v>
      </c>
      <c r="F1686">
        <v>7</v>
      </c>
      <c r="G1686">
        <v>0</v>
      </c>
      <c r="H1686">
        <v>0</v>
      </c>
      <c r="I1686">
        <v>177</v>
      </c>
      <c r="J1686">
        <v>3160</v>
      </c>
      <c r="K1686">
        <v>96</v>
      </c>
      <c r="L1686">
        <v>25</v>
      </c>
      <c r="M1686">
        <v>0</v>
      </c>
      <c r="N1686">
        <v>0</v>
      </c>
      <c r="O1686">
        <v>0</v>
      </c>
      <c r="P1686">
        <v>63</v>
      </c>
      <c r="Q1686">
        <v>210</v>
      </c>
      <c r="R1686">
        <v>7</v>
      </c>
      <c r="S1686" s="18">
        <f t="shared" si="266"/>
        <v>9</v>
      </c>
      <c r="T1686" s="17">
        <f t="shared" si="267"/>
        <v>0</v>
      </c>
      <c r="U1686" s="17">
        <f t="shared" si="268"/>
        <v>0</v>
      </c>
      <c r="V1686" s="17">
        <f t="shared" si="269"/>
        <v>0</v>
      </c>
      <c r="W1686" s="17">
        <f t="shared" si="270"/>
        <v>7</v>
      </c>
      <c r="X1686" s="17">
        <f t="shared" si="271"/>
        <v>203</v>
      </c>
      <c r="Y1686" s="19">
        <f t="shared" si="272"/>
        <v>0</v>
      </c>
      <c r="Z1686">
        <v>7</v>
      </c>
      <c r="AA1686">
        <v>50</v>
      </c>
      <c r="AB1686">
        <v>313</v>
      </c>
      <c r="AC1686">
        <v>3760</v>
      </c>
      <c r="AD1686">
        <v>0</v>
      </c>
      <c r="AE1686">
        <v>0</v>
      </c>
      <c r="AF1686">
        <v>0</v>
      </c>
      <c r="AG1686">
        <v>177</v>
      </c>
      <c r="AH1686">
        <v>177</v>
      </c>
      <c r="AI1686">
        <v>0</v>
      </c>
      <c r="AJ1686">
        <v>0</v>
      </c>
      <c r="AK1686">
        <v>3160</v>
      </c>
      <c r="AL1686">
        <v>3160</v>
      </c>
      <c r="AM1686">
        <v>0</v>
      </c>
      <c r="AN1686">
        <v>0</v>
      </c>
      <c r="AO1686">
        <v>96</v>
      </c>
      <c r="AP1686">
        <v>51</v>
      </c>
      <c r="AQ1686">
        <v>96</v>
      </c>
      <c r="AR1686">
        <v>45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25</v>
      </c>
      <c r="BA1686">
        <v>25</v>
      </c>
      <c r="BB1686">
        <v>0</v>
      </c>
      <c r="BC1686">
        <v>0</v>
      </c>
      <c r="BD1686">
        <v>0</v>
      </c>
      <c r="BE1686">
        <f t="shared" si="273"/>
        <v>10772</v>
      </c>
      <c r="BF1686">
        <v>7588</v>
      </c>
      <c r="BG1686">
        <v>7588</v>
      </c>
      <c r="BH1686" t="s">
        <v>82</v>
      </c>
      <c r="BI1686" t="s">
        <v>290</v>
      </c>
      <c r="BJ1686">
        <v>4123</v>
      </c>
      <c r="BK1686">
        <v>3458</v>
      </c>
      <c r="BL1686">
        <v>7588</v>
      </c>
      <c r="BM1686">
        <v>0</v>
      </c>
      <c r="BN1686">
        <v>0</v>
      </c>
      <c r="BO1686">
        <v>0</v>
      </c>
      <c r="BP1686">
        <v>3521</v>
      </c>
      <c r="BQ1686">
        <v>3521</v>
      </c>
      <c r="BR1686">
        <f t="shared" si="274"/>
        <v>-203</v>
      </c>
      <c r="BS1686">
        <f t="shared" si="275"/>
        <v>217</v>
      </c>
    </row>
    <row r="1687" spans="1:74" x14ac:dyDescent="0.25">
      <c r="A1687" s="5" t="s">
        <v>1661</v>
      </c>
      <c r="B1687" s="5" t="s">
        <v>207</v>
      </c>
      <c r="C1687" s="5" t="s">
        <v>207</v>
      </c>
      <c r="D1687" s="1" t="s">
        <v>71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840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137</v>
      </c>
      <c r="R1687">
        <v>0</v>
      </c>
      <c r="S1687" s="18" t="e">
        <f t="shared" si="266"/>
        <v>#DIV/0!</v>
      </c>
      <c r="T1687" s="17" t="e">
        <f t="shared" si="267"/>
        <v>#DIV/0!</v>
      </c>
      <c r="U1687" s="17" t="e">
        <f t="shared" si="268"/>
        <v>#DIV/0!</v>
      </c>
      <c r="V1687" s="17" t="e">
        <f t="shared" si="269"/>
        <v>#DIV/0!</v>
      </c>
      <c r="W1687" s="17" t="e">
        <f t="shared" si="270"/>
        <v>#DIV/0!</v>
      </c>
      <c r="X1687" s="17" t="e">
        <f t="shared" si="271"/>
        <v>#DIV/0!</v>
      </c>
      <c r="Y1687" s="19" t="e">
        <f t="shared" si="272"/>
        <v>#DIV/0!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840</v>
      </c>
      <c r="AL1687">
        <v>840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f t="shared" si="273"/>
        <v>1680</v>
      </c>
      <c r="BF1687">
        <v>840</v>
      </c>
      <c r="BG1687">
        <v>840</v>
      </c>
      <c r="BH1687" t="s">
        <v>63</v>
      </c>
      <c r="BI1687" t="s">
        <v>709</v>
      </c>
      <c r="BJ1687">
        <v>0</v>
      </c>
      <c r="BK1687">
        <v>840</v>
      </c>
      <c r="BL1687">
        <v>840</v>
      </c>
      <c r="BM1687">
        <v>0</v>
      </c>
      <c r="BN1687">
        <v>0</v>
      </c>
      <c r="BO1687">
        <v>0</v>
      </c>
      <c r="BP1687">
        <v>840</v>
      </c>
      <c r="BQ1687">
        <v>840</v>
      </c>
      <c r="BR1687">
        <f t="shared" si="274"/>
        <v>-137</v>
      </c>
      <c r="BS1687">
        <f t="shared" si="275"/>
        <v>137</v>
      </c>
      <c r="BU1687">
        <f>R1687*9</f>
        <v>0</v>
      </c>
      <c r="BV1687">
        <f>IF(BU1687&gt;BG1687, 1, 0)</f>
        <v>0</v>
      </c>
    </row>
    <row r="1688" spans="1:74" x14ac:dyDescent="0.25">
      <c r="A1688" s="5" t="s">
        <v>627</v>
      </c>
      <c r="B1688" s="5" t="s">
        <v>61</v>
      </c>
      <c r="C1688" s="5" t="s">
        <v>61</v>
      </c>
      <c r="D1688" s="1" t="s">
        <v>62</v>
      </c>
      <c r="E1688">
        <v>0</v>
      </c>
      <c r="F1688">
        <v>0</v>
      </c>
      <c r="G1688">
        <v>0</v>
      </c>
      <c r="H1688">
        <v>0</v>
      </c>
      <c r="I1688">
        <v>1225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139</v>
      </c>
      <c r="R1688">
        <v>0</v>
      </c>
      <c r="S1688" s="18" t="e">
        <f t="shared" si="266"/>
        <v>#DIV/0!</v>
      </c>
      <c r="T1688" s="17" t="e">
        <f t="shared" si="267"/>
        <v>#DIV/0!</v>
      </c>
      <c r="U1688" s="17" t="e">
        <f t="shared" si="268"/>
        <v>#DIV/0!</v>
      </c>
      <c r="V1688" s="17" t="e">
        <f t="shared" si="269"/>
        <v>#DIV/0!</v>
      </c>
      <c r="W1688" s="17" t="e">
        <f t="shared" si="270"/>
        <v>#DIV/0!</v>
      </c>
      <c r="X1688" s="17" t="e">
        <f t="shared" si="271"/>
        <v>#DIV/0!</v>
      </c>
      <c r="Y1688" s="19" t="e">
        <f t="shared" si="272"/>
        <v>#DIV/0!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1225</v>
      </c>
      <c r="AH1688">
        <v>1225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f t="shared" si="273"/>
        <v>2450</v>
      </c>
      <c r="BF1688">
        <v>1225</v>
      </c>
      <c r="BG1688">
        <v>1225</v>
      </c>
      <c r="BH1688" t="s">
        <v>63</v>
      </c>
      <c r="BI1688" t="s">
        <v>810</v>
      </c>
      <c r="BJ1688">
        <v>0</v>
      </c>
      <c r="BK1688">
        <v>1225</v>
      </c>
      <c r="BL1688">
        <v>1225</v>
      </c>
      <c r="BM1688">
        <v>0</v>
      </c>
      <c r="BN1688">
        <v>0</v>
      </c>
      <c r="BO1688">
        <v>0</v>
      </c>
      <c r="BP1688">
        <v>1225</v>
      </c>
      <c r="BQ1688">
        <v>1225</v>
      </c>
      <c r="BR1688">
        <f t="shared" si="274"/>
        <v>-139</v>
      </c>
      <c r="BS1688">
        <f t="shared" si="275"/>
        <v>139</v>
      </c>
      <c r="BU1688">
        <f>R1688*9</f>
        <v>0</v>
      </c>
      <c r="BV1688">
        <f>IF(BU1688&gt;BG1688, 1, 0)</f>
        <v>0</v>
      </c>
    </row>
    <row r="1689" spans="1:74" x14ac:dyDescent="0.25">
      <c r="A1689" s="5" t="s">
        <v>875</v>
      </c>
      <c r="B1689" s="5" t="s">
        <v>61</v>
      </c>
      <c r="C1689" s="5" t="s">
        <v>207</v>
      </c>
      <c r="D1689" s="1" t="s">
        <v>67</v>
      </c>
      <c r="E1689">
        <v>0</v>
      </c>
      <c r="F1689">
        <v>0</v>
      </c>
      <c r="G1689">
        <v>0</v>
      </c>
      <c r="H1689">
        <v>0</v>
      </c>
      <c r="I1689">
        <v>2350</v>
      </c>
      <c r="J1689">
        <v>550</v>
      </c>
      <c r="K1689">
        <v>1335</v>
      </c>
      <c r="L1689">
        <v>15</v>
      </c>
      <c r="M1689">
        <v>0</v>
      </c>
      <c r="N1689">
        <v>0</v>
      </c>
      <c r="O1689">
        <v>0</v>
      </c>
      <c r="P1689">
        <v>0</v>
      </c>
      <c r="Q1689">
        <v>140</v>
      </c>
      <c r="R1689">
        <v>0</v>
      </c>
      <c r="S1689" s="18" t="e">
        <f t="shared" si="266"/>
        <v>#DIV/0!</v>
      </c>
      <c r="T1689" s="17" t="e">
        <f t="shared" si="267"/>
        <v>#DIV/0!</v>
      </c>
      <c r="U1689" s="17" t="e">
        <f t="shared" si="268"/>
        <v>#DIV/0!</v>
      </c>
      <c r="V1689" s="17" t="e">
        <f t="shared" si="269"/>
        <v>#DIV/0!</v>
      </c>
      <c r="W1689" s="17" t="e">
        <f t="shared" si="270"/>
        <v>#DIV/0!</v>
      </c>
      <c r="X1689" s="17" t="e">
        <f t="shared" si="271"/>
        <v>#DIV/0!</v>
      </c>
      <c r="Y1689" s="19" t="e">
        <f t="shared" si="272"/>
        <v>#DIV/0!</v>
      </c>
      <c r="Z1689">
        <v>0</v>
      </c>
      <c r="AA1689">
        <v>0</v>
      </c>
      <c r="AB1689">
        <v>0</v>
      </c>
      <c r="AC1689">
        <v>185</v>
      </c>
      <c r="AD1689">
        <v>0</v>
      </c>
      <c r="AE1689">
        <v>0</v>
      </c>
      <c r="AF1689">
        <v>0</v>
      </c>
      <c r="AG1689">
        <v>2350</v>
      </c>
      <c r="AH1689">
        <v>2350</v>
      </c>
      <c r="AI1689">
        <v>0</v>
      </c>
      <c r="AJ1689">
        <v>0</v>
      </c>
      <c r="AK1689">
        <v>550</v>
      </c>
      <c r="AL1689">
        <v>550</v>
      </c>
      <c r="AM1689">
        <v>0</v>
      </c>
      <c r="AN1689">
        <v>0</v>
      </c>
      <c r="AO1689">
        <v>1335</v>
      </c>
      <c r="AP1689">
        <v>0</v>
      </c>
      <c r="AQ1689">
        <v>1335</v>
      </c>
      <c r="AR1689">
        <v>1335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15</v>
      </c>
      <c r="BA1689">
        <v>15</v>
      </c>
      <c r="BB1689">
        <v>0</v>
      </c>
      <c r="BC1689">
        <v>0</v>
      </c>
      <c r="BD1689">
        <v>0</v>
      </c>
      <c r="BE1689">
        <f t="shared" si="273"/>
        <v>10020</v>
      </c>
      <c r="BF1689">
        <v>4435</v>
      </c>
      <c r="BG1689">
        <v>4435</v>
      </c>
      <c r="BH1689" t="s">
        <v>63</v>
      </c>
      <c r="BI1689" t="s">
        <v>878</v>
      </c>
      <c r="BJ1689">
        <v>185</v>
      </c>
      <c r="BK1689">
        <v>4250</v>
      </c>
      <c r="BL1689">
        <v>4435</v>
      </c>
      <c r="BM1689">
        <v>0</v>
      </c>
      <c r="BN1689">
        <v>0</v>
      </c>
      <c r="BO1689">
        <v>0</v>
      </c>
      <c r="BP1689">
        <v>4250</v>
      </c>
      <c r="BQ1689">
        <v>4250</v>
      </c>
      <c r="BR1689">
        <f t="shared" si="274"/>
        <v>-140</v>
      </c>
      <c r="BS1689">
        <f t="shared" si="275"/>
        <v>140</v>
      </c>
      <c r="BU1689">
        <f>R1689*9</f>
        <v>0</v>
      </c>
      <c r="BV1689">
        <f>IF(BU1689&gt;BG1689, 1, 0)</f>
        <v>0</v>
      </c>
    </row>
    <row r="1690" spans="1:74" x14ac:dyDescent="0.25">
      <c r="A1690" s="5" t="s">
        <v>61</v>
      </c>
      <c r="B1690" s="5" t="s">
        <v>61</v>
      </c>
      <c r="C1690" s="5" t="s">
        <v>61</v>
      </c>
      <c r="D1690" s="1" t="s">
        <v>169</v>
      </c>
      <c r="E1690">
        <v>0</v>
      </c>
      <c r="F1690">
        <v>95</v>
      </c>
      <c r="G1690">
        <v>0</v>
      </c>
      <c r="H1690">
        <v>0</v>
      </c>
      <c r="I1690">
        <v>245</v>
      </c>
      <c r="J1690">
        <v>0</v>
      </c>
      <c r="K1690">
        <v>0</v>
      </c>
      <c r="L1690">
        <v>0</v>
      </c>
      <c r="M1690">
        <v>396</v>
      </c>
      <c r="N1690">
        <v>0</v>
      </c>
      <c r="O1690">
        <v>0</v>
      </c>
      <c r="P1690">
        <v>108</v>
      </c>
      <c r="Q1690">
        <v>260</v>
      </c>
      <c r="R1690">
        <v>56</v>
      </c>
      <c r="S1690" s="18">
        <f t="shared" si="266"/>
        <v>9</v>
      </c>
      <c r="T1690" s="17">
        <f t="shared" si="267"/>
        <v>44</v>
      </c>
      <c r="U1690" s="17">
        <f t="shared" si="268"/>
        <v>0</v>
      </c>
      <c r="V1690" s="17">
        <f t="shared" si="269"/>
        <v>0</v>
      </c>
      <c r="W1690" s="17">
        <f t="shared" si="270"/>
        <v>12</v>
      </c>
      <c r="X1690" s="17">
        <f t="shared" si="271"/>
        <v>204</v>
      </c>
      <c r="Y1690" s="19">
        <f t="shared" si="272"/>
        <v>0</v>
      </c>
      <c r="Z1690">
        <v>95</v>
      </c>
      <c r="AA1690">
        <v>0</v>
      </c>
      <c r="AB1690">
        <v>0</v>
      </c>
      <c r="AC1690">
        <v>0</v>
      </c>
      <c r="AD1690">
        <v>245</v>
      </c>
      <c r="AE1690">
        <v>0</v>
      </c>
      <c r="AF1690">
        <v>0</v>
      </c>
      <c r="AG1690">
        <v>0</v>
      </c>
      <c r="AH1690">
        <v>245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f t="shared" si="273"/>
        <v>490</v>
      </c>
      <c r="BF1690">
        <v>340</v>
      </c>
      <c r="BG1690">
        <v>340</v>
      </c>
      <c r="BH1690" t="s">
        <v>109</v>
      </c>
      <c r="BI1690" t="s">
        <v>170</v>
      </c>
      <c r="BJ1690">
        <v>0</v>
      </c>
      <c r="BK1690">
        <v>245</v>
      </c>
      <c r="BL1690">
        <v>340</v>
      </c>
      <c r="BM1690">
        <v>641</v>
      </c>
      <c r="BN1690">
        <v>0</v>
      </c>
      <c r="BO1690">
        <v>0</v>
      </c>
      <c r="BP1690">
        <v>108</v>
      </c>
      <c r="BQ1690">
        <v>749</v>
      </c>
      <c r="BR1690">
        <f t="shared" si="274"/>
        <v>-204</v>
      </c>
      <c r="BS1690">
        <f t="shared" si="275"/>
        <v>316</v>
      </c>
    </row>
    <row r="1691" spans="1:74" x14ac:dyDescent="0.25">
      <c r="A1691" s="5" t="s">
        <v>1946</v>
      </c>
      <c r="B1691" s="5" t="s">
        <v>207</v>
      </c>
      <c r="C1691" s="5" t="s">
        <v>207</v>
      </c>
      <c r="D1691" s="1" t="s">
        <v>92</v>
      </c>
      <c r="E1691">
        <v>0</v>
      </c>
      <c r="F1691">
        <v>128</v>
      </c>
      <c r="G1691">
        <v>0</v>
      </c>
      <c r="H1691">
        <v>0</v>
      </c>
      <c r="I1691">
        <v>0</v>
      </c>
      <c r="J1691">
        <v>1600</v>
      </c>
      <c r="K1691">
        <v>815</v>
      </c>
      <c r="L1691">
        <v>0</v>
      </c>
      <c r="M1691">
        <v>0</v>
      </c>
      <c r="N1691">
        <v>0</v>
      </c>
      <c r="O1691">
        <v>0</v>
      </c>
      <c r="P1691">
        <v>288</v>
      </c>
      <c r="Q1691">
        <v>236</v>
      </c>
      <c r="R1691">
        <v>32</v>
      </c>
      <c r="S1691" s="18">
        <f t="shared" si="266"/>
        <v>9</v>
      </c>
      <c r="T1691" s="17">
        <f t="shared" si="267"/>
        <v>0</v>
      </c>
      <c r="U1691" s="17">
        <f t="shared" si="268"/>
        <v>0</v>
      </c>
      <c r="V1691" s="17">
        <f t="shared" si="269"/>
        <v>0</v>
      </c>
      <c r="W1691" s="17">
        <f t="shared" si="270"/>
        <v>32</v>
      </c>
      <c r="X1691" s="17">
        <f t="shared" si="271"/>
        <v>204</v>
      </c>
      <c r="Y1691" s="19">
        <f t="shared" si="272"/>
        <v>0</v>
      </c>
      <c r="Z1691">
        <v>128</v>
      </c>
      <c r="AA1691">
        <v>0</v>
      </c>
      <c r="AB1691">
        <v>0</v>
      </c>
      <c r="AC1691">
        <v>1880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1600</v>
      </c>
      <c r="AL1691">
        <v>1600</v>
      </c>
      <c r="AM1691">
        <v>0</v>
      </c>
      <c r="AN1691">
        <v>0</v>
      </c>
      <c r="AO1691">
        <v>815</v>
      </c>
      <c r="AP1691">
        <v>815</v>
      </c>
      <c r="AQ1691">
        <v>815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f t="shared" si="273"/>
        <v>7525</v>
      </c>
      <c r="BF1691">
        <v>4423</v>
      </c>
      <c r="BG1691">
        <v>4423</v>
      </c>
      <c r="BH1691" t="s">
        <v>82</v>
      </c>
      <c r="BI1691" t="s">
        <v>2053</v>
      </c>
      <c r="BJ1691">
        <v>1880</v>
      </c>
      <c r="BK1691">
        <v>2415</v>
      </c>
      <c r="BL1691">
        <v>4423</v>
      </c>
      <c r="BM1691">
        <v>0</v>
      </c>
      <c r="BN1691">
        <v>0</v>
      </c>
      <c r="BO1691">
        <v>0</v>
      </c>
      <c r="BP1691">
        <v>2703</v>
      </c>
      <c r="BQ1691">
        <v>2703</v>
      </c>
      <c r="BR1691">
        <f t="shared" si="274"/>
        <v>-204</v>
      </c>
      <c r="BS1691">
        <f t="shared" si="275"/>
        <v>268</v>
      </c>
    </row>
    <row r="1692" spans="1:74" x14ac:dyDescent="0.25">
      <c r="A1692" s="5" t="s">
        <v>61</v>
      </c>
      <c r="B1692" s="5" t="s">
        <v>61</v>
      </c>
      <c r="C1692" s="6" t="s">
        <v>61</v>
      </c>
      <c r="D1692" s="1" t="s">
        <v>181</v>
      </c>
      <c r="E1692">
        <v>0</v>
      </c>
      <c r="F1692">
        <v>510</v>
      </c>
      <c r="G1692">
        <v>0</v>
      </c>
      <c r="H1692">
        <v>0</v>
      </c>
      <c r="I1692">
        <v>495</v>
      </c>
      <c r="J1692">
        <v>0</v>
      </c>
      <c r="K1692">
        <v>0</v>
      </c>
      <c r="L1692">
        <v>0</v>
      </c>
      <c r="M1692">
        <v>2493</v>
      </c>
      <c r="N1692">
        <v>0</v>
      </c>
      <c r="O1692">
        <v>0</v>
      </c>
      <c r="P1692">
        <v>0</v>
      </c>
      <c r="Q1692">
        <v>483</v>
      </c>
      <c r="R1692">
        <v>277</v>
      </c>
      <c r="S1692" s="18">
        <f t="shared" si="266"/>
        <v>9</v>
      </c>
      <c r="T1692" s="17">
        <f t="shared" si="267"/>
        <v>277</v>
      </c>
      <c r="U1692" s="17">
        <f t="shared" si="268"/>
        <v>0</v>
      </c>
      <c r="V1692" s="17">
        <f t="shared" si="269"/>
        <v>0</v>
      </c>
      <c r="W1692" s="17">
        <f t="shared" si="270"/>
        <v>0</v>
      </c>
      <c r="X1692" s="17">
        <f t="shared" si="271"/>
        <v>206</v>
      </c>
      <c r="Y1692" s="19">
        <f t="shared" si="272"/>
        <v>0</v>
      </c>
      <c r="Z1692">
        <v>510</v>
      </c>
      <c r="AA1692">
        <v>0</v>
      </c>
      <c r="AB1692">
        <v>0</v>
      </c>
      <c r="AC1692">
        <v>0</v>
      </c>
      <c r="AD1692">
        <v>495</v>
      </c>
      <c r="AE1692">
        <v>0</v>
      </c>
      <c r="AF1692">
        <v>0</v>
      </c>
      <c r="AG1692">
        <v>0</v>
      </c>
      <c r="AH1692">
        <v>495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f t="shared" si="273"/>
        <v>990</v>
      </c>
      <c r="BF1692">
        <v>1005</v>
      </c>
      <c r="BG1692">
        <v>1005</v>
      </c>
      <c r="BH1692" t="s">
        <v>109</v>
      </c>
      <c r="BI1692" t="s">
        <v>182</v>
      </c>
      <c r="BJ1692">
        <v>0</v>
      </c>
      <c r="BK1692">
        <v>495</v>
      </c>
      <c r="BL1692">
        <v>1005</v>
      </c>
      <c r="BM1692">
        <v>2988</v>
      </c>
      <c r="BN1692">
        <v>0</v>
      </c>
      <c r="BO1692">
        <v>0</v>
      </c>
      <c r="BP1692">
        <v>0</v>
      </c>
      <c r="BQ1692">
        <v>2988</v>
      </c>
      <c r="BR1692">
        <f t="shared" si="274"/>
        <v>-206</v>
      </c>
      <c r="BS1692">
        <f t="shared" si="275"/>
        <v>760</v>
      </c>
    </row>
    <row r="1693" spans="1:74" x14ac:dyDescent="0.25">
      <c r="A1693" s="5" t="s">
        <v>359</v>
      </c>
      <c r="B1693" s="5" t="s">
        <v>359</v>
      </c>
      <c r="C1693" s="7" t="s">
        <v>61</v>
      </c>
      <c r="D1693" s="1" t="s">
        <v>115</v>
      </c>
      <c r="E1693">
        <v>0</v>
      </c>
      <c r="F1693">
        <v>500</v>
      </c>
      <c r="G1693">
        <v>0</v>
      </c>
      <c r="H1693">
        <v>0</v>
      </c>
      <c r="I1693">
        <v>217</v>
      </c>
      <c r="J1693">
        <v>3100</v>
      </c>
      <c r="K1693">
        <v>37</v>
      </c>
      <c r="L1693">
        <v>0</v>
      </c>
      <c r="M1693">
        <v>0</v>
      </c>
      <c r="N1693">
        <v>0</v>
      </c>
      <c r="O1693">
        <v>0</v>
      </c>
      <c r="P1693">
        <v>1152</v>
      </c>
      <c r="Q1693">
        <v>335</v>
      </c>
      <c r="R1693">
        <v>128</v>
      </c>
      <c r="S1693" s="18">
        <f t="shared" si="266"/>
        <v>9</v>
      </c>
      <c r="T1693" s="17">
        <f t="shared" si="267"/>
        <v>0</v>
      </c>
      <c r="U1693" s="17">
        <f t="shared" si="268"/>
        <v>0</v>
      </c>
      <c r="V1693" s="17">
        <f t="shared" si="269"/>
        <v>0</v>
      </c>
      <c r="W1693" s="17">
        <f t="shared" si="270"/>
        <v>128</v>
      </c>
      <c r="X1693" s="17">
        <f t="shared" si="271"/>
        <v>207</v>
      </c>
      <c r="Y1693" s="19">
        <f t="shared" si="272"/>
        <v>0</v>
      </c>
      <c r="Z1693">
        <v>500</v>
      </c>
      <c r="AA1693">
        <v>4</v>
      </c>
      <c r="AB1693">
        <v>38</v>
      </c>
      <c r="AC1693">
        <v>2200</v>
      </c>
      <c r="AD1693">
        <v>0</v>
      </c>
      <c r="AE1693">
        <v>0</v>
      </c>
      <c r="AF1693">
        <v>0</v>
      </c>
      <c r="AG1693">
        <v>217</v>
      </c>
      <c r="AH1693">
        <v>217</v>
      </c>
      <c r="AI1693">
        <v>0</v>
      </c>
      <c r="AJ1693">
        <v>0</v>
      </c>
      <c r="AK1693">
        <v>3100</v>
      </c>
      <c r="AL1693">
        <v>3100</v>
      </c>
      <c r="AM1693">
        <v>0</v>
      </c>
      <c r="AN1693">
        <v>0</v>
      </c>
      <c r="AO1693">
        <v>37</v>
      </c>
      <c r="AP1693">
        <v>25</v>
      </c>
      <c r="AQ1693">
        <v>37</v>
      </c>
      <c r="AR1693">
        <v>12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f t="shared" si="273"/>
        <v>8945</v>
      </c>
      <c r="BF1693">
        <v>6096</v>
      </c>
      <c r="BG1693">
        <v>6096</v>
      </c>
      <c r="BH1693" t="s">
        <v>82</v>
      </c>
      <c r="BI1693" t="s">
        <v>781</v>
      </c>
      <c r="BJ1693">
        <v>2242</v>
      </c>
      <c r="BK1693">
        <v>3354</v>
      </c>
      <c r="BL1693">
        <v>6096</v>
      </c>
      <c r="BM1693">
        <v>0</v>
      </c>
      <c r="BN1693">
        <v>0</v>
      </c>
      <c r="BO1693">
        <v>0</v>
      </c>
      <c r="BP1693">
        <v>4506</v>
      </c>
      <c r="BQ1693">
        <v>4506</v>
      </c>
      <c r="BR1693">
        <f t="shared" si="274"/>
        <v>-207</v>
      </c>
      <c r="BS1693">
        <f t="shared" si="275"/>
        <v>463</v>
      </c>
    </row>
    <row r="1694" spans="1:74" x14ac:dyDescent="0.25">
      <c r="A1694" s="5" t="s">
        <v>1135</v>
      </c>
      <c r="B1694" s="5" t="s">
        <v>207</v>
      </c>
      <c r="C1694" s="5" t="s">
        <v>207</v>
      </c>
      <c r="D1694" s="1" t="s">
        <v>77</v>
      </c>
      <c r="E1694">
        <v>0</v>
      </c>
      <c r="F1694">
        <v>0</v>
      </c>
      <c r="G1694">
        <v>0</v>
      </c>
      <c r="H1694">
        <v>0</v>
      </c>
      <c r="I1694">
        <v>163</v>
      </c>
      <c r="J1694">
        <v>1789</v>
      </c>
      <c r="K1694">
        <v>175</v>
      </c>
      <c r="L1694">
        <v>29</v>
      </c>
      <c r="M1694">
        <v>0</v>
      </c>
      <c r="N1694">
        <v>0</v>
      </c>
      <c r="O1694">
        <v>0</v>
      </c>
      <c r="P1694">
        <v>0</v>
      </c>
      <c r="Q1694">
        <v>207</v>
      </c>
      <c r="R1694">
        <v>0</v>
      </c>
      <c r="S1694" s="18" t="e">
        <f t="shared" si="266"/>
        <v>#DIV/0!</v>
      </c>
      <c r="T1694" s="17" t="e">
        <f t="shared" si="267"/>
        <v>#DIV/0!</v>
      </c>
      <c r="U1694" s="17" t="e">
        <f t="shared" si="268"/>
        <v>#DIV/0!</v>
      </c>
      <c r="V1694" s="17" t="e">
        <f t="shared" si="269"/>
        <v>#DIV/0!</v>
      </c>
      <c r="W1694" s="17" t="e">
        <f t="shared" si="270"/>
        <v>#DIV/0!</v>
      </c>
      <c r="X1694" s="17" t="e">
        <f t="shared" si="271"/>
        <v>#DIV/0!</v>
      </c>
      <c r="Y1694" s="19" t="e">
        <f t="shared" si="272"/>
        <v>#DIV/0!</v>
      </c>
      <c r="Z1694">
        <v>0</v>
      </c>
      <c r="AA1694">
        <v>6</v>
      </c>
      <c r="AB1694">
        <v>170</v>
      </c>
      <c r="AC1694">
        <v>1659</v>
      </c>
      <c r="AD1694">
        <v>0</v>
      </c>
      <c r="AE1694">
        <v>0</v>
      </c>
      <c r="AF1694">
        <v>0</v>
      </c>
      <c r="AG1694">
        <v>163</v>
      </c>
      <c r="AH1694">
        <v>163</v>
      </c>
      <c r="AI1694">
        <v>0</v>
      </c>
      <c r="AJ1694">
        <v>0</v>
      </c>
      <c r="AK1694">
        <v>1789</v>
      </c>
      <c r="AL1694">
        <v>1789</v>
      </c>
      <c r="AM1694">
        <v>0</v>
      </c>
      <c r="AN1694">
        <v>0</v>
      </c>
      <c r="AO1694">
        <v>175</v>
      </c>
      <c r="AP1694">
        <v>58</v>
      </c>
      <c r="AQ1694">
        <v>175</v>
      </c>
      <c r="AR1694">
        <v>117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29</v>
      </c>
      <c r="BA1694">
        <v>29</v>
      </c>
      <c r="BB1694">
        <v>0</v>
      </c>
      <c r="BC1694">
        <v>0</v>
      </c>
      <c r="BD1694">
        <v>0</v>
      </c>
      <c r="BE1694">
        <f t="shared" si="273"/>
        <v>6146</v>
      </c>
      <c r="BF1694">
        <v>3991</v>
      </c>
      <c r="BG1694">
        <v>3991</v>
      </c>
      <c r="BH1694" t="s">
        <v>82</v>
      </c>
      <c r="BI1694" t="s">
        <v>1262</v>
      </c>
      <c r="BJ1694">
        <v>1835</v>
      </c>
      <c r="BK1694">
        <v>2156</v>
      </c>
      <c r="BL1694">
        <v>3991</v>
      </c>
      <c r="BM1694">
        <v>0</v>
      </c>
      <c r="BN1694">
        <v>0</v>
      </c>
      <c r="BO1694">
        <v>0</v>
      </c>
      <c r="BP1694">
        <v>2156</v>
      </c>
      <c r="BQ1694">
        <v>2156</v>
      </c>
      <c r="BR1694">
        <f t="shared" si="274"/>
        <v>-207</v>
      </c>
      <c r="BS1694">
        <f t="shared" si="275"/>
        <v>207</v>
      </c>
    </row>
    <row r="1695" spans="1:74" x14ac:dyDescent="0.25">
      <c r="A1695" s="5" t="s">
        <v>61</v>
      </c>
      <c r="B1695" s="5" t="s">
        <v>207</v>
      </c>
      <c r="C1695" s="5" t="s">
        <v>207</v>
      </c>
      <c r="D1695" s="1" t="s">
        <v>143</v>
      </c>
      <c r="E1695">
        <v>0</v>
      </c>
      <c r="F1695">
        <v>0</v>
      </c>
      <c r="G1695">
        <v>0</v>
      </c>
      <c r="H1695">
        <v>0</v>
      </c>
      <c r="I1695">
        <v>302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208</v>
      </c>
      <c r="R1695">
        <v>0</v>
      </c>
      <c r="S1695" s="18" t="e">
        <f t="shared" si="266"/>
        <v>#DIV/0!</v>
      </c>
      <c r="T1695" s="17" t="e">
        <f t="shared" si="267"/>
        <v>#DIV/0!</v>
      </c>
      <c r="U1695" s="17" t="e">
        <f t="shared" si="268"/>
        <v>#DIV/0!</v>
      </c>
      <c r="V1695" s="17" t="e">
        <f t="shared" si="269"/>
        <v>#DIV/0!</v>
      </c>
      <c r="W1695" s="17" t="e">
        <f t="shared" si="270"/>
        <v>#DIV/0!</v>
      </c>
      <c r="X1695" s="17" t="e">
        <f t="shared" si="271"/>
        <v>#DIV/0!</v>
      </c>
      <c r="Y1695" s="19" t="e">
        <f t="shared" si="272"/>
        <v>#DIV/0!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302</v>
      </c>
      <c r="AH1695">
        <v>302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f t="shared" si="273"/>
        <v>604</v>
      </c>
      <c r="BF1695">
        <v>302</v>
      </c>
      <c r="BG1695">
        <v>302</v>
      </c>
      <c r="BH1695" t="s">
        <v>109</v>
      </c>
      <c r="BI1695" t="s">
        <v>318</v>
      </c>
      <c r="BJ1695">
        <v>0</v>
      </c>
      <c r="BK1695">
        <v>302</v>
      </c>
      <c r="BL1695">
        <v>302</v>
      </c>
      <c r="BM1695">
        <v>0</v>
      </c>
      <c r="BN1695">
        <v>0</v>
      </c>
      <c r="BO1695">
        <v>0</v>
      </c>
      <c r="BP1695">
        <v>302</v>
      </c>
      <c r="BQ1695">
        <v>302</v>
      </c>
      <c r="BR1695">
        <f t="shared" si="274"/>
        <v>-208</v>
      </c>
      <c r="BS1695">
        <f t="shared" si="275"/>
        <v>208</v>
      </c>
    </row>
    <row r="1696" spans="1:74" x14ac:dyDescent="0.25">
      <c r="A1696" s="5" t="s">
        <v>875</v>
      </c>
      <c r="B1696" s="5" t="s">
        <v>61</v>
      </c>
      <c r="C1696" s="5" t="s">
        <v>207</v>
      </c>
      <c r="D1696" s="1" t="s">
        <v>81</v>
      </c>
      <c r="E1696">
        <v>0</v>
      </c>
      <c r="F1696">
        <v>0</v>
      </c>
      <c r="G1696">
        <v>0</v>
      </c>
      <c r="H1696">
        <v>0</v>
      </c>
      <c r="I1696">
        <v>100</v>
      </c>
      <c r="J1696">
        <v>5700</v>
      </c>
      <c r="K1696">
        <v>280</v>
      </c>
      <c r="L1696">
        <v>400</v>
      </c>
      <c r="M1696">
        <v>0</v>
      </c>
      <c r="N1696">
        <v>0</v>
      </c>
      <c r="O1696">
        <v>0</v>
      </c>
      <c r="P1696">
        <v>0</v>
      </c>
      <c r="Q1696">
        <v>140</v>
      </c>
      <c r="R1696">
        <v>0</v>
      </c>
      <c r="S1696" s="18" t="e">
        <f t="shared" si="266"/>
        <v>#DIV/0!</v>
      </c>
      <c r="T1696" s="17" t="e">
        <f t="shared" si="267"/>
        <v>#DIV/0!</v>
      </c>
      <c r="U1696" s="17" t="e">
        <f t="shared" si="268"/>
        <v>#DIV/0!</v>
      </c>
      <c r="V1696" s="17" t="e">
        <f t="shared" si="269"/>
        <v>#DIV/0!</v>
      </c>
      <c r="W1696" s="17" t="e">
        <f t="shared" si="270"/>
        <v>#DIV/0!</v>
      </c>
      <c r="X1696" s="17" t="e">
        <f t="shared" si="271"/>
        <v>#DIV/0!</v>
      </c>
      <c r="Y1696" s="19" t="e">
        <f t="shared" si="272"/>
        <v>#DIV/0!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100</v>
      </c>
      <c r="AF1696">
        <v>0</v>
      </c>
      <c r="AG1696">
        <v>0</v>
      </c>
      <c r="AH1696">
        <v>100</v>
      </c>
      <c r="AI1696">
        <v>0</v>
      </c>
      <c r="AJ1696">
        <v>4550</v>
      </c>
      <c r="AK1696">
        <v>1150</v>
      </c>
      <c r="AL1696">
        <v>5700</v>
      </c>
      <c r="AM1696">
        <v>0</v>
      </c>
      <c r="AN1696">
        <v>80</v>
      </c>
      <c r="AO1696">
        <v>200</v>
      </c>
      <c r="AP1696">
        <v>0</v>
      </c>
      <c r="AQ1696">
        <v>280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110</v>
      </c>
      <c r="AZ1696">
        <v>290</v>
      </c>
      <c r="BA1696">
        <v>400</v>
      </c>
      <c r="BB1696">
        <v>0</v>
      </c>
      <c r="BC1696">
        <v>0</v>
      </c>
      <c r="BD1696">
        <v>0</v>
      </c>
      <c r="BE1696">
        <f t="shared" si="273"/>
        <v>12960</v>
      </c>
      <c r="BF1696">
        <v>6480</v>
      </c>
      <c r="BG1696">
        <v>6480</v>
      </c>
      <c r="BH1696" t="s">
        <v>63</v>
      </c>
      <c r="BI1696" t="s">
        <v>884</v>
      </c>
      <c r="BJ1696">
        <v>0</v>
      </c>
      <c r="BK1696">
        <v>6480</v>
      </c>
      <c r="BL1696">
        <v>6480</v>
      </c>
      <c r="BM1696">
        <v>0</v>
      </c>
      <c r="BN1696">
        <v>4840</v>
      </c>
      <c r="BO1696">
        <v>0</v>
      </c>
      <c r="BP1696">
        <v>1640</v>
      </c>
      <c r="BQ1696">
        <v>6480</v>
      </c>
      <c r="BR1696">
        <f t="shared" si="274"/>
        <v>-140</v>
      </c>
      <c r="BS1696">
        <f t="shared" si="275"/>
        <v>140</v>
      </c>
      <c r="BU1696">
        <f>R1696*9</f>
        <v>0</v>
      </c>
      <c r="BV1696">
        <f>IF(BU1696&gt;BG1696, 1, 0)</f>
        <v>0</v>
      </c>
    </row>
    <row r="1697" spans="1:74" x14ac:dyDescent="0.25">
      <c r="A1697" s="5" t="s">
        <v>1661</v>
      </c>
      <c r="B1697" s="5" t="s">
        <v>207</v>
      </c>
      <c r="C1697" s="5" t="s">
        <v>207</v>
      </c>
      <c r="D1697" s="1" t="s">
        <v>147</v>
      </c>
      <c r="E1697">
        <v>0</v>
      </c>
      <c r="F1697">
        <v>0</v>
      </c>
      <c r="G1697">
        <v>0</v>
      </c>
      <c r="H1697">
        <v>0</v>
      </c>
      <c r="I1697">
        <v>49</v>
      </c>
      <c r="J1697">
        <v>752</v>
      </c>
      <c r="K1697">
        <v>99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208</v>
      </c>
      <c r="R1697">
        <v>0</v>
      </c>
      <c r="S1697" s="18" t="e">
        <f t="shared" si="266"/>
        <v>#DIV/0!</v>
      </c>
      <c r="T1697" s="17" t="e">
        <f t="shared" si="267"/>
        <v>#DIV/0!</v>
      </c>
      <c r="U1697" s="17" t="e">
        <f t="shared" si="268"/>
        <v>#DIV/0!</v>
      </c>
      <c r="V1697" s="17" t="e">
        <f t="shared" si="269"/>
        <v>#DIV/0!</v>
      </c>
      <c r="W1697" s="17" t="e">
        <f t="shared" si="270"/>
        <v>#DIV/0!</v>
      </c>
      <c r="X1697" s="17" t="e">
        <f t="shared" si="271"/>
        <v>#DIV/0!</v>
      </c>
      <c r="Y1697" s="19" t="e">
        <f t="shared" si="272"/>
        <v>#DIV/0!</v>
      </c>
      <c r="Z1697">
        <v>0</v>
      </c>
      <c r="AA1697">
        <v>0</v>
      </c>
      <c r="AB1697">
        <v>0</v>
      </c>
      <c r="AC1697">
        <v>760</v>
      </c>
      <c r="AD1697">
        <v>0</v>
      </c>
      <c r="AE1697">
        <v>0</v>
      </c>
      <c r="AF1697">
        <v>0</v>
      </c>
      <c r="AG1697">
        <v>49</v>
      </c>
      <c r="AH1697">
        <v>49</v>
      </c>
      <c r="AI1697">
        <v>0</v>
      </c>
      <c r="AJ1697">
        <v>0</v>
      </c>
      <c r="AK1697">
        <v>752</v>
      </c>
      <c r="AL1697">
        <v>752</v>
      </c>
      <c r="AM1697">
        <v>0</v>
      </c>
      <c r="AN1697">
        <v>0</v>
      </c>
      <c r="AO1697">
        <v>99</v>
      </c>
      <c r="AP1697">
        <v>84</v>
      </c>
      <c r="AQ1697">
        <v>99</v>
      </c>
      <c r="AR1697">
        <v>15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f t="shared" si="273"/>
        <v>2659</v>
      </c>
      <c r="BF1697">
        <v>1660</v>
      </c>
      <c r="BG1697">
        <v>1660</v>
      </c>
      <c r="BH1697" t="s">
        <v>190</v>
      </c>
      <c r="BI1697" t="s">
        <v>1831</v>
      </c>
      <c r="BJ1697">
        <v>760</v>
      </c>
      <c r="BK1697">
        <v>900</v>
      </c>
      <c r="BL1697">
        <v>1660</v>
      </c>
      <c r="BM1697">
        <v>0</v>
      </c>
      <c r="BN1697">
        <v>0</v>
      </c>
      <c r="BO1697">
        <v>0</v>
      </c>
      <c r="BP1697">
        <v>900</v>
      </c>
      <c r="BQ1697">
        <v>900</v>
      </c>
      <c r="BR1697">
        <f t="shared" si="274"/>
        <v>-208</v>
      </c>
      <c r="BS1697">
        <f t="shared" si="275"/>
        <v>208</v>
      </c>
    </row>
    <row r="1698" spans="1:74" x14ac:dyDescent="0.25">
      <c r="A1698" s="5" t="s">
        <v>1946</v>
      </c>
      <c r="B1698" s="5" t="s">
        <v>61</v>
      </c>
      <c r="C1698" s="5" t="s">
        <v>61</v>
      </c>
      <c r="D1698" s="1" t="s">
        <v>102</v>
      </c>
      <c r="E1698">
        <v>0</v>
      </c>
      <c r="F1698">
        <v>0</v>
      </c>
      <c r="G1698">
        <v>0</v>
      </c>
      <c r="H1698">
        <v>0</v>
      </c>
      <c r="I1698">
        <v>960</v>
      </c>
      <c r="J1698">
        <v>4770</v>
      </c>
      <c r="K1698">
        <v>195</v>
      </c>
      <c r="L1698">
        <v>148</v>
      </c>
      <c r="M1698">
        <v>0</v>
      </c>
      <c r="N1698">
        <v>0</v>
      </c>
      <c r="O1698">
        <v>0</v>
      </c>
      <c r="P1698">
        <v>0</v>
      </c>
      <c r="Q1698">
        <v>208</v>
      </c>
      <c r="R1698">
        <v>0</v>
      </c>
      <c r="S1698" s="18" t="e">
        <f t="shared" si="266"/>
        <v>#DIV/0!</v>
      </c>
      <c r="T1698" s="17" t="e">
        <f t="shared" si="267"/>
        <v>#DIV/0!</v>
      </c>
      <c r="U1698" s="17" t="e">
        <f t="shared" si="268"/>
        <v>#DIV/0!</v>
      </c>
      <c r="V1698" s="17" t="e">
        <f t="shared" si="269"/>
        <v>#DIV/0!</v>
      </c>
      <c r="W1698" s="17" t="e">
        <f t="shared" si="270"/>
        <v>#DIV/0!</v>
      </c>
      <c r="X1698" s="17" t="e">
        <f t="shared" si="271"/>
        <v>#DIV/0!</v>
      </c>
      <c r="Y1698" s="19" t="e">
        <f t="shared" si="272"/>
        <v>#DIV/0!</v>
      </c>
      <c r="Z1698">
        <v>0</v>
      </c>
      <c r="AA1698">
        <v>10</v>
      </c>
      <c r="AB1698">
        <v>165</v>
      </c>
      <c r="AC1698">
        <v>1148</v>
      </c>
      <c r="AD1698">
        <v>0</v>
      </c>
      <c r="AE1698">
        <v>0</v>
      </c>
      <c r="AF1698">
        <v>0</v>
      </c>
      <c r="AG1698">
        <v>960</v>
      </c>
      <c r="AH1698">
        <v>960</v>
      </c>
      <c r="AI1698">
        <v>0</v>
      </c>
      <c r="AJ1698">
        <v>0</v>
      </c>
      <c r="AK1698">
        <v>4770</v>
      </c>
      <c r="AL1698">
        <v>4770</v>
      </c>
      <c r="AM1698">
        <v>0</v>
      </c>
      <c r="AN1698">
        <v>0</v>
      </c>
      <c r="AO1698">
        <v>195</v>
      </c>
      <c r="AP1698">
        <v>83</v>
      </c>
      <c r="AQ1698">
        <v>195</v>
      </c>
      <c r="AR1698">
        <v>112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148</v>
      </c>
      <c r="BA1698">
        <v>148</v>
      </c>
      <c r="BB1698">
        <v>0</v>
      </c>
      <c r="BC1698">
        <v>0</v>
      </c>
      <c r="BD1698">
        <v>0</v>
      </c>
      <c r="BE1698">
        <f t="shared" si="273"/>
        <v>13489</v>
      </c>
      <c r="BF1698">
        <v>7396</v>
      </c>
      <c r="BG1698">
        <v>7396</v>
      </c>
      <c r="BH1698" t="s">
        <v>82</v>
      </c>
      <c r="BI1698" t="s">
        <v>1966</v>
      </c>
      <c r="BJ1698">
        <v>1323</v>
      </c>
      <c r="BK1698">
        <v>6073</v>
      </c>
      <c r="BL1698">
        <v>7396</v>
      </c>
      <c r="BM1698">
        <v>0</v>
      </c>
      <c r="BN1698">
        <v>0</v>
      </c>
      <c r="BO1698">
        <v>0</v>
      </c>
      <c r="BP1698">
        <v>6073</v>
      </c>
      <c r="BQ1698">
        <v>6073</v>
      </c>
      <c r="BR1698">
        <f t="shared" si="274"/>
        <v>-208</v>
      </c>
      <c r="BS1698">
        <f t="shared" si="275"/>
        <v>208</v>
      </c>
    </row>
    <row r="1699" spans="1:74" x14ac:dyDescent="0.25">
      <c r="A1699" s="5" t="s">
        <v>207</v>
      </c>
      <c r="B1699" s="6" t="s">
        <v>61</v>
      </c>
      <c r="C1699" s="6" t="s">
        <v>207</v>
      </c>
      <c r="D1699" s="1" t="s">
        <v>121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2650</v>
      </c>
      <c r="K1699">
        <v>400</v>
      </c>
      <c r="L1699">
        <v>30</v>
      </c>
      <c r="M1699">
        <v>0</v>
      </c>
      <c r="N1699">
        <v>0</v>
      </c>
      <c r="O1699">
        <v>0</v>
      </c>
      <c r="P1699">
        <v>0</v>
      </c>
      <c r="Q1699">
        <v>210</v>
      </c>
      <c r="R1699">
        <v>0</v>
      </c>
      <c r="S1699" s="18" t="e">
        <f t="shared" si="266"/>
        <v>#DIV/0!</v>
      </c>
      <c r="T1699" s="17" t="e">
        <f t="shared" si="267"/>
        <v>#DIV/0!</v>
      </c>
      <c r="U1699" s="17" t="e">
        <f t="shared" si="268"/>
        <v>#DIV/0!</v>
      </c>
      <c r="V1699" s="17" t="e">
        <f t="shared" si="269"/>
        <v>#DIV/0!</v>
      </c>
      <c r="W1699" s="17" t="e">
        <f t="shared" si="270"/>
        <v>#DIV/0!</v>
      </c>
      <c r="X1699" s="17" t="e">
        <f t="shared" si="271"/>
        <v>#DIV/0!</v>
      </c>
      <c r="Y1699" s="19" t="e">
        <f t="shared" si="272"/>
        <v>#DIV/0!</v>
      </c>
      <c r="Z1699">
        <v>0</v>
      </c>
      <c r="AA1699">
        <v>6</v>
      </c>
      <c r="AB1699">
        <v>160</v>
      </c>
      <c r="AC1699">
        <v>1150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2650</v>
      </c>
      <c r="AL1699">
        <v>2650</v>
      </c>
      <c r="AM1699">
        <v>0</v>
      </c>
      <c r="AN1699">
        <v>0</v>
      </c>
      <c r="AO1699">
        <v>400</v>
      </c>
      <c r="AP1699">
        <v>140</v>
      </c>
      <c r="AQ1699">
        <v>400</v>
      </c>
      <c r="AR1699">
        <v>260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30</v>
      </c>
      <c r="BA1699">
        <v>30</v>
      </c>
      <c r="BB1699">
        <v>0</v>
      </c>
      <c r="BC1699">
        <v>0</v>
      </c>
      <c r="BD1699">
        <v>0</v>
      </c>
      <c r="BE1699">
        <f t="shared" si="273"/>
        <v>7710</v>
      </c>
      <c r="BF1699">
        <v>4396</v>
      </c>
      <c r="BG1699">
        <v>4396</v>
      </c>
      <c r="BH1699" t="s">
        <v>82</v>
      </c>
      <c r="BI1699" t="s">
        <v>490</v>
      </c>
      <c r="BJ1699">
        <v>1316</v>
      </c>
      <c r="BK1699">
        <v>3080</v>
      </c>
      <c r="BL1699">
        <v>4396</v>
      </c>
      <c r="BM1699">
        <v>0</v>
      </c>
      <c r="BN1699">
        <v>0</v>
      </c>
      <c r="BO1699">
        <v>0</v>
      </c>
      <c r="BP1699">
        <v>3080</v>
      </c>
      <c r="BQ1699">
        <v>3080</v>
      </c>
      <c r="BR1699">
        <f t="shared" si="274"/>
        <v>-210</v>
      </c>
      <c r="BS1699">
        <f t="shared" si="275"/>
        <v>210</v>
      </c>
    </row>
    <row r="1700" spans="1:74" x14ac:dyDescent="0.25">
      <c r="A1700" s="5" t="s">
        <v>207</v>
      </c>
      <c r="B1700" s="7" t="s">
        <v>627</v>
      </c>
      <c r="C1700" s="7" t="s">
        <v>61</v>
      </c>
      <c r="D1700" s="1" t="s">
        <v>129</v>
      </c>
      <c r="E1700">
        <v>0</v>
      </c>
      <c r="F1700">
        <v>60</v>
      </c>
      <c r="G1700">
        <v>0</v>
      </c>
      <c r="H1700">
        <v>0</v>
      </c>
      <c r="I1700">
        <v>250</v>
      </c>
      <c r="J1700">
        <v>1760</v>
      </c>
      <c r="K1700">
        <v>279</v>
      </c>
      <c r="L1700">
        <v>55</v>
      </c>
      <c r="M1700">
        <v>0</v>
      </c>
      <c r="N1700">
        <v>0</v>
      </c>
      <c r="O1700">
        <v>0</v>
      </c>
      <c r="P1700">
        <v>342</v>
      </c>
      <c r="Q1700">
        <v>248</v>
      </c>
      <c r="R1700">
        <v>38</v>
      </c>
      <c r="S1700" s="18">
        <f t="shared" si="266"/>
        <v>9</v>
      </c>
      <c r="T1700" s="17">
        <f t="shared" si="267"/>
        <v>0</v>
      </c>
      <c r="U1700" s="17">
        <f t="shared" si="268"/>
        <v>0</v>
      </c>
      <c r="V1700" s="17">
        <f t="shared" si="269"/>
        <v>0</v>
      </c>
      <c r="W1700" s="17">
        <f t="shared" si="270"/>
        <v>38</v>
      </c>
      <c r="X1700" s="17">
        <f t="shared" si="271"/>
        <v>210</v>
      </c>
      <c r="Y1700" s="19">
        <f t="shared" si="272"/>
        <v>0</v>
      </c>
      <c r="Z1700">
        <v>60</v>
      </c>
      <c r="AA1700">
        <v>4</v>
      </c>
      <c r="AB1700">
        <v>61</v>
      </c>
      <c r="AC1700">
        <v>1924</v>
      </c>
      <c r="AD1700">
        <v>0</v>
      </c>
      <c r="AE1700">
        <v>0</v>
      </c>
      <c r="AF1700">
        <v>0</v>
      </c>
      <c r="AG1700">
        <v>250</v>
      </c>
      <c r="AH1700">
        <v>250</v>
      </c>
      <c r="AI1700">
        <v>0</v>
      </c>
      <c r="AJ1700">
        <v>0</v>
      </c>
      <c r="AK1700">
        <v>1760</v>
      </c>
      <c r="AL1700">
        <v>1760</v>
      </c>
      <c r="AM1700">
        <v>0</v>
      </c>
      <c r="AN1700">
        <v>0</v>
      </c>
      <c r="AO1700">
        <v>279</v>
      </c>
      <c r="AP1700">
        <v>126</v>
      </c>
      <c r="AQ1700">
        <v>279</v>
      </c>
      <c r="AR1700">
        <v>153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55</v>
      </c>
      <c r="BA1700">
        <v>55</v>
      </c>
      <c r="BB1700">
        <v>0</v>
      </c>
      <c r="BC1700">
        <v>0</v>
      </c>
      <c r="BD1700">
        <v>0</v>
      </c>
      <c r="BE1700">
        <f t="shared" si="273"/>
        <v>6891</v>
      </c>
      <c r="BF1700">
        <v>4393</v>
      </c>
      <c r="BG1700">
        <v>4393</v>
      </c>
      <c r="BH1700" t="s">
        <v>82</v>
      </c>
      <c r="BI1700" t="s">
        <v>657</v>
      </c>
      <c r="BJ1700">
        <v>1989</v>
      </c>
      <c r="BK1700">
        <v>2344</v>
      </c>
      <c r="BL1700">
        <v>4393</v>
      </c>
      <c r="BM1700">
        <v>0</v>
      </c>
      <c r="BN1700">
        <v>0</v>
      </c>
      <c r="BO1700">
        <v>0</v>
      </c>
      <c r="BP1700">
        <v>2686</v>
      </c>
      <c r="BQ1700">
        <v>2686</v>
      </c>
      <c r="BR1700">
        <f t="shared" si="274"/>
        <v>-210</v>
      </c>
      <c r="BS1700">
        <f t="shared" si="275"/>
        <v>286</v>
      </c>
    </row>
    <row r="1701" spans="1:74" x14ac:dyDescent="0.25">
      <c r="A1701" s="5" t="s">
        <v>359</v>
      </c>
      <c r="B1701" s="5" t="s">
        <v>61</v>
      </c>
      <c r="C1701" s="5" t="s">
        <v>61</v>
      </c>
      <c r="D1701" s="1" t="s">
        <v>133</v>
      </c>
      <c r="E1701">
        <v>85</v>
      </c>
      <c r="F1701">
        <v>0</v>
      </c>
      <c r="G1701">
        <v>0</v>
      </c>
      <c r="H1701">
        <v>0</v>
      </c>
      <c r="I1701">
        <v>120</v>
      </c>
      <c r="J1701">
        <v>2400</v>
      </c>
      <c r="K1701">
        <v>196</v>
      </c>
      <c r="L1701">
        <v>10</v>
      </c>
      <c r="M1701">
        <v>0</v>
      </c>
      <c r="N1701">
        <v>0</v>
      </c>
      <c r="O1701">
        <v>0</v>
      </c>
      <c r="P1701">
        <v>0</v>
      </c>
      <c r="Q1701">
        <v>210</v>
      </c>
      <c r="R1701">
        <v>0</v>
      </c>
      <c r="S1701" s="18" t="e">
        <f t="shared" si="266"/>
        <v>#DIV/0!</v>
      </c>
      <c r="T1701" s="17" t="e">
        <f t="shared" si="267"/>
        <v>#DIV/0!</v>
      </c>
      <c r="U1701" s="17" t="e">
        <f t="shared" si="268"/>
        <v>#DIV/0!</v>
      </c>
      <c r="V1701" s="17" t="e">
        <f t="shared" si="269"/>
        <v>#DIV/0!</v>
      </c>
      <c r="W1701" s="17" t="e">
        <f t="shared" si="270"/>
        <v>#DIV/0!</v>
      </c>
      <c r="X1701" s="17" t="e">
        <f t="shared" si="271"/>
        <v>#DIV/0!</v>
      </c>
      <c r="Y1701" s="19" t="e">
        <f t="shared" si="272"/>
        <v>#DIV/0!</v>
      </c>
      <c r="Z1701">
        <v>0</v>
      </c>
      <c r="AA1701">
        <v>0</v>
      </c>
      <c r="AB1701">
        <v>165</v>
      </c>
      <c r="AC1701">
        <v>260</v>
      </c>
      <c r="AD1701">
        <v>0</v>
      </c>
      <c r="AE1701">
        <v>0</v>
      </c>
      <c r="AF1701">
        <v>0</v>
      </c>
      <c r="AG1701">
        <v>120</v>
      </c>
      <c r="AH1701">
        <v>120</v>
      </c>
      <c r="AI1701">
        <v>0</v>
      </c>
      <c r="AJ1701">
        <v>0</v>
      </c>
      <c r="AK1701">
        <v>2400</v>
      </c>
      <c r="AL1701">
        <v>2400</v>
      </c>
      <c r="AM1701">
        <v>0</v>
      </c>
      <c r="AN1701">
        <v>0</v>
      </c>
      <c r="AO1701">
        <v>196</v>
      </c>
      <c r="AP1701">
        <v>46</v>
      </c>
      <c r="AQ1701">
        <v>196</v>
      </c>
      <c r="AR1701">
        <v>150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10</v>
      </c>
      <c r="BA1701">
        <v>10</v>
      </c>
      <c r="BB1701">
        <v>0</v>
      </c>
      <c r="BC1701">
        <v>0</v>
      </c>
      <c r="BD1701">
        <v>0</v>
      </c>
      <c r="BE1701">
        <f t="shared" si="273"/>
        <v>5908</v>
      </c>
      <c r="BF1701">
        <v>3236</v>
      </c>
      <c r="BG1701">
        <v>3236</v>
      </c>
      <c r="BH1701" t="s">
        <v>82</v>
      </c>
      <c r="BI1701" t="s">
        <v>729</v>
      </c>
      <c r="BJ1701">
        <v>510</v>
      </c>
      <c r="BK1701">
        <v>2726</v>
      </c>
      <c r="BL1701">
        <v>3236</v>
      </c>
      <c r="BM1701">
        <v>0</v>
      </c>
      <c r="BN1701">
        <v>0</v>
      </c>
      <c r="BO1701">
        <v>0</v>
      </c>
      <c r="BP1701">
        <v>2726</v>
      </c>
      <c r="BQ1701">
        <v>2726</v>
      </c>
      <c r="BR1701">
        <f t="shared" si="274"/>
        <v>-210</v>
      </c>
      <c r="BS1701">
        <f t="shared" si="275"/>
        <v>210</v>
      </c>
    </row>
    <row r="1702" spans="1:74" x14ac:dyDescent="0.25">
      <c r="A1702" s="5" t="s">
        <v>875</v>
      </c>
      <c r="B1702" s="5" t="s">
        <v>61</v>
      </c>
      <c r="C1702" s="5" t="s">
        <v>207</v>
      </c>
      <c r="D1702" s="1" t="s">
        <v>147</v>
      </c>
      <c r="E1702">
        <v>0</v>
      </c>
      <c r="F1702">
        <v>1110</v>
      </c>
      <c r="G1702">
        <v>0</v>
      </c>
      <c r="H1702">
        <v>0</v>
      </c>
      <c r="I1702">
        <v>25</v>
      </c>
      <c r="J1702">
        <v>0</v>
      </c>
      <c r="K1702">
        <v>900</v>
      </c>
      <c r="L1702">
        <v>75</v>
      </c>
      <c r="M1702">
        <v>2025</v>
      </c>
      <c r="N1702">
        <v>0</v>
      </c>
      <c r="O1702">
        <v>0</v>
      </c>
      <c r="P1702">
        <v>0</v>
      </c>
      <c r="Q1702">
        <v>435</v>
      </c>
      <c r="R1702">
        <v>225</v>
      </c>
      <c r="S1702" s="18">
        <f t="shared" si="266"/>
        <v>9</v>
      </c>
      <c r="T1702" s="17">
        <f t="shared" si="267"/>
        <v>225</v>
      </c>
      <c r="U1702" s="17">
        <f t="shared" si="268"/>
        <v>0</v>
      </c>
      <c r="V1702" s="17">
        <f t="shared" si="269"/>
        <v>0</v>
      </c>
      <c r="W1702" s="17">
        <f t="shared" si="270"/>
        <v>0</v>
      </c>
      <c r="X1702" s="17">
        <f t="shared" si="271"/>
        <v>210</v>
      </c>
      <c r="Y1702" s="19">
        <f t="shared" si="272"/>
        <v>0</v>
      </c>
      <c r="Z1702">
        <v>900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25</v>
      </c>
      <c r="AH1702">
        <v>25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900</v>
      </c>
      <c r="AP1702">
        <v>845</v>
      </c>
      <c r="AQ1702">
        <v>900</v>
      </c>
      <c r="AR1702">
        <v>55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75</v>
      </c>
      <c r="BA1702">
        <v>75</v>
      </c>
      <c r="BB1702">
        <v>0</v>
      </c>
      <c r="BC1702">
        <v>0</v>
      </c>
      <c r="BD1702">
        <v>0</v>
      </c>
      <c r="BE1702">
        <f t="shared" si="273"/>
        <v>2900</v>
      </c>
      <c r="BF1702">
        <v>2850</v>
      </c>
      <c r="BG1702">
        <v>2850</v>
      </c>
      <c r="BH1702" t="s">
        <v>109</v>
      </c>
      <c r="BI1702" t="s">
        <v>913</v>
      </c>
      <c r="BJ1702">
        <v>0</v>
      </c>
      <c r="BK1702">
        <v>1000</v>
      </c>
      <c r="BL1702">
        <v>1900</v>
      </c>
      <c r="BM1702">
        <v>2025</v>
      </c>
      <c r="BN1702">
        <v>0</v>
      </c>
      <c r="BO1702">
        <v>0</v>
      </c>
      <c r="BP1702">
        <v>1000</v>
      </c>
      <c r="BQ1702">
        <v>3025</v>
      </c>
      <c r="BR1702">
        <f t="shared" si="274"/>
        <v>-210</v>
      </c>
      <c r="BS1702">
        <f t="shared" si="275"/>
        <v>660</v>
      </c>
    </row>
    <row r="1703" spans="1:74" x14ac:dyDescent="0.25">
      <c r="A1703" s="5" t="s">
        <v>61</v>
      </c>
      <c r="B1703" s="5" t="s">
        <v>207</v>
      </c>
      <c r="C1703" s="5" t="s">
        <v>61</v>
      </c>
      <c r="D1703" s="1" t="s">
        <v>67</v>
      </c>
      <c r="E1703">
        <v>0</v>
      </c>
      <c r="F1703">
        <v>0</v>
      </c>
      <c r="G1703">
        <v>0</v>
      </c>
      <c r="H1703">
        <v>0</v>
      </c>
      <c r="I1703">
        <v>855</v>
      </c>
      <c r="J1703">
        <v>2313</v>
      </c>
      <c r="K1703">
        <v>510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142</v>
      </c>
      <c r="R1703">
        <v>0</v>
      </c>
      <c r="S1703" s="18" t="e">
        <f t="shared" si="266"/>
        <v>#DIV/0!</v>
      </c>
      <c r="T1703" s="17" t="e">
        <f t="shared" si="267"/>
        <v>#DIV/0!</v>
      </c>
      <c r="U1703" s="17" t="e">
        <f t="shared" si="268"/>
        <v>#DIV/0!</v>
      </c>
      <c r="V1703" s="17" t="e">
        <f t="shared" si="269"/>
        <v>#DIV/0!</v>
      </c>
      <c r="W1703" s="17" t="e">
        <f t="shared" si="270"/>
        <v>#DIV/0!</v>
      </c>
      <c r="X1703" s="17" t="e">
        <f t="shared" si="271"/>
        <v>#DIV/0!</v>
      </c>
      <c r="Y1703" s="19" t="e">
        <f t="shared" si="272"/>
        <v>#DIV/0!</v>
      </c>
      <c r="Z1703">
        <v>0</v>
      </c>
      <c r="AA1703">
        <v>0</v>
      </c>
      <c r="AB1703">
        <v>0</v>
      </c>
      <c r="AC1703">
        <v>401</v>
      </c>
      <c r="AD1703">
        <v>0</v>
      </c>
      <c r="AE1703">
        <v>855</v>
      </c>
      <c r="AF1703">
        <v>0</v>
      </c>
      <c r="AG1703">
        <v>0</v>
      </c>
      <c r="AH1703">
        <v>855</v>
      </c>
      <c r="AI1703">
        <v>0</v>
      </c>
      <c r="AJ1703">
        <v>2313</v>
      </c>
      <c r="AK1703">
        <v>0</v>
      </c>
      <c r="AL1703">
        <v>2313</v>
      </c>
      <c r="AM1703">
        <v>0</v>
      </c>
      <c r="AN1703">
        <v>485</v>
      </c>
      <c r="AO1703">
        <v>25</v>
      </c>
      <c r="AP1703">
        <v>0</v>
      </c>
      <c r="AQ1703">
        <v>510</v>
      </c>
      <c r="AR1703">
        <v>510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f t="shared" si="273"/>
        <v>8267</v>
      </c>
      <c r="BF1703">
        <v>4079</v>
      </c>
      <c r="BG1703">
        <v>4079</v>
      </c>
      <c r="BH1703" t="s">
        <v>63</v>
      </c>
      <c r="BI1703" t="s">
        <v>210</v>
      </c>
      <c r="BJ1703">
        <v>401</v>
      </c>
      <c r="BK1703">
        <v>3678</v>
      </c>
      <c r="BL1703">
        <v>4079</v>
      </c>
      <c r="BM1703">
        <v>0</v>
      </c>
      <c r="BN1703">
        <v>3653</v>
      </c>
      <c r="BO1703">
        <v>0</v>
      </c>
      <c r="BP1703">
        <v>25</v>
      </c>
      <c r="BQ1703">
        <v>3678</v>
      </c>
      <c r="BR1703">
        <f t="shared" si="274"/>
        <v>-142</v>
      </c>
      <c r="BS1703">
        <f t="shared" si="275"/>
        <v>142</v>
      </c>
      <c r="BU1703">
        <f>R1703*9</f>
        <v>0</v>
      </c>
      <c r="BV1703">
        <f>IF(BU1703&gt;BG1703, 1, 0)</f>
        <v>0</v>
      </c>
    </row>
    <row r="1704" spans="1:74" x14ac:dyDescent="0.25">
      <c r="A1704" s="5" t="s">
        <v>207</v>
      </c>
      <c r="B1704" s="5" t="s">
        <v>207</v>
      </c>
      <c r="C1704" s="5" t="s">
        <v>207</v>
      </c>
      <c r="D1704" s="1" t="s">
        <v>71</v>
      </c>
      <c r="E1704">
        <v>0</v>
      </c>
      <c r="F1704">
        <v>464</v>
      </c>
      <c r="G1704">
        <v>0</v>
      </c>
      <c r="H1704">
        <v>0</v>
      </c>
      <c r="I1704">
        <v>0</v>
      </c>
      <c r="J1704">
        <v>6090</v>
      </c>
      <c r="K1704">
        <v>512</v>
      </c>
      <c r="L1704">
        <v>0</v>
      </c>
      <c r="M1704">
        <v>1926</v>
      </c>
      <c r="N1704">
        <v>0</v>
      </c>
      <c r="O1704">
        <v>0</v>
      </c>
      <c r="P1704">
        <v>1800</v>
      </c>
      <c r="Q1704">
        <v>625</v>
      </c>
      <c r="R1704">
        <v>414</v>
      </c>
      <c r="S1704" s="18">
        <f t="shared" si="266"/>
        <v>9</v>
      </c>
      <c r="T1704" s="17">
        <f t="shared" si="267"/>
        <v>214</v>
      </c>
      <c r="U1704" s="17">
        <f t="shared" si="268"/>
        <v>0</v>
      </c>
      <c r="V1704" s="17">
        <f t="shared" si="269"/>
        <v>0</v>
      </c>
      <c r="W1704" s="17">
        <f t="shared" si="270"/>
        <v>200</v>
      </c>
      <c r="X1704" s="17">
        <f t="shared" si="271"/>
        <v>211</v>
      </c>
      <c r="Y1704" s="19">
        <f t="shared" si="272"/>
        <v>0</v>
      </c>
      <c r="Z1704">
        <v>464</v>
      </c>
      <c r="AA1704">
        <v>4</v>
      </c>
      <c r="AB1704">
        <v>0</v>
      </c>
      <c r="AC1704">
        <v>168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3545</v>
      </c>
      <c r="AK1704">
        <v>2545</v>
      </c>
      <c r="AL1704">
        <v>6090</v>
      </c>
      <c r="AM1704">
        <v>0</v>
      </c>
      <c r="AN1704">
        <v>512</v>
      </c>
      <c r="AO1704">
        <v>0</v>
      </c>
      <c r="AP1704">
        <v>62</v>
      </c>
      <c r="AQ1704">
        <v>512</v>
      </c>
      <c r="AR1704">
        <v>450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f t="shared" si="273"/>
        <v>13884</v>
      </c>
      <c r="BF1704">
        <v>7238</v>
      </c>
      <c r="BG1704">
        <v>7238</v>
      </c>
      <c r="BH1704" t="s">
        <v>560</v>
      </c>
      <c r="BI1704" t="s">
        <v>591</v>
      </c>
      <c r="BJ1704">
        <v>172</v>
      </c>
      <c r="BK1704">
        <v>6602</v>
      </c>
      <c r="BL1704">
        <v>7238</v>
      </c>
      <c r="BM1704">
        <v>1926</v>
      </c>
      <c r="BN1704">
        <v>4057</v>
      </c>
      <c r="BO1704">
        <v>0</v>
      </c>
      <c r="BP1704">
        <v>4345</v>
      </c>
      <c r="BQ1704">
        <v>10328</v>
      </c>
      <c r="BR1704">
        <f t="shared" si="274"/>
        <v>-211</v>
      </c>
      <c r="BS1704">
        <f t="shared" si="275"/>
        <v>1039</v>
      </c>
    </row>
    <row r="1705" spans="1:74" x14ac:dyDescent="0.25">
      <c r="A1705" s="5" t="s">
        <v>2090</v>
      </c>
      <c r="B1705" s="5" t="s">
        <v>61</v>
      </c>
      <c r="C1705" s="5" t="s">
        <v>61</v>
      </c>
      <c r="D1705" s="1" t="s">
        <v>2205</v>
      </c>
      <c r="E1705">
        <v>0</v>
      </c>
      <c r="F1705">
        <v>0</v>
      </c>
      <c r="G1705">
        <v>0</v>
      </c>
      <c r="H1705">
        <v>0</v>
      </c>
      <c r="I1705">
        <v>148</v>
      </c>
      <c r="J1705">
        <v>789</v>
      </c>
      <c r="K1705">
        <v>33</v>
      </c>
      <c r="L1705">
        <v>21</v>
      </c>
      <c r="M1705">
        <v>0</v>
      </c>
      <c r="N1705">
        <v>0</v>
      </c>
      <c r="O1705">
        <v>0</v>
      </c>
      <c r="P1705">
        <v>0</v>
      </c>
      <c r="Q1705">
        <v>211</v>
      </c>
      <c r="R1705">
        <v>0</v>
      </c>
      <c r="S1705" s="18" t="e">
        <f t="shared" si="266"/>
        <v>#DIV/0!</v>
      </c>
      <c r="T1705" s="17" t="e">
        <f t="shared" si="267"/>
        <v>#DIV/0!</v>
      </c>
      <c r="U1705" s="17" t="e">
        <f t="shared" si="268"/>
        <v>#DIV/0!</v>
      </c>
      <c r="V1705" s="17" t="e">
        <f t="shared" si="269"/>
        <v>#DIV/0!</v>
      </c>
      <c r="W1705" s="17" t="e">
        <f t="shared" si="270"/>
        <v>#DIV/0!</v>
      </c>
      <c r="X1705" s="17" t="e">
        <f t="shared" si="271"/>
        <v>#DIV/0!</v>
      </c>
      <c r="Y1705" s="19" t="e">
        <f t="shared" si="272"/>
        <v>#DIV/0!</v>
      </c>
      <c r="Z1705">
        <v>0</v>
      </c>
      <c r="AA1705">
        <v>0</v>
      </c>
      <c r="AB1705">
        <v>232</v>
      </c>
      <c r="AC1705">
        <v>383</v>
      </c>
      <c r="AD1705">
        <v>0</v>
      </c>
      <c r="AE1705">
        <v>0</v>
      </c>
      <c r="AF1705">
        <v>0</v>
      </c>
      <c r="AG1705">
        <v>148</v>
      </c>
      <c r="AH1705">
        <v>148</v>
      </c>
      <c r="AI1705">
        <v>0</v>
      </c>
      <c r="AJ1705">
        <v>0</v>
      </c>
      <c r="AK1705">
        <v>789</v>
      </c>
      <c r="AL1705">
        <v>789</v>
      </c>
      <c r="AM1705">
        <v>0</v>
      </c>
      <c r="AN1705">
        <v>0</v>
      </c>
      <c r="AO1705">
        <v>33</v>
      </c>
      <c r="AP1705">
        <v>15</v>
      </c>
      <c r="AQ1705">
        <v>33</v>
      </c>
      <c r="AR1705">
        <v>18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21</v>
      </c>
      <c r="BA1705">
        <v>21</v>
      </c>
      <c r="BB1705">
        <v>0</v>
      </c>
      <c r="BC1705">
        <v>0</v>
      </c>
      <c r="BD1705">
        <v>0</v>
      </c>
      <c r="BE1705">
        <f t="shared" si="273"/>
        <v>2398</v>
      </c>
      <c r="BF1705">
        <v>1606</v>
      </c>
      <c r="BG1705">
        <v>1606</v>
      </c>
      <c r="BH1705" t="s">
        <v>82</v>
      </c>
      <c r="BI1705" t="s">
        <v>1851</v>
      </c>
      <c r="BJ1705">
        <v>615</v>
      </c>
      <c r="BK1705">
        <v>991</v>
      </c>
      <c r="BL1705">
        <v>1606</v>
      </c>
      <c r="BM1705">
        <v>0</v>
      </c>
      <c r="BN1705">
        <v>0</v>
      </c>
      <c r="BO1705">
        <v>0</v>
      </c>
      <c r="BP1705">
        <v>991</v>
      </c>
      <c r="BQ1705">
        <v>991</v>
      </c>
      <c r="BR1705">
        <f t="shared" si="274"/>
        <v>-211</v>
      </c>
      <c r="BS1705">
        <f t="shared" si="275"/>
        <v>211</v>
      </c>
    </row>
    <row r="1706" spans="1:74" x14ac:dyDescent="0.25">
      <c r="A1706" s="5" t="s">
        <v>207</v>
      </c>
      <c r="B1706" s="5" t="s">
        <v>627</v>
      </c>
      <c r="C1706" s="5" t="s">
        <v>61</v>
      </c>
      <c r="D1706" s="1" t="s">
        <v>115</v>
      </c>
      <c r="E1706">
        <v>0</v>
      </c>
      <c r="F1706">
        <v>250</v>
      </c>
      <c r="G1706">
        <v>0</v>
      </c>
      <c r="H1706">
        <v>0</v>
      </c>
      <c r="I1706">
        <v>168</v>
      </c>
      <c r="J1706">
        <v>3506</v>
      </c>
      <c r="K1706">
        <v>298</v>
      </c>
      <c r="L1706">
        <v>17</v>
      </c>
      <c r="M1706">
        <v>0</v>
      </c>
      <c r="N1706">
        <v>0</v>
      </c>
      <c r="O1706">
        <v>0</v>
      </c>
      <c r="P1706">
        <v>828</v>
      </c>
      <c r="Q1706">
        <v>304</v>
      </c>
      <c r="R1706">
        <v>92</v>
      </c>
      <c r="S1706" s="18">
        <f t="shared" si="266"/>
        <v>9</v>
      </c>
      <c r="T1706" s="17">
        <f t="shared" si="267"/>
        <v>0</v>
      </c>
      <c r="U1706" s="17">
        <f t="shared" si="268"/>
        <v>0</v>
      </c>
      <c r="V1706" s="17">
        <f t="shared" si="269"/>
        <v>0</v>
      </c>
      <c r="W1706" s="17">
        <f t="shared" si="270"/>
        <v>92</v>
      </c>
      <c r="X1706" s="17">
        <f t="shared" si="271"/>
        <v>212</v>
      </c>
      <c r="Y1706" s="19">
        <f t="shared" si="272"/>
        <v>0</v>
      </c>
      <c r="Z1706">
        <v>250</v>
      </c>
      <c r="AA1706">
        <v>10</v>
      </c>
      <c r="AB1706">
        <v>292</v>
      </c>
      <c r="AC1706">
        <v>2476</v>
      </c>
      <c r="AD1706">
        <v>0</v>
      </c>
      <c r="AE1706">
        <v>0</v>
      </c>
      <c r="AF1706">
        <v>0</v>
      </c>
      <c r="AG1706">
        <v>168</v>
      </c>
      <c r="AH1706">
        <v>168</v>
      </c>
      <c r="AI1706">
        <v>0</v>
      </c>
      <c r="AJ1706">
        <v>0</v>
      </c>
      <c r="AK1706">
        <v>3506</v>
      </c>
      <c r="AL1706">
        <v>3506</v>
      </c>
      <c r="AM1706">
        <v>0</v>
      </c>
      <c r="AN1706">
        <v>0</v>
      </c>
      <c r="AO1706">
        <v>298</v>
      </c>
      <c r="AP1706">
        <v>19</v>
      </c>
      <c r="AQ1706">
        <v>298</v>
      </c>
      <c r="AR1706">
        <v>279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17</v>
      </c>
      <c r="BA1706">
        <v>17</v>
      </c>
      <c r="BB1706">
        <v>0</v>
      </c>
      <c r="BC1706">
        <v>0</v>
      </c>
      <c r="BD1706">
        <v>0</v>
      </c>
      <c r="BE1706">
        <f t="shared" si="273"/>
        <v>10752</v>
      </c>
      <c r="BF1706">
        <v>7017</v>
      </c>
      <c r="BG1706">
        <v>7017</v>
      </c>
      <c r="BH1706" t="s">
        <v>82</v>
      </c>
      <c r="BI1706" t="s">
        <v>651</v>
      </c>
      <c r="BJ1706">
        <v>2778</v>
      </c>
      <c r="BK1706">
        <v>3989</v>
      </c>
      <c r="BL1706">
        <v>7017</v>
      </c>
      <c r="BM1706">
        <v>0</v>
      </c>
      <c r="BN1706">
        <v>0</v>
      </c>
      <c r="BO1706">
        <v>0</v>
      </c>
      <c r="BP1706">
        <v>4817</v>
      </c>
      <c r="BQ1706">
        <v>4817</v>
      </c>
      <c r="BR1706">
        <f t="shared" si="274"/>
        <v>-212</v>
      </c>
      <c r="BS1706">
        <f t="shared" si="275"/>
        <v>396</v>
      </c>
    </row>
    <row r="1707" spans="1:74" x14ac:dyDescent="0.25">
      <c r="A1707" s="5" t="s">
        <v>1017</v>
      </c>
      <c r="B1707" s="5" t="s">
        <v>61</v>
      </c>
      <c r="C1707" s="5" t="s">
        <v>207</v>
      </c>
      <c r="D1707" s="1" t="s">
        <v>127</v>
      </c>
      <c r="E1707">
        <v>30</v>
      </c>
      <c r="F1707">
        <v>6</v>
      </c>
      <c r="G1707">
        <v>0</v>
      </c>
      <c r="H1707">
        <v>0</v>
      </c>
      <c r="I1707">
        <v>300</v>
      </c>
      <c r="J1707">
        <v>1100</v>
      </c>
      <c r="K1707">
        <v>74</v>
      </c>
      <c r="L1707">
        <v>70</v>
      </c>
      <c r="M1707">
        <v>0</v>
      </c>
      <c r="N1707">
        <v>0</v>
      </c>
      <c r="O1707">
        <v>0</v>
      </c>
      <c r="P1707">
        <v>54</v>
      </c>
      <c r="Q1707">
        <v>218</v>
      </c>
      <c r="R1707">
        <v>6</v>
      </c>
      <c r="S1707" s="18">
        <f t="shared" si="266"/>
        <v>9</v>
      </c>
      <c r="T1707" s="17">
        <f t="shared" si="267"/>
        <v>0</v>
      </c>
      <c r="U1707" s="17">
        <f t="shared" si="268"/>
        <v>0</v>
      </c>
      <c r="V1707" s="17">
        <f t="shared" si="269"/>
        <v>0</v>
      </c>
      <c r="W1707" s="17">
        <f t="shared" si="270"/>
        <v>6</v>
      </c>
      <c r="X1707" s="17">
        <f t="shared" si="271"/>
        <v>212</v>
      </c>
      <c r="Y1707" s="19">
        <f t="shared" si="272"/>
        <v>0</v>
      </c>
      <c r="Z1707">
        <v>6</v>
      </c>
      <c r="AA1707">
        <v>3</v>
      </c>
      <c r="AB1707">
        <v>170</v>
      </c>
      <c r="AC1707">
        <v>2125</v>
      </c>
      <c r="AD1707">
        <v>0</v>
      </c>
      <c r="AE1707">
        <v>0</v>
      </c>
      <c r="AF1707">
        <v>0</v>
      </c>
      <c r="AG1707">
        <v>300</v>
      </c>
      <c r="AH1707">
        <v>300</v>
      </c>
      <c r="AI1707">
        <v>0</v>
      </c>
      <c r="AJ1707">
        <v>0</v>
      </c>
      <c r="AK1707">
        <v>1100</v>
      </c>
      <c r="AL1707">
        <v>1100</v>
      </c>
      <c r="AM1707">
        <v>0</v>
      </c>
      <c r="AN1707">
        <v>0</v>
      </c>
      <c r="AO1707">
        <v>74</v>
      </c>
      <c r="AP1707">
        <v>34</v>
      </c>
      <c r="AQ1707">
        <v>74</v>
      </c>
      <c r="AR1707">
        <v>40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70</v>
      </c>
      <c r="BA1707">
        <v>70</v>
      </c>
      <c r="BB1707">
        <v>0</v>
      </c>
      <c r="BC1707">
        <v>0</v>
      </c>
      <c r="BD1707">
        <v>0</v>
      </c>
      <c r="BE1707">
        <f t="shared" si="273"/>
        <v>5287</v>
      </c>
      <c r="BF1707">
        <v>3878</v>
      </c>
      <c r="BG1707">
        <v>3878</v>
      </c>
      <c r="BH1707" t="s">
        <v>82</v>
      </c>
      <c r="BI1707" t="s">
        <v>1075</v>
      </c>
      <c r="BJ1707">
        <v>2328</v>
      </c>
      <c r="BK1707">
        <v>1544</v>
      </c>
      <c r="BL1707">
        <v>3878</v>
      </c>
      <c r="BM1707">
        <v>0</v>
      </c>
      <c r="BN1707">
        <v>0</v>
      </c>
      <c r="BO1707">
        <v>0</v>
      </c>
      <c r="BP1707">
        <v>1598</v>
      </c>
      <c r="BQ1707">
        <v>1598</v>
      </c>
      <c r="BR1707">
        <f t="shared" si="274"/>
        <v>-212</v>
      </c>
      <c r="BS1707">
        <f t="shared" si="275"/>
        <v>224</v>
      </c>
    </row>
    <row r="1708" spans="1:74" x14ac:dyDescent="0.25">
      <c r="A1708" s="5" t="s">
        <v>1135</v>
      </c>
      <c r="B1708" s="5" t="s">
        <v>207</v>
      </c>
      <c r="C1708" s="5" t="s">
        <v>207</v>
      </c>
      <c r="D1708" s="1" t="s">
        <v>90</v>
      </c>
      <c r="E1708">
        <v>0</v>
      </c>
      <c r="F1708">
        <v>6716</v>
      </c>
      <c r="G1708">
        <v>0</v>
      </c>
      <c r="H1708">
        <v>0</v>
      </c>
      <c r="I1708">
        <v>1887</v>
      </c>
      <c r="J1708">
        <v>3600</v>
      </c>
      <c r="K1708">
        <v>4715</v>
      </c>
      <c r="L1708">
        <v>293</v>
      </c>
      <c r="M1708">
        <v>0</v>
      </c>
      <c r="N1708">
        <v>0</v>
      </c>
      <c r="O1708">
        <v>0</v>
      </c>
      <c r="P1708">
        <v>11853</v>
      </c>
      <c r="Q1708">
        <v>1529</v>
      </c>
      <c r="R1708">
        <v>1317</v>
      </c>
      <c r="S1708" s="18">
        <f t="shared" si="266"/>
        <v>9</v>
      </c>
      <c r="T1708" s="17">
        <f t="shared" si="267"/>
        <v>0</v>
      </c>
      <c r="U1708" s="17">
        <f t="shared" si="268"/>
        <v>0</v>
      </c>
      <c r="V1708" s="17">
        <f t="shared" si="269"/>
        <v>0</v>
      </c>
      <c r="W1708" s="17">
        <f t="shared" si="270"/>
        <v>1317</v>
      </c>
      <c r="X1708" s="17">
        <f t="shared" si="271"/>
        <v>212</v>
      </c>
      <c r="Y1708" s="19">
        <f t="shared" si="272"/>
        <v>0</v>
      </c>
      <c r="Z1708">
        <v>6716</v>
      </c>
      <c r="AA1708">
        <v>6</v>
      </c>
      <c r="AB1708">
        <v>0</v>
      </c>
      <c r="AC1708">
        <v>12345</v>
      </c>
      <c r="AD1708">
        <v>0</v>
      </c>
      <c r="AE1708">
        <v>0</v>
      </c>
      <c r="AF1708">
        <v>0</v>
      </c>
      <c r="AG1708">
        <v>1887</v>
      </c>
      <c r="AH1708">
        <v>1887</v>
      </c>
      <c r="AI1708">
        <v>0</v>
      </c>
      <c r="AJ1708">
        <v>0</v>
      </c>
      <c r="AK1708">
        <v>3600</v>
      </c>
      <c r="AL1708">
        <v>3600</v>
      </c>
      <c r="AM1708">
        <v>0</v>
      </c>
      <c r="AN1708">
        <v>0</v>
      </c>
      <c r="AO1708">
        <v>4715</v>
      </c>
      <c r="AP1708">
        <v>1577</v>
      </c>
      <c r="AQ1708">
        <v>4715</v>
      </c>
      <c r="AR1708">
        <v>3138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293</v>
      </c>
      <c r="BA1708">
        <v>293</v>
      </c>
      <c r="BB1708">
        <v>0</v>
      </c>
      <c r="BC1708">
        <v>0</v>
      </c>
      <c r="BD1708">
        <v>0</v>
      </c>
      <c r="BE1708">
        <f t="shared" si="273"/>
        <v>38050</v>
      </c>
      <c r="BF1708">
        <v>29562</v>
      </c>
      <c r="BG1708">
        <v>29562</v>
      </c>
      <c r="BH1708" t="s">
        <v>82</v>
      </c>
      <c r="BI1708" t="s">
        <v>1268</v>
      </c>
      <c r="BJ1708">
        <v>12351</v>
      </c>
      <c r="BK1708">
        <v>10495</v>
      </c>
      <c r="BL1708">
        <v>29562</v>
      </c>
      <c r="BM1708">
        <v>0</v>
      </c>
      <c r="BN1708">
        <v>0</v>
      </c>
      <c r="BO1708">
        <v>0</v>
      </c>
      <c r="BP1708">
        <v>22348</v>
      </c>
      <c r="BQ1708">
        <v>22348</v>
      </c>
      <c r="BR1708">
        <f t="shared" si="274"/>
        <v>-212</v>
      </c>
      <c r="BS1708">
        <f t="shared" si="275"/>
        <v>2846</v>
      </c>
    </row>
    <row r="1709" spans="1:74" x14ac:dyDescent="0.25">
      <c r="A1709" s="5" t="s">
        <v>1017</v>
      </c>
      <c r="B1709" s="5" t="s">
        <v>61</v>
      </c>
      <c r="C1709" s="5" t="s">
        <v>61</v>
      </c>
      <c r="D1709" s="1" t="s">
        <v>67</v>
      </c>
      <c r="E1709">
        <v>0</v>
      </c>
      <c r="F1709">
        <v>0</v>
      </c>
      <c r="G1709">
        <v>0</v>
      </c>
      <c r="H1709">
        <v>0</v>
      </c>
      <c r="I1709">
        <v>2800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144</v>
      </c>
      <c r="R1709">
        <v>0</v>
      </c>
      <c r="S1709" s="18" t="e">
        <f t="shared" si="266"/>
        <v>#DIV/0!</v>
      </c>
      <c r="T1709" s="17" t="e">
        <f t="shared" si="267"/>
        <v>#DIV/0!</v>
      </c>
      <c r="U1709" s="17" t="e">
        <f t="shared" si="268"/>
        <v>#DIV/0!</v>
      </c>
      <c r="V1709" s="17" t="e">
        <f t="shared" si="269"/>
        <v>#DIV/0!</v>
      </c>
      <c r="W1709" s="17" t="e">
        <f t="shared" si="270"/>
        <v>#DIV/0!</v>
      </c>
      <c r="X1709" s="17" t="e">
        <f t="shared" si="271"/>
        <v>#DIV/0!</v>
      </c>
      <c r="Y1709" s="19" t="e">
        <f t="shared" si="272"/>
        <v>#DIV/0!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2800</v>
      </c>
      <c r="AH1709">
        <v>2800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f t="shared" si="273"/>
        <v>5600</v>
      </c>
      <c r="BF1709">
        <v>2800</v>
      </c>
      <c r="BG1709">
        <v>2800</v>
      </c>
      <c r="BH1709" t="s">
        <v>63</v>
      </c>
      <c r="BI1709" t="s">
        <v>1020</v>
      </c>
      <c r="BJ1709">
        <v>0</v>
      </c>
      <c r="BK1709">
        <v>2800</v>
      </c>
      <c r="BL1709">
        <v>2800</v>
      </c>
      <c r="BM1709">
        <v>0</v>
      </c>
      <c r="BN1709">
        <v>0</v>
      </c>
      <c r="BO1709">
        <v>0</v>
      </c>
      <c r="BP1709">
        <v>2800</v>
      </c>
      <c r="BQ1709">
        <v>2800</v>
      </c>
      <c r="BR1709">
        <f t="shared" si="274"/>
        <v>-144</v>
      </c>
      <c r="BS1709">
        <f t="shared" si="275"/>
        <v>144</v>
      </c>
      <c r="BU1709">
        <f>R1709*9</f>
        <v>0</v>
      </c>
      <c r="BV1709">
        <f>IF(BU1709&gt;BG1709, 1, 0)</f>
        <v>0</v>
      </c>
    </row>
    <row r="1710" spans="1:74" x14ac:dyDescent="0.25">
      <c r="A1710" s="5" t="s">
        <v>1135</v>
      </c>
      <c r="B1710" s="5" t="s">
        <v>207</v>
      </c>
      <c r="C1710" s="5" t="s">
        <v>207</v>
      </c>
      <c r="D1710" s="1" t="s">
        <v>115</v>
      </c>
      <c r="E1710">
        <v>60</v>
      </c>
      <c r="F1710">
        <v>2448</v>
      </c>
      <c r="G1710">
        <v>0</v>
      </c>
      <c r="H1710">
        <v>0</v>
      </c>
      <c r="I1710">
        <v>50</v>
      </c>
      <c r="J1710">
        <v>0</v>
      </c>
      <c r="K1710">
        <v>2077</v>
      </c>
      <c r="L1710">
        <v>175</v>
      </c>
      <c r="M1710">
        <v>0</v>
      </c>
      <c r="N1710">
        <v>0</v>
      </c>
      <c r="O1710">
        <v>0</v>
      </c>
      <c r="P1710">
        <v>5508</v>
      </c>
      <c r="Q1710">
        <v>826</v>
      </c>
      <c r="R1710">
        <v>612</v>
      </c>
      <c r="S1710" s="18">
        <f t="shared" si="266"/>
        <v>9</v>
      </c>
      <c r="T1710" s="17">
        <f t="shared" si="267"/>
        <v>0</v>
      </c>
      <c r="U1710" s="17">
        <f t="shared" si="268"/>
        <v>0</v>
      </c>
      <c r="V1710" s="17">
        <f t="shared" si="269"/>
        <v>0</v>
      </c>
      <c r="W1710" s="17">
        <f t="shared" si="270"/>
        <v>612</v>
      </c>
      <c r="X1710" s="17">
        <f t="shared" si="271"/>
        <v>214</v>
      </c>
      <c r="Y1710" s="19">
        <f t="shared" si="272"/>
        <v>0</v>
      </c>
      <c r="Z1710">
        <v>2448</v>
      </c>
      <c r="AA1710">
        <v>0</v>
      </c>
      <c r="AB1710">
        <v>0</v>
      </c>
      <c r="AC1710">
        <v>10050</v>
      </c>
      <c r="AD1710">
        <v>0</v>
      </c>
      <c r="AE1710">
        <v>0</v>
      </c>
      <c r="AF1710">
        <v>0</v>
      </c>
      <c r="AG1710">
        <v>50</v>
      </c>
      <c r="AH1710">
        <v>50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2077</v>
      </c>
      <c r="AP1710">
        <v>1115</v>
      </c>
      <c r="AQ1710">
        <v>2077</v>
      </c>
      <c r="AR1710">
        <v>962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175</v>
      </c>
      <c r="BA1710">
        <v>175</v>
      </c>
      <c r="BB1710">
        <v>0</v>
      </c>
      <c r="BC1710">
        <v>0</v>
      </c>
      <c r="BD1710">
        <v>0</v>
      </c>
      <c r="BE1710">
        <f t="shared" si="273"/>
        <v>16731</v>
      </c>
      <c r="BF1710">
        <v>14860</v>
      </c>
      <c r="BG1710">
        <v>14860</v>
      </c>
      <c r="BH1710" t="s">
        <v>82</v>
      </c>
      <c r="BI1710" t="s">
        <v>1280</v>
      </c>
      <c r="BJ1710">
        <v>10110</v>
      </c>
      <c r="BK1710">
        <v>2302</v>
      </c>
      <c r="BL1710">
        <v>14860</v>
      </c>
      <c r="BM1710">
        <v>0</v>
      </c>
      <c r="BN1710">
        <v>0</v>
      </c>
      <c r="BO1710">
        <v>0</v>
      </c>
      <c r="BP1710">
        <v>7810</v>
      </c>
      <c r="BQ1710">
        <v>7810</v>
      </c>
      <c r="BR1710">
        <f t="shared" si="274"/>
        <v>-214</v>
      </c>
      <c r="BS1710">
        <f t="shared" si="275"/>
        <v>1438</v>
      </c>
    </row>
    <row r="1711" spans="1:74" x14ac:dyDescent="0.25">
      <c r="A1711" s="5" t="s">
        <v>61</v>
      </c>
      <c r="B1711" s="5" t="s">
        <v>61</v>
      </c>
      <c r="C1711" s="5" t="s">
        <v>61</v>
      </c>
      <c r="D1711" s="1" t="s">
        <v>161</v>
      </c>
      <c r="E1711">
        <v>0</v>
      </c>
      <c r="F1711">
        <v>210</v>
      </c>
      <c r="G1711">
        <v>0</v>
      </c>
      <c r="H1711">
        <v>0</v>
      </c>
      <c r="I1711">
        <v>578</v>
      </c>
      <c r="J1711">
        <v>0</v>
      </c>
      <c r="K1711">
        <v>0</v>
      </c>
      <c r="L1711">
        <v>0</v>
      </c>
      <c r="M1711">
        <v>1098</v>
      </c>
      <c r="N1711">
        <v>0</v>
      </c>
      <c r="O1711">
        <v>0</v>
      </c>
      <c r="P1711">
        <v>0</v>
      </c>
      <c r="Q1711">
        <v>337</v>
      </c>
      <c r="R1711">
        <v>122</v>
      </c>
      <c r="S1711" s="18">
        <f t="shared" si="266"/>
        <v>9</v>
      </c>
      <c r="T1711" s="17">
        <f t="shared" si="267"/>
        <v>122</v>
      </c>
      <c r="U1711" s="17">
        <f t="shared" si="268"/>
        <v>0</v>
      </c>
      <c r="V1711" s="17">
        <f t="shared" si="269"/>
        <v>0</v>
      </c>
      <c r="W1711" s="17">
        <f t="shared" si="270"/>
        <v>0</v>
      </c>
      <c r="X1711" s="17">
        <f t="shared" si="271"/>
        <v>215</v>
      </c>
      <c r="Y1711" s="19">
        <f t="shared" si="272"/>
        <v>0</v>
      </c>
      <c r="Z1711">
        <v>210</v>
      </c>
      <c r="AA1711">
        <v>0</v>
      </c>
      <c r="AB1711">
        <v>0</v>
      </c>
      <c r="AC1711">
        <v>0</v>
      </c>
      <c r="AD1711">
        <v>578</v>
      </c>
      <c r="AE1711">
        <v>0</v>
      </c>
      <c r="AF1711">
        <v>0</v>
      </c>
      <c r="AG1711">
        <v>0</v>
      </c>
      <c r="AH1711">
        <v>578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f t="shared" si="273"/>
        <v>1156</v>
      </c>
      <c r="BF1711">
        <v>788</v>
      </c>
      <c r="BG1711">
        <v>788</v>
      </c>
      <c r="BH1711" t="s">
        <v>109</v>
      </c>
      <c r="BI1711" t="s">
        <v>162</v>
      </c>
      <c r="BJ1711">
        <v>0</v>
      </c>
      <c r="BK1711">
        <v>578</v>
      </c>
      <c r="BL1711">
        <v>788</v>
      </c>
      <c r="BM1711">
        <v>1676</v>
      </c>
      <c r="BN1711">
        <v>0</v>
      </c>
      <c r="BO1711">
        <v>0</v>
      </c>
      <c r="BP1711">
        <v>0</v>
      </c>
      <c r="BQ1711">
        <v>1676</v>
      </c>
      <c r="BR1711">
        <f t="shared" si="274"/>
        <v>-215</v>
      </c>
      <c r="BS1711">
        <f t="shared" si="275"/>
        <v>459</v>
      </c>
    </row>
    <row r="1712" spans="1:74" x14ac:dyDescent="0.25">
      <c r="A1712" s="5" t="s">
        <v>875</v>
      </c>
      <c r="B1712" s="5" t="s">
        <v>61</v>
      </c>
      <c r="C1712" s="5" t="s">
        <v>207</v>
      </c>
      <c r="D1712" s="1" t="s">
        <v>965</v>
      </c>
      <c r="E1712">
        <v>0</v>
      </c>
      <c r="F1712">
        <v>16</v>
      </c>
      <c r="G1712">
        <v>0</v>
      </c>
      <c r="H1712">
        <v>0</v>
      </c>
      <c r="I1712">
        <v>165</v>
      </c>
      <c r="J1712">
        <v>190</v>
      </c>
      <c r="K1712">
        <v>49</v>
      </c>
      <c r="L1712">
        <v>0</v>
      </c>
      <c r="M1712">
        <v>0</v>
      </c>
      <c r="N1712">
        <v>0</v>
      </c>
      <c r="O1712">
        <v>0</v>
      </c>
      <c r="P1712">
        <v>36</v>
      </c>
      <c r="Q1712">
        <v>220</v>
      </c>
      <c r="R1712">
        <v>4</v>
      </c>
      <c r="S1712" s="18">
        <f t="shared" si="266"/>
        <v>9</v>
      </c>
      <c r="T1712" s="17">
        <f t="shared" si="267"/>
        <v>0</v>
      </c>
      <c r="U1712" s="17">
        <f t="shared" si="268"/>
        <v>0</v>
      </c>
      <c r="V1712" s="17">
        <f t="shared" si="269"/>
        <v>0</v>
      </c>
      <c r="W1712" s="17">
        <f t="shared" si="270"/>
        <v>4</v>
      </c>
      <c r="X1712" s="17">
        <f t="shared" si="271"/>
        <v>216</v>
      </c>
      <c r="Y1712" s="19">
        <f t="shared" si="272"/>
        <v>0</v>
      </c>
      <c r="Z1712">
        <v>16</v>
      </c>
      <c r="AA1712">
        <v>0</v>
      </c>
      <c r="AB1712">
        <v>0</v>
      </c>
      <c r="AC1712">
        <v>900</v>
      </c>
      <c r="AD1712">
        <v>0</v>
      </c>
      <c r="AE1712">
        <v>0</v>
      </c>
      <c r="AF1712">
        <v>0</v>
      </c>
      <c r="AG1712">
        <v>165</v>
      </c>
      <c r="AH1712">
        <v>165</v>
      </c>
      <c r="AI1712">
        <v>0</v>
      </c>
      <c r="AJ1712">
        <v>0</v>
      </c>
      <c r="AK1712">
        <v>190</v>
      </c>
      <c r="AL1712">
        <v>190</v>
      </c>
      <c r="AM1712">
        <v>0</v>
      </c>
      <c r="AN1712">
        <v>0</v>
      </c>
      <c r="AO1712">
        <v>49</v>
      </c>
      <c r="AP1712">
        <v>0</v>
      </c>
      <c r="AQ1712">
        <v>49</v>
      </c>
      <c r="AR1712">
        <v>49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f t="shared" si="273"/>
        <v>1757</v>
      </c>
      <c r="BF1712">
        <v>1320</v>
      </c>
      <c r="BG1712">
        <v>1320</v>
      </c>
      <c r="BH1712" t="s">
        <v>82</v>
      </c>
      <c r="BI1712" t="s">
        <v>966</v>
      </c>
      <c r="BJ1712">
        <v>900</v>
      </c>
      <c r="BK1712">
        <v>404</v>
      </c>
      <c r="BL1712">
        <v>1320</v>
      </c>
      <c r="BM1712">
        <v>0</v>
      </c>
      <c r="BN1712">
        <v>0</v>
      </c>
      <c r="BO1712">
        <v>0</v>
      </c>
      <c r="BP1712">
        <v>440</v>
      </c>
      <c r="BQ1712">
        <v>440</v>
      </c>
      <c r="BR1712">
        <f t="shared" si="274"/>
        <v>-216</v>
      </c>
      <c r="BS1712">
        <f t="shared" si="275"/>
        <v>224</v>
      </c>
    </row>
    <row r="1713" spans="1:74" x14ac:dyDescent="0.25">
      <c r="A1713" s="5" t="s">
        <v>1946</v>
      </c>
      <c r="B1713" s="5" t="s">
        <v>207</v>
      </c>
      <c r="C1713" s="5" t="s">
        <v>61</v>
      </c>
      <c r="D1713" s="1" t="s">
        <v>90</v>
      </c>
      <c r="E1713">
        <v>50</v>
      </c>
      <c r="F1713">
        <v>170</v>
      </c>
      <c r="G1713">
        <v>0</v>
      </c>
      <c r="H1713">
        <v>0</v>
      </c>
      <c r="I1713">
        <v>464</v>
      </c>
      <c r="J1713">
        <v>5845</v>
      </c>
      <c r="K1713">
        <v>787</v>
      </c>
      <c r="L1713">
        <v>200</v>
      </c>
      <c r="M1713">
        <v>0</v>
      </c>
      <c r="N1713">
        <v>0</v>
      </c>
      <c r="O1713">
        <v>0</v>
      </c>
      <c r="P1713">
        <v>306</v>
      </c>
      <c r="Q1713">
        <v>250</v>
      </c>
      <c r="R1713">
        <v>34</v>
      </c>
      <c r="S1713" s="18">
        <f t="shared" si="266"/>
        <v>9</v>
      </c>
      <c r="T1713" s="17">
        <f t="shared" si="267"/>
        <v>0</v>
      </c>
      <c r="U1713" s="17">
        <f t="shared" si="268"/>
        <v>0</v>
      </c>
      <c r="V1713" s="17">
        <f t="shared" si="269"/>
        <v>0</v>
      </c>
      <c r="W1713" s="17">
        <f t="shared" si="270"/>
        <v>34</v>
      </c>
      <c r="X1713" s="17">
        <f t="shared" si="271"/>
        <v>216</v>
      </c>
      <c r="Y1713" s="19">
        <f t="shared" si="272"/>
        <v>0</v>
      </c>
      <c r="Z1713">
        <v>170</v>
      </c>
      <c r="AA1713">
        <v>15</v>
      </c>
      <c r="AB1713">
        <v>327</v>
      </c>
      <c r="AC1713">
        <v>3299</v>
      </c>
      <c r="AD1713">
        <v>0</v>
      </c>
      <c r="AE1713">
        <v>0</v>
      </c>
      <c r="AF1713">
        <v>0</v>
      </c>
      <c r="AG1713">
        <v>464</v>
      </c>
      <c r="AH1713">
        <v>464</v>
      </c>
      <c r="AI1713">
        <v>0</v>
      </c>
      <c r="AJ1713">
        <v>5845</v>
      </c>
      <c r="AK1713">
        <v>0</v>
      </c>
      <c r="AL1713">
        <v>5845</v>
      </c>
      <c r="AM1713">
        <v>0</v>
      </c>
      <c r="AN1713">
        <v>0</v>
      </c>
      <c r="AO1713">
        <v>787</v>
      </c>
      <c r="AP1713">
        <v>0</v>
      </c>
      <c r="AQ1713">
        <v>787</v>
      </c>
      <c r="AR1713">
        <v>787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200</v>
      </c>
      <c r="BA1713">
        <v>200</v>
      </c>
      <c r="BB1713">
        <v>0</v>
      </c>
      <c r="BC1713">
        <v>0</v>
      </c>
      <c r="BD1713">
        <v>0</v>
      </c>
      <c r="BE1713">
        <f t="shared" si="273"/>
        <v>18678</v>
      </c>
      <c r="BF1713">
        <v>11157</v>
      </c>
      <c r="BG1713">
        <v>11157</v>
      </c>
      <c r="BH1713" t="s">
        <v>82</v>
      </c>
      <c r="BI1713" t="s">
        <v>2021</v>
      </c>
      <c r="BJ1713">
        <v>3691</v>
      </c>
      <c r="BK1713">
        <v>7296</v>
      </c>
      <c r="BL1713">
        <v>11157</v>
      </c>
      <c r="BM1713">
        <v>0</v>
      </c>
      <c r="BN1713">
        <v>5845</v>
      </c>
      <c r="BO1713">
        <v>0</v>
      </c>
      <c r="BP1713">
        <v>1757</v>
      </c>
      <c r="BQ1713">
        <v>7602</v>
      </c>
      <c r="BR1713">
        <f t="shared" si="274"/>
        <v>-216</v>
      </c>
      <c r="BS1713">
        <f t="shared" si="275"/>
        <v>284</v>
      </c>
    </row>
    <row r="1714" spans="1:74" x14ac:dyDescent="0.25">
      <c r="A1714" s="5" t="s">
        <v>207</v>
      </c>
      <c r="B1714" s="5" t="s">
        <v>627</v>
      </c>
      <c r="C1714" s="5" t="s">
        <v>207</v>
      </c>
      <c r="D1714" s="1" t="s">
        <v>135</v>
      </c>
      <c r="E1714">
        <v>0</v>
      </c>
      <c r="F1714">
        <v>0</v>
      </c>
      <c r="G1714">
        <v>0</v>
      </c>
      <c r="H1714">
        <v>0</v>
      </c>
      <c r="I1714">
        <v>170</v>
      </c>
      <c r="J1714">
        <v>1628</v>
      </c>
      <c r="K1714">
        <v>195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218</v>
      </c>
      <c r="R1714">
        <v>0</v>
      </c>
      <c r="S1714" s="18" t="e">
        <f t="shared" si="266"/>
        <v>#DIV/0!</v>
      </c>
      <c r="T1714" s="17" t="e">
        <f t="shared" si="267"/>
        <v>#DIV/0!</v>
      </c>
      <c r="U1714" s="17" t="e">
        <f t="shared" si="268"/>
        <v>#DIV/0!</v>
      </c>
      <c r="V1714" s="17" t="e">
        <f t="shared" si="269"/>
        <v>#DIV/0!</v>
      </c>
      <c r="W1714" s="17" t="e">
        <f t="shared" si="270"/>
        <v>#DIV/0!</v>
      </c>
      <c r="X1714" s="17" t="e">
        <f t="shared" si="271"/>
        <v>#DIV/0!</v>
      </c>
      <c r="Y1714" s="19" t="e">
        <f t="shared" si="272"/>
        <v>#DIV/0!</v>
      </c>
      <c r="Z1714">
        <v>0</v>
      </c>
      <c r="AA1714">
        <v>0</v>
      </c>
      <c r="AB1714">
        <v>0</v>
      </c>
      <c r="AC1714">
        <v>4330</v>
      </c>
      <c r="AD1714">
        <v>0</v>
      </c>
      <c r="AE1714">
        <v>0</v>
      </c>
      <c r="AF1714">
        <v>0</v>
      </c>
      <c r="AG1714">
        <v>170</v>
      </c>
      <c r="AH1714">
        <v>170</v>
      </c>
      <c r="AI1714">
        <v>0</v>
      </c>
      <c r="AJ1714">
        <v>0</v>
      </c>
      <c r="AK1714">
        <v>1628</v>
      </c>
      <c r="AL1714">
        <v>1628</v>
      </c>
      <c r="AM1714">
        <v>0</v>
      </c>
      <c r="AN1714">
        <v>0</v>
      </c>
      <c r="AO1714">
        <v>195</v>
      </c>
      <c r="AP1714">
        <v>145</v>
      </c>
      <c r="AQ1714">
        <v>195</v>
      </c>
      <c r="AR1714">
        <v>50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f t="shared" si="273"/>
        <v>8511</v>
      </c>
      <c r="BF1714">
        <v>6323</v>
      </c>
      <c r="BG1714">
        <v>6323</v>
      </c>
      <c r="BH1714" t="s">
        <v>82</v>
      </c>
      <c r="BI1714" t="s">
        <v>693</v>
      </c>
      <c r="BJ1714">
        <v>4330</v>
      </c>
      <c r="BK1714">
        <v>1993</v>
      </c>
      <c r="BL1714">
        <v>6323</v>
      </c>
      <c r="BM1714">
        <v>0</v>
      </c>
      <c r="BN1714">
        <v>0</v>
      </c>
      <c r="BO1714">
        <v>0</v>
      </c>
      <c r="BP1714">
        <v>1993</v>
      </c>
      <c r="BQ1714">
        <v>1993</v>
      </c>
      <c r="BR1714">
        <f t="shared" si="274"/>
        <v>-218</v>
      </c>
      <c r="BS1714">
        <f t="shared" si="275"/>
        <v>218</v>
      </c>
    </row>
    <row r="1715" spans="1:74" x14ac:dyDescent="0.25">
      <c r="A1715" s="5" t="s">
        <v>875</v>
      </c>
      <c r="B1715" s="5" t="s">
        <v>61</v>
      </c>
      <c r="C1715" s="5" t="s">
        <v>207</v>
      </c>
      <c r="D1715" s="1" t="s">
        <v>77</v>
      </c>
      <c r="E1715">
        <v>0</v>
      </c>
      <c r="F1715">
        <v>0</v>
      </c>
      <c r="G1715">
        <v>0</v>
      </c>
      <c r="H1715">
        <v>0</v>
      </c>
      <c r="I1715">
        <v>560</v>
      </c>
      <c r="J1715">
        <v>0</v>
      </c>
      <c r="K1715">
        <v>450</v>
      </c>
      <c r="L1715">
        <v>236</v>
      </c>
      <c r="M1715">
        <v>0</v>
      </c>
      <c r="N1715">
        <v>0</v>
      </c>
      <c r="O1715">
        <v>0</v>
      </c>
      <c r="P1715">
        <v>0</v>
      </c>
      <c r="Q1715">
        <v>146</v>
      </c>
      <c r="R1715">
        <v>0</v>
      </c>
      <c r="S1715" s="18" t="e">
        <f t="shared" si="266"/>
        <v>#DIV/0!</v>
      </c>
      <c r="T1715" s="17" t="e">
        <f t="shared" si="267"/>
        <v>#DIV/0!</v>
      </c>
      <c r="U1715" s="17" t="e">
        <f t="shared" si="268"/>
        <v>#DIV/0!</v>
      </c>
      <c r="V1715" s="17" t="e">
        <f t="shared" si="269"/>
        <v>#DIV/0!</v>
      </c>
      <c r="W1715" s="17" t="e">
        <f t="shared" si="270"/>
        <v>#DIV/0!</v>
      </c>
      <c r="X1715" s="17" t="e">
        <f t="shared" si="271"/>
        <v>#DIV/0!</v>
      </c>
      <c r="Y1715" s="19" t="e">
        <f t="shared" si="272"/>
        <v>#DIV/0!</v>
      </c>
      <c r="Z1715">
        <v>0</v>
      </c>
      <c r="AA1715">
        <v>0</v>
      </c>
      <c r="AB1715">
        <v>0</v>
      </c>
      <c r="AC1715">
        <v>750</v>
      </c>
      <c r="AD1715">
        <v>0</v>
      </c>
      <c r="AE1715">
        <v>0</v>
      </c>
      <c r="AF1715">
        <v>0</v>
      </c>
      <c r="AG1715">
        <v>560</v>
      </c>
      <c r="AH1715">
        <v>560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450</v>
      </c>
      <c r="AP1715">
        <v>150</v>
      </c>
      <c r="AQ1715">
        <v>450</v>
      </c>
      <c r="AR1715">
        <v>300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236</v>
      </c>
      <c r="BA1715">
        <v>236</v>
      </c>
      <c r="BB1715">
        <v>0</v>
      </c>
      <c r="BC1715">
        <v>0</v>
      </c>
      <c r="BD1715">
        <v>0</v>
      </c>
      <c r="BE1715">
        <f t="shared" si="273"/>
        <v>3692</v>
      </c>
      <c r="BF1715">
        <v>1996</v>
      </c>
      <c r="BG1715">
        <v>1996</v>
      </c>
      <c r="BH1715" t="s">
        <v>63</v>
      </c>
      <c r="BI1715" t="s">
        <v>812</v>
      </c>
      <c r="BJ1715">
        <v>750</v>
      </c>
      <c r="BK1715">
        <v>1246</v>
      </c>
      <c r="BL1715">
        <v>1996</v>
      </c>
      <c r="BM1715">
        <v>0</v>
      </c>
      <c r="BN1715">
        <v>0</v>
      </c>
      <c r="BO1715">
        <v>0</v>
      </c>
      <c r="BP1715">
        <v>1246</v>
      </c>
      <c r="BQ1715">
        <v>1246</v>
      </c>
      <c r="BR1715">
        <f t="shared" si="274"/>
        <v>-146</v>
      </c>
      <c r="BS1715">
        <f t="shared" si="275"/>
        <v>146</v>
      </c>
      <c r="BU1715">
        <f>R1715*9</f>
        <v>0</v>
      </c>
      <c r="BV1715">
        <f>IF(BU1715&gt;BG1715, 1, 0)</f>
        <v>0</v>
      </c>
    </row>
    <row r="1716" spans="1:74" x14ac:dyDescent="0.25">
      <c r="A1716" s="5" t="s">
        <v>875</v>
      </c>
      <c r="B1716" s="5" t="s">
        <v>207</v>
      </c>
      <c r="C1716" s="5" t="s">
        <v>61</v>
      </c>
      <c r="D1716" s="1" t="s">
        <v>69</v>
      </c>
      <c r="E1716">
        <v>0</v>
      </c>
      <c r="F1716">
        <v>0</v>
      </c>
      <c r="G1716">
        <v>0</v>
      </c>
      <c r="H1716">
        <v>0</v>
      </c>
      <c r="I1716">
        <v>710</v>
      </c>
      <c r="J1716">
        <v>0</v>
      </c>
      <c r="K1716">
        <v>30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148</v>
      </c>
      <c r="R1716">
        <v>0</v>
      </c>
      <c r="S1716" s="18" t="e">
        <f t="shared" si="266"/>
        <v>#DIV/0!</v>
      </c>
      <c r="T1716" s="17" t="e">
        <f t="shared" si="267"/>
        <v>#DIV/0!</v>
      </c>
      <c r="U1716" s="17" t="e">
        <f t="shared" si="268"/>
        <v>#DIV/0!</v>
      </c>
      <c r="V1716" s="17" t="e">
        <f t="shared" si="269"/>
        <v>#DIV/0!</v>
      </c>
      <c r="W1716" s="17" t="e">
        <f t="shared" si="270"/>
        <v>#DIV/0!</v>
      </c>
      <c r="X1716" s="17" t="e">
        <f t="shared" si="271"/>
        <v>#DIV/0!</v>
      </c>
      <c r="Y1716" s="19" t="e">
        <f t="shared" si="272"/>
        <v>#DIV/0!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710</v>
      </c>
      <c r="AH1716">
        <v>710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30</v>
      </c>
      <c r="AP1716">
        <v>0</v>
      </c>
      <c r="AQ1716">
        <v>30</v>
      </c>
      <c r="AR1716">
        <v>30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f t="shared" si="273"/>
        <v>1510</v>
      </c>
      <c r="BF1716">
        <v>740</v>
      </c>
      <c r="BG1716">
        <v>740</v>
      </c>
      <c r="BH1716" t="s">
        <v>63</v>
      </c>
      <c r="BI1716" t="s">
        <v>969</v>
      </c>
      <c r="BJ1716">
        <v>0</v>
      </c>
      <c r="BK1716">
        <v>740</v>
      </c>
      <c r="BL1716">
        <v>740</v>
      </c>
      <c r="BM1716">
        <v>0</v>
      </c>
      <c r="BN1716">
        <v>0</v>
      </c>
      <c r="BO1716">
        <v>0</v>
      </c>
      <c r="BP1716">
        <v>740</v>
      </c>
      <c r="BQ1716">
        <v>740</v>
      </c>
      <c r="BR1716">
        <f t="shared" si="274"/>
        <v>-148</v>
      </c>
      <c r="BS1716">
        <f t="shared" si="275"/>
        <v>148</v>
      </c>
      <c r="BU1716">
        <f>R1716*9</f>
        <v>0</v>
      </c>
      <c r="BV1716">
        <f>IF(BU1716&gt;BG1716, 1, 0)</f>
        <v>0</v>
      </c>
    </row>
    <row r="1717" spans="1:74" x14ac:dyDescent="0.25">
      <c r="A1717" s="5" t="s">
        <v>1017</v>
      </c>
      <c r="B1717" s="5" t="s">
        <v>61</v>
      </c>
      <c r="C1717" s="5" t="s">
        <v>61</v>
      </c>
      <c r="D1717" s="1" t="s">
        <v>86</v>
      </c>
      <c r="E1717">
        <v>0</v>
      </c>
      <c r="F1717">
        <v>280</v>
      </c>
      <c r="G1717">
        <v>0</v>
      </c>
      <c r="H1717">
        <v>0</v>
      </c>
      <c r="I1717">
        <v>568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2205</v>
      </c>
      <c r="Q1717">
        <v>464</v>
      </c>
      <c r="R1717">
        <v>245</v>
      </c>
      <c r="S1717" s="18">
        <f t="shared" si="266"/>
        <v>9</v>
      </c>
      <c r="T1717" s="17">
        <f t="shared" si="267"/>
        <v>0</v>
      </c>
      <c r="U1717" s="17">
        <f t="shared" si="268"/>
        <v>0</v>
      </c>
      <c r="V1717" s="17">
        <f t="shared" si="269"/>
        <v>0</v>
      </c>
      <c r="W1717" s="17">
        <f t="shared" si="270"/>
        <v>245</v>
      </c>
      <c r="X1717" s="17">
        <f t="shared" si="271"/>
        <v>219</v>
      </c>
      <c r="Y1717" s="19">
        <f t="shared" si="272"/>
        <v>0</v>
      </c>
      <c r="Z1717">
        <v>280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568</v>
      </c>
      <c r="AH1717">
        <v>568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f t="shared" si="273"/>
        <v>1136</v>
      </c>
      <c r="BF1717">
        <v>848</v>
      </c>
      <c r="BG1717">
        <v>848</v>
      </c>
      <c r="BH1717" t="s">
        <v>109</v>
      </c>
      <c r="BI1717" t="s">
        <v>1028</v>
      </c>
      <c r="BJ1717">
        <v>0</v>
      </c>
      <c r="BK1717">
        <v>568</v>
      </c>
      <c r="BL1717">
        <v>848</v>
      </c>
      <c r="BM1717">
        <v>0</v>
      </c>
      <c r="BN1717">
        <v>0</v>
      </c>
      <c r="BO1717">
        <v>0</v>
      </c>
      <c r="BP1717">
        <v>2773</v>
      </c>
      <c r="BQ1717">
        <v>2773</v>
      </c>
      <c r="BR1717">
        <f t="shared" si="274"/>
        <v>-219</v>
      </c>
      <c r="BS1717">
        <f t="shared" si="275"/>
        <v>709</v>
      </c>
    </row>
    <row r="1718" spans="1:74" x14ac:dyDescent="0.25">
      <c r="A1718" s="5" t="s">
        <v>1337</v>
      </c>
      <c r="B1718" s="5" t="s">
        <v>61</v>
      </c>
      <c r="C1718" s="5" t="s">
        <v>61</v>
      </c>
      <c r="D1718" s="1" t="s">
        <v>117</v>
      </c>
      <c r="E1718">
        <v>12</v>
      </c>
      <c r="F1718">
        <v>0</v>
      </c>
      <c r="G1718">
        <v>0</v>
      </c>
      <c r="H1718">
        <v>0</v>
      </c>
      <c r="I1718">
        <v>36</v>
      </c>
      <c r="J1718">
        <v>2754</v>
      </c>
      <c r="K1718">
        <v>908</v>
      </c>
      <c r="L1718">
        <v>75</v>
      </c>
      <c r="M1718">
        <v>0</v>
      </c>
      <c r="N1718">
        <v>0</v>
      </c>
      <c r="O1718">
        <v>0</v>
      </c>
      <c r="P1718">
        <v>0</v>
      </c>
      <c r="Q1718">
        <v>219</v>
      </c>
      <c r="R1718">
        <v>0</v>
      </c>
      <c r="S1718" s="18" t="e">
        <f t="shared" si="266"/>
        <v>#DIV/0!</v>
      </c>
      <c r="T1718" s="17" t="e">
        <f t="shared" si="267"/>
        <v>#DIV/0!</v>
      </c>
      <c r="U1718" s="17" t="e">
        <f t="shared" si="268"/>
        <v>#DIV/0!</v>
      </c>
      <c r="V1718" s="17" t="e">
        <f t="shared" si="269"/>
        <v>#DIV/0!</v>
      </c>
      <c r="W1718" s="17" t="e">
        <f t="shared" si="270"/>
        <v>#DIV/0!</v>
      </c>
      <c r="X1718" s="17" t="e">
        <f t="shared" si="271"/>
        <v>#DIV/0!</v>
      </c>
      <c r="Y1718" s="19" t="e">
        <f t="shared" si="272"/>
        <v>#DIV/0!</v>
      </c>
      <c r="Z1718">
        <v>0</v>
      </c>
      <c r="AA1718">
        <v>18</v>
      </c>
      <c r="AB1718">
        <v>0</v>
      </c>
      <c r="AC1718">
        <v>1523</v>
      </c>
      <c r="AD1718">
        <v>0</v>
      </c>
      <c r="AE1718">
        <v>0</v>
      </c>
      <c r="AF1718">
        <v>0</v>
      </c>
      <c r="AG1718">
        <v>36</v>
      </c>
      <c r="AH1718">
        <v>36</v>
      </c>
      <c r="AI1718">
        <v>0</v>
      </c>
      <c r="AJ1718">
        <v>2754</v>
      </c>
      <c r="AK1718">
        <v>0</v>
      </c>
      <c r="AL1718">
        <v>2754</v>
      </c>
      <c r="AM1718">
        <v>0</v>
      </c>
      <c r="AN1718">
        <v>62</v>
      </c>
      <c r="AO1718">
        <v>846</v>
      </c>
      <c r="AP1718">
        <v>846</v>
      </c>
      <c r="AQ1718">
        <v>908</v>
      </c>
      <c r="AR1718">
        <v>62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75</v>
      </c>
      <c r="BA1718">
        <v>75</v>
      </c>
      <c r="BB1718">
        <v>0</v>
      </c>
      <c r="BC1718">
        <v>0</v>
      </c>
      <c r="BD1718">
        <v>0</v>
      </c>
      <c r="BE1718">
        <f t="shared" si="273"/>
        <v>9977</v>
      </c>
      <c r="BF1718">
        <v>5326</v>
      </c>
      <c r="BG1718">
        <v>5326</v>
      </c>
      <c r="BH1718" t="s">
        <v>199</v>
      </c>
      <c r="BI1718" t="s">
        <v>1362</v>
      </c>
      <c r="BJ1718">
        <v>1553</v>
      </c>
      <c r="BK1718">
        <v>3773</v>
      </c>
      <c r="BL1718">
        <v>5326</v>
      </c>
      <c r="BM1718">
        <v>0</v>
      </c>
      <c r="BN1718">
        <v>2816</v>
      </c>
      <c r="BO1718">
        <v>0</v>
      </c>
      <c r="BP1718">
        <v>957</v>
      </c>
      <c r="BQ1718">
        <v>3773</v>
      </c>
      <c r="BR1718">
        <f t="shared" si="274"/>
        <v>-219</v>
      </c>
      <c r="BS1718">
        <f t="shared" si="275"/>
        <v>219</v>
      </c>
    </row>
    <row r="1719" spans="1:74" x14ac:dyDescent="0.25">
      <c r="A1719" s="5" t="s">
        <v>1661</v>
      </c>
      <c r="B1719" s="5" t="s">
        <v>207</v>
      </c>
      <c r="C1719" s="5" t="s">
        <v>207</v>
      </c>
      <c r="D1719" s="1" t="s">
        <v>145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62</v>
      </c>
      <c r="K1719">
        <v>23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219</v>
      </c>
      <c r="R1719">
        <v>0</v>
      </c>
      <c r="S1719" s="18" t="e">
        <f t="shared" si="266"/>
        <v>#DIV/0!</v>
      </c>
      <c r="T1719" s="17" t="e">
        <f t="shared" si="267"/>
        <v>#DIV/0!</v>
      </c>
      <c r="U1719" s="17" t="e">
        <f t="shared" si="268"/>
        <v>#DIV/0!</v>
      </c>
      <c r="V1719" s="17" t="e">
        <f t="shared" si="269"/>
        <v>#DIV/0!</v>
      </c>
      <c r="W1719" s="17" t="e">
        <f t="shared" si="270"/>
        <v>#DIV/0!</v>
      </c>
      <c r="X1719" s="17" t="e">
        <f t="shared" si="271"/>
        <v>#DIV/0!</v>
      </c>
      <c r="Y1719" s="19" t="e">
        <f t="shared" si="272"/>
        <v>#DIV/0!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62</v>
      </c>
      <c r="AL1719">
        <v>62</v>
      </c>
      <c r="AM1719">
        <v>0</v>
      </c>
      <c r="AN1719">
        <v>0</v>
      </c>
      <c r="AO1719">
        <v>23</v>
      </c>
      <c r="AP1719">
        <v>23</v>
      </c>
      <c r="AQ1719">
        <v>23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f t="shared" si="273"/>
        <v>193</v>
      </c>
      <c r="BF1719">
        <v>85</v>
      </c>
      <c r="BG1719">
        <v>85</v>
      </c>
      <c r="BH1719" t="s">
        <v>190</v>
      </c>
      <c r="BI1719" t="s">
        <v>1830</v>
      </c>
      <c r="BJ1719">
        <v>0</v>
      </c>
      <c r="BK1719">
        <v>85</v>
      </c>
      <c r="BL1719">
        <v>85</v>
      </c>
      <c r="BM1719">
        <v>0</v>
      </c>
      <c r="BN1719">
        <v>0</v>
      </c>
      <c r="BO1719">
        <v>0</v>
      </c>
      <c r="BP1719">
        <v>85</v>
      </c>
      <c r="BQ1719">
        <v>85</v>
      </c>
      <c r="BR1719">
        <f t="shared" si="274"/>
        <v>-219</v>
      </c>
      <c r="BS1719">
        <f t="shared" si="275"/>
        <v>219</v>
      </c>
    </row>
    <row r="1720" spans="1:74" x14ac:dyDescent="0.25">
      <c r="A1720" s="5" t="s">
        <v>1946</v>
      </c>
      <c r="B1720" s="5" t="s">
        <v>207</v>
      </c>
      <c r="C1720" s="5" t="s">
        <v>61</v>
      </c>
      <c r="D1720" s="1" t="s">
        <v>127</v>
      </c>
      <c r="E1720">
        <v>0</v>
      </c>
      <c r="F1720">
        <v>48</v>
      </c>
      <c r="G1720">
        <v>0</v>
      </c>
      <c r="H1720">
        <v>0</v>
      </c>
      <c r="I1720">
        <v>100</v>
      </c>
      <c r="J1720">
        <v>2825</v>
      </c>
      <c r="K1720">
        <v>210</v>
      </c>
      <c r="L1720">
        <v>90</v>
      </c>
      <c r="M1720">
        <v>0</v>
      </c>
      <c r="N1720">
        <v>0</v>
      </c>
      <c r="O1720">
        <v>0</v>
      </c>
      <c r="P1720">
        <v>108</v>
      </c>
      <c r="Q1720">
        <v>231</v>
      </c>
      <c r="R1720">
        <v>12</v>
      </c>
      <c r="S1720" s="18">
        <f t="shared" si="266"/>
        <v>9</v>
      </c>
      <c r="T1720" s="17">
        <f t="shared" si="267"/>
        <v>0</v>
      </c>
      <c r="U1720" s="17">
        <f t="shared" si="268"/>
        <v>0</v>
      </c>
      <c r="V1720" s="17">
        <f t="shared" si="269"/>
        <v>0</v>
      </c>
      <c r="W1720" s="17">
        <f t="shared" si="270"/>
        <v>12</v>
      </c>
      <c r="X1720" s="17">
        <f t="shared" si="271"/>
        <v>219</v>
      </c>
      <c r="Y1720" s="19">
        <f t="shared" si="272"/>
        <v>0</v>
      </c>
      <c r="Z1720">
        <v>48</v>
      </c>
      <c r="AA1720">
        <v>0</v>
      </c>
      <c r="AB1720">
        <v>0</v>
      </c>
      <c r="AC1720">
        <v>3000</v>
      </c>
      <c r="AD1720">
        <v>0</v>
      </c>
      <c r="AE1720">
        <v>0</v>
      </c>
      <c r="AF1720">
        <v>0</v>
      </c>
      <c r="AG1720">
        <v>100</v>
      </c>
      <c r="AH1720">
        <v>100</v>
      </c>
      <c r="AI1720">
        <v>0</v>
      </c>
      <c r="AJ1720">
        <v>0</v>
      </c>
      <c r="AK1720">
        <v>2825</v>
      </c>
      <c r="AL1720">
        <v>2825</v>
      </c>
      <c r="AM1720">
        <v>0</v>
      </c>
      <c r="AN1720">
        <v>0</v>
      </c>
      <c r="AO1720">
        <v>210</v>
      </c>
      <c r="AP1720">
        <v>0</v>
      </c>
      <c r="AQ1720">
        <v>210</v>
      </c>
      <c r="AR1720">
        <v>210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90</v>
      </c>
      <c r="BA1720">
        <v>90</v>
      </c>
      <c r="BB1720">
        <v>0</v>
      </c>
      <c r="BC1720">
        <v>0</v>
      </c>
      <c r="BD1720">
        <v>0</v>
      </c>
      <c r="BE1720">
        <f t="shared" si="273"/>
        <v>9660</v>
      </c>
      <c r="BF1720">
        <v>6273</v>
      </c>
      <c r="BG1720">
        <v>6273</v>
      </c>
      <c r="BH1720" t="s">
        <v>82</v>
      </c>
      <c r="BI1720" t="s">
        <v>2039</v>
      </c>
      <c r="BJ1720">
        <v>3000</v>
      </c>
      <c r="BK1720">
        <v>3225</v>
      </c>
      <c r="BL1720">
        <v>6273</v>
      </c>
      <c r="BM1720">
        <v>0</v>
      </c>
      <c r="BN1720">
        <v>0</v>
      </c>
      <c r="BO1720">
        <v>0</v>
      </c>
      <c r="BP1720">
        <v>3333</v>
      </c>
      <c r="BQ1720">
        <v>3333</v>
      </c>
      <c r="BR1720">
        <f t="shared" si="274"/>
        <v>-219</v>
      </c>
      <c r="BS1720">
        <f t="shared" si="275"/>
        <v>243</v>
      </c>
    </row>
    <row r="1721" spans="1:74" x14ac:dyDescent="0.25">
      <c r="A1721" s="5" t="s">
        <v>61</v>
      </c>
      <c r="B1721" s="5" t="s">
        <v>207</v>
      </c>
      <c r="C1721" s="5" t="s">
        <v>61</v>
      </c>
      <c r="D1721" s="1" t="s">
        <v>155</v>
      </c>
      <c r="E1721">
        <v>0</v>
      </c>
      <c r="F1721">
        <v>145</v>
      </c>
      <c r="G1721">
        <v>0</v>
      </c>
      <c r="H1721">
        <v>0</v>
      </c>
      <c r="I1721">
        <v>335</v>
      </c>
      <c r="J1721">
        <v>62</v>
      </c>
      <c r="K1721">
        <v>481</v>
      </c>
      <c r="L1721">
        <v>87</v>
      </c>
      <c r="M1721">
        <v>1305</v>
      </c>
      <c r="N1721">
        <v>0</v>
      </c>
      <c r="O1721">
        <v>0</v>
      </c>
      <c r="P1721">
        <v>0</v>
      </c>
      <c r="Q1721">
        <v>365</v>
      </c>
      <c r="R1721">
        <v>145</v>
      </c>
      <c r="S1721" s="18">
        <f t="shared" si="266"/>
        <v>9</v>
      </c>
      <c r="T1721" s="17">
        <f t="shared" si="267"/>
        <v>145</v>
      </c>
      <c r="U1721" s="17">
        <f t="shared" si="268"/>
        <v>0</v>
      </c>
      <c r="V1721" s="17">
        <f t="shared" si="269"/>
        <v>0</v>
      </c>
      <c r="W1721" s="17">
        <f t="shared" si="270"/>
        <v>0</v>
      </c>
      <c r="X1721" s="17">
        <f t="shared" si="271"/>
        <v>220</v>
      </c>
      <c r="Y1721" s="19">
        <f t="shared" si="272"/>
        <v>0</v>
      </c>
      <c r="Z1721">
        <v>145</v>
      </c>
      <c r="AA1721">
        <v>0</v>
      </c>
      <c r="AB1721">
        <v>0</v>
      </c>
      <c r="AC1721">
        <v>0</v>
      </c>
      <c r="AD1721">
        <v>242</v>
      </c>
      <c r="AE1721">
        <v>0</v>
      </c>
      <c r="AF1721">
        <v>0</v>
      </c>
      <c r="AG1721">
        <v>93</v>
      </c>
      <c r="AH1721">
        <v>335</v>
      </c>
      <c r="AI1721">
        <v>0</v>
      </c>
      <c r="AJ1721">
        <v>0</v>
      </c>
      <c r="AK1721">
        <v>62</v>
      </c>
      <c r="AL1721">
        <v>62</v>
      </c>
      <c r="AM1721">
        <v>0</v>
      </c>
      <c r="AN1721">
        <v>0</v>
      </c>
      <c r="AO1721">
        <v>481</v>
      </c>
      <c r="AP1721">
        <v>200</v>
      </c>
      <c r="AQ1721">
        <v>481</v>
      </c>
      <c r="AR1721">
        <v>281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87</v>
      </c>
      <c r="BA1721">
        <v>87</v>
      </c>
      <c r="BB1721">
        <v>0</v>
      </c>
      <c r="BC1721">
        <v>0</v>
      </c>
      <c r="BD1721">
        <v>0</v>
      </c>
      <c r="BE1721">
        <f t="shared" si="273"/>
        <v>2411</v>
      </c>
      <c r="BF1721">
        <v>1110</v>
      </c>
      <c r="BG1721">
        <v>1110</v>
      </c>
      <c r="BH1721" t="s">
        <v>109</v>
      </c>
      <c r="BI1721" t="s">
        <v>254</v>
      </c>
      <c r="BJ1721">
        <v>0</v>
      </c>
      <c r="BK1721">
        <v>965</v>
      </c>
      <c r="BL1721">
        <v>1110</v>
      </c>
      <c r="BM1721">
        <v>1547</v>
      </c>
      <c r="BN1721">
        <v>0</v>
      </c>
      <c r="BO1721">
        <v>0</v>
      </c>
      <c r="BP1721">
        <v>723</v>
      </c>
      <c r="BQ1721">
        <v>2270</v>
      </c>
      <c r="BR1721">
        <f t="shared" si="274"/>
        <v>-220</v>
      </c>
      <c r="BS1721">
        <f t="shared" si="275"/>
        <v>510</v>
      </c>
    </row>
    <row r="1722" spans="1:74" x14ac:dyDescent="0.25">
      <c r="A1722" s="5" t="s">
        <v>207</v>
      </c>
      <c r="B1722" s="5" t="s">
        <v>627</v>
      </c>
      <c r="C1722" s="5" t="s">
        <v>207</v>
      </c>
      <c r="D1722" s="1" t="s">
        <v>96</v>
      </c>
      <c r="E1722">
        <v>0</v>
      </c>
      <c r="F1722">
        <v>120</v>
      </c>
      <c r="G1722">
        <v>0</v>
      </c>
      <c r="H1722">
        <v>0</v>
      </c>
      <c r="I1722">
        <v>23</v>
      </c>
      <c r="J1722">
        <v>3200</v>
      </c>
      <c r="K1722">
        <v>240</v>
      </c>
      <c r="L1722">
        <v>105</v>
      </c>
      <c r="M1722">
        <v>0</v>
      </c>
      <c r="N1722">
        <v>0</v>
      </c>
      <c r="O1722">
        <v>0</v>
      </c>
      <c r="P1722">
        <v>684</v>
      </c>
      <c r="Q1722">
        <v>296</v>
      </c>
      <c r="R1722">
        <v>76</v>
      </c>
      <c r="S1722" s="18">
        <f t="shared" si="266"/>
        <v>9</v>
      </c>
      <c r="T1722" s="17">
        <f t="shared" si="267"/>
        <v>0</v>
      </c>
      <c r="U1722" s="17">
        <f t="shared" si="268"/>
        <v>0</v>
      </c>
      <c r="V1722" s="17">
        <f t="shared" si="269"/>
        <v>0</v>
      </c>
      <c r="W1722" s="17">
        <f t="shared" si="270"/>
        <v>76</v>
      </c>
      <c r="X1722" s="17">
        <f t="shared" si="271"/>
        <v>220</v>
      </c>
      <c r="Y1722" s="19">
        <f t="shared" si="272"/>
        <v>0</v>
      </c>
      <c r="Z1722">
        <v>120</v>
      </c>
      <c r="AA1722">
        <v>2</v>
      </c>
      <c r="AB1722">
        <v>290</v>
      </c>
      <c r="AC1722">
        <v>4690</v>
      </c>
      <c r="AD1722">
        <v>0</v>
      </c>
      <c r="AE1722">
        <v>0</v>
      </c>
      <c r="AF1722">
        <v>0</v>
      </c>
      <c r="AG1722">
        <v>23</v>
      </c>
      <c r="AH1722">
        <v>23</v>
      </c>
      <c r="AI1722">
        <v>0</v>
      </c>
      <c r="AJ1722">
        <v>0</v>
      </c>
      <c r="AK1722">
        <v>3200</v>
      </c>
      <c r="AL1722">
        <v>3200</v>
      </c>
      <c r="AM1722">
        <v>0</v>
      </c>
      <c r="AN1722">
        <v>0</v>
      </c>
      <c r="AO1722">
        <v>240</v>
      </c>
      <c r="AP1722">
        <v>0</v>
      </c>
      <c r="AQ1722">
        <v>240</v>
      </c>
      <c r="AR1722">
        <v>240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105</v>
      </c>
      <c r="BA1722">
        <v>105</v>
      </c>
      <c r="BB1722">
        <v>0</v>
      </c>
      <c r="BC1722">
        <v>0</v>
      </c>
      <c r="BD1722">
        <v>0</v>
      </c>
      <c r="BE1722">
        <f t="shared" si="273"/>
        <v>12066</v>
      </c>
      <c r="BF1722">
        <v>8670</v>
      </c>
      <c r="BG1722">
        <v>8670</v>
      </c>
      <c r="BH1722" t="s">
        <v>82</v>
      </c>
      <c r="BI1722" t="s">
        <v>296</v>
      </c>
      <c r="BJ1722">
        <v>4982</v>
      </c>
      <c r="BK1722">
        <v>3568</v>
      </c>
      <c r="BL1722">
        <v>8670</v>
      </c>
      <c r="BM1722">
        <v>0</v>
      </c>
      <c r="BN1722">
        <v>0</v>
      </c>
      <c r="BO1722">
        <v>0</v>
      </c>
      <c r="BP1722">
        <v>4252</v>
      </c>
      <c r="BQ1722">
        <v>4252</v>
      </c>
      <c r="BR1722">
        <f t="shared" si="274"/>
        <v>-220</v>
      </c>
      <c r="BS1722">
        <f t="shared" si="275"/>
        <v>372</v>
      </c>
    </row>
    <row r="1723" spans="1:74" x14ac:dyDescent="0.25">
      <c r="A1723" s="5" t="s">
        <v>1135</v>
      </c>
      <c r="B1723" s="5" t="s">
        <v>207</v>
      </c>
      <c r="C1723" s="5" t="s">
        <v>61</v>
      </c>
      <c r="D1723" s="1" t="s">
        <v>139</v>
      </c>
      <c r="E1723">
        <v>0</v>
      </c>
      <c r="F1723">
        <v>650</v>
      </c>
      <c r="G1723">
        <v>0</v>
      </c>
      <c r="H1723">
        <v>0</v>
      </c>
      <c r="I1723">
        <v>450</v>
      </c>
      <c r="J1723">
        <v>2000</v>
      </c>
      <c r="K1723">
        <v>300</v>
      </c>
      <c r="L1723">
        <v>85</v>
      </c>
      <c r="M1723">
        <v>0</v>
      </c>
      <c r="N1723">
        <v>0</v>
      </c>
      <c r="O1723">
        <v>0</v>
      </c>
      <c r="P1723">
        <v>630</v>
      </c>
      <c r="Q1723">
        <v>290</v>
      </c>
      <c r="R1723">
        <v>70</v>
      </c>
      <c r="S1723" s="18">
        <f t="shared" si="266"/>
        <v>9</v>
      </c>
      <c r="T1723" s="17">
        <f t="shared" si="267"/>
        <v>0</v>
      </c>
      <c r="U1723" s="17">
        <f t="shared" si="268"/>
        <v>0</v>
      </c>
      <c r="V1723" s="17">
        <f t="shared" si="269"/>
        <v>0</v>
      </c>
      <c r="W1723" s="17">
        <f t="shared" si="270"/>
        <v>70</v>
      </c>
      <c r="X1723" s="17">
        <f t="shared" si="271"/>
        <v>220</v>
      </c>
      <c r="Y1723" s="19">
        <f t="shared" si="272"/>
        <v>0</v>
      </c>
      <c r="Z1723">
        <v>650</v>
      </c>
      <c r="AA1723">
        <v>10</v>
      </c>
      <c r="AB1723">
        <v>250</v>
      </c>
      <c r="AC1723">
        <v>3200</v>
      </c>
      <c r="AD1723">
        <v>0</v>
      </c>
      <c r="AE1723">
        <v>0</v>
      </c>
      <c r="AF1723">
        <v>0</v>
      </c>
      <c r="AG1723">
        <v>450</v>
      </c>
      <c r="AH1723">
        <v>450</v>
      </c>
      <c r="AI1723">
        <v>0</v>
      </c>
      <c r="AJ1723">
        <v>0</v>
      </c>
      <c r="AK1723">
        <v>2000</v>
      </c>
      <c r="AL1723">
        <v>2000</v>
      </c>
      <c r="AM1723">
        <v>0</v>
      </c>
      <c r="AN1723">
        <v>0</v>
      </c>
      <c r="AO1723">
        <v>300</v>
      </c>
      <c r="AP1723">
        <v>50</v>
      </c>
      <c r="AQ1723">
        <v>300</v>
      </c>
      <c r="AR1723">
        <v>250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85</v>
      </c>
      <c r="BA1723">
        <v>85</v>
      </c>
      <c r="BB1723">
        <v>0</v>
      </c>
      <c r="BC1723">
        <v>0</v>
      </c>
      <c r="BD1723">
        <v>0</v>
      </c>
      <c r="BE1723">
        <f t="shared" si="273"/>
        <v>9170</v>
      </c>
      <c r="BF1723">
        <v>6945</v>
      </c>
      <c r="BG1723">
        <v>6945</v>
      </c>
      <c r="BH1723" t="s">
        <v>82</v>
      </c>
      <c r="BI1723" t="s">
        <v>1233</v>
      </c>
      <c r="BJ1723">
        <v>3460</v>
      </c>
      <c r="BK1723">
        <v>2835</v>
      </c>
      <c r="BL1723">
        <v>6945</v>
      </c>
      <c r="BM1723">
        <v>0</v>
      </c>
      <c r="BN1723">
        <v>0</v>
      </c>
      <c r="BO1723">
        <v>0</v>
      </c>
      <c r="BP1723">
        <v>3465</v>
      </c>
      <c r="BQ1723">
        <v>3465</v>
      </c>
      <c r="BR1723">
        <f t="shared" si="274"/>
        <v>-220</v>
      </c>
      <c r="BS1723">
        <f t="shared" si="275"/>
        <v>360</v>
      </c>
    </row>
    <row r="1724" spans="1:74" x14ac:dyDescent="0.25">
      <c r="A1724" s="5" t="s">
        <v>1451</v>
      </c>
      <c r="B1724" s="5" t="s">
        <v>207</v>
      </c>
      <c r="C1724" s="5" t="s">
        <v>207</v>
      </c>
      <c r="D1724" s="1" t="s">
        <v>96</v>
      </c>
      <c r="E1724">
        <v>0</v>
      </c>
      <c r="F1724">
        <v>0</v>
      </c>
      <c r="G1724">
        <v>0</v>
      </c>
      <c r="H1724">
        <v>0</v>
      </c>
      <c r="I1724">
        <v>282</v>
      </c>
      <c r="J1724">
        <v>415</v>
      </c>
      <c r="K1724">
        <v>1225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220</v>
      </c>
      <c r="R1724">
        <v>0</v>
      </c>
      <c r="S1724" s="18" t="e">
        <f t="shared" si="266"/>
        <v>#DIV/0!</v>
      </c>
      <c r="T1724" s="17" t="e">
        <f t="shared" si="267"/>
        <v>#DIV/0!</v>
      </c>
      <c r="U1724" s="17" t="e">
        <f t="shared" si="268"/>
        <v>#DIV/0!</v>
      </c>
      <c r="V1724" s="17" t="e">
        <f t="shared" si="269"/>
        <v>#DIV/0!</v>
      </c>
      <c r="W1724" s="17" t="e">
        <f t="shared" si="270"/>
        <v>#DIV/0!</v>
      </c>
      <c r="X1724" s="17" t="e">
        <f t="shared" si="271"/>
        <v>#DIV/0!</v>
      </c>
      <c r="Y1724" s="19" t="e">
        <f t="shared" si="272"/>
        <v>#DIV/0!</v>
      </c>
      <c r="Z1724">
        <v>0</v>
      </c>
      <c r="AA1724">
        <v>0</v>
      </c>
      <c r="AB1724">
        <v>0</v>
      </c>
      <c r="AC1724">
        <v>658</v>
      </c>
      <c r="AD1724">
        <v>0</v>
      </c>
      <c r="AE1724">
        <v>0</v>
      </c>
      <c r="AF1724">
        <v>0</v>
      </c>
      <c r="AG1724">
        <v>282</v>
      </c>
      <c r="AH1724">
        <v>282</v>
      </c>
      <c r="AI1724">
        <v>0</v>
      </c>
      <c r="AJ1724">
        <v>0</v>
      </c>
      <c r="AK1724">
        <v>415</v>
      </c>
      <c r="AL1724">
        <v>415</v>
      </c>
      <c r="AM1724">
        <v>0</v>
      </c>
      <c r="AN1724">
        <v>0</v>
      </c>
      <c r="AO1724">
        <v>1225</v>
      </c>
      <c r="AP1724">
        <v>935</v>
      </c>
      <c r="AQ1724">
        <v>1225</v>
      </c>
      <c r="AR1724">
        <v>290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f t="shared" si="273"/>
        <v>5727</v>
      </c>
      <c r="BF1724">
        <v>2580</v>
      </c>
      <c r="BG1724">
        <v>2580</v>
      </c>
      <c r="BH1724" t="s">
        <v>82</v>
      </c>
      <c r="BI1724" t="s">
        <v>1571</v>
      </c>
      <c r="BJ1724">
        <v>658</v>
      </c>
      <c r="BK1724">
        <v>1922</v>
      </c>
      <c r="BL1724">
        <v>2580</v>
      </c>
      <c r="BM1724">
        <v>0</v>
      </c>
      <c r="BN1724">
        <v>0</v>
      </c>
      <c r="BO1724">
        <v>0</v>
      </c>
      <c r="BP1724">
        <v>1922</v>
      </c>
      <c r="BQ1724">
        <v>1922</v>
      </c>
      <c r="BR1724">
        <f t="shared" si="274"/>
        <v>-220</v>
      </c>
      <c r="BS1724">
        <f t="shared" si="275"/>
        <v>220</v>
      </c>
    </row>
    <row r="1725" spans="1:74" x14ac:dyDescent="0.25">
      <c r="A1725" s="5" t="s">
        <v>1946</v>
      </c>
      <c r="B1725" s="5" t="s">
        <v>207</v>
      </c>
      <c r="C1725" s="5" t="s">
        <v>207</v>
      </c>
      <c r="D1725" s="1" t="s">
        <v>69</v>
      </c>
      <c r="E1725">
        <v>0</v>
      </c>
      <c r="F1725">
        <v>0</v>
      </c>
      <c r="G1725">
        <v>0</v>
      </c>
      <c r="H1725">
        <v>0</v>
      </c>
      <c r="I1725">
        <v>510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148</v>
      </c>
      <c r="R1725">
        <v>0</v>
      </c>
      <c r="S1725" s="18" t="e">
        <f t="shared" si="266"/>
        <v>#DIV/0!</v>
      </c>
      <c r="T1725" s="17" t="e">
        <f t="shared" si="267"/>
        <v>#DIV/0!</v>
      </c>
      <c r="U1725" s="17" t="e">
        <f t="shared" si="268"/>
        <v>#DIV/0!</v>
      </c>
      <c r="V1725" s="17" t="e">
        <f t="shared" si="269"/>
        <v>#DIV/0!</v>
      </c>
      <c r="W1725" s="17" t="e">
        <f t="shared" si="270"/>
        <v>#DIV/0!</v>
      </c>
      <c r="X1725" s="17" t="e">
        <f t="shared" si="271"/>
        <v>#DIV/0!</v>
      </c>
      <c r="Y1725" s="19" t="e">
        <f t="shared" si="272"/>
        <v>#DIV/0!</v>
      </c>
      <c r="Z1725">
        <v>0</v>
      </c>
      <c r="AA1725">
        <v>0</v>
      </c>
      <c r="AB1725">
        <v>0</v>
      </c>
      <c r="AC1725">
        <v>0</v>
      </c>
      <c r="AD1725">
        <v>510</v>
      </c>
      <c r="AE1725">
        <v>0</v>
      </c>
      <c r="AF1725">
        <v>0</v>
      </c>
      <c r="AG1725">
        <v>0</v>
      </c>
      <c r="AH1725">
        <v>510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f t="shared" si="273"/>
        <v>1020</v>
      </c>
      <c r="BF1725">
        <v>510</v>
      </c>
      <c r="BG1725">
        <v>510</v>
      </c>
      <c r="BH1725" t="s">
        <v>63</v>
      </c>
      <c r="BI1725" t="s">
        <v>2044</v>
      </c>
      <c r="BJ1725">
        <v>0</v>
      </c>
      <c r="BK1725">
        <v>510</v>
      </c>
      <c r="BL1725">
        <v>510</v>
      </c>
      <c r="BM1725">
        <v>510</v>
      </c>
      <c r="BN1725">
        <v>0</v>
      </c>
      <c r="BO1725">
        <v>0</v>
      </c>
      <c r="BP1725">
        <v>0</v>
      </c>
      <c r="BQ1725">
        <v>510</v>
      </c>
      <c r="BR1725">
        <f t="shared" si="274"/>
        <v>-148</v>
      </c>
      <c r="BS1725">
        <f t="shared" si="275"/>
        <v>148</v>
      </c>
      <c r="BU1725">
        <f>R1725*9</f>
        <v>0</v>
      </c>
      <c r="BV1725">
        <f>IF(BU1725&gt;BG1725, 1, 0)</f>
        <v>0</v>
      </c>
    </row>
    <row r="1726" spans="1:74" x14ac:dyDescent="0.25">
      <c r="A1726" s="5" t="s">
        <v>61</v>
      </c>
      <c r="B1726" s="5" t="s">
        <v>61</v>
      </c>
      <c r="C1726" s="5" t="s">
        <v>61</v>
      </c>
      <c r="D1726" s="1" t="s">
        <v>151</v>
      </c>
      <c r="E1726">
        <v>0</v>
      </c>
      <c r="F1726">
        <v>300</v>
      </c>
      <c r="G1726">
        <v>0</v>
      </c>
      <c r="H1726">
        <v>0</v>
      </c>
      <c r="I1726">
        <v>230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1485</v>
      </c>
      <c r="Q1726">
        <v>386</v>
      </c>
      <c r="R1726">
        <v>165</v>
      </c>
      <c r="S1726" s="18">
        <f t="shared" si="266"/>
        <v>9</v>
      </c>
      <c r="T1726" s="17">
        <f t="shared" si="267"/>
        <v>0</v>
      </c>
      <c r="U1726" s="17">
        <f t="shared" si="268"/>
        <v>0</v>
      </c>
      <c r="V1726" s="17">
        <f t="shared" si="269"/>
        <v>0</v>
      </c>
      <c r="W1726" s="17">
        <f t="shared" si="270"/>
        <v>165</v>
      </c>
      <c r="X1726" s="17">
        <f t="shared" si="271"/>
        <v>221</v>
      </c>
      <c r="Y1726" s="19">
        <f t="shared" si="272"/>
        <v>0</v>
      </c>
      <c r="Z1726">
        <v>300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230</v>
      </c>
      <c r="AH1726">
        <v>230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f t="shared" si="273"/>
        <v>460</v>
      </c>
      <c r="BF1726">
        <v>530</v>
      </c>
      <c r="BG1726">
        <v>530</v>
      </c>
      <c r="BH1726" t="s">
        <v>109</v>
      </c>
      <c r="BI1726" t="s">
        <v>152</v>
      </c>
      <c r="BJ1726">
        <v>0</v>
      </c>
      <c r="BK1726">
        <v>230</v>
      </c>
      <c r="BL1726">
        <v>530</v>
      </c>
      <c r="BM1726">
        <v>0</v>
      </c>
      <c r="BN1726">
        <v>0</v>
      </c>
      <c r="BO1726">
        <v>0</v>
      </c>
      <c r="BP1726">
        <v>1715</v>
      </c>
      <c r="BQ1726">
        <v>1715</v>
      </c>
      <c r="BR1726">
        <f t="shared" si="274"/>
        <v>-221</v>
      </c>
      <c r="BS1726">
        <f t="shared" si="275"/>
        <v>551</v>
      </c>
    </row>
    <row r="1727" spans="1:74" x14ac:dyDescent="0.25">
      <c r="A1727" s="5" t="s">
        <v>1017</v>
      </c>
      <c r="B1727" s="5" t="s">
        <v>359</v>
      </c>
      <c r="C1727" s="5" t="s">
        <v>61</v>
      </c>
      <c r="D1727" s="1" t="s">
        <v>86</v>
      </c>
      <c r="E1727">
        <v>0</v>
      </c>
      <c r="F1727">
        <v>0</v>
      </c>
      <c r="G1727">
        <v>0</v>
      </c>
      <c r="H1727">
        <v>0</v>
      </c>
      <c r="I1727">
        <v>300</v>
      </c>
      <c r="J1727">
        <v>1435</v>
      </c>
      <c r="K1727">
        <v>680</v>
      </c>
      <c r="L1727">
        <v>154</v>
      </c>
      <c r="M1727">
        <v>0</v>
      </c>
      <c r="N1727">
        <v>0</v>
      </c>
      <c r="O1727">
        <v>0</v>
      </c>
      <c r="P1727">
        <v>0</v>
      </c>
      <c r="Q1727">
        <v>222</v>
      </c>
      <c r="R1727">
        <v>0</v>
      </c>
      <c r="S1727" s="18" t="e">
        <f t="shared" si="266"/>
        <v>#DIV/0!</v>
      </c>
      <c r="T1727" s="17" t="e">
        <f t="shared" si="267"/>
        <v>#DIV/0!</v>
      </c>
      <c r="U1727" s="17" t="e">
        <f t="shared" si="268"/>
        <v>#DIV/0!</v>
      </c>
      <c r="V1727" s="17" t="e">
        <f t="shared" si="269"/>
        <v>#DIV/0!</v>
      </c>
      <c r="W1727" s="17" t="e">
        <f t="shared" si="270"/>
        <v>#DIV/0!</v>
      </c>
      <c r="X1727" s="17" t="e">
        <f t="shared" si="271"/>
        <v>#DIV/0!</v>
      </c>
      <c r="Y1727" s="19" t="e">
        <f t="shared" si="272"/>
        <v>#DIV/0!</v>
      </c>
      <c r="Z1727">
        <v>0</v>
      </c>
      <c r="AA1727">
        <v>0</v>
      </c>
      <c r="AB1727">
        <v>253</v>
      </c>
      <c r="AC1727">
        <v>2181</v>
      </c>
      <c r="AD1727">
        <v>0</v>
      </c>
      <c r="AE1727">
        <v>0</v>
      </c>
      <c r="AF1727">
        <v>0</v>
      </c>
      <c r="AG1727">
        <v>300</v>
      </c>
      <c r="AH1727">
        <v>300</v>
      </c>
      <c r="AI1727">
        <v>0</v>
      </c>
      <c r="AJ1727">
        <v>0</v>
      </c>
      <c r="AK1727">
        <v>1435</v>
      </c>
      <c r="AL1727">
        <v>1435</v>
      </c>
      <c r="AM1727">
        <v>0</v>
      </c>
      <c r="AN1727">
        <v>0</v>
      </c>
      <c r="AO1727">
        <v>680</v>
      </c>
      <c r="AP1727">
        <v>230</v>
      </c>
      <c r="AQ1727">
        <v>680</v>
      </c>
      <c r="AR1727">
        <v>450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154</v>
      </c>
      <c r="BA1727">
        <v>154</v>
      </c>
      <c r="BB1727">
        <v>0</v>
      </c>
      <c r="BC1727">
        <v>0</v>
      </c>
      <c r="BD1727">
        <v>0</v>
      </c>
      <c r="BE1727">
        <f t="shared" si="273"/>
        <v>7999</v>
      </c>
      <c r="BF1727">
        <v>5003</v>
      </c>
      <c r="BG1727">
        <v>5003</v>
      </c>
      <c r="BH1727" t="s">
        <v>82</v>
      </c>
      <c r="BI1727" t="s">
        <v>1129</v>
      </c>
      <c r="BJ1727">
        <v>2434</v>
      </c>
      <c r="BK1727">
        <v>2569</v>
      </c>
      <c r="BL1727">
        <v>5003</v>
      </c>
      <c r="BM1727">
        <v>0</v>
      </c>
      <c r="BN1727">
        <v>0</v>
      </c>
      <c r="BO1727">
        <v>0</v>
      </c>
      <c r="BP1727">
        <v>2569</v>
      </c>
      <c r="BQ1727">
        <v>2569</v>
      </c>
      <c r="BR1727">
        <f t="shared" si="274"/>
        <v>-222</v>
      </c>
      <c r="BS1727">
        <f t="shared" si="275"/>
        <v>222</v>
      </c>
    </row>
    <row r="1728" spans="1:74" x14ac:dyDescent="0.25">
      <c r="A1728" s="5" t="s">
        <v>1946</v>
      </c>
      <c r="B1728" s="5" t="s">
        <v>207</v>
      </c>
      <c r="C1728" s="5" t="s">
        <v>207</v>
      </c>
      <c r="D1728" s="1" t="s">
        <v>81</v>
      </c>
      <c r="E1728">
        <v>0</v>
      </c>
      <c r="F1728">
        <v>0</v>
      </c>
      <c r="G1728">
        <v>0</v>
      </c>
      <c r="H1728">
        <v>0</v>
      </c>
      <c r="I1728">
        <v>1650</v>
      </c>
      <c r="J1728">
        <v>95</v>
      </c>
      <c r="K1728">
        <v>97</v>
      </c>
      <c r="L1728">
        <v>65</v>
      </c>
      <c r="M1728">
        <v>0</v>
      </c>
      <c r="N1728">
        <v>0</v>
      </c>
      <c r="O1728">
        <v>0</v>
      </c>
      <c r="P1728">
        <v>0</v>
      </c>
      <c r="Q1728">
        <v>148</v>
      </c>
      <c r="R1728">
        <v>0</v>
      </c>
      <c r="S1728" s="18" t="e">
        <f t="shared" si="266"/>
        <v>#DIV/0!</v>
      </c>
      <c r="T1728" s="17" t="e">
        <f t="shared" si="267"/>
        <v>#DIV/0!</v>
      </c>
      <c r="U1728" s="17" t="e">
        <f t="shared" si="268"/>
        <v>#DIV/0!</v>
      </c>
      <c r="V1728" s="17" t="e">
        <f t="shared" si="269"/>
        <v>#DIV/0!</v>
      </c>
      <c r="W1728" s="17" t="e">
        <f t="shared" si="270"/>
        <v>#DIV/0!</v>
      </c>
      <c r="X1728" s="17" t="e">
        <f t="shared" si="271"/>
        <v>#DIV/0!</v>
      </c>
      <c r="Y1728" s="19" t="e">
        <f t="shared" si="272"/>
        <v>#DIV/0!</v>
      </c>
      <c r="Z1728">
        <v>0</v>
      </c>
      <c r="AA1728">
        <v>0</v>
      </c>
      <c r="AB1728">
        <v>0</v>
      </c>
      <c r="AC1728">
        <v>120</v>
      </c>
      <c r="AD1728">
        <v>0</v>
      </c>
      <c r="AE1728">
        <v>0</v>
      </c>
      <c r="AF1728">
        <v>0</v>
      </c>
      <c r="AG1728">
        <v>1650</v>
      </c>
      <c r="AH1728">
        <v>1650</v>
      </c>
      <c r="AI1728">
        <v>0</v>
      </c>
      <c r="AJ1728">
        <v>0</v>
      </c>
      <c r="AK1728">
        <v>95</v>
      </c>
      <c r="AL1728">
        <v>95</v>
      </c>
      <c r="AM1728">
        <v>0</v>
      </c>
      <c r="AN1728">
        <v>0</v>
      </c>
      <c r="AO1728">
        <v>97</v>
      </c>
      <c r="AP1728">
        <v>12</v>
      </c>
      <c r="AQ1728">
        <v>97</v>
      </c>
      <c r="AR1728">
        <v>85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65</v>
      </c>
      <c r="BA1728">
        <v>65</v>
      </c>
      <c r="BB1728">
        <v>0</v>
      </c>
      <c r="BC1728">
        <v>0</v>
      </c>
      <c r="BD1728">
        <v>0</v>
      </c>
      <c r="BE1728">
        <f t="shared" si="273"/>
        <v>4031</v>
      </c>
      <c r="BF1728">
        <v>2027</v>
      </c>
      <c r="BG1728">
        <v>2027</v>
      </c>
      <c r="BH1728" t="s">
        <v>63</v>
      </c>
      <c r="BI1728" t="s">
        <v>2049</v>
      </c>
      <c r="BJ1728">
        <v>120</v>
      </c>
      <c r="BK1728">
        <v>1907</v>
      </c>
      <c r="BL1728">
        <v>2027</v>
      </c>
      <c r="BM1728">
        <v>0</v>
      </c>
      <c r="BN1728">
        <v>0</v>
      </c>
      <c r="BO1728">
        <v>0</v>
      </c>
      <c r="BP1728">
        <v>1907</v>
      </c>
      <c r="BQ1728">
        <v>1907</v>
      </c>
      <c r="BR1728">
        <f t="shared" si="274"/>
        <v>-148</v>
      </c>
      <c r="BS1728">
        <f t="shared" si="275"/>
        <v>148</v>
      </c>
      <c r="BU1728">
        <f>R1728*9</f>
        <v>0</v>
      </c>
      <c r="BV1728">
        <f>IF(BU1728&gt;BG1728, 1, 0)</f>
        <v>0</v>
      </c>
    </row>
    <row r="1729" spans="1:74" x14ac:dyDescent="0.25">
      <c r="A1729" s="5" t="s">
        <v>1946</v>
      </c>
      <c r="B1729" s="5" t="s">
        <v>207</v>
      </c>
      <c r="C1729" s="5" t="s">
        <v>207</v>
      </c>
      <c r="D1729" s="1" t="s">
        <v>71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1675</v>
      </c>
      <c r="K1729">
        <v>12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149</v>
      </c>
      <c r="R1729">
        <v>0</v>
      </c>
      <c r="S1729" s="18" t="e">
        <f t="shared" si="266"/>
        <v>#DIV/0!</v>
      </c>
      <c r="T1729" s="17" t="e">
        <f t="shared" si="267"/>
        <v>#DIV/0!</v>
      </c>
      <c r="U1729" s="17" t="e">
        <f t="shared" si="268"/>
        <v>#DIV/0!</v>
      </c>
      <c r="V1729" s="17" t="e">
        <f t="shared" si="269"/>
        <v>#DIV/0!</v>
      </c>
      <c r="W1729" s="17" t="e">
        <f t="shared" si="270"/>
        <v>#DIV/0!</v>
      </c>
      <c r="X1729" s="17" t="e">
        <f t="shared" si="271"/>
        <v>#DIV/0!</v>
      </c>
      <c r="Y1729" s="19" t="e">
        <f t="shared" si="272"/>
        <v>#DIV/0!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1675</v>
      </c>
      <c r="AL1729">
        <v>1675</v>
      </c>
      <c r="AM1729">
        <v>0</v>
      </c>
      <c r="AN1729">
        <v>0</v>
      </c>
      <c r="AO1729">
        <v>12</v>
      </c>
      <c r="AP1729">
        <v>0</v>
      </c>
      <c r="AQ1729">
        <v>12</v>
      </c>
      <c r="AR1729">
        <v>12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f t="shared" si="273"/>
        <v>3386</v>
      </c>
      <c r="BF1729">
        <v>1687</v>
      </c>
      <c r="BG1729">
        <v>1687</v>
      </c>
      <c r="BH1729" t="s">
        <v>63</v>
      </c>
      <c r="BI1729" t="s">
        <v>2045</v>
      </c>
      <c r="BJ1729">
        <v>0</v>
      </c>
      <c r="BK1729">
        <v>1687</v>
      </c>
      <c r="BL1729">
        <v>1687</v>
      </c>
      <c r="BM1729">
        <v>0</v>
      </c>
      <c r="BN1729">
        <v>0</v>
      </c>
      <c r="BO1729">
        <v>0</v>
      </c>
      <c r="BP1729">
        <v>1687</v>
      </c>
      <c r="BQ1729">
        <v>1687</v>
      </c>
      <c r="BR1729">
        <f t="shared" si="274"/>
        <v>-149</v>
      </c>
      <c r="BS1729">
        <f t="shared" si="275"/>
        <v>149</v>
      </c>
      <c r="BU1729">
        <f>R1729*9</f>
        <v>0</v>
      </c>
      <c r="BV1729">
        <f>IF(BU1729&gt;BG1729, 1, 0)</f>
        <v>0</v>
      </c>
    </row>
    <row r="1730" spans="1:74" x14ac:dyDescent="0.25">
      <c r="A1730" s="5" t="s">
        <v>1661</v>
      </c>
      <c r="B1730" s="5" t="s">
        <v>359</v>
      </c>
      <c r="C1730" s="5" t="s">
        <v>61</v>
      </c>
      <c r="D1730" s="1" t="s">
        <v>108</v>
      </c>
      <c r="E1730">
        <v>0</v>
      </c>
      <c r="F1730">
        <v>684</v>
      </c>
      <c r="G1730">
        <v>0</v>
      </c>
      <c r="H1730">
        <v>0</v>
      </c>
      <c r="I1730">
        <v>241</v>
      </c>
      <c r="J1730">
        <v>1600</v>
      </c>
      <c r="K1730">
        <v>1154</v>
      </c>
      <c r="L1730">
        <v>0</v>
      </c>
      <c r="M1730">
        <v>0</v>
      </c>
      <c r="N1730">
        <v>0</v>
      </c>
      <c r="O1730">
        <v>0</v>
      </c>
      <c r="P1730">
        <v>1539</v>
      </c>
      <c r="Q1730">
        <v>393</v>
      </c>
      <c r="R1730">
        <v>171</v>
      </c>
      <c r="S1730" s="18">
        <f t="shared" ref="S1730:S1793" si="276">(M1730+N1730+O1730+P1730)/R1730</f>
        <v>9</v>
      </c>
      <c r="T1730" s="17">
        <f t="shared" ref="T1730:T1793" si="277">M1730/$S1730</f>
        <v>0</v>
      </c>
      <c r="U1730" s="17">
        <f t="shared" ref="U1730:U1793" si="278">N1730/$S1730</f>
        <v>0</v>
      </c>
      <c r="V1730" s="17">
        <f t="shared" ref="V1730:V1793" si="279">O1730/$S1730</f>
        <v>0</v>
      </c>
      <c r="W1730" s="17">
        <f t="shared" ref="W1730:W1793" si="280">P1730/$S1730</f>
        <v>171</v>
      </c>
      <c r="X1730" s="17">
        <f t="shared" ref="X1730:X1793" si="281">Q1730-T1730-U1730-W1730</f>
        <v>222</v>
      </c>
      <c r="Y1730" s="19">
        <f t="shared" ref="Y1730:Y1793" si="282">V1730/X1730</f>
        <v>0</v>
      </c>
      <c r="Z1730">
        <v>684</v>
      </c>
      <c r="AA1730">
        <v>0</v>
      </c>
      <c r="AB1730">
        <v>0</v>
      </c>
      <c r="AC1730">
        <v>4658</v>
      </c>
      <c r="AD1730">
        <v>0</v>
      </c>
      <c r="AE1730">
        <v>0</v>
      </c>
      <c r="AF1730">
        <v>0</v>
      </c>
      <c r="AG1730">
        <v>241</v>
      </c>
      <c r="AH1730">
        <v>241</v>
      </c>
      <c r="AI1730">
        <v>0</v>
      </c>
      <c r="AJ1730">
        <v>0</v>
      </c>
      <c r="AK1730">
        <v>1600</v>
      </c>
      <c r="AL1730">
        <v>1600</v>
      </c>
      <c r="AM1730">
        <v>0</v>
      </c>
      <c r="AN1730">
        <v>0</v>
      </c>
      <c r="AO1730">
        <v>1154</v>
      </c>
      <c r="AP1730">
        <v>928</v>
      </c>
      <c r="AQ1730">
        <v>1154</v>
      </c>
      <c r="AR1730">
        <v>226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f t="shared" ref="BE1730:BE1793" si="283">SUM(AC1730:BD1730)</f>
        <v>11802</v>
      </c>
      <c r="BF1730">
        <v>8337</v>
      </c>
      <c r="BG1730">
        <v>8337</v>
      </c>
      <c r="BH1730" t="s">
        <v>82</v>
      </c>
      <c r="BI1730" t="s">
        <v>1874</v>
      </c>
      <c r="BJ1730">
        <v>4658</v>
      </c>
      <c r="BK1730">
        <v>2995</v>
      </c>
      <c r="BL1730">
        <v>8337</v>
      </c>
      <c r="BM1730">
        <v>0</v>
      </c>
      <c r="BN1730">
        <v>0</v>
      </c>
      <c r="BO1730">
        <v>0</v>
      </c>
      <c r="BP1730">
        <v>4534</v>
      </c>
      <c r="BQ1730">
        <v>4534</v>
      </c>
      <c r="BR1730">
        <f t="shared" ref="BR1730:BR1793" si="284">R1730-Q1730</f>
        <v>-222</v>
      </c>
      <c r="BS1730">
        <f t="shared" ref="BS1730:BS1793" si="285">R1730+Q1730</f>
        <v>564</v>
      </c>
    </row>
    <row r="1731" spans="1:74" x14ac:dyDescent="0.25">
      <c r="A1731" s="5" t="s">
        <v>207</v>
      </c>
      <c r="B1731" s="5" t="s">
        <v>61</v>
      </c>
      <c r="C1731" s="5" t="s">
        <v>207</v>
      </c>
      <c r="D1731" s="1" t="s">
        <v>75</v>
      </c>
      <c r="E1731">
        <v>0</v>
      </c>
      <c r="F1731">
        <v>0</v>
      </c>
      <c r="G1731">
        <v>0</v>
      </c>
      <c r="H1731">
        <v>0</v>
      </c>
      <c r="I1731">
        <v>1200</v>
      </c>
      <c r="J1731">
        <v>0</v>
      </c>
      <c r="K1731">
        <v>0</v>
      </c>
      <c r="L1731">
        <v>30</v>
      </c>
      <c r="M1731">
        <v>0</v>
      </c>
      <c r="N1731">
        <v>0</v>
      </c>
      <c r="O1731">
        <v>0</v>
      </c>
      <c r="P1731">
        <v>0</v>
      </c>
      <c r="Q1731">
        <v>150</v>
      </c>
      <c r="R1731">
        <v>0</v>
      </c>
      <c r="S1731" s="18" t="e">
        <f t="shared" si="276"/>
        <v>#DIV/0!</v>
      </c>
      <c r="T1731" s="17" t="e">
        <f t="shared" si="277"/>
        <v>#DIV/0!</v>
      </c>
      <c r="U1731" s="17" t="e">
        <f t="shared" si="278"/>
        <v>#DIV/0!</v>
      </c>
      <c r="V1731" s="17" t="e">
        <f t="shared" si="279"/>
        <v>#DIV/0!</v>
      </c>
      <c r="W1731" s="17" t="e">
        <f t="shared" si="280"/>
        <v>#DIV/0!</v>
      </c>
      <c r="X1731" s="17" t="e">
        <f t="shared" si="281"/>
        <v>#DIV/0!</v>
      </c>
      <c r="Y1731" s="19" t="e">
        <f t="shared" si="282"/>
        <v>#DIV/0!</v>
      </c>
      <c r="Z1731">
        <v>0</v>
      </c>
      <c r="AA1731">
        <v>0</v>
      </c>
      <c r="AB1731">
        <v>0</v>
      </c>
      <c r="AC1731">
        <v>45</v>
      </c>
      <c r="AD1731">
        <v>1200</v>
      </c>
      <c r="AE1731">
        <v>0</v>
      </c>
      <c r="AF1731">
        <v>0</v>
      </c>
      <c r="AG1731">
        <v>0</v>
      </c>
      <c r="AH1731">
        <v>1200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30</v>
      </c>
      <c r="AY1731">
        <v>0</v>
      </c>
      <c r="AZ1731">
        <v>0</v>
      </c>
      <c r="BA1731">
        <v>30</v>
      </c>
      <c r="BB1731">
        <v>0</v>
      </c>
      <c r="BC1731">
        <v>0</v>
      </c>
      <c r="BD1731">
        <v>0</v>
      </c>
      <c r="BE1731">
        <f t="shared" si="283"/>
        <v>2505</v>
      </c>
      <c r="BF1731">
        <v>1275</v>
      </c>
      <c r="BG1731">
        <v>1275</v>
      </c>
      <c r="BH1731" t="s">
        <v>63</v>
      </c>
      <c r="BI1731" t="s">
        <v>468</v>
      </c>
      <c r="BJ1731">
        <v>45</v>
      </c>
      <c r="BK1731">
        <v>1230</v>
      </c>
      <c r="BL1731">
        <v>1275</v>
      </c>
      <c r="BM1731">
        <v>1230</v>
      </c>
      <c r="BN1731">
        <v>0</v>
      </c>
      <c r="BO1731">
        <v>0</v>
      </c>
      <c r="BP1731">
        <v>0</v>
      </c>
      <c r="BQ1731">
        <v>1230</v>
      </c>
      <c r="BR1731">
        <f t="shared" si="284"/>
        <v>-150</v>
      </c>
      <c r="BS1731">
        <f t="shared" si="285"/>
        <v>150</v>
      </c>
      <c r="BU1731">
        <f>R1731*9</f>
        <v>0</v>
      </c>
      <c r="BV1731">
        <f>IF(BU1731&gt;BG1731, 1, 0)</f>
        <v>0</v>
      </c>
    </row>
    <row r="1732" spans="1:74" x14ac:dyDescent="0.25">
      <c r="A1732" s="5" t="s">
        <v>1135</v>
      </c>
      <c r="B1732" s="5" t="s">
        <v>207</v>
      </c>
      <c r="C1732" s="5" t="s">
        <v>61</v>
      </c>
      <c r="D1732" s="1" t="s">
        <v>123</v>
      </c>
      <c r="E1732">
        <v>0</v>
      </c>
      <c r="F1732">
        <v>1535</v>
      </c>
      <c r="G1732">
        <v>0</v>
      </c>
      <c r="H1732">
        <v>0</v>
      </c>
      <c r="I1732">
        <v>435</v>
      </c>
      <c r="J1732">
        <v>2250</v>
      </c>
      <c r="K1732">
        <v>350</v>
      </c>
      <c r="L1732">
        <v>100</v>
      </c>
      <c r="M1732">
        <v>0</v>
      </c>
      <c r="N1732">
        <v>0</v>
      </c>
      <c r="O1732">
        <v>0</v>
      </c>
      <c r="P1732">
        <v>3420</v>
      </c>
      <c r="Q1732">
        <v>603</v>
      </c>
      <c r="R1732">
        <v>380</v>
      </c>
      <c r="S1732" s="18">
        <f t="shared" si="276"/>
        <v>9</v>
      </c>
      <c r="T1732" s="17">
        <f t="shared" si="277"/>
        <v>0</v>
      </c>
      <c r="U1732" s="17">
        <f t="shared" si="278"/>
        <v>0</v>
      </c>
      <c r="V1732" s="17">
        <f t="shared" si="279"/>
        <v>0</v>
      </c>
      <c r="W1732" s="17">
        <f t="shared" si="280"/>
        <v>380</v>
      </c>
      <c r="X1732" s="17">
        <f t="shared" si="281"/>
        <v>223</v>
      </c>
      <c r="Y1732" s="19">
        <f t="shared" si="282"/>
        <v>0</v>
      </c>
      <c r="Z1732">
        <v>1535</v>
      </c>
      <c r="AA1732">
        <v>38</v>
      </c>
      <c r="AB1732">
        <v>400</v>
      </c>
      <c r="AC1732">
        <v>2925</v>
      </c>
      <c r="AD1732">
        <v>0</v>
      </c>
      <c r="AE1732">
        <v>0</v>
      </c>
      <c r="AF1732">
        <v>0</v>
      </c>
      <c r="AG1732">
        <v>435</v>
      </c>
      <c r="AH1732">
        <v>435</v>
      </c>
      <c r="AI1732">
        <v>0</v>
      </c>
      <c r="AJ1732">
        <v>0</v>
      </c>
      <c r="AK1732">
        <v>2250</v>
      </c>
      <c r="AL1732">
        <v>2250</v>
      </c>
      <c r="AM1732">
        <v>0</v>
      </c>
      <c r="AN1732">
        <v>0</v>
      </c>
      <c r="AO1732">
        <v>350</v>
      </c>
      <c r="AP1732">
        <v>195</v>
      </c>
      <c r="AQ1732">
        <v>350</v>
      </c>
      <c r="AR1732">
        <v>155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100</v>
      </c>
      <c r="BA1732">
        <v>100</v>
      </c>
      <c r="BB1732">
        <v>0</v>
      </c>
      <c r="BC1732">
        <v>0</v>
      </c>
      <c r="BD1732">
        <v>0</v>
      </c>
      <c r="BE1732">
        <f t="shared" si="283"/>
        <v>9545</v>
      </c>
      <c r="BF1732">
        <v>8033</v>
      </c>
      <c r="BG1732">
        <v>8033</v>
      </c>
      <c r="BH1732" t="s">
        <v>82</v>
      </c>
      <c r="BI1732" t="s">
        <v>1225</v>
      </c>
      <c r="BJ1732">
        <v>3363</v>
      </c>
      <c r="BK1732">
        <v>3135</v>
      </c>
      <c r="BL1732">
        <v>8033</v>
      </c>
      <c r="BM1732">
        <v>0</v>
      </c>
      <c r="BN1732">
        <v>0</v>
      </c>
      <c r="BO1732">
        <v>0</v>
      </c>
      <c r="BP1732">
        <v>6555</v>
      </c>
      <c r="BQ1732">
        <v>6555</v>
      </c>
      <c r="BR1732">
        <f t="shared" si="284"/>
        <v>-223</v>
      </c>
      <c r="BS1732">
        <f t="shared" si="285"/>
        <v>983</v>
      </c>
    </row>
    <row r="1733" spans="1:74" x14ac:dyDescent="0.25">
      <c r="A1733" s="5" t="s">
        <v>207</v>
      </c>
      <c r="B1733" s="5" t="s">
        <v>627</v>
      </c>
      <c r="C1733" s="5" t="s">
        <v>207</v>
      </c>
      <c r="D1733" s="1" t="s">
        <v>94</v>
      </c>
      <c r="E1733">
        <v>3.5</v>
      </c>
      <c r="F1733">
        <v>24</v>
      </c>
      <c r="G1733">
        <v>0</v>
      </c>
      <c r="H1733">
        <v>0</v>
      </c>
      <c r="I1733">
        <v>50</v>
      </c>
      <c r="J1733">
        <v>3080</v>
      </c>
      <c r="K1733">
        <v>256</v>
      </c>
      <c r="L1733">
        <v>100</v>
      </c>
      <c r="M1733">
        <v>0</v>
      </c>
      <c r="N1733">
        <v>0</v>
      </c>
      <c r="O1733">
        <v>0</v>
      </c>
      <c r="P1733">
        <v>216</v>
      </c>
      <c r="Q1733">
        <v>248</v>
      </c>
      <c r="R1733">
        <v>24</v>
      </c>
      <c r="S1733" s="18">
        <f t="shared" si="276"/>
        <v>9</v>
      </c>
      <c r="T1733" s="17">
        <f t="shared" si="277"/>
        <v>0</v>
      </c>
      <c r="U1733" s="17">
        <f t="shared" si="278"/>
        <v>0</v>
      </c>
      <c r="V1733" s="17">
        <f t="shared" si="279"/>
        <v>0</v>
      </c>
      <c r="W1733" s="17">
        <f t="shared" si="280"/>
        <v>24</v>
      </c>
      <c r="X1733" s="17">
        <f t="shared" si="281"/>
        <v>224</v>
      </c>
      <c r="Y1733" s="19">
        <f t="shared" si="282"/>
        <v>0</v>
      </c>
      <c r="Z1733">
        <v>24</v>
      </c>
      <c r="AA1733">
        <v>0</v>
      </c>
      <c r="AB1733">
        <v>0</v>
      </c>
      <c r="AC1733">
        <v>3744</v>
      </c>
      <c r="AD1733">
        <v>0</v>
      </c>
      <c r="AE1733">
        <v>0</v>
      </c>
      <c r="AF1733">
        <v>0</v>
      </c>
      <c r="AG1733">
        <v>50</v>
      </c>
      <c r="AH1733">
        <v>50</v>
      </c>
      <c r="AI1733">
        <v>0</v>
      </c>
      <c r="AJ1733">
        <v>0</v>
      </c>
      <c r="AK1733">
        <v>3080</v>
      </c>
      <c r="AL1733">
        <v>3080</v>
      </c>
      <c r="AM1733">
        <v>0</v>
      </c>
      <c r="AN1733">
        <v>0</v>
      </c>
      <c r="AO1733">
        <v>256</v>
      </c>
      <c r="AP1733">
        <v>66</v>
      </c>
      <c r="AQ1733">
        <v>256</v>
      </c>
      <c r="AR1733">
        <v>190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100</v>
      </c>
      <c r="BA1733">
        <v>100</v>
      </c>
      <c r="BB1733">
        <v>0</v>
      </c>
      <c r="BC1733">
        <v>0</v>
      </c>
      <c r="BD1733">
        <v>0</v>
      </c>
      <c r="BE1733">
        <f t="shared" si="283"/>
        <v>10972</v>
      </c>
      <c r="BF1733">
        <v>7257.5</v>
      </c>
      <c r="BG1733">
        <v>7257.5</v>
      </c>
      <c r="BH1733" t="s">
        <v>82</v>
      </c>
      <c r="BI1733" t="s">
        <v>674</v>
      </c>
      <c r="BJ1733">
        <v>3747.5</v>
      </c>
      <c r="BK1733">
        <v>3486</v>
      </c>
      <c r="BL1733">
        <v>7257.5</v>
      </c>
      <c r="BM1733">
        <v>0</v>
      </c>
      <c r="BN1733">
        <v>0</v>
      </c>
      <c r="BO1733">
        <v>0</v>
      </c>
      <c r="BP1733">
        <v>3702</v>
      </c>
      <c r="BQ1733">
        <v>3702</v>
      </c>
      <c r="BR1733">
        <f t="shared" si="284"/>
        <v>-224</v>
      </c>
      <c r="BS1733">
        <f t="shared" si="285"/>
        <v>272</v>
      </c>
    </row>
    <row r="1734" spans="1:74" x14ac:dyDescent="0.25">
      <c r="A1734" s="5" t="s">
        <v>1946</v>
      </c>
      <c r="B1734" s="5" t="s">
        <v>207</v>
      </c>
      <c r="C1734" s="5" t="s">
        <v>207</v>
      </c>
      <c r="D1734" s="1" t="s">
        <v>62</v>
      </c>
      <c r="E1734">
        <v>0</v>
      </c>
      <c r="F1734">
        <v>0</v>
      </c>
      <c r="G1734">
        <v>0</v>
      </c>
      <c r="H1734">
        <v>0</v>
      </c>
      <c r="I1734">
        <v>505</v>
      </c>
      <c r="J1734">
        <v>295</v>
      </c>
      <c r="K1734">
        <v>615</v>
      </c>
      <c r="L1734">
        <v>15</v>
      </c>
      <c r="M1734">
        <v>0</v>
      </c>
      <c r="N1734">
        <v>0</v>
      </c>
      <c r="O1734">
        <v>0</v>
      </c>
      <c r="P1734">
        <v>0</v>
      </c>
      <c r="Q1734">
        <v>163</v>
      </c>
      <c r="R1734">
        <v>0</v>
      </c>
      <c r="S1734" s="18" t="e">
        <f t="shared" si="276"/>
        <v>#DIV/0!</v>
      </c>
      <c r="T1734" s="17" t="e">
        <f t="shared" si="277"/>
        <v>#DIV/0!</v>
      </c>
      <c r="U1734" s="17" t="e">
        <f t="shared" si="278"/>
        <v>#DIV/0!</v>
      </c>
      <c r="V1734" s="17" t="e">
        <f t="shared" si="279"/>
        <v>#DIV/0!</v>
      </c>
      <c r="W1734" s="17" t="e">
        <f t="shared" si="280"/>
        <v>#DIV/0!</v>
      </c>
      <c r="X1734" s="17" t="e">
        <f t="shared" si="281"/>
        <v>#DIV/0!</v>
      </c>
      <c r="Y1734" s="19" t="e">
        <f t="shared" si="282"/>
        <v>#DIV/0!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505</v>
      </c>
      <c r="AH1734">
        <v>505</v>
      </c>
      <c r="AI1734">
        <v>0</v>
      </c>
      <c r="AJ1734">
        <v>0</v>
      </c>
      <c r="AK1734">
        <v>295</v>
      </c>
      <c r="AL1734">
        <v>295</v>
      </c>
      <c r="AM1734">
        <v>0</v>
      </c>
      <c r="AN1734">
        <v>0</v>
      </c>
      <c r="AO1734">
        <v>615</v>
      </c>
      <c r="AP1734">
        <v>410</v>
      </c>
      <c r="AQ1734">
        <v>615</v>
      </c>
      <c r="AR1734">
        <v>205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15</v>
      </c>
      <c r="BA1734">
        <v>15</v>
      </c>
      <c r="BB1734">
        <v>0</v>
      </c>
      <c r="BC1734">
        <v>0</v>
      </c>
      <c r="BD1734">
        <v>0</v>
      </c>
      <c r="BE1734">
        <f t="shared" si="283"/>
        <v>3475</v>
      </c>
      <c r="BF1734">
        <v>1430</v>
      </c>
      <c r="BG1734">
        <v>1430</v>
      </c>
      <c r="BH1734" t="s">
        <v>63</v>
      </c>
      <c r="BI1734" t="s">
        <v>1947</v>
      </c>
      <c r="BJ1734">
        <v>0</v>
      </c>
      <c r="BK1734">
        <v>1430</v>
      </c>
      <c r="BL1734">
        <v>1430</v>
      </c>
      <c r="BM1734">
        <v>0</v>
      </c>
      <c r="BN1734">
        <v>0</v>
      </c>
      <c r="BO1734">
        <v>0</v>
      </c>
      <c r="BP1734">
        <v>1430</v>
      </c>
      <c r="BQ1734">
        <v>1430</v>
      </c>
      <c r="BR1734">
        <f t="shared" si="284"/>
        <v>-163</v>
      </c>
      <c r="BS1734">
        <f t="shared" si="285"/>
        <v>163</v>
      </c>
      <c r="BU1734">
        <f>R1734*9</f>
        <v>0</v>
      </c>
      <c r="BV1734">
        <f>IF(BU1734&gt;BG1734, 1, 0)</f>
        <v>0</v>
      </c>
    </row>
    <row r="1735" spans="1:74" x14ac:dyDescent="0.25">
      <c r="A1735" s="5" t="s">
        <v>1661</v>
      </c>
      <c r="B1735" s="5" t="s">
        <v>61</v>
      </c>
      <c r="C1735" s="5" t="s">
        <v>61</v>
      </c>
      <c r="D1735" s="1" t="s">
        <v>98</v>
      </c>
      <c r="E1735">
        <v>0</v>
      </c>
      <c r="F1735">
        <v>21</v>
      </c>
      <c r="G1735">
        <v>0</v>
      </c>
      <c r="H1735">
        <v>0</v>
      </c>
      <c r="I1735">
        <v>7</v>
      </c>
      <c r="J1735">
        <v>3525</v>
      </c>
      <c r="K1735">
        <v>381</v>
      </c>
      <c r="L1735">
        <v>95</v>
      </c>
      <c r="M1735">
        <v>0</v>
      </c>
      <c r="N1735">
        <v>0</v>
      </c>
      <c r="O1735">
        <v>0</v>
      </c>
      <c r="P1735">
        <v>279</v>
      </c>
      <c r="Q1735">
        <v>255</v>
      </c>
      <c r="R1735">
        <v>31</v>
      </c>
      <c r="S1735" s="18">
        <f t="shared" si="276"/>
        <v>9</v>
      </c>
      <c r="T1735" s="17">
        <f t="shared" si="277"/>
        <v>0</v>
      </c>
      <c r="U1735" s="17">
        <f t="shared" si="278"/>
        <v>0</v>
      </c>
      <c r="V1735" s="17">
        <f t="shared" si="279"/>
        <v>0</v>
      </c>
      <c r="W1735" s="17">
        <f t="shared" si="280"/>
        <v>31</v>
      </c>
      <c r="X1735" s="17">
        <f t="shared" si="281"/>
        <v>224</v>
      </c>
      <c r="Y1735" s="19">
        <f t="shared" si="282"/>
        <v>0</v>
      </c>
      <c r="Z1735">
        <v>21</v>
      </c>
      <c r="AA1735">
        <v>0</v>
      </c>
      <c r="AB1735">
        <v>0</v>
      </c>
      <c r="AC1735">
        <v>2520</v>
      </c>
      <c r="AD1735">
        <v>0</v>
      </c>
      <c r="AE1735">
        <v>0</v>
      </c>
      <c r="AF1735">
        <v>0</v>
      </c>
      <c r="AG1735">
        <v>7</v>
      </c>
      <c r="AH1735">
        <v>7</v>
      </c>
      <c r="AI1735">
        <v>0</v>
      </c>
      <c r="AJ1735">
        <v>0</v>
      </c>
      <c r="AK1735">
        <v>3525</v>
      </c>
      <c r="AL1735">
        <v>3525</v>
      </c>
      <c r="AM1735">
        <v>0</v>
      </c>
      <c r="AN1735">
        <v>0</v>
      </c>
      <c r="AO1735">
        <v>381</v>
      </c>
      <c r="AP1735">
        <v>221</v>
      </c>
      <c r="AQ1735">
        <v>381</v>
      </c>
      <c r="AR1735">
        <v>160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95</v>
      </c>
      <c r="BA1735">
        <v>95</v>
      </c>
      <c r="BB1735">
        <v>0</v>
      </c>
      <c r="BC1735">
        <v>0</v>
      </c>
      <c r="BD1735">
        <v>0</v>
      </c>
      <c r="BE1735">
        <f t="shared" si="283"/>
        <v>10917</v>
      </c>
      <c r="BF1735">
        <v>6549</v>
      </c>
      <c r="BG1735">
        <v>6549</v>
      </c>
      <c r="BH1735" t="s">
        <v>82</v>
      </c>
      <c r="BI1735" t="s">
        <v>1579</v>
      </c>
      <c r="BJ1735">
        <v>2520</v>
      </c>
      <c r="BK1735">
        <v>4008</v>
      </c>
      <c r="BL1735">
        <v>6549</v>
      </c>
      <c r="BM1735">
        <v>0</v>
      </c>
      <c r="BN1735">
        <v>0</v>
      </c>
      <c r="BO1735">
        <v>0</v>
      </c>
      <c r="BP1735">
        <v>4287</v>
      </c>
      <c r="BQ1735">
        <v>4287</v>
      </c>
      <c r="BR1735">
        <f t="shared" si="284"/>
        <v>-224</v>
      </c>
      <c r="BS1735">
        <f t="shared" si="285"/>
        <v>286</v>
      </c>
    </row>
    <row r="1736" spans="1:74" x14ac:dyDescent="0.25">
      <c r="A1736" s="5" t="s">
        <v>1451</v>
      </c>
      <c r="B1736" s="5" t="s">
        <v>207</v>
      </c>
      <c r="C1736" s="5" t="s">
        <v>61</v>
      </c>
      <c r="D1736" s="1" t="s">
        <v>113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6220</v>
      </c>
      <c r="K1736">
        <v>15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225</v>
      </c>
      <c r="R1736">
        <v>0</v>
      </c>
      <c r="S1736" s="18" t="e">
        <f t="shared" si="276"/>
        <v>#DIV/0!</v>
      </c>
      <c r="T1736" s="17" t="e">
        <f t="shared" si="277"/>
        <v>#DIV/0!</v>
      </c>
      <c r="U1736" s="17" t="e">
        <f t="shared" si="278"/>
        <v>#DIV/0!</v>
      </c>
      <c r="V1736" s="17" t="e">
        <f t="shared" si="279"/>
        <v>#DIV/0!</v>
      </c>
      <c r="W1736" s="17" t="e">
        <f t="shared" si="280"/>
        <v>#DIV/0!</v>
      </c>
      <c r="X1736" s="17" t="e">
        <f t="shared" si="281"/>
        <v>#DIV/0!</v>
      </c>
      <c r="Y1736" s="19" t="e">
        <f t="shared" si="282"/>
        <v>#DIV/0!</v>
      </c>
      <c r="Z1736">
        <v>0</v>
      </c>
      <c r="AA1736">
        <v>0</v>
      </c>
      <c r="AB1736">
        <v>0</v>
      </c>
      <c r="AC1736">
        <v>1000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6220</v>
      </c>
      <c r="AL1736">
        <v>6220</v>
      </c>
      <c r="AM1736">
        <v>0</v>
      </c>
      <c r="AN1736">
        <v>0</v>
      </c>
      <c r="AO1736">
        <v>15</v>
      </c>
      <c r="AP1736">
        <v>15</v>
      </c>
      <c r="AQ1736">
        <v>15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f t="shared" si="283"/>
        <v>13485</v>
      </c>
      <c r="BF1736">
        <v>7235</v>
      </c>
      <c r="BG1736">
        <v>7235</v>
      </c>
      <c r="BH1736" t="s">
        <v>82</v>
      </c>
      <c r="BI1736" t="s">
        <v>299</v>
      </c>
      <c r="BJ1736">
        <v>1000</v>
      </c>
      <c r="BK1736">
        <v>6235</v>
      </c>
      <c r="BL1736">
        <v>7235</v>
      </c>
      <c r="BM1736">
        <v>0</v>
      </c>
      <c r="BN1736">
        <v>0</v>
      </c>
      <c r="BO1736">
        <v>0</v>
      </c>
      <c r="BP1736">
        <v>6235</v>
      </c>
      <c r="BQ1736">
        <v>6235</v>
      </c>
      <c r="BR1736">
        <f t="shared" si="284"/>
        <v>-225</v>
      </c>
      <c r="BS1736">
        <f t="shared" si="285"/>
        <v>225</v>
      </c>
    </row>
    <row r="1737" spans="1:74" x14ac:dyDescent="0.25">
      <c r="A1737" s="5" t="s">
        <v>1946</v>
      </c>
      <c r="B1737" s="5" t="s">
        <v>207</v>
      </c>
      <c r="C1737" s="5" t="s">
        <v>207</v>
      </c>
      <c r="D1737" s="1" t="s">
        <v>127</v>
      </c>
      <c r="E1737">
        <v>0</v>
      </c>
      <c r="F1737">
        <v>1260</v>
      </c>
      <c r="G1737">
        <v>0</v>
      </c>
      <c r="H1737">
        <v>0</v>
      </c>
      <c r="I1737">
        <v>645</v>
      </c>
      <c r="J1737">
        <v>0</v>
      </c>
      <c r="K1737">
        <v>65</v>
      </c>
      <c r="L1737">
        <v>75</v>
      </c>
      <c r="M1737">
        <v>1728</v>
      </c>
      <c r="N1737">
        <v>0</v>
      </c>
      <c r="O1737">
        <v>0</v>
      </c>
      <c r="P1737">
        <v>0</v>
      </c>
      <c r="Q1737">
        <v>417</v>
      </c>
      <c r="R1737">
        <v>192</v>
      </c>
      <c r="S1737" s="18">
        <f t="shared" si="276"/>
        <v>9</v>
      </c>
      <c r="T1737" s="17">
        <f t="shared" si="277"/>
        <v>192</v>
      </c>
      <c r="U1737" s="17">
        <f t="shared" si="278"/>
        <v>0</v>
      </c>
      <c r="V1737" s="17">
        <f t="shared" si="279"/>
        <v>0</v>
      </c>
      <c r="W1737" s="17">
        <f t="shared" si="280"/>
        <v>0</v>
      </c>
      <c r="X1737" s="17">
        <f t="shared" si="281"/>
        <v>225</v>
      </c>
      <c r="Y1737" s="19">
        <f t="shared" si="282"/>
        <v>0</v>
      </c>
      <c r="Z1737">
        <v>1260</v>
      </c>
      <c r="AA1737">
        <v>0</v>
      </c>
      <c r="AB1737">
        <v>0</v>
      </c>
      <c r="AC1737">
        <v>0</v>
      </c>
      <c r="AD1737">
        <v>645</v>
      </c>
      <c r="AE1737">
        <v>0</v>
      </c>
      <c r="AF1737">
        <v>0</v>
      </c>
      <c r="AG1737">
        <v>0</v>
      </c>
      <c r="AH1737">
        <v>645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65</v>
      </c>
      <c r="AP1737">
        <v>65</v>
      </c>
      <c r="AQ1737">
        <v>65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75</v>
      </c>
      <c r="BA1737">
        <v>75</v>
      </c>
      <c r="BB1737">
        <v>0</v>
      </c>
      <c r="BC1737">
        <v>0</v>
      </c>
      <c r="BD1737">
        <v>0</v>
      </c>
      <c r="BE1737">
        <f t="shared" si="283"/>
        <v>1635</v>
      </c>
      <c r="BF1737">
        <v>2045</v>
      </c>
      <c r="BG1737">
        <v>2045</v>
      </c>
      <c r="BH1737" t="s">
        <v>109</v>
      </c>
      <c r="BI1737" t="s">
        <v>2067</v>
      </c>
      <c r="BJ1737">
        <v>0</v>
      </c>
      <c r="BK1737">
        <v>785</v>
      </c>
      <c r="BL1737">
        <v>2045</v>
      </c>
      <c r="BM1737">
        <v>2373</v>
      </c>
      <c r="BN1737">
        <v>0</v>
      </c>
      <c r="BO1737">
        <v>0</v>
      </c>
      <c r="BP1737">
        <v>140</v>
      </c>
      <c r="BQ1737">
        <v>2513</v>
      </c>
      <c r="BR1737">
        <f t="shared" si="284"/>
        <v>-225</v>
      </c>
      <c r="BS1737">
        <f t="shared" si="285"/>
        <v>609</v>
      </c>
    </row>
    <row r="1738" spans="1:74" x14ac:dyDescent="0.25">
      <c r="A1738" s="5" t="s">
        <v>1135</v>
      </c>
      <c r="B1738" s="5" t="s">
        <v>207</v>
      </c>
      <c r="C1738" s="5" t="s">
        <v>61</v>
      </c>
      <c r="D1738" s="1" t="s">
        <v>62</v>
      </c>
      <c r="E1738">
        <v>0</v>
      </c>
      <c r="F1738">
        <v>0</v>
      </c>
      <c r="G1738">
        <v>0</v>
      </c>
      <c r="H1738">
        <v>0</v>
      </c>
      <c r="I1738">
        <v>150</v>
      </c>
      <c r="J1738">
        <v>0</v>
      </c>
      <c r="K1738">
        <v>150</v>
      </c>
      <c r="L1738">
        <v>227</v>
      </c>
      <c r="M1738">
        <v>0</v>
      </c>
      <c r="N1738">
        <v>0</v>
      </c>
      <c r="O1738">
        <v>0</v>
      </c>
      <c r="P1738">
        <v>0</v>
      </c>
      <c r="Q1738">
        <v>165</v>
      </c>
      <c r="R1738">
        <v>0</v>
      </c>
      <c r="S1738" s="18" t="e">
        <f t="shared" si="276"/>
        <v>#DIV/0!</v>
      </c>
      <c r="T1738" s="17" t="e">
        <f t="shared" si="277"/>
        <v>#DIV/0!</v>
      </c>
      <c r="U1738" s="17" t="e">
        <f t="shared" si="278"/>
        <v>#DIV/0!</v>
      </c>
      <c r="V1738" s="17" t="e">
        <f t="shared" si="279"/>
        <v>#DIV/0!</v>
      </c>
      <c r="W1738" s="17" t="e">
        <f t="shared" si="280"/>
        <v>#DIV/0!</v>
      </c>
      <c r="X1738" s="17" t="e">
        <f t="shared" si="281"/>
        <v>#DIV/0!</v>
      </c>
      <c r="Y1738" s="19" t="e">
        <f t="shared" si="282"/>
        <v>#DIV/0!</v>
      </c>
      <c r="Z1738">
        <v>0</v>
      </c>
      <c r="AA1738">
        <v>0</v>
      </c>
      <c r="AB1738">
        <v>0</v>
      </c>
      <c r="AC1738">
        <v>220</v>
      </c>
      <c r="AD1738">
        <v>0</v>
      </c>
      <c r="AE1738">
        <v>0</v>
      </c>
      <c r="AF1738">
        <v>0</v>
      </c>
      <c r="AG1738">
        <v>150</v>
      </c>
      <c r="AH1738">
        <v>150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150</v>
      </c>
      <c r="AP1738">
        <v>150</v>
      </c>
      <c r="AQ1738">
        <v>150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227</v>
      </c>
      <c r="BA1738">
        <v>227</v>
      </c>
      <c r="BB1738">
        <v>0</v>
      </c>
      <c r="BC1738">
        <v>0</v>
      </c>
      <c r="BD1738">
        <v>0</v>
      </c>
      <c r="BE1738">
        <f t="shared" si="283"/>
        <v>1424</v>
      </c>
      <c r="BF1738">
        <v>747</v>
      </c>
      <c r="BG1738">
        <v>747</v>
      </c>
      <c r="BH1738" t="s">
        <v>63</v>
      </c>
      <c r="BI1738" t="s">
        <v>1197</v>
      </c>
      <c r="BJ1738">
        <v>220</v>
      </c>
      <c r="BK1738">
        <v>527</v>
      </c>
      <c r="BL1738">
        <v>747</v>
      </c>
      <c r="BM1738">
        <v>0</v>
      </c>
      <c r="BN1738">
        <v>0</v>
      </c>
      <c r="BO1738">
        <v>0</v>
      </c>
      <c r="BP1738">
        <v>527</v>
      </c>
      <c r="BQ1738">
        <v>527</v>
      </c>
      <c r="BR1738">
        <f t="shared" si="284"/>
        <v>-165</v>
      </c>
      <c r="BS1738">
        <f t="shared" si="285"/>
        <v>165</v>
      </c>
      <c r="BU1738">
        <f>R1738*9</f>
        <v>0</v>
      </c>
      <c r="BV1738">
        <f>IF(BU1738&gt;BG1738, 1, 0)</f>
        <v>0</v>
      </c>
    </row>
    <row r="1739" spans="1:74" x14ac:dyDescent="0.25">
      <c r="A1739" s="5" t="s">
        <v>1451</v>
      </c>
      <c r="B1739" s="5" t="s">
        <v>61</v>
      </c>
      <c r="C1739" s="5" t="s">
        <v>61</v>
      </c>
      <c r="D1739" s="1" t="s">
        <v>77</v>
      </c>
      <c r="E1739">
        <v>0</v>
      </c>
      <c r="F1739">
        <v>0</v>
      </c>
      <c r="G1739">
        <v>0</v>
      </c>
      <c r="H1739">
        <v>0</v>
      </c>
      <c r="I1739">
        <v>498</v>
      </c>
      <c r="J1739">
        <v>0</v>
      </c>
      <c r="K1739">
        <v>1192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228</v>
      </c>
      <c r="R1739">
        <v>0</v>
      </c>
      <c r="S1739" s="18" t="e">
        <f t="shared" si="276"/>
        <v>#DIV/0!</v>
      </c>
      <c r="T1739" s="17" t="e">
        <f t="shared" si="277"/>
        <v>#DIV/0!</v>
      </c>
      <c r="U1739" s="17" t="e">
        <f t="shared" si="278"/>
        <v>#DIV/0!</v>
      </c>
      <c r="V1739" s="17" t="e">
        <f t="shared" si="279"/>
        <v>#DIV/0!</v>
      </c>
      <c r="W1739" s="17" t="e">
        <f t="shared" si="280"/>
        <v>#DIV/0!</v>
      </c>
      <c r="X1739" s="17" t="e">
        <f t="shared" si="281"/>
        <v>#DIV/0!</v>
      </c>
      <c r="Y1739" s="19" t="e">
        <f t="shared" si="282"/>
        <v>#DIV/0!</v>
      </c>
      <c r="Z1739">
        <v>0</v>
      </c>
      <c r="AA1739">
        <v>0</v>
      </c>
      <c r="AB1739">
        <v>28</v>
      </c>
      <c r="AC1739">
        <v>847</v>
      </c>
      <c r="AD1739">
        <v>0</v>
      </c>
      <c r="AE1739">
        <v>0</v>
      </c>
      <c r="AF1739">
        <v>0</v>
      </c>
      <c r="AG1739">
        <v>498</v>
      </c>
      <c r="AH1739">
        <v>498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1192</v>
      </c>
      <c r="AP1739">
        <v>1146</v>
      </c>
      <c r="AQ1739">
        <v>1192</v>
      </c>
      <c r="AR1739">
        <v>46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f t="shared" si="283"/>
        <v>5419</v>
      </c>
      <c r="BF1739">
        <v>2565</v>
      </c>
      <c r="BG1739">
        <v>2565</v>
      </c>
      <c r="BH1739" t="s">
        <v>82</v>
      </c>
      <c r="BI1739" t="s">
        <v>370</v>
      </c>
      <c r="BJ1739">
        <v>875</v>
      </c>
      <c r="BK1739">
        <v>1690</v>
      </c>
      <c r="BL1739">
        <v>2565</v>
      </c>
      <c r="BM1739">
        <v>0</v>
      </c>
      <c r="BN1739">
        <v>0</v>
      </c>
      <c r="BO1739">
        <v>0</v>
      </c>
      <c r="BP1739">
        <v>1690</v>
      </c>
      <c r="BQ1739">
        <v>1690</v>
      </c>
      <c r="BR1739">
        <f t="shared" si="284"/>
        <v>-228</v>
      </c>
      <c r="BS1739">
        <f t="shared" si="285"/>
        <v>228</v>
      </c>
    </row>
    <row r="1740" spans="1:74" x14ac:dyDescent="0.25">
      <c r="A1740" s="5" t="s">
        <v>2090</v>
      </c>
      <c r="B1740" s="5" t="s">
        <v>207</v>
      </c>
      <c r="C1740" s="5" t="s">
        <v>61</v>
      </c>
      <c r="D1740" s="1" t="s">
        <v>194</v>
      </c>
      <c r="E1740">
        <v>165</v>
      </c>
      <c r="F1740">
        <v>482</v>
      </c>
      <c r="G1740">
        <v>0</v>
      </c>
      <c r="H1740">
        <v>0</v>
      </c>
      <c r="I1740">
        <v>49</v>
      </c>
      <c r="J1740">
        <v>1015</v>
      </c>
      <c r="K1740">
        <v>447</v>
      </c>
      <c r="L1740">
        <v>429</v>
      </c>
      <c r="M1740">
        <v>0</v>
      </c>
      <c r="N1740">
        <v>0</v>
      </c>
      <c r="O1740">
        <v>0</v>
      </c>
      <c r="P1740">
        <v>990</v>
      </c>
      <c r="Q1740">
        <v>338</v>
      </c>
      <c r="R1740">
        <v>110</v>
      </c>
      <c r="S1740" s="18">
        <f t="shared" si="276"/>
        <v>9</v>
      </c>
      <c r="T1740" s="17">
        <f t="shared" si="277"/>
        <v>0</v>
      </c>
      <c r="U1740" s="17">
        <f t="shared" si="278"/>
        <v>0</v>
      </c>
      <c r="V1740" s="17">
        <f t="shared" si="279"/>
        <v>0</v>
      </c>
      <c r="W1740" s="17">
        <f t="shared" si="280"/>
        <v>110</v>
      </c>
      <c r="X1740" s="17">
        <f t="shared" si="281"/>
        <v>228</v>
      </c>
      <c r="Y1740" s="19">
        <f t="shared" si="282"/>
        <v>0</v>
      </c>
      <c r="Z1740">
        <v>482</v>
      </c>
      <c r="AA1740">
        <v>0</v>
      </c>
      <c r="AB1740">
        <v>138</v>
      </c>
      <c r="AC1740">
        <v>1600</v>
      </c>
      <c r="AD1740">
        <v>0</v>
      </c>
      <c r="AE1740">
        <v>0</v>
      </c>
      <c r="AF1740">
        <v>0</v>
      </c>
      <c r="AG1740">
        <v>49</v>
      </c>
      <c r="AH1740">
        <v>49</v>
      </c>
      <c r="AI1740">
        <v>0</v>
      </c>
      <c r="AJ1740">
        <v>0</v>
      </c>
      <c r="AK1740">
        <v>1015</v>
      </c>
      <c r="AL1740">
        <v>1015</v>
      </c>
      <c r="AM1740">
        <v>0</v>
      </c>
      <c r="AN1740">
        <v>0</v>
      </c>
      <c r="AO1740">
        <v>447</v>
      </c>
      <c r="AP1740">
        <v>44</v>
      </c>
      <c r="AQ1740">
        <v>447</v>
      </c>
      <c r="AR1740">
        <v>403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429</v>
      </c>
      <c r="BA1740">
        <v>429</v>
      </c>
      <c r="BB1740">
        <v>0</v>
      </c>
      <c r="BC1740">
        <v>0</v>
      </c>
      <c r="BD1740">
        <v>0</v>
      </c>
      <c r="BE1740">
        <f t="shared" si="283"/>
        <v>5927</v>
      </c>
      <c r="BF1740">
        <v>4709</v>
      </c>
      <c r="BG1740">
        <v>4709</v>
      </c>
      <c r="BH1740" t="s">
        <v>82</v>
      </c>
      <c r="BI1740" t="s">
        <v>2273</v>
      </c>
      <c r="BJ1740">
        <v>1903</v>
      </c>
      <c r="BK1740">
        <v>1940</v>
      </c>
      <c r="BL1740">
        <v>4325</v>
      </c>
      <c r="BM1740">
        <v>0</v>
      </c>
      <c r="BN1740">
        <v>0</v>
      </c>
      <c r="BO1740">
        <v>0</v>
      </c>
      <c r="BP1740">
        <v>2930</v>
      </c>
      <c r="BQ1740">
        <v>2930</v>
      </c>
      <c r="BR1740">
        <f t="shared" si="284"/>
        <v>-228</v>
      </c>
      <c r="BS1740">
        <f t="shared" si="285"/>
        <v>448</v>
      </c>
    </row>
    <row r="1741" spans="1:74" x14ac:dyDescent="0.25">
      <c r="A1741" s="5" t="s">
        <v>1337</v>
      </c>
      <c r="B1741" s="5" t="s">
        <v>359</v>
      </c>
      <c r="C1741" s="6" t="s">
        <v>61</v>
      </c>
      <c r="D1741" s="1" t="s">
        <v>133</v>
      </c>
      <c r="E1741">
        <v>0</v>
      </c>
      <c r="F1741">
        <v>26</v>
      </c>
      <c r="G1741">
        <v>0</v>
      </c>
      <c r="H1741">
        <v>0</v>
      </c>
      <c r="I1741">
        <v>120</v>
      </c>
      <c r="J1741">
        <v>2457</v>
      </c>
      <c r="K1741">
        <v>100</v>
      </c>
      <c r="L1741">
        <v>29</v>
      </c>
      <c r="M1741">
        <v>0</v>
      </c>
      <c r="N1741">
        <v>0</v>
      </c>
      <c r="O1741">
        <v>0</v>
      </c>
      <c r="P1741">
        <v>234</v>
      </c>
      <c r="Q1741">
        <v>255</v>
      </c>
      <c r="R1741">
        <v>26</v>
      </c>
      <c r="S1741" s="18">
        <f t="shared" si="276"/>
        <v>9</v>
      </c>
      <c r="T1741" s="17">
        <f t="shared" si="277"/>
        <v>0</v>
      </c>
      <c r="U1741" s="17">
        <f t="shared" si="278"/>
        <v>0</v>
      </c>
      <c r="V1741" s="17">
        <f t="shared" si="279"/>
        <v>0</v>
      </c>
      <c r="W1741" s="17">
        <f t="shared" si="280"/>
        <v>26</v>
      </c>
      <c r="X1741" s="17">
        <f t="shared" si="281"/>
        <v>229</v>
      </c>
      <c r="Y1741" s="19">
        <f t="shared" si="282"/>
        <v>0</v>
      </c>
      <c r="Z1741">
        <v>26</v>
      </c>
      <c r="AA1741">
        <v>4</v>
      </c>
      <c r="AB1741">
        <v>80</v>
      </c>
      <c r="AC1741">
        <v>1223</v>
      </c>
      <c r="AD1741">
        <v>0</v>
      </c>
      <c r="AE1741">
        <v>0</v>
      </c>
      <c r="AF1741">
        <v>0</v>
      </c>
      <c r="AG1741">
        <v>120</v>
      </c>
      <c r="AH1741">
        <v>120</v>
      </c>
      <c r="AI1741">
        <v>0</v>
      </c>
      <c r="AJ1741">
        <v>0</v>
      </c>
      <c r="AK1741">
        <v>2457</v>
      </c>
      <c r="AL1741">
        <v>2457</v>
      </c>
      <c r="AM1741">
        <v>0</v>
      </c>
      <c r="AN1741">
        <v>0</v>
      </c>
      <c r="AO1741">
        <v>100</v>
      </c>
      <c r="AP1741">
        <v>12</v>
      </c>
      <c r="AQ1741">
        <v>100</v>
      </c>
      <c r="AR1741">
        <v>88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29</v>
      </c>
      <c r="BA1741">
        <v>29</v>
      </c>
      <c r="BB1741">
        <v>0</v>
      </c>
      <c r="BC1741">
        <v>0</v>
      </c>
      <c r="BD1741">
        <v>0</v>
      </c>
      <c r="BE1741">
        <f t="shared" si="283"/>
        <v>6735</v>
      </c>
      <c r="BF1741">
        <v>4039</v>
      </c>
      <c r="BG1741">
        <v>4039</v>
      </c>
      <c r="BH1741" t="s">
        <v>82</v>
      </c>
      <c r="BI1741" t="s">
        <v>723</v>
      </c>
      <c r="BJ1741">
        <v>1307</v>
      </c>
      <c r="BK1741">
        <v>2706</v>
      </c>
      <c r="BL1741">
        <v>4039</v>
      </c>
      <c r="BM1741">
        <v>0</v>
      </c>
      <c r="BN1741">
        <v>0</v>
      </c>
      <c r="BO1741">
        <v>0</v>
      </c>
      <c r="BP1741">
        <v>2940</v>
      </c>
      <c r="BQ1741">
        <v>2940</v>
      </c>
      <c r="BR1741">
        <f t="shared" si="284"/>
        <v>-229</v>
      </c>
      <c r="BS1741">
        <f t="shared" si="285"/>
        <v>281</v>
      </c>
    </row>
    <row r="1742" spans="1:74" x14ac:dyDescent="0.25">
      <c r="A1742" s="5" t="s">
        <v>1337</v>
      </c>
      <c r="B1742" s="5" t="s">
        <v>61</v>
      </c>
      <c r="C1742" s="7" t="s">
        <v>61</v>
      </c>
      <c r="D1742" s="1" t="s">
        <v>77</v>
      </c>
      <c r="E1742">
        <v>0</v>
      </c>
      <c r="F1742">
        <v>9</v>
      </c>
      <c r="G1742">
        <v>0</v>
      </c>
      <c r="H1742">
        <v>0</v>
      </c>
      <c r="I1742">
        <v>1230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81</v>
      </c>
      <c r="Q1742">
        <v>239</v>
      </c>
      <c r="R1742">
        <v>9</v>
      </c>
      <c r="S1742" s="18">
        <f t="shared" si="276"/>
        <v>9</v>
      </c>
      <c r="T1742" s="17">
        <f t="shared" si="277"/>
        <v>0</v>
      </c>
      <c r="U1742" s="17">
        <f t="shared" si="278"/>
        <v>0</v>
      </c>
      <c r="V1742" s="17">
        <f t="shared" si="279"/>
        <v>0</v>
      </c>
      <c r="W1742" s="17">
        <f t="shared" si="280"/>
        <v>9</v>
      </c>
      <c r="X1742" s="17">
        <f t="shared" si="281"/>
        <v>230</v>
      </c>
      <c r="Y1742" s="19">
        <f t="shared" si="282"/>
        <v>0</v>
      </c>
      <c r="Z1742">
        <v>9</v>
      </c>
      <c r="AA1742">
        <v>0</v>
      </c>
      <c r="AB1742">
        <v>0</v>
      </c>
      <c r="AC1742">
        <v>0</v>
      </c>
      <c r="AD1742">
        <v>430</v>
      </c>
      <c r="AE1742">
        <v>800</v>
      </c>
      <c r="AF1742">
        <v>0</v>
      </c>
      <c r="AG1742">
        <v>0</v>
      </c>
      <c r="AH1742">
        <v>1230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f t="shared" si="283"/>
        <v>2460</v>
      </c>
      <c r="BF1742">
        <v>1239</v>
      </c>
      <c r="BG1742">
        <v>1239</v>
      </c>
      <c r="BH1742" t="s">
        <v>109</v>
      </c>
      <c r="BI1742" t="s">
        <v>376</v>
      </c>
      <c r="BJ1742">
        <v>0</v>
      </c>
      <c r="BK1742">
        <v>1230</v>
      </c>
      <c r="BL1742">
        <v>1239</v>
      </c>
      <c r="BM1742">
        <v>430</v>
      </c>
      <c r="BN1742">
        <v>800</v>
      </c>
      <c r="BO1742">
        <v>0</v>
      </c>
      <c r="BP1742">
        <v>81</v>
      </c>
      <c r="BQ1742">
        <v>1311</v>
      </c>
      <c r="BR1742">
        <f t="shared" si="284"/>
        <v>-230</v>
      </c>
      <c r="BS1742">
        <f t="shared" si="285"/>
        <v>248</v>
      </c>
    </row>
    <row r="1743" spans="1:74" x14ac:dyDescent="0.25">
      <c r="A1743" s="5" t="s">
        <v>1946</v>
      </c>
      <c r="B1743" s="5" t="s">
        <v>207</v>
      </c>
      <c r="C1743" s="5" t="s">
        <v>207</v>
      </c>
      <c r="D1743" s="1" t="s">
        <v>135</v>
      </c>
      <c r="E1743">
        <v>0</v>
      </c>
      <c r="F1743">
        <v>660</v>
      </c>
      <c r="G1743">
        <v>0</v>
      </c>
      <c r="H1743">
        <v>0</v>
      </c>
      <c r="I1743">
        <v>579</v>
      </c>
      <c r="J1743">
        <v>0</v>
      </c>
      <c r="K1743">
        <v>926</v>
      </c>
      <c r="L1743">
        <v>0</v>
      </c>
      <c r="M1743">
        <v>1485</v>
      </c>
      <c r="N1743">
        <v>0</v>
      </c>
      <c r="O1743">
        <v>0</v>
      </c>
      <c r="P1743">
        <v>0</v>
      </c>
      <c r="Q1743">
        <v>395</v>
      </c>
      <c r="R1743">
        <v>165</v>
      </c>
      <c r="S1743" s="18">
        <f t="shared" si="276"/>
        <v>9</v>
      </c>
      <c r="T1743" s="17">
        <f t="shared" si="277"/>
        <v>165</v>
      </c>
      <c r="U1743" s="17">
        <f t="shared" si="278"/>
        <v>0</v>
      </c>
      <c r="V1743" s="17">
        <f t="shared" si="279"/>
        <v>0</v>
      </c>
      <c r="W1743" s="17">
        <f t="shared" si="280"/>
        <v>0</v>
      </c>
      <c r="X1743" s="17">
        <f t="shared" si="281"/>
        <v>230</v>
      </c>
      <c r="Y1743" s="19">
        <f t="shared" si="282"/>
        <v>0</v>
      </c>
      <c r="Z1743">
        <v>660</v>
      </c>
      <c r="AA1743">
        <v>0</v>
      </c>
      <c r="AB1743">
        <v>0</v>
      </c>
      <c r="AC1743">
        <v>0</v>
      </c>
      <c r="AD1743">
        <v>579</v>
      </c>
      <c r="AE1743">
        <v>0</v>
      </c>
      <c r="AF1743">
        <v>0</v>
      </c>
      <c r="AG1743">
        <v>0</v>
      </c>
      <c r="AH1743">
        <v>579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926</v>
      </c>
      <c r="AP1743">
        <v>356</v>
      </c>
      <c r="AQ1743">
        <v>926</v>
      </c>
      <c r="AR1743">
        <v>570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f t="shared" si="283"/>
        <v>3936</v>
      </c>
      <c r="BF1743">
        <v>2165</v>
      </c>
      <c r="BG1743">
        <v>2165</v>
      </c>
      <c r="BH1743" t="s">
        <v>109</v>
      </c>
      <c r="BI1743" t="s">
        <v>2071</v>
      </c>
      <c r="BJ1743">
        <v>0</v>
      </c>
      <c r="BK1743">
        <v>1505</v>
      </c>
      <c r="BL1743">
        <v>2165</v>
      </c>
      <c r="BM1743">
        <v>2064</v>
      </c>
      <c r="BN1743">
        <v>0</v>
      </c>
      <c r="BO1743">
        <v>0</v>
      </c>
      <c r="BP1743">
        <v>926</v>
      </c>
      <c r="BQ1743">
        <v>2990</v>
      </c>
      <c r="BR1743">
        <f t="shared" si="284"/>
        <v>-230</v>
      </c>
      <c r="BS1743">
        <f t="shared" si="285"/>
        <v>560</v>
      </c>
    </row>
    <row r="1744" spans="1:74" x14ac:dyDescent="0.25">
      <c r="A1744" s="5" t="s">
        <v>2090</v>
      </c>
      <c r="B1744" s="5" t="s">
        <v>61</v>
      </c>
      <c r="C1744" s="5" t="s">
        <v>61</v>
      </c>
      <c r="D1744" s="1" t="s">
        <v>2195</v>
      </c>
      <c r="E1744">
        <v>13</v>
      </c>
      <c r="F1744">
        <v>66</v>
      </c>
      <c r="G1744">
        <v>0</v>
      </c>
      <c r="H1744">
        <v>0</v>
      </c>
      <c r="I1744">
        <v>95</v>
      </c>
      <c r="J1744">
        <v>2858</v>
      </c>
      <c r="K1744">
        <v>119</v>
      </c>
      <c r="L1744">
        <v>134</v>
      </c>
      <c r="M1744">
        <v>0</v>
      </c>
      <c r="N1744">
        <v>0</v>
      </c>
      <c r="O1744">
        <v>0</v>
      </c>
      <c r="P1744">
        <v>225</v>
      </c>
      <c r="Q1744">
        <v>255</v>
      </c>
      <c r="R1744">
        <v>25</v>
      </c>
      <c r="S1744" s="18">
        <f t="shared" si="276"/>
        <v>9</v>
      </c>
      <c r="T1744" s="17">
        <f t="shared" si="277"/>
        <v>0</v>
      </c>
      <c r="U1744" s="17">
        <f t="shared" si="278"/>
        <v>0</v>
      </c>
      <c r="V1744" s="17">
        <f t="shared" si="279"/>
        <v>0</v>
      </c>
      <c r="W1744" s="17">
        <f t="shared" si="280"/>
        <v>25</v>
      </c>
      <c r="X1744" s="17">
        <f t="shared" si="281"/>
        <v>230</v>
      </c>
      <c r="Y1744" s="19">
        <f t="shared" si="282"/>
        <v>0</v>
      </c>
      <c r="Z1744">
        <v>66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95</v>
      </c>
      <c r="AH1744">
        <v>95</v>
      </c>
      <c r="AI1744">
        <v>0</v>
      </c>
      <c r="AJ1744">
        <v>0</v>
      </c>
      <c r="AK1744">
        <v>2858</v>
      </c>
      <c r="AL1744">
        <v>2858</v>
      </c>
      <c r="AM1744">
        <v>0</v>
      </c>
      <c r="AN1744">
        <v>0</v>
      </c>
      <c r="AO1744">
        <v>119</v>
      </c>
      <c r="AP1744">
        <v>6</v>
      </c>
      <c r="AQ1744">
        <v>119</v>
      </c>
      <c r="AR1744">
        <v>113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134</v>
      </c>
      <c r="BA1744">
        <v>134</v>
      </c>
      <c r="BB1744">
        <v>0</v>
      </c>
      <c r="BC1744">
        <v>0</v>
      </c>
      <c r="BD1744">
        <v>0</v>
      </c>
      <c r="BE1744">
        <f t="shared" si="283"/>
        <v>6531</v>
      </c>
      <c r="BF1744">
        <v>6592</v>
      </c>
      <c r="BG1744">
        <v>6592</v>
      </c>
      <c r="BH1744" t="s">
        <v>82</v>
      </c>
      <c r="BI1744" t="s">
        <v>2196</v>
      </c>
      <c r="BJ1744">
        <v>13</v>
      </c>
      <c r="BK1744">
        <v>3206</v>
      </c>
      <c r="BL1744">
        <v>3285</v>
      </c>
      <c r="BM1744">
        <v>0</v>
      </c>
      <c r="BN1744">
        <v>0</v>
      </c>
      <c r="BO1744">
        <v>0</v>
      </c>
      <c r="BP1744">
        <v>3431</v>
      </c>
      <c r="BQ1744">
        <v>3431</v>
      </c>
      <c r="BR1744">
        <f t="shared" si="284"/>
        <v>-230</v>
      </c>
      <c r="BS1744">
        <f t="shared" si="285"/>
        <v>280</v>
      </c>
    </row>
    <row r="1745" spans="1:74" x14ac:dyDescent="0.25">
      <c r="A1745" s="5" t="s">
        <v>61</v>
      </c>
      <c r="B1745" s="5" t="s">
        <v>207</v>
      </c>
      <c r="C1745" s="5" t="s">
        <v>207</v>
      </c>
      <c r="D1745" s="1" t="s">
        <v>129</v>
      </c>
      <c r="E1745">
        <v>0</v>
      </c>
      <c r="F1745">
        <v>25</v>
      </c>
      <c r="G1745">
        <v>0</v>
      </c>
      <c r="H1745">
        <v>0</v>
      </c>
      <c r="I1745">
        <v>350</v>
      </c>
      <c r="J1745">
        <v>0</v>
      </c>
      <c r="K1745">
        <v>0</v>
      </c>
      <c r="L1745">
        <v>0</v>
      </c>
      <c r="M1745">
        <v>225</v>
      </c>
      <c r="N1745">
        <v>0</v>
      </c>
      <c r="O1745">
        <v>0</v>
      </c>
      <c r="P1745">
        <v>0</v>
      </c>
      <c r="Q1745">
        <v>256</v>
      </c>
      <c r="R1745">
        <v>25</v>
      </c>
      <c r="S1745" s="18">
        <f t="shared" si="276"/>
        <v>9</v>
      </c>
      <c r="T1745" s="17">
        <f t="shared" si="277"/>
        <v>25</v>
      </c>
      <c r="U1745" s="17">
        <f t="shared" si="278"/>
        <v>0</v>
      </c>
      <c r="V1745" s="17">
        <f t="shared" si="279"/>
        <v>0</v>
      </c>
      <c r="W1745" s="17">
        <f t="shared" si="280"/>
        <v>0</v>
      </c>
      <c r="X1745" s="17">
        <f t="shared" si="281"/>
        <v>231</v>
      </c>
      <c r="Y1745" s="19">
        <f t="shared" si="282"/>
        <v>0</v>
      </c>
      <c r="Z1745">
        <v>25</v>
      </c>
      <c r="AA1745">
        <v>0</v>
      </c>
      <c r="AB1745">
        <v>0</v>
      </c>
      <c r="AC1745">
        <v>0</v>
      </c>
      <c r="AD1745">
        <v>350</v>
      </c>
      <c r="AE1745">
        <v>0</v>
      </c>
      <c r="AF1745">
        <v>0</v>
      </c>
      <c r="AG1745">
        <v>0</v>
      </c>
      <c r="AH1745">
        <v>350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f t="shared" si="283"/>
        <v>700</v>
      </c>
      <c r="BF1745">
        <v>375</v>
      </c>
      <c r="BG1745">
        <v>375</v>
      </c>
      <c r="BH1745" t="s">
        <v>109</v>
      </c>
      <c r="BI1745" t="s">
        <v>311</v>
      </c>
      <c r="BJ1745">
        <v>0</v>
      </c>
      <c r="BK1745">
        <v>350</v>
      </c>
      <c r="BL1745">
        <v>375</v>
      </c>
      <c r="BM1745">
        <v>575</v>
      </c>
      <c r="BN1745">
        <v>0</v>
      </c>
      <c r="BO1745">
        <v>0</v>
      </c>
      <c r="BP1745">
        <v>0</v>
      </c>
      <c r="BQ1745">
        <v>575</v>
      </c>
      <c r="BR1745">
        <f t="shared" si="284"/>
        <v>-231</v>
      </c>
      <c r="BS1745">
        <f t="shared" si="285"/>
        <v>281</v>
      </c>
    </row>
    <row r="1746" spans="1:74" x14ac:dyDescent="0.25">
      <c r="A1746" s="5" t="s">
        <v>1946</v>
      </c>
      <c r="B1746" s="5" t="s">
        <v>61</v>
      </c>
      <c r="C1746" s="5" t="s">
        <v>61</v>
      </c>
      <c r="D1746" s="1" t="s">
        <v>81</v>
      </c>
      <c r="E1746">
        <v>0</v>
      </c>
      <c r="F1746">
        <v>0</v>
      </c>
      <c r="G1746">
        <v>0</v>
      </c>
      <c r="H1746">
        <v>0</v>
      </c>
      <c r="I1746">
        <v>750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165</v>
      </c>
      <c r="R1746">
        <v>0</v>
      </c>
      <c r="S1746" s="18" t="e">
        <f t="shared" si="276"/>
        <v>#DIV/0!</v>
      </c>
      <c r="T1746" s="17" t="e">
        <f t="shared" si="277"/>
        <v>#DIV/0!</v>
      </c>
      <c r="U1746" s="17" t="e">
        <f t="shared" si="278"/>
        <v>#DIV/0!</v>
      </c>
      <c r="V1746" s="17" t="e">
        <f t="shared" si="279"/>
        <v>#DIV/0!</v>
      </c>
      <c r="W1746" s="17" t="e">
        <f t="shared" si="280"/>
        <v>#DIV/0!</v>
      </c>
      <c r="X1746" s="17" t="e">
        <f t="shared" si="281"/>
        <v>#DIV/0!</v>
      </c>
      <c r="Y1746" s="19" t="e">
        <f t="shared" si="282"/>
        <v>#DIV/0!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750</v>
      </c>
      <c r="AH1746">
        <v>750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f t="shared" si="283"/>
        <v>1500</v>
      </c>
      <c r="BF1746">
        <v>750</v>
      </c>
      <c r="BG1746">
        <v>750</v>
      </c>
      <c r="BH1746" t="s">
        <v>63</v>
      </c>
      <c r="BI1746" t="s">
        <v>1956</v>
      </c>
      <c r="BJ1746">
        <v>0</v>
      </c>
      <c r="BK1746">
        <v>750</v>
      </c>
      <c r="BL1746">
        <v>750</v>
      </c>
      <c r="BM1746">
        <v>0</v>
      </c>
      <c r="BN1746">
        <v>0</v>
      </c>
      <c r="BO1746">
        <v>0</v>
      </c>
      <c r="BP1746">
        <v>750</v>
      </c>
      <c r="BQ1746">
        <v>750</v>
      </c>
      <c r="BR1746">
        <f t="shared" si="284"/>
        <v>-165</v>
      </c>
      <c r="BS1746">
        <f t="shared" si="285"/>
        <v>165</v>
      </c>
      <c r="BU1746">
        <f>R1746*9</f>
        <v>0</v>
      </c>
      <c r="BV1746">
        <f>IF(BU1746&gt;BG1746, 1, 0)</f>
        <v>0</v>
      </c>
    </row>
    <row r="1747" spans="1:74" x14ac:dyDescent="0.25">
      <c r="A1747" s="5" t="s">
        <v>1661</v>
      </c>
      <c r="B1747" s="5" t="s">
        <v>207</v>
      </c>
      <c r="C1747" s="5" t="s">
        <v>207</v>
      </c>
      <c r="D1747" s="1" t="s">
        <v>113</v>
      </c>
      <c r="E1747">
        <v>0</v>
      </c>
      <c r="F1747">
        <v>393</v>
      </c>
      <c r="G1747">
        <v>0</v>
      </c>
      <c r="H1747">
        <v>0</v>
      </c>
      <c r="I1747">
        <v>1092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999</v>
      </c>
      <c r="Q1747">
        <v>342</v>
      </c>
      <c r="R1747">
        <v>111</v>
      </c>
      <c r="S1747" s="18">
        <f t="shared" si="276"/>
        <v>9</v>
      </c>
      <c r="T1747" s="17">
        <f t="shared" si="277"/>
        <v>0</v>
      </c>
      <c r="U1747" s="17">
        <f t="shared" si="278"/>
        <v>0</v>
      </c>
      <c r="V1747" s="17">
        <f t="shared" si="279"/>
        <v>0</v>
      </c>
      <c r="W1747" s="17">
        <f t="shared" si="280"/>
        <v>111</v>
      </c>
      <c r="X1747" s="17">
        <f t="shared" si="281"/>
        <v>231</v>
      </c>
      <c r="Y1747" s="19">
        <f t="shared" si="282"/>
        <v>0</v>
      </c>
      <c r="Z1747">
        <v>393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1092</v>
      </c>
      <c r="AH1747">
        <v>1092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f t="shared" si="283"/>
        <v>2184</v>
      </c>
      <c r="BF1747">
        <v>1485</v>
      </c>
      <c r="BG1747">
        <v>1485</v>
      </c>
      <c r="BH1747" t="s">
        <v>109</v>
      </c>
      <c r="BI1747" t="s">
        <v>1815</v>
      </c>
      <c r="BJ1747">
        <v>0</v>
      </c>
      <c r="BK1747">
        <v>1092</v>
      </c>
      <c r="BL1747">
        <v>1485</v>
      </c>
      <c r="BM1747">
        <v>0</v>
      </c>
      <c r="BN1747">
        <v>0</v>
      </c>
      <c r="BO1747">
        <v>0</v>
      </c>
      <c r="BP1747">
        <v>2091</v>
      </c>
      <c r="BQ1747">
        <v>2091</v>
      </c>
      <c r="BR1747">
        <f t="shared" si="284"/>
        <v>-231</v>
      </c>
      <c r="BS1747">
        <f t="shared" si="285"/>
        <v>453</v>
      </c>
    </row>
    <row r="1748" spans="1:74" x14ac:dyDescent="0.25">
      <c r="A1748" s="5" t="s">
        <v>1946</v>
      </c>
      <c r="B1748" s="5" t="s">
        <v>61</v>
      </c>
      <c r="C1748" s="5" t="s">
        <v>61</v>
      </c>
      <c r="D1748" s="1" t="s">
        <v>104</v>
      </c>
      <c r="E1748">
        <v>381</v>
      </c>
      <c r="F1748">
        <v>29</v>
      </c>
      <c r="G1748">
        <v>0</v>
      </c>
      <c r="H1748">
        <v>0</v>
      </c>
      <c r="I1748">
        <v>250</v>
      </c>
      <c r="J1748">
        <v>4689</v>
      </c>
      <c r="K1748">
        <v>300</v>
      </c>
      <c r="L1748">
        <v>161</v>
      </c>
      <c r="M1748">
        <v>0</v>
      </c>
      <c r="N1748">
        <v>0</v>
      </c>
      <c r="O1748">
        <v>0</v>
      </c>
      <c r="P1748">
        <v>261</v>
      </c>
      <c r="Q1748">
        <v>260</v>
      </c>
      <c r="R1748">
        <v>29</v>
      </c>
      <c r="S1748" s="18">
        <f t="shared" si="276"/>
        <v>9</v>
      </c>
      <c r="T1748" s="17">
        <f t="shared" si="277"/>
        <v>0</v>
      </c>
      <c r="U1748" s="17">
        <f t="shared" si="278"/>
        <v>0</v>
      </c>
      <c r="V1748" s="17">
        <f t="shared" si="279"/>
        <v>0</v>
      </c>
      <c r="W1748" s="17">
        <f t="shared" si="280"/>
        <v>29</v>
      </c>
      <c r="X1748" s="17">
        <f t="shared" si="281"/>
        <v>231</v>
      </c>
      <c r="Y1748" s="19">
        <f t="shared" si="282"/>
        <v>0</v>
      </c>
      <c r="Z1748">
        <v>29</v>
      </c>
      <c r="AA1748">
        <v>7</v>
      </c>
      <c r="AB1748">
        <v>0</v>
      </c>
      <c r="AC1748">
        <v>2659</v>
      </c>
      <c r="AD1748">
        <v>0</v>
      </c>
      <c r="AE1748">
        <v>0</v>
      </c>
      <c r="AF1748">
        <v>0</v>
      </c>
      <c r="AG1748">
        <v>250</v>
      </c>
      <c r="AH1748">
        <v>250</v>
      </c>
      <c r="AI1748">
        <v>0</v>
      </c>
      <c r="AJ1748">
        <v>0</v>
      </c>
      <c r="AK1748">
        <v>4689</v>
      </c>
      <c r="AL1748">
        <v>4689</v>
      </c>
      <c r="AM1748">
        <v>0</v>
      </c>
      <c r="AN1748">
        <v>0</v>
      </c>
      <c r="AO1748">
        <v>300</v>
      </c>
      <c r="AP1748">
        <v>122</v>
      </c>
      <c r="AQ1748">
        <v>300</v>
      </c>
      <c r="AR1748">
        <v>178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161</v>
      </c>
      <c r="BA1748">
        <v>161</v>
      </c>
      <c r="BB1748">
        <v>0</v>
      </c>
      <c r="BC1748">
        <v>0</v>
      </c>
      <c r="BD1748">
        <v>0</v>
      </c>
      <c r="BE1748">
        <f t="shared" si="283"/>
        <v>13759</v>
      </c>
      <c r="BF1748">
        <v>8476</v>
      </c>
      <c r="BG1748">
        <v>8476</v>
      </c>
      <c r="BH1748" t="s">
        <v>82</v>
      </c>
      <c r="BI1748" t="s">
        <v>1967</v>
      </c>
      <c r="BJ1748">
        <v>3047</v>
      </c>
      <c r="BK1748">
        <v>5400</v>
      </c>
      <c r="BL1748">
        <v>8476</v>
      </c>
      <c r="BM1748">
        <v>0</v>
      </c>
      <c r="BN1748">
        <v>0</v>
      </c>
      <c r="BO1748">
        <v>0</v>
      </c>
      <c r="BP1748">
        <v>5661</v>
      </c>
      <c r="BQ1748">
        <v>5661</v>
      </c>
      <c r="BR1748">
        <f t="shared" si="284"/>
        <v>-231</v>
      </c>
      <c r="BS1748">
        <f t="shared" si="285"/>
        <v>289</v>
      </c>
    </row>
    <row r="1749" spans="1:74" x14ac:dyDescent="0.25">
      <c r="A1749" s="5" t="s">
        <v>2090</v>
      </c>
      <c r="B1749" s="5" t="s">
        <v>207</v>
      </c>
      <c r="C1749" s="5" t="s">
        <v>61</v>
      </c>
      <c r="D1749" s="1" t="s">
        <v>351</v>
      </c>
      <c r="E1749">
        <v>60</v>
      </c>
      <c r="F1749">
        <v>0</v>
      </c>
      <c r="G1749">
        <v>0</v>
      </c>
      <c r="H1749">
        <v>0</v>
      </c>
      <c r="I1749">
        <v>35</v>
      </c>
      <c r="J1749">
        <v>850</v>
      </c>
      <c r="K1749">
        <v>78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231</v>
      </c>
      <c r="R1749">
        <v>0</v>
      </c>
      <c r="S1749" s="18" t="e">
        <f t="shared" si="276"/>
        <v>#DIV/0!</v>
      </c>
      <c r="T1749" s="17" t="e">
        <f t="shared" si="277"/>
        <v>#DIV/0!</v>
      </c>
      <c r="U1749" s="17" t="e">
        <f t="shared" si="278"/>
        <v>#DIV/0!</v>
      </c>
      <c r="V1749" s="17" t="e">
        <f t="shared" si="279"/>
        <v>#DIV/0!</v>
      </c>
      <c r="W1749" s="17" t="e">
        <f t="shared" si="280"/>
        <v>#DIV/0!</v>
      </c>
      <c r="X1749" s="17" t="e">
        <f t="shared" si="281"/>
        <v>#DIV/0!</v>
      </c>
      <c r="Y1749" s="19" t="e">
        <f t="shared" si="282"/>
        <v>#DIV/0!</v>
      </c>
      <c r="Z1749">
        <v>0</v>
      </c>
      <c r="AA1749">
        <v>0</v>
      </c>
      <c r="AB1749">
        <v>0</v>
      </c>
      <c r="AC1749">
        <v>1900</v>
      </c>
      <c r="AD1749">
        <v>0</v>
      </c>
      <c r="AE1749">
        <v>0</v>
      </c>
      <c r="AF1749">
        <v>0</v>
      </c>
      <c r="AG1749">
        <v>35</v>
      </c>
      <c r="AH1749">
        <v>35</v>
      </c>
      <c r="AI1749">
        <v>0</v>
      </c>
      <c r="AJ1749">
        <v>0</v>
      </c>
      <c r="AK1749">
        <v>850</v>
      </c>
      <c r="AL1749">
        <v>850</v>
      </c>
      <c r="AM1749">
        <v>0</v>
      </c>
      <c r="AN1749">
        <v>0</v>
      </c>
      <c r="AO1749">
        <v>78</v>
      </c>
      <c r="AP1749">
        <v>8</v>
      </c>
      <c r="AQ1749">
        <v>78</v>
      </c>
      <c r="AR1749">
        <v>70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f t="shared" si="283"/>
        <v>3904</v>
      </c>
      <c r="BF1749">
        <v>2923</v>
      </c>
      <c r="BG1749">
        <v>2923</v>
      </c>
      <c r="BH1749" t="s">
        <v>82</v>
      </c>
      <c r="BI1749" t="s">
        <v>2277</v>
      </c>
      <c r="BJ1749">
        <v>1960</v>
      </c>
      <c r="BK1749">
        <v>963</v>
      </c>
      <c r="BL1749">
        <v>2923</v>
      </c>
      <c r="BM1749">
        <v>0</v>
      </c>
      <c r="BN1749">
        <v>0</v>
      </c>
      <c r="BO1749">
        <v>0</v>
      </c>
      <c r="BP1749">
        <v>963</v>
      </c>
      <c r="BQ1749">
        <v>963</v>
      </c>
      <c r="BR1749">
        <f t="shared" si="284"/>
        <v>-231</v>
      </c>
      <c r="BS1749">
        <f t="shared" si="285"/>
        <v>231</v>
      </c>
    </row>
    <row r="1750" spans="1:74" x14ac:dyDescent="0.25">
      <c r="A1750" s="5" t="s">
        <v>1946</v>
      </c>
      <c r="B1750" s="5" t="s">
        <v>61</v>
      </c>
      <c r="C1750" s="5" t="s">
        <v>61</v>
      </c>
      <c r="D1750" s="1" t="s">
        <v>98</v>
      </c>
      <c r="E1750">
        <v>42</v>
      </c>
      <c r="F1750">
        <v>0</v>
      </c>
      <c r="G1750">
        <v>0</v>
      </c>
      <c r="H1750">
        <v>0</v>
      </c>
      <c r="I1750">
        <v>85</v>
      </c>
      <c r="J1750">
        <v>3260</v>
      </c>
      <c r="K1750">
        <v>75</v>
      </c>
      <c r="L1750">
        <v>32</v>
      </c>
      <c r="M1750">
        <v>0</v>
      </c>
      <c r="N1750">
        <v>0</v>
      </c>
      <c r="O1750">
        <v>0</v>
      </c>
      <c r="P1750">
        <v>0</v>
      </c>
      <c r="Q1750">
        <v>232</v>
      </c>
      <c r="R1750">
        <v>0</v>
      </c>
      <c r="S1750" s="18" t="e">
        <f t="shared" si="276"/>
        <v>#DIV/0!</v>
      </c>
      <c r="T1750" s="17" t="e">
        <f t="shared" si="277"/>
        <v>#DIV/0!</v>
      </c>
      <c r="U1750" s="17" t="e">
        <f t="shared" si="278"/>
        <v>#DIV/0!</v>
      </c>
      <c r="V1750" s="17" t="e">
        <f t="shared" si="279"/>
        <v>#DIV/0!</v>
      </c>
      <c r="W1750" s="17" t="e">
        <f t="shared" si="280"/>
        <v>#DIV/0!</v>
      </c>
      <c r="X1750" s="17" t="e">
        <f t="shared" si="281"/>
        <v>#DIV/0!</v>
      </c>
      <c r="Y1750" s="19" t="e">
        <f t="shared" si="282"/>
        <v>#DIV/0!</v>
      </c>
      <c r="Z1750">
        <v>0</v>
      </c>
      <c r="AA1750">
        <v>10</v>
      </c>
      <c r="AB1750">
        <v>300</v>
      </c>
      <c r="AC1750">
        <v>1691</v>
      </c>
      <c r="AD1750">
        <v>0</v>
      </c>
      <c r="AE1750">
        <v>0</v>
      </c>
      <c r="AF1750">
        <v>0</v>
      </c>
      <c r="AG1750">
        <v>85</v>
      </c>
      <c r="AH1750">
        <v>85</v>
      </c>
      <c r="AI1750">
        <v>0</v>
      </c>
      <c r="AJ1750">
        <v>0</v>
      </c>
      <c r="AK1750">
        <v>3260</v>
      </c>
      <c r="AL1750">
        <v>3260</v>
      </c>
      <c r="AM1750">
        <v>0</v>
      </c>
      <c r="AN1750">
        <v>0</v>
      </c>
      <c r="AO1750">
        <v>75</v>
      </c>
      <c r="AP1750">
        <v>50</v>
      </c>
      <c r="AQ1750">
        <v>75</v>
      </c>
      <c r="AR1750">
        <v>25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32</v>
      </c>
      <c r="BA1750">
        <v>32</v>
      </c>
      <c r="BB1750">
        <v>0</v>
      </c>
      <c r="BC1750">
        <v>0</v>
      </c>
      <c r="BD1750">
        <v>0</v>
      </c>
      <c r="BE1750">
        <f t="shared" si="283"/>
        <v>8670</v>
      </c>
      <c r="BF1750">
        <v>5495</v>
      </c>
      <c r="BG1750">
        <v>5495</v>
      </c>
      <c r="BH1750" t="s">
        <v>82</v>
      </c>
      <c r="BI1750" t="s">
        <v>1964</v>
      </c>
      <c r="BJ1750">
        <v>2043</v>
      </c>
      <c r="BK1750">
        <v>3452</v>
      </c>
      <c r="BL1750">
        <v>5495</v>
      </c>
      <c r="BM1750">
        <v>0</v>
      </c>
      <c r="BN1750">
        <v>0</v>
      </c>
      <c r="BO1750">
        <v>0</v>
      </c>
      <c r="BP1750">
        <v>3452</v>
      </c>
      <c r="BQ1750">
        <v>3452</v>
      </c>
      <c r="BR1750">
        <f t="shared" si="284"/>
        <v>-232</v>
      </c>
      <c r="BS1750">
        <f t="shared" si="285"/>
        <v>232</v>
      </c>
    </row>
    <row r="1751" spans="1:74" x14ac:dyDescent="0.25">
      <c r="A1751" s="5" t="s">
        <v>1017</v>
      </c>
      <c r="B1751" s="5" t="s">
        <v>61</v>
      </c>
      <c r="C1751" s="5" t="s">
        <v>207</v>
      </c>
      <c r="D1751" s="1" t="s">
        <v>67</v>
      </c>
      <c r="E1751">
        <v>0</v>
      </c>
      <c r="F1751">
        <v>0</v>
      </c>
      <c r="G1751">
        <v>0</v>
      </c>
      <c r="H1751">
        <v>0</v>
      </c>
      <c r="I1751">
        <v>543</v>
      </c>
      <c r="J1751">
        <v>2276</v>
      </c>
      <c r="K1751">
        <v>19</v>
      </c>
      <c r="L1751">
        <v>50</v>
      </c>
      <c r="M1751">
        <v>0</v>
      </c>
      <c r="N1751">
        <v>0</v>
      </c>
      <c r="O1751">
        <v>0</v>
      </c>
      <c r="P1751">
        <v>0</v>
      </c>
      <c r="Q1751">
        <v>170</v>
      </c>
      <c r="R1751">
        <v>0</v>
      </c>
      <c r="S1751" s="18" t="e">
        <f t="shared" si="276"/>
        <v>#DIV/0!</v>
      </c>
      <c r="T1751" s="17" t="e">
        <f t="shared" si="277"/>
        <v>#DIV/0!</v>
      </c>
      <c r="U1751" s="17" t="e">
        <f t="shared" si="278"/>
        <v>#DIV/0!</v>
      </c>
      <c r="V1751" s="17" t="e">
        <f t="shared" si="279"/>
        <v>#DIV/0!</v>
      </c>
      <c r="W1751" s="17" t="e">
        <f t="shared" si="280"/>
        <v>#DIV/0!</v>
      </c>
      <c r="X1751" s="17" t="e">
        <f t="shared" si="281"/>
        <v>#DIV/0!</v>
      </c>
      <c r="Y1751" s="19" t="e">
        <f t="shared" si="282"/>
        <v>#DIV/0!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543</v>
      </c>
      <c r="AH1751">
        <v>543</v>
      </c>
      <c r="AI1751">
        <v>0</v>
      </c>
      <c r="AJ1751">
        <v>0</v>
      </c>
      <c r="AK1751">
        <v>2276</v>
      </c>
      <c r="AL1751">
        <v>2276</v>
      </c>
      <c r="AM1751">
        <v>0</v>
      </c>
      <c r="AN1751">
        <v>0</v>
      </c>
      <c r="AO1751">
        <v>19</v>
      </c>
      <c r="AP1751">
        <v>19</v>
      </c>
      <c r="AQ1751">
        <v>19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50</v>
      </c>
      <c r="BA1751">
        <v>50</v>
      </c>
      <c r="BB1751">
        <v>0</v>
      </c>
      <c r="BC1751">
        <v>0</v>
      </c>
      <c r="BD1751">
        <v>0</v>
      </c>
      <c r="BE1751">
        <f t="shared" si="283"/>
        <v>5795</v>
      </c>
      <c r="BF1751">
        <v>2888</v>
      </c>
      <c r="BG1751">
        <v>2888</v>
      </c>
      <c r="BH1751" t="s">
        <v>63</v>
      </c>
      <c r="BI1751" t="s">
        <v>1048</v>
      </c>
      <c r="BJ1751">
        <v>0</v>
      </c>
      <c r="BK1751">
        <v>2888</v>
      </c>
      <c r="BL1751">
        <v>2888</v>
      </c>
      <c r="BM1751">
        <v>0</v>
      </c>
      <c r="BN1751">
        <v>0</v>
      </c>
      <c r="BO1751">
        <v>0</v>
      </c>
      <c r="BP1751">
        <v>2888</v>
      </c>
      <c r="BQ1751">
        <v>2888</v>
      </c>
      <c r="BR1751">
        <f t="shared" si="284"/>
        <v>-170</v>
      </c>
      <c r="BS1751">
        <f t="shared" si="285"/>
        <v>170</v>
      </c>
      <c r="BU1751">
        <f>R1751*9</f>
        <v>0</v>
      </c>
      <c r="BV1751">
        <f>IF(BU1751&gt;BG1751, 1, 0)</f>
        <v>0</v>
      </c>
    </row>
    <row r="1752" spans="1:74" x14ac:dyDescent="0.25">
      <c r="A1752" s="5" t="s">
        <v>2090</v>
      </c>
      <c r="B1752" s="5" t="s">
        <v>207</v>
      </c>
      <c r="C1752" s="5" t="s">
        <v>61</v>
      </c>
      <c r="D1752" s="1" t="s">
        <v>75</v>
      </c>
      <c r="E1752">
        <v>0</v>
      </c>
      <c r="F1752">
        <v>175</v>
      </c>
      <c r="G1752">
        <v>0</v>
      </c>
      <c r="H1752">
        <v>0</v>
      </c>
      <c r="I1752">
        <v>238</v>
      </c>
      <c r="J1752">
        <v>0</v>
      </c>
      <c r="K1752">
        <v>497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175</v>
      </c>
      <c r="R1752">
        <v>0</v>
      </c>
      <c r="S1752" s="18" t="e">
        <f t="shared" si="276"/>
        <v>#DIV/0!</v>
      </c>
      <c r="T1752" s="17" t="e">
        <f t="shared" si="277"/>
        <v>#DIV/0!</v>
      </c>
      <c r="U1752" s="17" t="e">
        <f t="shared" si="278"/>
        <v>#DIV/0!</v>
      </c>
      <c r="V1752" s="17" t="e">
        <f t="shared" si="279"/>
        <v>#DIV/0!</v>
      </c>
      <c r="W1752" s="17" t="e">
        <f t="shared" si="280"/>
        <v>#DIV/0!</v>
      </c>
      <c r="X1752" s="17" t="e">
        <f t="shared" si="281"/>
        <v>#DIV/0!</v>
      </c>
      <c r="Y1752" s="19" t="e">
        <f t="shared" si="282"/>
        <v>#DIV/0!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238</v>
      </c>
      <c r="AH1752">
        <v>238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497</v>
      </c>
      <c r="AP1752">
        <v>218</v>
      </c>
      <c r="AQ1752">
        <v>497</v>
      </c>
      <c r="AR1752">
        <v>279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f t="shared" si="283"/>
        <v>1967</v>
      </c>
      <c r="BF1752">
        <v>735</v>
      </c>
      <c r="BG1752">
        <v>735</v>
      </c>
      <c r="BH1752" t="s">
        <v>63</v>
      </c>
      <c r="BI1752" t="s">
        <v>2217</v>
      </c>
      <c r="BJ1752">
        <v>0</v>
      </c>
      <c r="BK1752">
        <v>735</v>
      </c>
      <c r="BL1752">
        <v>735</v>
      </c>
      <c r="BM1752">
        <v>0</v>
      </c>
      <c r="BN1752">
        <v>0</v>
      </c>
      <c r="BO1752">
        <v>0</v>
      </c>
      <c r="BP1752">
        <v>735</v>
      </c>
      <c r="BQ1752">
        <v>735</v>
      </c>
      <c r="BR1752">
        <f t="shared" si="284"/>
        <v>-175</v>
      </c>
      <c r="BS1752">
        <f t="shared" si="285"/>
        <v>175</v>
      </c>
      <c r="BU1752">
        <f>R1752*9</f>
        <v>0</v>
      </c>
      <c r="BV1752">
        <f>IF(BU1752&gt;BG1752, 1, 0)</f>
        <v>0</v>
      </c>
    </row>
    <row r="1753" spans="1:74" x14ac:dyDescent="0.25">
      <c r="A1753" s="5" t="s">
        <v>61</v>
      </c>
      <c r="B1753" s="5" t="s">
        <v>61</v>
      </c>
      <c r="C1753" s="5" t="s">
        <v>61</v>
      </c>
      <c r="D1753" s="1" t="s">
        <v>141</v>
      </c>
      <c r="E1753">
        <v>0</v>
      </c>
      <c r="F1753">
        <v>55</v>
      </c>
      <c r="G1753">
        <v>0</v>
      </c>
      <c r="H1753">
        <v>0</v>
      </c>
      <c r="I1753">
        <v>144</v>
      </c>
      <c r="J1753">
        <v>0</v>
      </c>
      <c r="K1753">
        <v>0</v>
      </c>
      <c r="L1753">
        <v>0</v>
      </c>
      <c r="M1753">
        <v>261</v>
      </c>
      <c r="N1753">
        <v>0</v>
      </c>
      <c r="O1753">
        <v>0</v>
      </c>
      <c r="P1753">
        <v>0</v>
      </c>
      <c r="Q1753">
        <v>263</v>
      </c>
      <c r="R1753">
        <v>29</v>
      </c>
      <c r="S1753" s="18">
        <f t="shared" si="276"/>
        <v>9</v>
      </c>
      <c r="T1753" s="17">
        <f t="shared" si="277"/>
        <v>29</v>
      </c>
      <c r="U1753" s="17">
        <f t="shared" si="278"/>
        <v>0</v>
      </c>
      <c r="V1753" s="17">
        <f t="shared" si="279"/>
        <v>0</v>
      </c>
      <c r="W1753" s="17">
        <f t="shared" si="280"/>
        <v>0</v>
      </c>
      <c r="X1753" s="17">
        <f t="shared" si="281"/>
        <v>234</v>
      </c>
      <c r="Y1753" s="19">
        <f t="shared" si="282"/>
        <v>0</v>
      </c>
      <c r="Z1753">
        <v>55</v>
      </c>
      <c r="AA1753">
        <v>0</v>
      </c>
      <c r="AB1753">
        <v>0</v>
      </c>
      <c r="AC1753">
        <v>0</v>
      </c>
      <c r="AD1753">
        <v>144</v>
      </c>
      <c r="AE1753">
        <v>0</v>
      </c>
      <c r="AF1753">
        <v>0</v>
      </c>
      <c r="AG1753">
        <v>0</v>
      </c>
      <c r="AH1753">
        <v>144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f t="shared" si="283"/>
        <v>288</v>
      </c>
      <c r="BF1753">
        <v>199</v>
      </c>
      <c r="BG1753">
        <v>199</v>
      </c>
      <c r="BH1753" t="s">
        <v>109</v>
      </c>
      <c r="BI1753" t="s">
        <v>142</v>
      </c>
      <c r="BJ1753">
        <v>0</v>
      </c>
      <c r="BK1753">
        <v>144</v>
      </c>
      <c r="BL1753">
        <v>199</v>
      </c>
      <c r="BM1753">
        <v>405</v>
      </c>
      <c r="BN1753">
        <v>0</v>
      </c>
      <c r="BO1753">
        <v>0</v>
      </c>
      <c r="BP1753">
        <v>0</v>
      </c>
      <c r="BQ1753">
        <v>405</v>
      </c>
      <c r="BR1753">
        <f t="shared" si="284"/>
        <v>-234</v>
      </c>
      <c r="BS1753">
        <f t="shared" si="285"/>
        <v>292</v>
      </c>
    </row>
    <row r="1754" spans="1:74" x14ac:dyDescent="0.25">
      <c r="A1754" s="5" t="s">
        <v>1135</v>
      </c>
      <c r="B1754" s="5" t="s">
        <v>207</v>
      </c>
      <c r="C1754" s="5" t="s">
        <v>61</v>
      </c>
      <c r="D1754" s="1" t="s">
        <v>127</v>
      </c>
      <c r="E1754">
        <v>0</v>
      </c>
      <c r="F1754">
        <v>361</v>
      </c>
      <c r="G1754">
        <v>0</v>
      </c>
      <c r="H1754">
        <v>0</v>
      </c>
      <c r="I1754">
        <v>645</v>
      </c>
      <c r="J1754">
        <v>5325</v>
      </c>
      <c r="K1754">
        <v>180</v>
      </c>
      <c r="L1754">
        <v>200</v>
      </c>
      <c r="M1754">
        <v>0</v>
      </c>
      <c r="N1754">
        <v>0</v>
      </c>
      <c r="O1754">
        <v>0</v>
      </c>
      <c r="P1754">
        <v>405</v>
      </c>
      <c r="Q1754">
        <v>279</v>
      </c>
      <c r="R1754">
        <v>45</v>
      </c>
      <c r="S1754" s="18">
        <f t="shared" si="276"/>
        <v>9</v>
      </c>
      <c r="T1754" s="17">
        <f t="shared" si="277"/>
        <v>0</v>
      </c>
      <c r="U1754" s="17">
        <f t="shared" si="278"/>
        <v>0</v>
      </c>
      <c r="V1754" s="17">
        <f t="shared" si="279"/>
        <v>0</v>
      </c>
      <c r="W1754" s="17">
        <f t="shared" si="280"/>
        <v>45</v>
      </c>
      <c r="X1754" s="17">
        <f t="shared" si="281"/>
        <v>234</v>
      </c>
      <c r="Y1754" s="19">
        <f t="shared" si="282"/>
        <v>0</v>
      </c>
      <c r="Z1754">
        <v>361</v>
      </c>
      <c r="AA1754">
        <v>0</v>
      </c>
      <c r="AB1754">
        <v>525</v>
      </c>
      <c r="AC1754">
        <v>3275</v>
      </c>
      <c r="AD1754">
        <v>0</v>
      </c>
      <c r="AE1754">
        <v>0</v>
      </c>
      <c r="AF1754">
        <v>0</v>
      </c>
      <c r="AG1754">
        <v>645</v>
      </c>
      <c r="AH1754">
        <v>645</v>
      </c>
      <c r="AI1754">
        <v>0</v>
      </c>
      <c r="AJ1754">
        <v>0</v>
      </c>
      <c r="AK1754">
        <v>5325</v>
      </c>
      <c r="AL1754">
        <v>5325</v>
      </c>
      <c r="AM1754">
        <v>0</v>
      </c>
      <c r="AN1754">
        <v>0</v>
      </c>
      <c r="AO1754">
        <v>180</v>
      </c>
      <c r="AP1754">
        <v>135</v>
      </c>
      <c r="AQ1754">
        <v>180</v>
      </c>
      <c r="AR1754">
        <v>45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200</v>
      </c>
      <c r="BA1754">
        <v>200</v>
      </c>
      <c r="BB1754">
        <v>0</v>
      </c>
      <c r="BC1754">
        <v>0</v>
      </c>
      <c r="BD1754">
        <v>0</v>
      </c>
      <c r="BE1754">
        <f t="shared" si="283"/>
        <v>16155</v>
      </c>
      <c r="BF1754">
        <v>10511</v>
      </c>
      <c r="BG1754">
        <v>10511</v>
      </c>
      <c r="BH1754" t="s">
        <v>82</v>
      </c>
      <c r="BI1754" t="s">
        <v>1227</v>
      </c>
      <c r="BJ1754">
        <v>3800</v>
      </c>
      <c r="BK1754">
        <v>6350</v>
      </c>
      <c r="BL1754">
        <v>10511</v>
      </c>
      <c r="BM1754">
        <v>0</v>
      </c>
      <c r="BN1754">
        <v>0</v>
      </c>
      <c r="BO1754">
        <v>0</v>
      </c>
      <c r="BP1754">
        <v>6755</v>
      </c>
      <c r="BQ1754">
        <v>6755</v>
      </c>
      <c r="BR1754">
        <f t="shared" si="284"/>
        <v>-234</v>
      </c>
      <c r="BS1754">
        <f t="shared" si="285"/>
        <v>324</v>
      </c>
    </row>
    <row r="1755" spans="1:74" x14ac:dyDescent="0.25">
      <c r="A1755" s="5" t="s">
        <v>1946</v>
      </c>
      <c r="B1755" s="5" t="s">
        <v>207</v>
      </c>
      <c r="C1755" s="5" t="s">
        <v>207</v>
      </c>
      <c r="D1755" s="1" t="s">
        <v>100</v>
      </c>
      <c r="E1755">
        <v>0</v>
      </c>
      <c r="F1755">
        <v>0</v>
      </c>
      <c r="G1755">
        <v>0</v>
      </c>
      <c r="H1755">
        <v>0</v>
      </c>
      <c r="I1755">
        <v>194</v>
      </c>
      <c r="J1755">
        <v>2811</v>
      </c>
      <c r="K1755">
        <v>65</v>
      </c>
      <c r="L1755">
        <v>120</v>
      </c>
      <c r="M1755">
        <v>0</v>
      </c>
      <c r="N1755">
        <v>0</v>
      </c>
      <c r="O1755">
        <v>0</v>
      </c>
      <c r="P1755">
        <v>0</v>
      </c>
      <c r="Q1755">
        <v>234</v>
      </c>
      <c r="R1755">
        <v>0</v>
      </c>
      <c r="S1755" s="18" t="e">
        <f t="shared" si="276"/>
        <v>#DIV/0!</v>
      </c>
      <c r="T1755" s="17" t="e">
        <f t="shared" si="277"/>
        <v>#DIV/0!</v>
      </c>
      <c r="U1755" s="17" t="e">
        <f t="shared" si="278"/>
        <v>#DIV/0!</v>
      </c>
      <c r="V1755" s="17" t="e">
        <f t="shared" si="279"/>
        <v>#DIV/0!</v>
      </c>
      <c r="W1755" s="17" t="e">
        <f t="shared" si="280"/>
        <v>#DIV/0!</v>
      </c>
      <c r="X1755" s="17" t="e">
        <f t="shared" si="281"/>
        <v>#DIV/0!</v>
      </c>
      <c r="Y1755" s="19" t="e">
        <f t="shared" si="282"/>
        <v>#DIV/0!</v>
      </c>
      <c r="Z1755">
        <v>0</v>
      </c>
      <c r="AA1755">
        <v>0</v>
      </c>
      <c r="AB1755">
        <v>0</v>
      </c>
      <c r="AC1755">
        <v>804</v>
      </c>
      <c r="AD1755">
        <v>0</v>
      </c>
      <c r="AE1755">
        <v>0</v>
      </c>
      <c r="AF1755">
        <v>0</v>
      </c>
      <c r="AG1755">
        <v>194</v>
      </c>
      <c r="AH1755">
        <v>194</v>
      </c>
      <c r="AI1755">
        <v>0</v>
      </c>
      <c r="AJ1755">
        <v>0</v>
      </c>
      <c r="AK1755">
        <v>2811</v>
      </c>
      <c r="AL1755">
        <v>2811</v>
      </c>
      <c r="AM1755">
        <v>0</v>
      </c>
      <c r="AN1755">
        <v>0</v>
      </c>
      <c r="AO1755">
        <v>65</v>
      </c>
      <c r="AP1755">
        <v>23</v>
      </c>
      <c r="AQ1755">
        <v>65</v>
      </c>
      <c r="AR1755">
        <v>42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120</v>
      </c>
      <c r="BA1755">
        <v>120</v>
      </c>
      <c r="BB1755">
        <v>0</v>
      </c>
      <c r="BC1755">
        <v>0</v>
      </c>
      <c r="BD1755">
        <v>0</v>
      </c>
      <c r="BE1755">
        <f t="shared" si="283"/>
        <v>7249</v>
      </c>
      <c r="BF1755">
        <v>3994</v>
      </c>
      <c r="BG1755">
        <v>3994</v>
      </c>
      <c r="BH1755" t="s">
        <v>82</v>
      </c>
      <c r="BI1755" t="s">
        <v>2056</v>
      </c>
      <c r="BJ1755">
        <v>804</v>
      </c>
      <c r="BK1755">
        <v>3190</v>
      </c>
      <c r="BL1755">
        <v>3994</v>
      </c>
      <c r="BM1755">
        <v>0</v>
      </c>
      <c r="BN1755">
        <v>0</v>
      </c>
      <c r="BO1755">
        <v>0</v>
      </c>
      <c r="BP1755">
        <v>3190</v>
      </c>
      <c r="BQ1755">
        <v>3190</v>
      </c>
      <c r="BR1755">
        <f t="shared" si="284"/>
        <v>-234</v>
      </c>
      <c r="BS1755">
        <f t="shared" si="285"/>
        <v>234</v>
      </c>
    </row>
    <row r="1756" spans="1:74" x14ac:dyDescent="0.25">
      <c r="A1756" s="5" t="s">
        <v>1451</v>
      </c>
      <c r="B1756" s="5" t="s">
        <v>359</v>
      </c>
      <c r="C1756" s="5" t="s">
        <v>61</v>
      </c>
      <c r="D1756" s="1" t="s">
        <v>123</v>
      </c>
      <c r="E1756">
        <v>0</v>
      </c>
      <c r="F1756">
        <v>0</v>
      </c>
      <c r="G1756">
        <v>0</v>
      </c>
      <c r="H1756">
        <v>0</v>
      </c>
      <c r="I1756">
        <v>180</v>
      </c>
      <c r="J1756">
        <v>1760</v>
      </c>
      <c r="K1756">
        <v>280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235</v>
      </c>
      <c r="R1756">
        <v>0</v>
      </c>
      <c r="S1756" s="18" t="e">
        <f t="shared" si="276"/>
        <v>#DIV/0!</v>
      </c>
      <c r="T1756" s="17" t="e">
        <f t="shared" si="277"/>
        <v>#DIV/0!</v>
      </c>
      <c r="U1756" s="17" t="e">
        <f t="shared" si="278"/>
        <v>#DIV/0!</v>
      </c>
      <c r="V1756" s="17" t="e">
        <f t="shared" si="279"/>
        <v>#DIV/0!</v>
      </c>
      <c r="W1756" s="17" t="e">
        <f t="shared" si="280"/>
        <v>#DIV/0!</v>
      </c>
      <c r="X1756" s="17" t="e">
        <f t="shared" si="281"/>
        <v>#DIV/0!</v>
      </c>
      <c r="Y1756" s="19" t="e">
        <f t="shared" si="282"/>
        <v>#DIV/0!</v>
      </c>
      <c r="Z1756">
        <v>0</v>
      </c>
      <c r="AA1756">
        <v>0</v>
      </c>
      <c r="AB1756">
        <v>350</v>
      </c>
      <c r="AC1756">
        <v>1380</v>
      </c>
      <c r="AD1756">
        <v>0</v>
      </c>
      <c r="AE1756">
        <v>0</v>
      </c>
      <c r="AF1756">
        <v>0</v>
      </c>
      <c r="AG1756">
        <v>180</v>
      </c>
      <c r="AH1756">
        <v>180</v>
      </c>
      <c r="AI1756">
        <v>0</v>
      </c>
      <c r="AJ1756">
        <v>0</v>
      </c>
      <c r="AK1756">
        <v>1760</v>
      </c>
      <c r="AL1756">
        <v>1760</v>
      </c>
      <c r="AM1756">
        <v>0</v>
      </c>
      <c r="AN1756">
        <v>0</v>
      </c>
      <c r="AO1756">
        <v>280</v>
      </c>
      <c r="AP1756">
        <v>116</v>
      </c>
      <c r="AQ1756">
        <v>280</v>
      </c>
      <c r="AR1756">
        <v>164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f t="shared" si="283"/>
        <v>6100</v>
      </c>
      <c r="BF1756">
        <v>3950</v>
      </c>
      <c r="BG1756">
        <v>3950</v>
      </c>
      <c r="BH1756" t="s">
        <v>82</v>
      </c>
      <c r="BI1756" t="s">
        <v>1624</v>
      </c>
      <c r="BJ1756">
        <v>1730</v>
      </c>
      <c r="BK1756">
        <v>2220</v>
      </c>
      <c r="BL1756">
        <v>3950</v>
      </c>
      <c r="BM1756">
        <v>0</v>
      </c>
      <c r="BN1756">
        <v>0</v>
      </c>
      <c r="BO1756">
        <v>0</v>
      </c>
      <c r="BP1756">
        <v>2220</v>
      </c>
      <c r="BQ1756">
        <v>2220</v>
      </c>
      <c r="BR1756">
        <f t="shared" si="284"/>
        <v>-235</v>
      </c>
      <c r="BS1756">
        <f t="shared" si="285"/>
        <v>235</v>
      </c>
    </row>
    <row r="1757" spans="1:74" x14ac:dyDescent="0.25">
      <c r="A1757" s="5" t="s">
        <v>207</v>
      </c>
      <c r="B1757" s="5" t="s">
        <v>627</v>
      </c>
      <c r="C1757" s="5" t="s">
        <v>207</v>
      </c>
      <c r="D1757" s="1" t="s">
        <v>73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2146</v>
      </c>
      <c r="K1757">
        <v>178</v>
      </c>
      <c r="L1757">
        <v>25</v>
      </c>
      <c r="M1757">
        <v>0</v>
      </c>
      <c r="N1757">
        <v>0</v>
      </c>
      <c r="O1757">
        <v>0</v>
      </c>
      <c r="P1757">
        <v>0</v>
      </c>
      <c r="Q1757">
        <v>177</v>
      </c>
      <c r="R1757">
        <v>0</v>
      </c>
      <c r="S1757" s="18" t="e">
        <f t="shared" si="276"/>
        <v>#DIV/0!</v>
      </c>
      <c r="T1757" s="17" t="e">
        <f t="shared" si="277"/>
        <v>#DIV/0!</v>
      </c>
      <c r="U1757" s="17" t="e">
        <f t="shared" si="278"/>
        <v>#DIV/0!</v>
      </c>
      <c r="V1757" s="17" t="e">
        <f t="shared" si="279"/>
        <v>#DIV/0!</v>
      </c>
      <c r="W1757" s="17" t="e">
        <f t="shared" si="280"/>
        <v>#DIV/0!</v>
      </c>
      <c r="X1757" s="17" t="e">
        <f t="shared" si="281"/>
        <v>#DIV/0!</v>
      </c>
      <c r="Y1757" s="19" t="e">
        <f t="shared" si="282"/>
        <v>#DIV/0!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2146</v>
      </c>
      <c r="AL1757">
        <v>2146</v>
      </c>
      <c r="AM1757">
        <v>0</v>
      </c>
      <c r="AN1757">
        <v>0</v>
      </c>
      <c r="AO1757">
        <v>178</v>
      </c>
      <c r="AP1757">
        <v>78</v>
      </c>
      <c r="AQ1757">
        <v>178</v>
      </c>
      <c r="AR1757">
        <v>100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25</v>
      </c>
      <c r="BA1757">
        <v>25</v>
      </c>
      <c r="BB1757">
        <v>0</v>
      </c>
      <c r="BC1757">
        <v>0</v>
      </c>
      <c r="BD1757">
        <v>0</v>
      </c>
      <c r="BE1757">
        <f t="shared" si="283"/>
        <v>4876</v>
      </c>
      <c r="BF1757">
        <v>2349</v>
      </c>
      <c r="BG1757">
        <v>2349</v>
      </c>
      <c r="BH1757" t="s">
        <v>63</v>
      </c>
      <c r="BI1757" t="s">
        <v>664</v>
      </c>
      <c r="BJ1757">
        <v>0</v>
      </c>
      <c r="BK1757">
        <v>2349</v>
      </c>
      <c r="BL1757">
        <v>2349</v>
      </c>
      <c r="BM1757">
        <v>0</v>
      </c>
      <c r="BN1757">
        <v>0</v>
      </c>
      <c r="BO1757">
        <v>0</v>
      </c>
      <c r="BP1757">
        <v>2349</v>
      </c>
      <c r="BQ1757">
        <v>2349</v>
      </c>
      <c r="BR1757">
        <f t="shared" si="284"/>
        <v>-177</v>
      </c>
      <c r="BS1757">
        <f t="shared" si="285"/>
        <v>177</v>
      </c>
      <c r="BU1757">
        <f>R1757*9</f>
        <v>0</v>
      </c>
      <c r="BV1757">
        <f>IF(BU1757&gt;BG1757, 1, 0)</f>
        <v>0</v>
      </c>
    </row>
    <row r="1758" spans="1:74" x14ac:dyDescent="0.25">
      <c r="A1758" s="5" t="s">
        <v>207</v>
      </c>
      <c r="B1758" s="5" t="s">
        <v>61</v>
      </c>
      <c r="C1758" s="5" t="s">
        <v>207</v>
      </c>
      <c r="D1758" s="1" t="s">
        <v>90</v>
      </c>
      <c r="E1758">
        <v>0</v>
      </c>
      <c r="F1758">
        <v>2936</v>
      </c>
      <c r="G1758">
        <v>0</v>
      </c>
      <c r="H1758">
        <v>0</v>
      </c>
      <c r="I1758">
        <v>1358</v>
      </c>
      <c r="J1758">
        <v>0</v>
      </c>
      <c r="K1758">
        <v>25</v>
      </c>
      <c r="L1758">
        <v>0</v>
      </c>
      <c r="M1758">
        <v>2880</v>
      </c>
      <c r="N1758">
        <v>0</v>
      </c>
      <c r="O1758">
        <v>0</v>
      </c>
      <c r="P1758">
        <v>3240</v>
      </c>
      <c r="Q1758">
        <v>916</v>
      </c>
      <c r="R1758">
        <v>680</v>
      </c>
      <c r="S1758" s="18">
        <f t="shared" si="276"/>
        <v>9</v>
      </c>
      <c r="T1758" s="17">
        <f t="shared" si="277"/>
        <v>320</v>
      </c>
      <c r="U1758" s="17">
        <f t="shared" si="278"/>
        <v>0</v>
      </c>
      <c r="V1758" s="17">
        <f t="shared" si="279"/>
        <v>0</v>
      </c>
      <c r="W1758" s="17">
        <f t="shared" si="280"/>
        <v>360</v>
      </c>
      <c r="X1758" s="17">
        <f t="shared" si="281"/>
        <v>236</v>
      </c>
      <c r="Y1758" s="19">
        <f t="shared" si="282"/>
        <v>0</v>
      </c>
      <c r="Z1758">
        <v>2936</v>
      </c>
      <c r="AA1758">
        <v>0</v>
      </c>
      <c r="AB1758">
        <v>0</v>
      </c>
      <c r="AC1758">
        <v>0</v>
      </c>
      <c r="AD1758">
        <v>1358</v>
      </c>
      <c r="AE1758">
        <v>0</v>
      </c>
      <c r="AF1758">
        <v>0</v>
      </c>
      <c r="AG1758">
        <v>0</v>
      </c>
      <c r="AH1758">
        <v>1358</v>
      </c>
      <c r="AI1758">
        <v>0</v>
      </c>
      <c r="AJ1758">
        <v>0</v>
      </c>
      <c r="AK1758">
        <v>0</v>
      </c>
      <c r="AL1758">
        <v>0</v>
      </c>
      <c r="AM1758">
        <v>25</v>
      </c>
      <c r="AN1758">
        <v>0</v>
      </c>
      <c r="AO1758">
        <v>0</v>
      </c>
      <c r="AP1758">
        <v>0</v>
      </c>
      <c r="AQ1758">
        <v>25</v>
      </c>
      <c r="AR1758">
        <v>25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f t="shared" si="283"/>
        <v>2791</v>
      </c>
      <c r="BF1758">
        <v>4319</v>
      </c>
      <c r="BG1758">
        <v>4319</v>
      </c>
      <c r="BH1758" t="s">
        <v>109</v>
      </c>
      <c r="BI1758" t="s">
        <v>475</v>
      </c>
      <c r="BJ1758">
        <v>0</v>
      </c>
      <c r="BK1758">
        <v>1383</v>
      </c>
      <c r="BL1758">
        <v>4319</v>
      </c>
      <c r="BM1758">
        <v>4263</v>
      </c>
      <c r="BN1758">
        <v>0</v>
      </c>
      <c r="BO1758">
        <v>0</v>
      </c>
      <c r="BP1758">
        <v>3240</v>
      </c>
      <c r="BQ1758">
        <v>7503</v>
      </c>
      <c r="BR1758">
        <f t="shared" si="284"/>
        <v>-236</v>
      </c>
      <c r="BS1758">
        <f t="shared" si="285"/>
        <v>1596</v>
      </c>
    </row>
    <row r="1759" spans="1:74" x14ac:dyDescent="0.25">
      <c r="A1759" s="5" t="s">
        <v>2090</v>
      </c>
      <c r="B1759" s="5" t="s">
        <v>207</v>
      </c>
      <c r="C1759" s="5" t="s">
        <v>61</v>
      </c>
      <c r="D1759" s="1" t="s">
        <v>947</v>
      </c>
      <c r="E1759">
        <v>0</v>
      </c>
      <c r="F1759">
        <v>800</v>
      </c>
      <c r="G1759">
        <v>0</v>
      </c>
      <c r="H1759">
        <v>0</v>
      </c>
      <c r="I1759">
        <v>328</v>
      </c>
      <c r="J1759">
        <v>447</v>
      </c>
      <c r="K1759">
        <v>266</v>
      </c>
      <c r="L1759">
        <v>50</v>
      </c>
      <c r="M1759">
        <v>0</v>
      </c>
      <c r="N1759">
        <v>0</v>
      </c>
      <c r="O1759">
        <v>0</v>
      </c>
      <c r="P1759">
        <v>1404</v>
      </c>
      <c r="Q1759">
        <v>393</v>
      </c>
      <c r="R1759">
        <v>156</v>
      </c>
      <c r="S1759" s="18">
        <f t="shared" si="276"/>
        <v>9</v>
      </c>
      <c r="T1759" s="17">
        <f t="shared" si="277"/>
        <v>0</v>
      </c>
      <c r="U1759" s="17">
        <f t="shared" si="278"/>
        <v>0</v>
      </c>
      <c r="V1759" s="17">
        <f t="shared" si="279"/>
        <v>0</v>
      </c>
      <c r="W1759" s="17">
        <f t="shared" si="280"/>
        <v>156</v>
      </c>
      <c r="X1759" s="17">
        <f t="shared" si="281"/>
        <v>237</v>
      </c>
      <c r="Y1759" s="19">
        <f t="shared" si="282"/>
        <v>0</v>
      </c>
      <c r="Z1759">
        <v>800</v>
      </c>
      <c r="AA1759">
        <v>0</v>
      </c>
      <c r="AB1759">
        <v>218</v>
      </c>
      <c r="AC1759">
        <v>302</v>
      </c>
      <c r="AD1759">
        <v>0</v>
      </c>
      <c r="AE1759">
        <v>0</v>
      </c>
      <c r="AF1759">
        <v>0</v>
      </c>
      <c r="AG1759">
        <v>328</v>
      </c>
      <c r="AH1759">
        <v>328</v>
      </c>
      <c r="AI1759">
        <v>0</v>
      </c>
      <c r="AJ1759">
        <v>0</v>
      </c>
      <c r="AK1759">
        <v>447</v>
      </c>
      <c r="AL1759">
        <v>447</v>
      </c>
      <c r="AM1759">
        <v>0</v>
      </c>
      <c r="AN1759">
        <v>0</v>
      </c>
      <c r="AO1759">
        <v>266</v>
      </c>
      <c r="AP1759">
        <v>50</v>
      </c>
      <c r="AQ1759">
        <v>266</v>
      </c>
      <c r="AR1759">
        <v>216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50</v>
      </c>
      <c r="BA1759">
        <v>50</v>
      </c>
      <c r="BB1759">
        <v>0</v>
      </c>
      <c r="BC1759">
        <v>0</v>
      </c>
      <c r="BD1759">
        <v>0</v>
      </c>
      <c r="BE1759">
        <f t="shared" si="283"/>
        <v>2750</v>
      </c>
      <c r="BF1759">
        <v>2411</v>
      </c>
      <c r="BG1759">
        <v>2411</v>
      </c>
      <c r="BH1759" t="s">
        <v>82</v>
      </c>
      <c r="BI1759" t="s">
        <v>1533</v>
      </c>
      <c r="BJ1759">
        <v>520</v>
      </c>
      <c r="BK1759">
        <v>1091</v>
      </c>
      <c r="BL1759">
        <v>2411</v>
      </c>
      <c r="BM1759">
        <v>0</v>
      </c>
      <c r="BN1759">
        <v>0</v>
      </c>
      <c r="BO1759">
        <v>0</v>
      </c>
      <c r="BP1759">
        <v>2495</v>
      </c>
      <c r="BQ1759">
        <v>2495</v>
      </c>
      <c r="BR1759">
        <f t="shared" si="284"/>
        <v>-237</v>
      </c>
      <c r="BS1759">
        <f t="shared" si="285"/>
        <v>549</v>
      </c>
    </row>
    <row r="1760" spans="1:74" x14ac:dyDescent="0.25">
      <c r="A1760" s="5" t="s">
        <v>1946</v>
      </c>
      <c r="B1760" s="5" t="s">
        <v>207</v>
      </c>
      <c r="C1760" s="5" t="s">
        <v>61</v>
      </c>
      <c r="D1760" s="1" t="s">
        <v>69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1200</v>
      </c>
      <c r="L1760">
        <v>160</v>
      </c>
      <c r="M1760">
        <v>0</v>
      </c>
      <c r="N1760">
        <v>0</v>
      </c>
      <c r="O1760">
        <v>0</v>
      </c>
      <c r="P1760">
        <v>0</v>
      </c>
      <c r="Q1760">
        <v>177</v>
      </c>
      <c r="R1760">
        <v>0</v>
      </c>
      <c r="S1760" s="18" t="e">
        <f t="shared" si="276"/>
        <v>#DIV/0!</v>
      </c>
      <c r="T1760" s="17" t="e">
        <f t="shared" si="277"/>
        <v>#DIV/0!</v>
      </c>
      <c r="U1760" s="17" t="e">
        <f t="shared" si="278"/>
        <v>#DIV/0!</v>
      </c>
      <c r="V1760" s="17" t="e">
        <f t="shared" si="279"/>
        <v>#DIV/0!</v>
      </c>
      <c r="W1760" s="17" t="e">
        <f t="shared" si="280"/>
        <v>#DIV/0!</v>
      </c>
      <c r="X1760" s="17" t="e">
        <f t="shared" si="281"/>
        <v>#DIV/0!</v>
      </c>
      <c r="Y1760" s="19" t="e">
        <f t="shared" si="282"/>
        <v>#DIV/0!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1200</v>
      </c>
      <c r="AP1760">
        <v>1200</v>
      </c>
      <c r="AQ1760">
        <v>1200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160</v>
      </c>
      <c r="BA1760">
        <v>160</v>
      </c>
      <c r="BB1760">
        <v>0</v>
      </c>
      <c r="BC1760">
        <v>0</v>
      </c>
      <c r="BD1760">
        <v>0</v>
      </c>
      <c r="BE1760">
        <f t="shared" si="283"/>
        <v>3920</v>
      </c>
      <c r="BF1760">
        <v>1360</v>
      </c>
      <c r="BG1760">
        <v>1360</v>
      </c>
      <c r="BH1760" t="s">
        <v>63</v>
      </c>
      <c r="BI1760" t="s">
        <v>2012</v>
      </c>
      <c r="BJ1760">
        <v>0</v>
      </c>
      <c r="BK1760">
        <v>1360</v>
      </c>
      <c r="BL1760">
        <v>1360</v>
      </c>
      <c r="BM1760">
        <v>0</v>
      </c>
      <c r="BN1760">
        <v>0</v>
      </c>
      <c r="BO1760">
        <v>0</v>
      </c>
      <c r="BP1760">
        <v>1360</v>
      </c>
      <c r="BQ1760">
        <v>1360</v>
      </c>
      <c r="BR1760">
        <f t="shared" si="284"/>
        <v>-177</v>
      </c>
      <c r="BS1760">
        <f t="shared" si="285"/>
        <v>177</v>
      </c>
      <c r="BU1760">
        <f>R1760*9</f>
        <v>0</v>
      </c>
      <c r="BV1760">
        <f>IF(BU1760&gt;BG1760, 1, 0)</f>
        <v>0</v>
      </c>
    </row>
    <row r="1761" spans="1:74" x14ac:dyDescent="0.25">
      <c r="A1761" s="5" t="s">
        <v>1451</v>
      </c>
      <c r="B1761" s="5" t="s">
        <v>61</v>
      </c>
      <c r="C1761" s="5" t="s">
        <v>61</v>
      </c>
      <c r="D1761" s="1" t="s">
        <v>75</v>
      </c>
      <c r="E1761">
        <v>0</v>
      </c>
      <c r="F1761">
        <v>385</v>
      </c>
      <c r="G1761">
        <v>0</v>
      </c>
      <c r="H1761">
        <v>0</v>
      </c>
      <c r="I1761">
        <v>421</v>
      </c>
      <c r="J1761">
        <v>300</v>
      </c>
      <c r="K1761">
        <v>820</v>
      </c>
      <c r="L1761">
        <v>30</v>
      </c>
      <c r="M1761">
        <v>0</v>
      </c>
      <c r="N1761">
        <v>0</v>
      </c>
      <c r="O1761">
        <v>0</v>
      </c>
      <c r="P1761">
        <v>1494</v>
      </c>
      <c r="Q1761">
        <v>405</v>
      </c>
      <c r="R1761">
        <v>166</v>
      </c>
      <c r="S1761" s="18">
        <f t="shared" si="276"/>
        <v>9</v>
      </c>
      <c r="T1761" s="17">
        <f t="shared" si="277"/>
        <v>0</v>
      </c>
      <c r="U1761" s="17">
        <f t="shared" si="278"/>
        <v>0</v>
      </c>
      <c r="V1761" s="17">
        <f t="shared" si="279"/>
        <v>0</v>
      </c>
      <c r="W1761" s="17">
        <f t="shared" si="280"/>
        <v>166</v>
      </c>
      <c r="X1761" s="17">
        <f t="shared" si="281"/>
        <v>239</v>
      </c>
      <c r="Y1761" s="19">
        <f t="shared" si="282"/>
        <v>0</v>
      </c>
      <c r="Z1761">
        <v>385</v>
      </c>
      <c r="AA1761">
        <v>4</v>
      </c>
      <c r="AB1761">
        <v>0</v>
      </c>
      <c r="AC1761">
        <v>955</v>
      </c>
      <c r="AD1761">
        <v>0</v>
      </c>
      <c r="AE1761">
        <v>0</v>
      </c>
      <c r="AF1761">
        <v>0</v>
      </c>
      <c r="AG1761">
        <v>421</v>
      </c>
      <c r="AH1761">
        <v>421</v>
      </c>
      <c r="AI1761">
        <v>0</v>
      </c>
      <c r="AJ1761">
        <v>0</v>
      </c>
      <c r="AK1761">
        <v>300</v>
      </c>
      <c r="AL1761">
        <v>300</v>
      </c>
      <c r="AM1761">
        <v>0</v>
      </c>
      <c r="AN1761">
        <v>0</v>
      </c>
      <c r="AO1761">
        <v>820</v>
      </c>
      <c r="AP1761">
        <v>735</v>
      </c>
      <c r="AQ1761">
        <v>820</v>
      </c>
      <c r="AR1761">
        <v>85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30</v>
      </c>
      <c r="BA1761">
        <v>30</v>
      </c>
      <c r="BB1761">
        <v>0</v>
      </c>
      <c r="BC1761">
        <v>0</v>
      </c>
      <c r="BD1761">
        <v>0</v>
      </c>
      <c r="BE1761">
        <f t="shared" si="283"/>
        <v>4917</v>
      </c>
      <c r="BF1761">
        <v>2915</v>
      </c>
      <c r="BG1761">
        <v>2915</v>
      </c>
      <c r="BH1761" t="s">
        <v>82</v>
      </c>
      <c r="BI1761" t="s">
        <v>1457</v>
      </c>
      <c r="BJ1761">
        <v>959</v>
      </c>
      <c r="BK1761">
        <v>1571</v>
      </c>
      <c r="BL1761">
        <v>2915</v>
      </c>
      <c r="BM1761">
        <v>0</v>
      </c>
      <c r="BN1761">
        <v>0</v>
      </c>
      <c r="BO1761">
        <v>0</v>
      </c>
      <c r="BP1761">
        <v>3065</v>
      </c>
      <c r="BQ1761">
        <v>3065</v>
      </c>
      <c r="BR1761">
        <f t="shared" si="284"/>
        <v>-239</v>
      </c>
      <c r="BS1761">
        <f t="shared" si="285"/>
        <v>571</v>
      </c>
    </row>
    <row r="1762" spans="1:74" x14ac:dyDescent="0.25">
      <c r="A1762" s="5" t="s">
        <v>875</v>
      </c>
      <c r="B1762" s="5" t="s">
        <v>61</v>
      </c>
      <c r="C1762" s="5" t="s">
        <v>207</v>
      </c>
      <c r="D1762" s="1" t="s">
        <v>65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2349</v>
      </c>
      <c r="K1762">
        <v>103</v>
      </c>
      <c r="L1762">
        <v>10</v>
      </c>
      <c r="M1762">
        <v>0</v>
      </c>
      <c r="N1762">
        <v>0</v>
      </c>
      <c r="O1762">
        <v>0</v>
      </c>
      <c r="P1762">
        <v>0</v>
      </c>
      <c r="Q1762">
        <v>178</v>
      </c>
      <c r="R1762">
        <v>0</v>
      </c>
      <c r="S1762" s="18" t="e">
        <f t="shared" si="276"/>
        <v>#DIV/0!</v>
      </c>
      <c r="T1762" s="17" t="e">
        <f t="shared" si="277"/>
        <v>#DIV/0!</v>
      </c>
      <c r="U1762" s="17" t="e">
        <f t="shared" si="278"/>
        <v>#DIV/0!</v>
      </c>
      <c r="V1762" s="17" t="e">
        <f t="shared" si="279"/>
        <v>#DIV/0!</v>
      </c>
      <c r="W1762" s="17" t="e">
        <f t="shared" si="280"/>
        <v>#DIV/0!</v>
      </c>
      <c r="X1762" s="17" t="e">
        <f t="shared" si="281"/>
        <v>#DIV/0!</v>
      </c>
      <c r="Y1762" s="19" t="e">
        <f t="shared" si="282"/>
        <v>#DIV/0!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724</v>
      </c>
      <c r="AJ1762">
        <v>0</v>
      </c>
      <c r="AK1762">
        <v>1625</v>
      </c>
      <c r="AL1762">
        <v>2349</v>
      </c>
      <c r="AM1762">
        <v>0</v>
      </c>
      <c r="AN1762">
        <v>0</v>
      </c>
      <c r="AO1762">
        <v>103</v>
      </c>
      <c r="AP1762">
        <v>0</v>
      </c>
      <c r="AQ1762">
        <v>103</v>
      </c>
      <c r="AR1762">
        <v>103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10</v>
      </c>
      <c r="BA1762">
        <v>10</v>
      </c>
      <c r="BB1762">
        <v>0</v>
      </c>
      <c r="BC1762">
        <v>0</v>
      </c>
      <c r="BD1762">
        <v>0</v>
      </c>
      <c r="BE1762">
        <f t="shared" si="283"/>
        <v>5027</v>
      </c>
      <c r="BF1762">
        <v>2462</v>
      </c>
      <c r="BG1762">
        <v>2462</v>
      </c>
      <c r="BH1762" t="s">
        <v>63</v>
      </c>
      <c r="BI1762" t="s">
        <v>811</v>
      </c>
      <c r="BJ1762">
        <v>0</v>
      </c>
      <c r="BK1762">
        <v>2462</v>
      </c>
      <c r="BL1762">
        <v>2462</v>
      </c>
      <c r="BM1762">
        <v>724</v>
      </c>
      <c r="BN1762">
        <v>0</v>
      </c>
      <c r="BO1762">
        <v>0</v>
      </c>
      <c r="BP1762">
        <v>1738</v>
      </c>
      <c r="BQ1762">
        <v>2462</v>
      </c>
      <c r="BR1762">
        <f t="shared" si="284"/>
        <v>-178</v>
      </c>
      <c r="BS1762">
        <f t="shared" si="285"/>
        <v>178</v>
      </c>
      <c r="BU1762">
        <f>R1762*9</f>
        <v>0</v>
      </c>
      <c r="BV1762">
        <f>IF(BU1762&gt;BG1762, 1, 0)</f>
        <v>0</v>
      </c>
    </row>
    <row r="1763" spans="1:74" x14ac:dyDescent="0.25">
      <c r="A1763" s="5" t="s">
        <v>207</v>
      </c>
      <c r="B1763" s="5" t="s">
        <v>61</v>
      </c>
      <c r="C1763" s="5" t="s">
        <v>207</v>
      </c>
      <c r="D1763" s="1" t="s">
        <v>131</v>
      </c>
      <c r="E1763">
        <v>7</v>
      </c>
      <c r="F1763">
        <v>0</v>
      </c>
      <c r="G1763">
        <v>0</v>
      </c>
      <c r="H1763">
        <v>0</v>
      </c>
      <c r="I1763">
        <v>318</v>
      </c>
      <c r="J1763">
        <v>2005</v>
      </c>
      <c r="K1763">
        <v>285</v>
      </c>
      <c r="L1763">
        <v>36</v>
      </c>
      <c r="M1763">
        <v>0</v>
      </c>
      <c r="N1763">
        <v>0</v>
      </c>
      <c r="O1763">
        <v>0</v>
      </c>
      <c r="P1763">
        <v>0</v>
      </c>
      <c r="Q1763">
        <v>240</v>
      </c>
      <c r="R1763">
        <v>0</v>
      </c>
      <c r="S1763" s="18" t="e">
        <f t="shared" si="276"/>
        <v>#DIV/0!</v>
      </c>
      <c r="T1763" s="17" t="e">
        <f t="shared" si="277"/>
        <v>#DIV/0!</v>
      </c>
      <c r="U1763" s="17" t="e">
        <f t="shared" si="278"/>
        <v>#DIV/0!</v>
      </c>
      <c r="V1763" s="17" t="e">
        <f t="shared" si="279"/>
        <v>#DIV/0!</v>
      </c>
      <c r="W1763" s="17" t="e">
        <f t="shared" si="280"/>
        <v>#DIV/0!</v>
      </c>
      <c r="X1763" s="17" t="e">
        <f t="shared" si="281"/>
        <v>#DIV/0!</v>
      </c>
      <c r="Y1763" s="19" t="e">
        <f t="shared" si="282"/>
        <v>#DIV/0!</v>
      </c>
      <c r="Z1763">
        <v>0</v>
      </c>
      <c r="AA1763">
        <v>20</v>
      </c>
      <c r="AB1763">
        <v>90</v>
      </c>
      <c r="AC1763">
        <v>2697</v>
      </c>
      <c r="AD1763">
        <v>0</v>
      </c>
      <c r="AE1763">
        <v>0</v>
      </c>
      <c r="AF1763">
        <v>0</v>
      </c>
      <c r="AG1763">
        <v>318</v>
      </c>
      <c r="AH1763">
        <v>318</v>
      </c>
      <c r="AI1763">
        <v>0</v>
      </c>
      <c r="AJ1763">
        <v>0</v>
      </c>
      <c r="AK1763">
        <v>2005</v>
      </c>
      <c r="AL1763">
        <v>2005</v>
      </c>
      <c r="AM1763">
        <v>0</v>
      </c>
      <c r="AN1763">
        <v>0</v>
      </c>
      <c r="AO1763">
        <v>285</v>
      </c>
      <c r="AP1763">
        <v>219</v>
      </c>
      <c r="AQ1763">
        <v>285</v>
      </c>
      <c r="AR1763">
        <v>66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36</v>
      </c>
      <c r="BA1763">
        <v>36</v>
      </c>
      <c r="BB1763">
        <v>0</v>
      </c>
      <c r="BC1763">
        <v>0</v>
      </c>
      <c r="BD1763">
        <v>0</v>
      </c>
      <c r="BE1763">
        <f t="shared" si="283"/>
        <v>8270</v>
      </c>
      <c r="BF1763">
        <v>5458</v>
      </c>
      <c r="BG1763">
        <v>5458</v>
      </c>
      <c r="BH1763" t="s">
        <v>82</v>
      </c>
      <c r="BI1763" t="s">
        <v>495</v>
      </c>
      <c r="BJ1763">
        <v>2814</v>
      </c>
      <c r="BK1763">
        <v>2644</v>
      </c>
      <c r="BL1763">
        <v>5458</v>
      </c>
      <c r="BM1763">
        <v>0</v>
      </c>
      <c r="BN1763">
        <v>0</v>
      </c>
      <c r="BO1763">
        <v>0</v>
      </c>
      <c r="BP1763">
        <v>2644</v>
      </c>
      <c r="BQ1763">
        <v>2644</v>
      </c>
      <c r="BR1763">
        <f t="shared" si="284"/>
        <v>-240</v>
      </c>
      <c r="BS1763">
        <f t="shared" si="285"/>
        <v>240</v>
      </c>
    </row>
    <row r="1764" spans="1:74" x14ac:dyDescent="0.25">
      <c r="A1764" s="5" t="s">
        <v>1451</v>
      </c>
      <c r="B1764" s="5" t="s">
        <v>207</v>
      </c>
      <c r="C1764" s="5" t="s">
        <v>207</v>
      </c>
      <c r="D1764" s="1" t="s">
        <v>67</v>
      </c>
      <c r="E1764">
        <v>0</v>
      </c>
      <c r="F1764">
        <v>0</v>
      </c>
      <c r="G1764">
        <v>0</v>
      </c>
      <c r="H1764">
        <v>0</v>
      </c>
      <c r="I1764">
        <v>1058</v>
      </c>
      <c r="J1764">
        <v>3903</v>
      </c>
      <c r="K1764">
        <v>611</v>
      </c>
      <c r="L1764">
        <v>105</v>
      </c>
      <c r="M1764">
        <v>0</v>
      </c>
      <c r="N1764">
        <v>0</v>
      </c>
      <c r="O1764">
        <v>0</v>
      </c>
      <c r="P1764">
        <v>0</v>
      </c>
      <c r="Q1764">
        <v>179</v>
      </c>
      <c r="R1764">
        <v>0</v>
      </c>
      <c r="S1764" s="18" t="e">
        <f t="shared" si="276"/>
        <v>#DIV/0!</v>
      </c>
      <c r="T1764" s="17" t="e">
        <f t="shared" si="277"/>
        <v>#DIV/0!</v>
      </c>
      <c r="U1764" s="17" t="e">
        <f t="shared" si="278"/>
        <v>#DIV/0!</v>
      </c>
      <c r="V1764" s="17" t="e">
        <f t="shared" si="279"/>
        <v>#DIV/0!</v>
      </c>
      <c r="W1764" s="17" t="e">
        <f t="shared" si="280"/>
        <v>#DIV/0!</v>
      </c>
      <c r="X1764" s="17" t="e">
        <f t="shared" si="281"/>
        <v>#DIV/0!</v>
      </c>
      <c r="Y1764" s="19" t="e">
        <f t="shared" si="282"/>
        <v>#DIV/0!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1058</v>
      </c>
      <c r="AH1764">
        <v>1058</v>
      </c>
      <c r="AI1764">
        <v>0</v>
      </c>
      <c r="AJ1764">
        <v>0</v>
      </c>
      <c r="AK1764">
        <v>3903</v>
      </c>
      <c r="AL1764">
        <v>3903</v>
      </c>
      <c r="AM1764">
        <v>0</v>
      </c>
      <c r="AN1764">
        <v>0</v>
      </c>
      <c r="AO1764">
        <v>611</v>
      </c>
      <c r="AP1764">
        <v>0</v>
      </c>
      <c r="AQ1764">
        <v>611</v>
      </c>
      <c r="AR1764">
        <v>611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105</v>
      </c>
      <c r="BA1764">
        <v>105</v>
      </c>
      <c r="BB1764">
        <v>0</v>
      </c>
      <c r="BC1764">
        <v>0</v>
      </c>
      <c r="BD1764">
        <v>0</v>
      </c>
      <c r="BE1764">
        <f t="shared" si="283"/>
        <v>11965</v>
      </c>
      <c r="BF1764">
        <v>5677</v>
      </c>
      <c r="BG1764">
        <v>5677</v>
      </c>
      <c r="BH1764" t="s">
        <v>63</v>
      </c>
      <c r="BI1764" t="s">
        <v>1561</v>
      </c>
      <c r="BJ1764">
        <v>0</v>
      </c>
      <c r="BK1764">
        <v>5677</v>
      </c>
      <c r="BL1764">
        <v>5677</v>
      </c>
      <c r="BM1764">
        <v>0</v>
      </c>
      <c r="BN1764">
        <v>0</v>
      </c>
      <c r="BO1764">
        <v>0</v>
      </c>
      <c r="BP1764">
        <v>5677</v>
      </c>
      <c r="BQ1764">
        <v>5677</v>
      </c>
      <c r="BR1764">
        <f t="shared" si="284"/>
        <v>-179</v>
      </c>
      <c r="BS1764">
        <f t="shared" si="285"/>
        <v>179</v>
      </c>
      <c r="BU1764">
        <f>R1764*9</f>
        <v>0</v>
      </c>
      <c r="BV1764">
        <f>IF(BU1764&gt;BG1764, 1, 0)</f>
        <v>0</v>
      </c>
    </row>
    <row r="1765" spans="1:74" x14ac:dyDescent="0.25">
      <c r="A1765" s="5" t="s">
        <v>1017</v>
      </c>
      <c r="B1765" s="5" t="s">
        <v>207</v>
      </c>
      <c r="C1765" s="5" t="s">
        <v>61</v>
      </c>
      <c r="D1765" s="1" t="s">
        <v>62</v>
      </c>
      <c r="E1765">
        <v>0</v>
      </c>
      <c r="F1765">
        <v>2723</v>
      </c>
      <c r="G1765">
        <v>0</v>
      </c>
      <c r="H1765">
        <v>0</v>
      </c>
      <c r="I1765">
        <v>1848</v>
      </c>
      <c r="J1765">
        <v>95</v>
      </c>
      <c r="K1765">
        <v>98</v>
      </c>
      <c r="L1765">
        <v>0</v>
      </c>
      <c r="M1765">
        <v>2772</v>
      </c>
      <c r="N1765">
        <v>0</v>
      </c>
      <c r="O1765">
        <v>0</v>
      </c>
      <c r="P1765">
        <v>0</v>
      </c>
      <c r="Q1765">
        <v>548</v>
      </c>
      <c r="R1765">
        <v>308</v>
      </c>
      <c r="S1765" s="18">
        <f t="shared" si="276"/>
        <v>9</v>
      </c>
      <c r="T1765" s="17">
        <f t="shared" si="277"/>
        <v>308</v>
      </c>
      <c r="U1765" s="17">
        <f t="shared" si="278"/>
        <v>0</v>
      </c>
      <c r="V1765" s="17">
        <f t="shared" si="279"/>
        <v>0</v>
      </c>
      <c r="W1765" s="17">
        <f t="shared" si="280"/>
        <v>0</v>
      </c>
      <c r="X1765" s="17">
        <f t="shared" si="281"/>
        <v>240</v>
      </c>
      <c r="Y1765" s="19">
        <f t="shared" si="282"/>
        <v>0</v>
      </c>
      <c r="Z1765">
        <v>2723</v>
      </c>
      <c r="AA1765">
        <v>0</v>
      </c>
      <c r="AB1765">
        <v>0</v>
      </c>
      <c r="AC1765">
        <v>784</v>
      </c>
      <c r="AD1765">
        <v>1848</v>
      </c>
      <c r="AE1765">
        <v>0</v>
      </c>
      <c r="AF1765">
        <v>0</v>
      </c>
      <c r="AG1765">
        <v>0</v>
      </c>
      <c r="AH1765">
        <v>1848</v>
      </c>
      <c r="AI1765">
        <v>0</v>
      </c>
      <c r="AJ1765">
        <v>0</v>
      </c>
      <c r="AK1765">
        <v>95</v>
      </c>
      <c r="AL1765">
        <v>95</v>
      </c>
      <c r="AM1765">
        <v>78</v>
      </c>
      <c r="AN1765">
        <v>0</v>
      </c>
      <c r="AO1765">
        <v>20</v>
      </c>
      <c r="AP1765">
        <v>20</v>
      </c>
      <c r="AQ1765">
        <v>98</v>
      </c>
      <c r="AR1765">
        <v>78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f t="shared" si="283"/>
        <v>4964</v>
      </c>
      <c r="BF1765">
        <v>5548</v>
      </c>
      <c r="BG1765">
        <v>5548</v>
      </c>
      <c r="BH1765" t="s">
        <v>109</v>
      </c>
      <c r="BI1765" t="s">
        <v>1084</v>
      </c>
      <c r="BJ1765">
        <v>784</v>
      </c>
      <c r="BK1765">
        <v>2041</v>
      </c>
      <c r="BL1765">
        <v>5548</v>
      </c>
      <c r="BM1765">
        <v>4698</v>
      </c>
      <c r="BN1765">
        <v>0</v>
      </c>
      <c r="BO1765">
        <v>0</v>
      </c>
      <c r="BP1765">
        <v>115</v>
      </c>
      <c r="BQ1765">
        <v>4813</v>
      </c>
      <c r="BR1765">
        <f t="shared" si="284"/>
        <v>-240</v>
      </c>
      <c r="BS1765">
        <f t="shared" si="285"/>
        <v>856</v>
      </c>
    </row>
    <row r="1766" spans="1:74" x14ac:dyDescent="0.25">
      <c r="A1766" s="5" t="s">
        <v>1337</v>
      </c>
      <c r="B1766" s="5" t="s">
        <v>207</v>
      </c>
      <c r="C1766" s="5" t="s">
        <v>61</v>
      </c>
      <c r="D1766" s="1" t="s">
        <v>141</v>
      </c>
      <c r="E1766">
        <v>0</v>
      </c>
      <c r="F1766">
        <v>0</v>
      </c>
      <c r="G1766">
        <v>0</v>
      </c>
      <c r="H1766">
        <v>0</v>
      </c>
      <c r="I1766">
        <v>562</v>
      </c>
      <c r="J1766">
        <v>2374</v>
      </c>
      <c r="K1766">
        <v>676</v>
      </c>
      <c r="L1766">
        <v>87</v>
      </c>
      <c r="M1766">
        <v>0</v>
      </c>
      <c r="N1766">
        <v>0</v>
      </c>
      <c r="O1766">
        <v>0</v>
      </c>
      <c r="P1766">
        <v>0</v>
      </c>
      <c r="Q1766">
        <v>240</v>
      </c>
      <c r="R1766">
        <v>0</v>
      </c>
      <c r="S1766" s="18" t="e">
        <f t="shared" si="276"/>
        <v>#DIV/0!</v>
      </c>
      <c r="T1766" s="17" t="e">
        <f t="shared" si="277"/>
        <v>#DIV/0!</v>
      </c>
      <c r="U1766" s="17" t="e">
        <f t="shared" si="278"/>
        <v>#DIV/0!</v>
      </c>
      <c r="V1766" s="17" t="e">
        <f t="shared" si="279"/>
        <v>#DIV/0!</v>
      </c>
      <c r="W1766" s="17" t="e">
        <f t="shared" si="280"/>
        <v>#DIV/0!</v>
      </c>
      <c r="X1766" s="17" t="e">
        <f t="shared" si="281"/>
        <v>#DIV/0!</v>
      </c>
      <c r="Y1766" s="19" t="e">
        <f t="shared" si="282"/>
        <v>#DIV/0!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562</v>
      </c>
      <c r="AF1766">
        <v>0</v>
      </c>
      <c r="AG1766">
        <v>0</v>
      </c>
      <c r="AH1766">
        <v>562</v>
      </c>
      <c r="AI1766">
        <v>0</v>
      </c>
      <c r="AJ1766">
        <v>2374</v>
      </c>
      <c r="AK1766">
        <v>0</v>
      </c>
      <c r="AL1766">
        <v>2374</v>
      </c>
      <c r="AM1766">
        <v>0</v>
      </c>
      <c r="AN1766">
        <v>202</v>
      </c>
      <c r="AO1766">
        <v>474</v>
      </c>
      <c r="AP1766">
        <v>261</v>
      </c>
      <c r="AQ1766">
        <v>676</v>
      </c>
      <c r="AR1766">
        <v>415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87</v>
      </c>
      <c r="BA1766">
        <v>87</v>
      </c>
      <c r="BB1766">
        <v>0</v>
      </c>
      <c r="BC1766">
        <v>0</v>
      </c>
      <c r="BD1766">
        <v>0</v>
      </c>
      <c r="BE1766">
        <f t="shared" si="283"/>
        <v>8074</v>
      </c>
      <c r="BF1766">
        <v>3699</v>
      </c>
      <c r="BG1766">
        <v>3699</v>
      </c>
      <c r="BH1766" t="s">
        <v>82</v>
      </c>
      <c r="BI1766" t="s">
        <v>1407</v>
      </c>
      <c r="BJ1766">
        <v>0</v>
      </c>
      <c r="BK1766">
        <v>3699</v>
      </c>
      <c r="BL1766">
        <v>3699</v>
      </c>
      <c r="BM1766">
        <v>0</v>
      </c>
      <c r="BN1766">
        <v>3138</v>
      </c>
      <c r="BO1766">
        <v>0</v>
      </c>
      <c r="BP1766">
        <v>561</v>
      </c>
      <c r="BQ1766">
        <v>3699</v>
      </c>
      <c r="BR1766">
        <f t="shared" si="284"/>
        <v>-240</v>
      </c>
      <c r="BS1766">
        <f t="shared" si="285"/>
        <v>240</v>
      </c>
    </row>
    <row r="1767" spans="1:74" x14ac:dyDescent="0.25">
      <c r="A1767" s="5" t="s">
        <v>875</v>
      </c>
      <c r="B1767" s="5" t="s">
        <v>207</v>
      </c>
      <c r="C1767" s="5" t="s">
        <v>61</v>
      </c>
      <c r="D1767" s="1" t="s">
        <v>77</v>
      </c>
      <c r="E1767">
        <v>0</v>
      </c>
      <c r="F1767">
        <v>0</v>
      </c>
      <c r="G1767">
        <v>0</v>
      </c>
      <c r="H1767">
        <v>0</v>
      </c>
      <c r="I1767">
        <v>19</v>
      </c>
      <c r="J1767">
        <v>1750</v>
      </c>
      <c r="K1767">
        <v>203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241</v>
      </c>
      <c r="R1767">
        <v>0</v>
      </c>
      <c r="S1767" s="18" t="e">
        <f t="shared" si="276"/>
        <v>#DIV/0!</v>
      </c>
      <c r="T1767" s="17" t="e">
        <f t="shared" si="277"/>
        <v>#DIV/0!</v>
      </c>
      <c r="U1767" s="17" t="e">
        <f t="shared" si="278"/>
        <v>#DIV/0!</v>
      </c>
      <c r="V1767" s="17" t="e">
        <f t="shared" si="279"/>
        <v>#DIV/0!</v>
      </c>
      <c r="W1767" s="17" t="e">
        <f t="shared" si="280"/>
        <v>#DIV/0!</v>
      </c>
      <c r="X1767" s="17" t="e">
        <f t="shared" si="281"/>
        <v>#DIV/0!</v>
      </c>
      <c r="Y1767" s="19" t="e">
        <f t="shared" si="282"/>
        <v>#DIV/0!</v>
      </c>
      <c r="Z1767">
        <v>0</v>
      </c>
      <c r="AA1767">
        <v>0</v>
      </c>
      <c r="AB1767">
        <v>0</v>
      </c>
      <c r="AC1767">
        <v>1735</v>
      </c>
      <c r="AD1767">
        <v>0</v>
      </c>
      <c r="AE1767">
        <v>0</v>
      </c>
      <c r="AF1767">
        <v>0</v>
      </c>
      <c r="AG1767">
        <v>19</v>
      </c>
      <c r="AH1767">
        <v>19</v>
      </c>
      <c r="AI1767">
        <v>0</v>
      </c>
      <c r="AJ1767">
        <v>0</v>
      </c>
      <c r="AK1767">
        <v>1750</v>
      </c>
      <c r="AL1767">
        <v>1750</v>
      </c>
      <c r="AM1767">
        <v>0</v>
      </c>
      <c r="AN1767">
        <v>0</v>
      </c>
      <c r="AO1767">
        <v>203</v>
      </c>
      <c r="AP1767">
        <v>80</v>
      </c>
      <c r="AQ1767">
        <v>203</v>
      </c>
      <c r="AR1767">
        <v>123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f t="shared" si="283"/>
        <v>5882</v>
      </c>
      <c r="BF1767">
        <v>3707</v>
      </c>
      <c r="BG1767">
        <v>3707</v>
      </c>
      <c r="BH1767" t="s">
        <v>82</v>
      </c>
      <c r="BI1767" t="s">
        <v>973</v>
      </c>
      <c r="BJ1767">
        <v>1735</v>
      </c>
      <c r="BK1767">
        <v>1972</v>
      </c>
      <c r="BL1767">
        <v>3707</v>
      </c>
      <c r="BM1767">
        <v>0</v>
      </c>
      <c r="BN1767">
        <v>0</v>
      </c>
      <c r="BO1767">
        <v>0</v>
      </c>
      <c r="BP1767">
        <v>1972</v>
      </c>
      <c r="BQ1767">
        <v>1972</v>
      </c>
      <c r="BR1767">
        <f t="shared" si="284"/>
        <v>-241</v>
      </c>
      <c r="BS1767">
        <f t="shared" si="285"/>
        <v>241</v>
      </c>
    </row>
    <row r="1768" spans="1:74" x14ac:dyDescent="0.25">
      <c r="A1768" s="5" t="s">
        <v>1451</v>
      </c>
      <c r="B1768" s="5" t="s">
        <v>61</v>
      </c>
      <c r="C1768" s="5" t="s">
        <v>207</v>
      </c>
      <c r="D1768" s="1" t="s">
        <v>96</v>
      </c>
      <c r="E1768">
        <v>0</v>
      </c>
      <c r="F1768">
        <v>260</v>
      </c>
      <c r="G1768">
        <v>0</v>
      </c>
      <c r="H1768">
        <v>0</v>
      </c>
      <c r="I1768">
        <v>125</v>
      </c>
      <c r="J1768">
        <v>0</v>
      </c>
      <c r="K1768">
        <v>281</v>
      </c>
      <c r="L1768">
        <v>0</v>
      </c>
      <c r="M1768">
        <v>1491.794117647059</v>
      </c>
      <c r="N1768">
        <v>0</v>
      </c>
      <c r="O1768">
        <v>0</v>
      </c>
      <c r="P1768">
        <v>257.20588235294122</v>
      </c>
      <c r="Q1768">
        <v>445</v>
      </c>
      <c r="R1768">
        <v>204</v>
      </c>
      <c r="S1768" s="18">
        <f t="shared" si="276"/>
        <v>8.5735294117647065</v>
      </c>
      <c r="T1768" s="17">
        <f t="shared" si="277"/>
        <v>174</v>
      </c>
      <c r="U1768" s="17">
        <f t="shared" si="278"/>
        <v>0</v>
      </c>
      <c r="V1768" s="17">
        <f t="shared" si="279"/>
        <v>0</v>
      </c>
      <c r="W1768" s="17">
        <f t="shared" si="280"/>
        <v>30.000000000000004</v>
      </c>
      <c r="X1768" s="17">
        <f t="shared" si="281"/>
        <v>241</v>
      </c>
      <c r="Y1768" s="19">
        <f t="shared" si="282"/>
        <v>0</v>
      </c>
      <c r="Z1768">
        <v>260</v>
      </c>
      <c r="AA1768">
        <v>0</v>
      </c>
      <c r="AB1768">
        <v>150</v>
      </c>
      <c r="AC1768">
        <v>933</v>
      </c>
      <c r="AD1768">
        <v>0</v>
      </c>
      <c r="AE1768">
        <v>0</v>
      </c>
      <c r="AF1768">
        <v>0</v>
      </c>
      <c r="AG1768">
        <v>125</v>
      </c>
      <c r="AH1768">
        <v>125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281</v>
      </c>
      <c r="AP1768">
        <v>230</v>
      </c>
      <c r="AQ1768">
        <v>281</v>
      </c>
      <c r="AR1768">
        <v>51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f t="shared" si="283"/>
        <v>2026</v>
      </c>
      <c r="BF1768">
        <v>1749</v>
      </c>
      <c r="BG1768">
        <v>1749</v>
      </c>
      <c r="BH1768" t="s">
        <v>82</v>
      </c>
      <c r="BI1768" t="s">
        <v>1486</v>
      </c>
      <c r="BJ1768">
        <v>1083</v>
      </c>
      <c r="BK1768">
        <v>406</v>
      </c>
      <c r="BL1768">
        <v>1749</v>
      </c>
      <c r="BM1768">
        <v>1491.794117647059</v>
      </c>
      <c r="BN1768">
        <v>0</v>
      </c>
      <c r="BO1768">
        <v>0</v>
      </c>
      <c r="BP1768">
        <v>663.20588235294122</v>
      </c>
      <c r="BQ1768">
        <v>2155</v>
      </c>
      <c r="BR1768">
        <f t="shared" si="284"/>
        <v>-241</v>
      </c>
      <c r="BS1768">
        <f t="shared" si="285"/>
        <v>649</v>
      </c>
    </row>
    <row r="1769" spans="1:74" x14ac:dyDescent="0.25">
      <c r="A1769" s="5" t="s">
        <v>207</v>
      </c>
      <c r="B1769" s="5" t="s">
        <v>61</v>
      </c>
      <c r="C1769" s="5" t="s">
        <v>359</v>
      </c>
      <c r="D1769" s="1" t="s">
        <v>75</v>
      </c>
      <c r="E1769">
        <v>0</v>
      </c>
      <c r="F1769">
        <v>0</v>
      </c>
      <c r="G1769">
        <v>0</v>
      </c>
      <c r="H1769">
        <v>0</v>
      </c>
      <c r="I1769">
        <v>90</v>
      </c>
      <c r="J1769">
        <v>2057</v>
      </c>
      <c r="K1769">
        <v>70</v>
      </c>
      <c r="L1769">
        <v>310</v>
      </c>
      <c r="M1769">
        <v>0</v>
      </c>
      <c r="N1769">
        <v>0</v>
      </c>
      <c r="O1769">
        <v>0</v>
      </c>
      <c r="P1769">
        <v>0</v>
      </c>
      <c r="Q1769">
        <v>183</v>
      </c>
      <c r="R1769">
        <v>0</v>
      </c>
      <c r="S1769" s="18" t="e">
        <f t="shared" si="276"/>
        <v>#DIV/0!</v>
      </c>
      <c r="T1769" s="17" t="e">
        <f t="shared" si="277"/>
        <v>#DIV/0!</v>
      </c>
      <c r="U1769" s="17" t="e">
        <f t="shared" si="278"/>
        <v>#DIV/0!</v>
      </c>
      <c r="V1769" s="17" t="e">
        <f t="shared" si="279"/>
        <v>#DIV/0!</v>
      </c>
      <c r="W1769" s="17" t="e">
        <f t="shared" si="280"/>
        <v>#DIV/0!</v>
      </c>
      <c r="X1769" s="17" t="e">
        <f t="shared" si="281"/>
        <v>#DIV/0!</v>
      </c>
      <c r="Y1769" s="19" t="e">
        <f t="shared" si="282"/>
        <v>#DIV/0!</v>
      </c>
      <c r="Z1769">
        <v>0</v>
      </c>
      <c r="AA1769">
        <v>15</v>
      </c>
      <c r="AB1769">
        <v>0</v>
      </c>
      <c r="AC1769">
        <v>111</v>
      </c>
      <c r="AD1769">
        <v>0</v>
      </c>
      <c r="AE1769">
        <v>45</v>
      </c>
      <c r="AF1769">
        <v>0</v>
      </c>
      <c r="AG1769">
        <v>45</v>
      </c>
      <c r="AH1769">
        <v>90</v>
      </c>
      <c r="AI1769">
        <v>0</v>
      </c>
      <c r="AJ1769">
        <v>1657</v>
      </c>
      <c r="AK1769">
        <v>400</v>
      </c>
      <c r="AL1769">
        <v>2057</v>
      </c>
      <c r="AM1769">
        <v>0</v>
      </c>
      <c r="AN1769">
        <v>0</v>
      </c>
      <c r="AO1769">
        <v>70</v>
      </c>
      <c r="AP1769">
        <v>20</v>
      </c>
      <c r="AQ1769">
        <v>70</v>
      </c>
      <c r="AR1769">
        <v>50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310</v>
      </c>
      <c r="BA1769">
        <v>310</v>
      </c>
      <c r="BB1769">
        <v>0</v>
      </c>
      <c r="BC1769">
        <v>0</v>
      </c>
      <c r="BD1769">
        <v>0</v>
      </c>
      <c r="BE1769">
        <f t="shared" si="283"/>
        <v>5235</v>
      </c>
      <c r="BF1769">
        <v>2653</v>
      </c>
      <c r="BG1769">
        <v>2653</v>
      </c>
      <c r="BH1769" t="s">
        <v>63</v>
      </c>
      <c r="BI1769" t="s">
        <v>506</v>
      </c>
      <c r="BJ1769">
        <v>126</v>
      </c>
      <c r="BK1769">
        <v>2527</v>
      </c>
      <c r="BL1769">
        <v>2653</v>
      </c>
      <c r="BM1769">
        <v>0</v>
      </c>
      <c r="BN1769">
        <v>1702</v>
      </c>
      <c r="BO1769">
        <v>0</v>
      </c>
      <c r="BP1769">
        <v>825</v>
      </c>
      <c r="BQ1769">
        <v>2527</v>
      </c>
      <c r="BR1769">
        <f t="shared" si="284"/>
        <v>-183</v>
      </c>
      <c r="BS1769">
        <f t="shared" si="285"/>
        <v>183</v>
      </c>
      <c r="BU1769">
        <f>R1769*9</f>
        <v>0</v>
      </c>
      <c r="BV1769">
        <f>IF(BU1769&gt;BG1769, 1, 0)</f>
        <v>0</v>
      </c>
    </row>
    <row r="1770" spans="1:74" x14ac:dyDescent="0.25">
      <c r="A1770" s="5" t="s">
        <v>61</v>
      </c>
      <c r="B1770" s="5" t="s">
        <v>207</v>
      </c>
      <c r="C1770" s="5" t="s">
        <v>61</v>
      </c>
      <c r="D1770" s="1" t="s">
        <v>104</v>
      </c>
      <c r="E1770">
        <v>0</v>
      </c>
      <c r="F1770">
        <v>58</v>
      </c>
      <c r="G1770">
        <v>0</v>
      </c>
      <c r="H1770">
        <v>0</v>
      </c>
      <c r="I1770">
        <v>168</v>
      </c>
      <c r="J1770">
        <v>3385</v>
      </c>
      <c r="K1770">
        <v>539</v>
      </c>
      <c r="L1770">
        <v>35</v>
      </c>
      <c r="M1770">
        <v>0</v>
      </c>
      <c r="N1770">
        <v>0</v>
      </c>
      <c r="O1770">
        <v>0</v>
      </c>
      <c r="P1770">
        <v>117</v>
      </c>
      <c r="Q1770">
        <v>256</v>
      </c>
      <c r="R1770">
        <v>13</v>
      </c>
      <c r="S1770" s="18">
        <f t="shared" si="276"/>
        <v>9</v>
      </c>
      <c r="T1770" s="17">
        <f t="shared" si="277"/>
        <v>0</v>
      </c>
      <c r="U1770" s="17">
        <f t="shared" si="278"/>
        <v>0</v>
      </c>
      <c r="V1770" s="17">
        <f t="shared" si="279"/>
        <v>0</v>
      </c>
      <c r="W1770" s="17">
        <f t="shared" si="280"/>
        <v>13</v>
      </c>
      <c r="X1770" s="17">
        <f t="shared" si="281"/>
        <v>243</v>
      </c>
      <c r="Y1770" s="19">
        <f t="shared" si="282"/>
        <v>0</v>
      </c>
      <c r="Z1770">
        <v>58</v>
      </c>
      <c r="AA1770">
        <v>0</v>
      </c>
      <c r="AB1770">
        <v>0</v>
      </c>
      <c r="AC1770">
        <v>1188</v>
      </c>
      <c r="AD1770">
        <v>0</v>
      </c>
      <c r="AE1770">
        <v>0</v>
      </c>
      <c r="AF1770">
        <v>0</v>
      </c>
      <c r="AG1770">
        <v>168</v>
      </c>
      <c r="AH1770">
        <v>168</v>
      </c>
      <c r="AI1770">
        <v>0</v>
      </c>
      <c r="AJ1770">
        <v>0</v>
      </c>
      <c r="AK1770">
        <v>3385</v>
      </c>
      <c r="AL1770">
        <v>3385</v>
      </c>
      <c r="AM1770">
        <v>0</v>
      </c>
      <c r="AN1770">
        <v>0</v>
      </c>
      <c r="AO1770">
        <v>539</v>
      </c>
      <c r="AP1770">
        <v>145</v>
      </c>
      <c r="AQ1770">
        <v>539</v>
      </c>
      <c r="AR1770">
        <v>394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35</v>
      </c>
      <c r="BA1770">
        <v>35</v>
      </c>
      <c r="BB1770">
        <v>0</v>
      </c>
      <c r="BC1770">
        <v>0</v>
      </c>
      <c r="BD1770">
        <v>0</v>
      </c>
      <c r="BE1770">
        <f t="shared" si="283"/>
        <v>9981</v>
      </c>
      <c r="BF1770">
        <v>5373</v>
      </c>
      <c r="BG1770">
        <v>5373</v>
      </c>
      <c r="BH1770" t="s">
        <v>82</v>
      </c>
      <c r="BI1770" t="s">
        <v>229</v>
      </c>
      <c r="BJ1770">
        <v>1188</v>
      </c>
      <c r="BK1770">
        <v>4127</v>
      </c>
      <c r="BL1770">
        <v>5373</v>
      </c>
      <c r="BM1770">
        <v>0</v>
      </c>
      <c r="BN1770">
        <v>0</v>
      </c>
      <c r="BO1770">
        <v>0</v>
      </c>
      <c r="BP1770">
        <v>4244</v>
      </c>
      <c r="BQ1770">
        <v>4244</v>
      </c>
      <c r="BR1770">
        <f t="shared" si="284"/>
        <v>-243</v>
      </c>
      <c r="BS1770">
        <f t="shared" si="285"/>
        <v>269</v>
      </c>
    </row>
    <row r="1771" spans="1:74" x14ac:dyDescent="0.25">
      <c r="A1771" s="5" t="s">
        <v>61</v>
      </c>
      <c r="B1771" s="5" t="s">
        <v>359</v>
      </c>
      <c r="C1771" s="5" t="s">
        <v>61</v>
      </c>
      <c r="D1771" s="1" t="s">
        <v>129</v>
      </c>
      <c r="E1771">
        <v>0</v>
      </c>
      <c r="F1771">
        <v>587</v>
      </c>
      <c r="G1771">
        <v>0</v>
      </c>
      <c r="H1771">
        <v>0</v>
      </c>
      <c r="I1771">
        <v>730</v>
      </c>
      <c r="J1771">
        <v>0</v>
      </c>
      <c r="K1771">
        <v>0</v>
      </c>
      <c r="L1771">
        <v>0</v>
      </c>
      <c r="M1771">
        <v>1989</v>
      </c>
      <c r="N1771">
        <v>0</v>
      </c>
      <c r="O1771">
        <v>0</v>
      </c>
      <c r="P1771">
        <v>0</v>
      </c>
      <c r="Q1771">
        <v>465</v>
      </c>
      <c r="R1771">
        <v>221</v>
      </c>
      <c r="S1771" s="18">
        <f t="shared" si="276"/>
        <v>9</v>
      </c>
      <c r="T1771" s="17">
        <f t="shared" si="277"/>
        <v>221</v>
      </c>
      <c r="U1771" s="17">
        <f t="shared" si="278"/>
        <v>0</v>
      </c>
      <c r="V1771" s="17">
        <f t="shared" si="279"/>
        <v>0</v>
      </c>
      <c r="W1771" s="17">
        <f t="shared" si="280"/>
        <v>0</v>
      </c>
      <c r="X1771" s="17">
        <f t="shared" si="281"/>
        <v>244</v>
      </c>
      <c r="Y1771" s="19">
        <f t="shared" si="282"/>
        <v>0</v>
      </c>
      <c r="Z1771">
        <v>587</v>
      </c>
      <c r="AA1771">
        <v>0</v>
      </c>
      <c r="AB1771">
        <v>0</v>
      </c>
      <c r="AC1771">
        <v>0</v>
      </c>
      <c r="AD1771">
        <v>730</v>
      </c>
      <c r="AE1771">
        <v>0</v>
      </c>
      <c r="AF1771">
        <v>0</v>
      </c>
      <c r="AG1771">
        <v>0</v>
      </c>
      <c r="AH1771">
        <v>730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f t="shared" si="283"/>
        <v>1460</v>
      </c>
      <c r="BF1771">
        <v>1317</v>
      </c>
      <c r="BG1771">
        <v>1317</v>
      </c>
      <c r="BH1771" t="s">
        <v>109</v>
      </c>
      <c r="BI1771" t="s">
        <v>392</v>
      </c>
      <c r="BJ1771">
        <v>0</v>
      </c>
      <c r="BK1771">
        <v>730</v>
      </c>
      <c r="BL1771">
        <v>1317</v>
      </c>
      <c r="BM1771">
        <v>2719</v>
      </c>
      <c r="BN1771">
        <v>0</v>
      </c>
      <c r="BO1771">
        <v>0</v>
      </c>
      <c r="BP1771">
        <v>0</v>
      </c>
      <c r="BQ1771">
        <v>2719</v>
      </c>
      <c r="BR1771">
        <f t="shared" si="284"/>
        <v>-244</v>
      </c>
      <c r="BS1771">
        <f t="shared" si="285"/>
        <v>686</v>
      </c>
    </row>
    <row r="1772" spans="1:74" x14ac:dyDescent="0.25">
      <c r="A1772" s="5" t="s">
        <v>207</v>
      </c>
      <c r="B1772" s="5" t="s">
        <v>61</v>
      </c>
      <c r="C1772" s="5" t="s">
        <v>61</v>
      </c>
      <c r="D1772" s="1" t="s">
        <v>135</v>
      </c>
      <c r="E1772">
        <v>4</v>
      </c>
      <c r="F1772">
        <v>12</v>
      </c>
      <c r="G1772">
        <v>0</v>
      </c>
      <c r="H1772">
        <v>0</v>
      </c>
      <c r="I1772">
        <v>195</v>
      </c>
      <c r="J1772">
        <v>4310</v>
      </c>
      <c r="K1772">
        <v>573</v>
      </c>
      <c r="L1772">
        <v>95</v>
      </c>
      <c r="M1772">
        <v>0</v>
      </c>
      <c r="N1772">
        <v>0</v>
      </c>
      <c r="O1772">
        <v>0</v>
      </c>
      <c r="P1772">
        <v>108</v>
      </c>
      <c r="Q1772">
        <v>256</v>
      </c>
      <c r="R1772">
        <v>12</v>
      </c>
      <c r="S1772" s="18">
        <f t="shared" si="276"/>
        <v>9</v>
      </c>
      <c r="T1772" s="17">
        <f t="shared" si="277"/>
        <v>0</v>
      </c>
      <c r="U1772" s="17">
        <f t="shared" si="278"/>
        <v>0</v>
      </c>
      <c r="V1772" s="17">
        <f t="shared" si="279"/>
        <v>0</v>
      </c>
      <c r="W1772" s="17">
        <f t="shared" si="280"/>
        <v>12</v>
      </c>
      <c r="X1772" s="17">
        <f t="shared" si="281"/>
        <v>244</v>
      </c>
      <c r="Y1772" s="19">
        <f t="shared" si="282"/>
        <v>0</v>
      </c>
      <c r="Z1772">
        <v>12</v>
      </c>
      <c r="AA1772">
        <v>9</v>
      </c>
      <c r="AB1772">
        <v>330</v>
      </c>
      <c r="AC1772">
        <v>3298</v>
      </c>
      <c r="AD1772">
        <v>0</v>
      </c>
      <c r="AE1772">
        <v>0</v>
      </c>
      <c r="AF1772">
        <v>0</v>
      </c>
      <c r="AG1772">
        <v>195</v>
      </c>
      <c r="AH1772">
        <v>195</v>
      </c>
      <c r="AI1772">
        <v>0</v>
      </c>
      <c r="AJ1772">
        <v>0</v>
      </c>
      <c r="AK1772">
        <v>4310</v>
      </c>
      <c r="AL1772">
        <v>4310</v>
      </c>
      <c r="AM1772">
        <v>0</v>
      </c>
      <c r="AN1772">
        <v>0</v>
      </c>
      <c r="AO1772">
        <v>573</v>
      </c>
      <c r="AP1772">
        <v>530</v>
      </c>
      <c r="AQ1772">
        <v>573</v>
      </c>
      <c r="AR1772">
        <v>43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95</v>
      </c>
      <c r="BA1772">
        <v>95</v>
      </c>
      <c r="BB1772">
        <v>0</v>
      </c>
      <c r="BC1772">
        <v>0</v>
      </c>
      <c r="BD1772">
        <v>0</v>
      </c>
      <c r="BE1772">
        <f t="shared" si="283"/>
        <v>14217</v>
      </c>
      <c r="BF1772">
        <v>8826</v>
      </c>
      <c r="BG1772">
        <v>8826</v>
      </c>
      <c r="BH1772" t="s">
        <v>82</v>
      </c>
      <c r="BI1772" t="s">
        <v>461</v>
      </c>
      <c r="BJ1772">
        <v>3641</v>
      </c>
      <c r="BK1772">
        <v>5173</v>
      </c>
      <c r="BL1772">
        <v>8826</v>
      </c>
      <c r="BM1772">
        <v>0</v>
      </c>
      <c r="BN1772">
        <v>0</v>
      </c>
      <c r="BO1772">
        <v>0</v>
      </c>
      <c r="BP1772">
        <v>5281</v>
      </c>
      <c r="BQ1772">
        <v>5281</v>
      </c>
      <c r="BR1772">
        <f t="shared" si="284"/>
        <v>-244</v>
      </c>
      <c r="BS1772">
        <f t="shared" si="285"/>
        <v>268</v>
      </c>
    </row>
    <row r="1773" spans="1:74" x14ac:dyDescent="0.25">
      <c r="A1773" s="5" t="s">
        <v>1135</v>
      </c>
      <c r="B1773" s="5" t="s">
        <v>61</v>
      </c>
      <c r="C1773" s="5" t="s">
        <v>61</v>
      </c>
      <c r="D1773" s="1" t="s">
        <v>73</v>
      </c>
      <c r="E1773">
        <v>0</v>
      </c>
      <c r="F1773">
        <v>0</v>
      </c>
      <c r="G1773">
        <v>0</v>
      </c>
      <c r="H1773">
        <v>0</v>
      </c>
      <c r="I1773">
        <v>2200</v>
      </c>
      <c r="J1773">
        <v>0</v>
      </c>
      <c r="K1773">
        <v>0</v>
      </c>
      <c r="L1773">
        <v>15</v>
      </c>
      <c r="M1773">
        <v>0</v>
      </c>
      <c r="N1773">
        <v>0</v>
      </c>
      <c r="O1773">
        <v>0</v>
      </c>
      <c r="P1773">
        <v>0</v>
      </c>
      <c r="Q1773">
        <v>185</v>
      </c>
      <c r="R1773">
        <v>0</v>
      </c>
      <c r="S1773" s="18" t="e">
        <f t="shared" si="276"/>
        <v>#DIV/0!</v>
      </c>
      <c r="T1773" s="17" t="e">
        <f t="shared" si="277"/>
        <v>#DIV/0!</v>
      </c>
      <c r="U1773" s="17" t="e">
        <f t="shared" si="278"/>
        <v>#DIV/0!</v>
      </c>
      <c r="V1773" s="17" t="e">
        <f t="shared" si="279"/>
        <v>#DIV/0!</v>
      </c>
      <c r="W1773" s="17" t="e">
        <f t="shared" si="280"/>
        <v>#DIV/0!</v>
      </c>
      <c r="X1773" s="17" t="e">
        <f t="shared" si="281"/>
        <v>#DIV/0!</v>
      </c>
      <c r="Y1773" s="19" t="e">
        <f t="shared" si="282"/>
        <v>#DIV/0!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2200</v>
      </c>
      <c r="AH1773">
        <v>2200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15</v>
      </c>
      <c r="BA1773">
        <v>15</v>
      </c>
      <c r="BB1773">
        <v>0</v>
      </c>
      <c r="BC1773">
        <v>0</v>
      </c>
      <c r="BD1773">
        <v>0</v>
      </c>
      <c r="BE1773">
        <f t="shared" si="283"/>
        <v>4430</v>
      </c>
      <c r="BF1773">
        <v>2215</v>
      </c>
      <c r="BG1773">
        <v>2215</v>
      </c>
      <c r="BH1773" t="s">
        <v>63</v>
      </c>
      <c r="BI1773" t="s">
        <v>1140</v>
      </c>
      <c r="BJ1773">
        <v>0</v>
      </c>
      <c r="BK1773">
        <v>2215</v>
      </c>
      <c r="BL1773">
        <v>2215</v>
      </c>
      <c r="BM1773">
        <v>0</v>
      </c>
      <c r="BN1773">
        <v>0</v>
      </c>
      <c r="BO1773">
        <v>0</v>
      </c>
      <c r="BP1773">
        <v>2215</v>
      </c>
      <c r="BQ1773">
        <v>2215</v>
      </c>
      <c r="BR1773">
        <f t="shared" si="284"/>
        <v>-185</v>
      </c>
      <c r="BS1773">
        <f t="shared" si="285"/>
        <v>185</v>
      </c>
      <c r="BU1773">
        <f>R1773*9</f>
        <v>0</v>
      </c>
      <c r="BV1773">
        <f>IF(BU1773&gt;BG1773, 1, 0)</f>
        <v>0</v>
      </c>
    </row>
    <row r="1774" spans="1:74" x14ac:dyDescent="0.25">
      <c r="A1774" s="5" t="s">
        <v>1337</v>
      </c>
      <c r="B1774" s="5" t="s">
        <v>359</v>
      </c>
      <c r="C1774" s="5" t="s">
        <v>61</v>
      </c>
      <c r="D1774" s="1" t="s">
        <v>141</v>
      </c>
      <c r="E1774">
        <v>0</v>
      </c>
      <c r="F1774">
        <v>18338</v>
      </c>
      <c r="G1774">
        <v>0</v>
      </c>
      <c r="H1774">
        <v>0</v>
      </c>
      <c r="I1774">
        <v>1376</v>
      </c>
      <c r="J1774">
        <v>1010</v>
      </c>
      <c r="K1774">
        <v>1305</v>
      </c>
      <c r="L1774">
        <v>85</v>
      </c>
      <c r="M1774">
        <v>0</v>
      </c>
      <c r="N1774">
        <v>0</v>
      </c>
      <c r="O1774">
        <v>0</v>
      </c>
      <c r="P1774">
        <v>23421</v>
      </c>
      <c r="Q1774">
        <v>3725</v>
      </c>
      <c r="R1774">
        <v>3481</v>
      </c>
      <c r="S1774" s="18">
        <f t="shared" si="276"/>
        <v>6.7282390117782249</v>
      </c>
      <c r="T1774" s="17">
        <f t="shared" si="277"/>
        <v>0</v>
      </c>
      <c r="U1774" s="17">
        <f t="shared" si="278"/>
        <v>0</v>
      </c>
      <c r="V1774" s="17">
        <f t="shared" si="279"/>
        <v>0</v>
      </c>
      <c r="W1774" s="17">
        <f t="shared" si="280"/>
        <v>3481</v>
      </c>
      <c r="X1774" s="17">
        <f t="shared" si="281"/>
        <v>244</v>
      </c>
      <c r="Y1774" s="19">
        <f t="shared" si="282"/>
        <v>0</v>
      </c>
      <c r="Z1774">
        <v>18338</v>
      </c>
      <c r="AA1774">
        <v>4</v>
      </c>
      <c r="AB1774">
        <v>0</v>
      </c>
      <c r="AC1774">
        <v>1303</v>
      </c>
      <c r="AD1774">
        <v>0</v>
      </c>
      <c r="AE1774">
        <v>0</v>
      </c>
      <c r="AF1774">
        <v>0</v>
      </c>
      <c r="AG1774">
        <v>1376</v>
      </c>
      <c r="AH1774">
        <v>1376</v>
      </c>
      <c r="AI1774">
        <v>0</v>
      </c>
      <c r="AJ1774">
        <v>0</v>
      </c>
      <c r="AK1774">
        <v>1010</v>
      </c>
      <c r="AL1774">
        <v>1010</v>
      </c>
      <c r="AM1774">
        <v>0</v>
      </c>
      <c r="AN1774">
        <v>0</v>
      </c>
      <c r="AO1774">
        <v>1305</v>
      </c>
      <c r="AP1774">
        <v>570</v>
      </c>
      <c r="AQ1774">
        <v>1305</v>
      </c>
      <c r="AR1774">
        <v>735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85</v>
      </c>
      <c r="BA1774">
        <v>85</v>
      </c>
      <c r="BB1774">
        <v>0</v>
      </c>
      <c r="BC1774">
        <v>0</v>
      </c>
      <c r="BD1774">
        <v>0</v>
      </c>
      <c r="BE1774">
        <f t="shared" si="283"/>
        <v>10160</v>
      </c>
      <c r="BF1774">
        <v>23421</v>
      </c>
      <c r="BG1774">
        <v>23421</v>
      </c>
      <c r="BH1774" t="s">
        <v>82</v>
      </c>
      <c r="BI1774" t="s">
        <v>1448</v>
      </c>
      <c r="BJ1774">
        <v>1307</v>
      </c>
      <c r="BK1774">
        <v>3776</v>
      </c>
      <c r="BL1774">
        <v>23421</v>
      </c>
      <c r="BM1774">
        <v>0</v>
      </c>
      <c r="BN1774">
        <v>0</v>
      </c>
      <c r="BO1774">
        <v>0</v>
      </c>
      <c r="BP1774">
        <v>27197</v>
      </c>
      <c r="BQ1774">
        <v>27197</v>
      </c>
      <c r="BR1774">
        <f t="shared" si="284"/>
        <v>-244</v>
      </c>
      <c r="BS1774">
        <f t="shared" si="285"/>
        <v>7206</v>
      </c>
    </row>
    <row r="1775" spans="1:74" x14ac:dyDescent="0.25">
      <c r="A1775" s="5" t="s">
        <v>207</v>
      </c>
      <c r="B1775" s="5" t="s">
        <v>627</v>
      </c>
      <c r="C1775" s="5" t="s">
        <v>207</v>
      </c>
      <c r="D1775" s="1" t="s">
        <v>75</v>
      </c>
      <c r="E1775">
        <v>0</v>
      </c>
      <c r="F1775">
        <v>25</v>
      </c>
      <c r="G1775">
        <v>0</v>
      </c>
      <c r="H1775">
        <v>0</v>
      </c>
      <c r="I1775">
        <v>300</v>
      </c>
      <c r="J1775">
        <v>2000</v>
      </c>
      <c r="K1775">
        <v>393</v>
      </c>
      <c r="L1775">
        <v>45</v>
      </c>
      <c r="M1775">
        <v>0</v>
      </c>
      <c r="N1775">
        <v>0</v>
      </c>
      <c r="O1775">
        <v>0</v>
      </c>
      <c r="P1775">
        <v>459</v>
      </c>
      <c r="Q1775">
        <v>296</v>
      </c>
      <c r="R1775">
        <v>51</v>
      </c>
      <c r="S1775" s="18">
        <f t="shared" si="276"/>
        <v>9</v>
      </c>
      <c r="T1775" s="17">
        <f t="shared" si="277"/>
        <v>0</v>
      </c>
      <c r="U1775" s="17">
        <f t="shared" si="278"/>
        <v>0</v>
      </c>
      <c r="V1775" s="17">
        <f t="shared" si="279"/>
        <v>0</v>
      </c>
      <c r="W1775" s="17">
        <f t="shared" si="280"/>
        <v>51</v>
      </c>
      <c r="X1775" s="17">
        <f t="shared" si="281"/>
        <v>245</v>
      </c>
      <c r="Y1775" s="19">
        <f t="shared" si="282"/>
        <v>0</v>
      </c>
      <c r="Z1775">
        <v>25</v>
      </c>
      <c r="AA1775">
        <v>2</v>
      </c>
      <c r="AB1775">
        <v>60</v>
      </c>
      <c r="AC1775">
        <v>2914</v>
      </c>
      <c r="AD1775">
        <v>0</v>
      </c>
      <c r="AE1775">
        <v>0</v>
      </c>
      <c r="AF1775">
        <v>0</v>
      </c>
      <c r="AG1775">
        <v>300</v>
      </c>
      <c r="AH1775">
        <v>300</v>
      </c>
      <c r="AI1775">
        <v>0</v>
      </c>
      <c r="AJ1775">
        <v>0</v>
      </c>
      <c r="AK1775">
        <v>2000</v>
      </c>
      <c r="AL1775">
        <v>2000</v>
      </c>
      <c r="AM1775">
        <v>0</v>
      </c>
      <c r="AN1775">
        <v>0</v>
      </c>
      <c r="AO1775">
        <v>393</v>
      </c>
      <c r="AP1775">
        <v>106</v>
      </c>
      <c r="AQ1775">
        <v>393</v>
      </c>
      <c r="AR1775">
        <v>287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45</v>
      </c>
      <c r="BA1775">
        <v>45</v>
      </c>
      <c r="BB1775">
        <v>0</v>
      </c>
      <c r="BC1775">
        <v>0</v>
      </c>
      <c r="BD1775">
        <v>0</v>
      </c>
      <c r="BE1775">
        <f t="shared" si="283"/>
        <v>8783</v>
      </c>
      <c r="BF1775">
        <v>5739</v>
      </c>
      <c r="BG1775">
        <v>5739</v>
      </c>
      <c r="BH1775" t="s">
        <v>82</v>
      </c>
      <c r="BI1775" t="s">
        <v>665</v>
      </c>
      <c r="BJ1775">
        <v>2976</v>
      </c>
      <c r="BK1775">
        <v>2738</v>
      </c>
      <c r="BL1775">
        <v>5739</v>
      </c>
      <c r="BM1775">
        <v>0</v>
      </c>
      <c r="BN1775">
        <v>0</v>
      </c>
      <c r="BO1775">
        <v>0</v>
      </c>
      <c r="BP1775">
        <v>3197</v>
      </c>
      <c r="BQ1775">
        <v>3197</v>
      </c>
      <c r="BR1775">
        <f t="shared" si="284"/>
        <v>-245</v>
      </c>
      <c r="BS1775">
        <f t="shared" si="285"/>
        <v>347</v>
      </c>
    </row>
    <row r="1776" spans="1:74" x14ac:dyDescent="0.25">
      <c r="A1776" s="5" t="s">
        <v>359</v>
      </c>
      <c r="B1776" s="5" t="s">
        <v>359</v>
      </c>
      <c r="C1776" s="5" t="s">
        <v>61</v>
      </c>
      <c r="D1776" s="1" t="s">
        <v>94</v>
      </c>
      <c r="E1776">
        <v>0</v>
      </c>
      <c r="F1776">
        <v>0</v>
      </c>
      <c r="G1776">
        <v>0</v>
      </c>
      <c r="H1776">
        <v>0</v>
      </c>
      <c r="I1776">
        <v>800</v>
      </c>
      <c r="J1776">
        <v>3450</v>
      </c>
      <c r="K1776">
        <v>191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245</v>
      </c>
      <c r="R1776">
        <v>0</v>
      </c>
      <c r="S1776" s="18" t="e">
        <f t="shared" si="276"/>
        <v>#DIV/0!</v>
      </c>
      <c r="T1776" s="17" t="e">
        <f t="shared" si="277"/>
        <v>#DIV/0!</v>
      </c>
      <c r="U1776" s="17" t="e">
        <f t="shared" si="278"/>
        <v>#DIV/0!</v>
      </c>
      <c r="V1776" s="17" t="e">
        <f t="shared" si="279"/>
        <v>#DIV/0!</v>
      </c>
      <c r="W1776" s="17" t="e">
        <f t="shared" si="280"/>
        <v>#DIV/0!</v>
      </c>
      <c r="X1776" s="17" t="e">
        <f t="shared" si="281"/>
        <v>#DIV/0!</v>
      </c>
      <c r="Y1776" s="19" t="e">
        <f t="shared" si="282"/>
        <v>#DIV/0!</v>
      </c>
      <c r="Z1776">
        <v>0</v>
      </c>
      <c r="AA1776">
        <v>4</v>
      </c>
      <c r="AB1776">
        <v>0</v>
      </c>
      <c r="AC1776">
        <v>2385</v>
      </c>
      <c r="AD1776">
        <v>0</v>
      </c>
      <c r="AE1776">
        <v>0</v>
      </c>
      <c r="AF1776">
        <v>0</v>
      </c>
      <c r="AG1776">
        <v>800</v>
      </c>
      <c r="AH1776">
        <v>800</v>
      </c>
      <c r="AI1776">
        <v>0</v>
      </c>
      <c r="AJ1776">
        <v>0</v>
      </c>
      <c r="AK1776">
        <v>3450</v>
      </c>
      <c r="AL1776">
        <v>3450</v>
      </c>
      <c r="AM1776">
        <v>0</v>
      </c>
      <c r="AN1776">
        <v>0</v>
      </c>
      <c r="AO1776">
        <v>191</v>
      </c>
      <c r="AP1776">
        <v>71</v>
      </c>
      <c r="AQ1776">
        <v>191</v>
      </c>
      <c r="AR1776">
        <v>120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f t="shared" si="283"/>
        <v>11458</v>
      </c>
      <c r="BF1776">
        <v>6830</v>
      </c>
      <c r="BG1776">
        <v>6830</v>
      </c>
      <c r="BH1776" t="s">
        <v>82</v>
      </c>
      <c r="BI1776" t="s">
        <v>771</v>
      </c>
      <c r="BJ1776">
        <v>2389</v>
      </c>
      <c r="BK1776">
        <v>4441</v>
      </c>
      <c r="BL1776">
        <v>6830</v>
      </c>
      <c r="BM1776">
        <v>0</v>
      </c>
      <c r="BN1776">
        <v>0</v>
      </c>
      <c r="BO1776">
        <v>0</v>
      </c>
      <c r="BP1776">
        <v>4441</v>
      </c>
      <c r="BQ1776">
        <v>4441</v>
      </c>
      <c r="BR1776">
        <f t="shared" si="284"/>
        <v>-245</v>
      </c>
      <c r="BS1776">
        <f t="shared" si="285"/>
        <v>245</v>
      </c>
    </row>
    <row r="1777" spans="1:74" x14ac:dyDescent="0.25">
      <c r="A1777" s="5" t="s">
        <v>2294</v>
      </c>
      <c r="B1777" s="5" t="s">
        <v>207</v>
      </c>
      <c r="C1777" s="5" t="s">
        <v>61</v>
      </c>
      <c r="D1777" s="1" t="s">
        <v>65</v>
      </c>
      <c r="E1777">
        <v>60</v>
      </c>
      <c r="F1777">
        <v>30</v>
      </c>
      <c r="G1777">
        <v>0</v>
      </c>
      <c r="H1777">
        <v>0</v>
      </c>
      <c r="I1777">
        <v>525</v>
      </c>
      <c r="J1777">
        <v>2380</v>
      </c>
      <c r="K1777">
        <v>275</v>
      </c>
      <c r="L1777">
        <v>86</v>
      </c>
      <c r="M1777">
        <v>0</v>
      </c>
      <c r="N1777">
        <v>0</v>
      </c>
      <c r="O1777">
        <v>0</v>
      </c>
      <c r="P1777">
        <v>234</v>
      </c>
      <c r="Q1777">
        <v>271</v>
      </c>
      <c r="R1777">
        <v>26</v>
      </c>
      <c r="S1777" s="18">
        <f t="shared" si="276"/>
        <v>9</v>
      </c>
      <c r="T1777" s="17">
        <f t="shared" si="277"/>
        <v>0</v>
      </c>
      <c r="U1777" s="17">
        <f t="shared" si="278"/>
        <v>0</v>
      </c>
      <c r="V1777" s="17">
        <f t="shared" si="279"/>
        <v>0</v>
      </c>
      <c r="W1777" s="17">
        <f t="shared" si="280"/>
        <v>26</v>
      </c>
      <c r="X1777" s="17">
        <f t="shared" si="281"/>
        <v>245</v>
      </c>
      <c r="Y1777" s="19">
        <f t="shared" si="282"/>
        <v>0</v>
      </c>
      <c r="Z1777">
        <v>30</v>
      </c>
      <c r="AA1777">
        <v>6</v>
      </c>
      <c r="AB1777">
        <v>97</v>
      </c>
      <c r="AC1777">
        <v>1076</v>
      </c>
      <c r="AD1777">
        <v>0</v>
      </c>
      <c r="AE1777">
        <v>0</v>
      </c>
      <c r="AF1777">
        <v>0</v>
      </c>
      <c r="AG1777">
        <v>525</v>
      </c>
      <c r="AH1777">
        <v>525</v>
      </c>
      <c r="AI1777">
        <v>0</v>
      </c>
      <c r="AJ1777">
        <v>0</v>
      </c>
      <c r="AK1777">
        <v>2380</v>
      </c>
      <c r="AL1777">
        <v>2380</v>
      </c>
      <c r="AM1777">
        <v>0</v>
      </c>
      <c r="AN1777">
        <v>0</v>
      </c>
      <c r="AO1777">
        <v>275</v>
      </c>
      <c r="AP1777">
        <v>275</v>
      </c>
      <c r="AQ1777">
        <v>275</v>
      </c>
      <c r="AR1777">
        <v>4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86</v>
      </c>
      <c r="BA1777">
        <v>86</v>
      </c>
      <c r="BB1777">
        <v>0</v>
      </c>
      <c r="BC1777">
        <v>0</v>
      </c>
      <c r="BD1777">
        <v>0</v>
      </c>
      <c r="BE1777">
        <f t="shared" si="283"/>
        <v>7887</v>
      </c>
      <c r="BF1777">
        <v>4535</v>
      </c>
      <c r="BG1777">
        <v>4535</v>
      </c>
      <c r="BH1777" t="s">
        <v>82</v>
      </c>
      <c r="BI1777" t="s">
        <v>2324</v>
      </c>
      <c r="BJ1777">
        <v>1239</v>
      </c>
      <c r="BK1777">
        <v>3266</v>
      </c>
      <c r="BL1777">
        <v>4535</v>
      </c>
      <c r="BM1777">
        <v>0</v>
      </c>
      <c r="BN1777">
        <v>0</v>
      </c>
      <c r="BO1777">
        <v>0</v>
      </c>
      <c r="BP1777">
        <v>3500</v>
      </c>
      <c r="BQ1777">
        <v>3500</v>
      </c>
      <c r="BR1777">
        <f t="shared" si="284"/>
        <v>-245</v>
      </c>
      <c r="BS1777">
        <f t="shared" si="285"/>
        <v>297</v>
      </c>
    </row>
    <row r="1778" spans="1:74" x14ac:dyDescent="0.25">
      <c r="A1778" s="5" t="s">
        <v>61</v>
      </c>
      <c r="B1778" s="5" t="s">
        <v>61</v>
      </c>
      <c r="C1778" s="5" t="s">
        <v>61</v>
      </c>
      <c r="D1778" s="1" t="s">
        <v>139</v>
      </c>
      <c r="E1778">
        <v>0</v>
      </c>
      <c r="F1778">
        <v>190</v>
      </c>
      <c r="G1778">
        <v>0</v>
      </c>
      <c r="H1778">
        <v>0</v>
      </c>
      <c r="I1778">
        <v>115</v>
      </c>
      <c r="J1778">
        <v>0</v>
      </c>
      <c r="K1778">
        <v>0</v>
      </c>
      <c r="L1778">
        <v>0</v>
      </c>
      <c r="M1778">
        <v>864</v>
      </c>
      <c r="N1778">
        <v>0</v>
      </c>
      <c r="O1778">
        <v>0</v>
      </c>
      <c r="P1778">
        <v>0</v>
      </c>
      <c r="Q1778">
        <v>342</v>
      </c>
      <c r="R1778">
        <v>96</v>
      </c>
      <c r="S1778" s="18">
        <f t="shared" si="276"/>
        <v>9</v>
      </c>
      <c r="T1778" s="17">
        <f t="shared" si="277"/>
        <v>96</v>
      </c>
      <c r="U1778" s="17">
        <f t="shared" si="278"/>
        <v>0</v>
      </c>
      <c r="V1778" s="17">
        <f t="shared" si="279"/>
        <v>0</v>
      </c>
      <c r="W1778" s="17">
        <f t="shared" si="280"/>
        <v>0</v>
      </c>
      <c r="X1778" s="17">
        <f t="shared" si="281"/>
        <v>246</v>
      </c>
      <c r="Y1778" s="19">
        <f t="shared" si="282"/>
        <v>0</v>
      </c>
      <c r="Z1778">
        <v>190</v>
      </c>
      <c r="AA1778">
        <v>0</v>
      </c>
      <c r="AB1778">
        <v>0</v>
      </c>
      <c r="AC1778">
        <v>0</v>
      </c>
      <c r="AD1778">
        <v>115</v>
      </c>
      <c r="AE1778">
        <v>0</v>
      </c>
      <c r="AF1778">
        <v>0</v>
      </c>
      <c r="AG1778">
        <v>0</v>
      </c>
      <c r="AH1778">
        <v>115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f t="shared" si="283"/>
        <v>230</v>
      </c>
      <c r="BF1778">
        <v>305</v>
      </c>
      <c r="BG1778">
        <v>305</v>
      </c>
      <c r="BH1778" t="s">
        <v>109</v>
      </c>
      <c r="BI1778" t="s">
        <v>140</v>
      </c>
      <c r="BJ1778">
        <v>0</v>
      </c>
      <c r="BK1778">
        <v>115</v>
      </c>
      <c r="BL1778">
        <v>305</v>
      </c>
      <c r="BM1778">
        <v>979</v>
      </c>
      <c r="BN1778">
        <v>0</v>
      </c>
      <c r="BO1778">
        <v>0</v>
      </c>
      <c r="BP1778">
        <v>0</v>
      </c>
      <c r="BQ1778">
        <v>979</v>
      </c>
      <c r="BR1778">
        <f t="shared" si="284"/>
        <v>-246</v>
      </c>
      <c r="BS1778">
        <f t="shared" si="285"/>
        <v>438</v>
      </c>
    </row>
    <row r="1779" spans="1:74" x14ac:dyDescent="0.25">
      <c r="A1779" s="5" t="s">
        <v>207</v>
      </c>
      <c r="B1779" s="5" t="s">
        <v>61</v>
      </c>
      <c r="C1779" s="5" t="s">
        <v>359</v>
      </c>
      <c r="D1779" s="1" t="s">
        <v>102</v>
      </c>
      <c r="E1779">
        <v>0</v>
      </c>
      <c r="F1779">
        <v>0</v>
      </c>
      <c r="G1779">
        <v>0</v>
      </c>
      <c r="H1779">
        <v>0</v>
      </c>
      <c r="I1779">
        <v>65</v>
      </c>
      <c r="J1779">
        <v>1910</v>
      </c>
      <c r="K1779">
        <v>177</v>
      </c>
      <c r="L1779">
        <v>54</v>
      </c>
      <c r="M1779">
        <v>0</v>
      </c>
      <c r="N1779">
        <v>0</v>
      </c>
      <c r="O1779">
        <v>0</v>
      </c>
      <c r="P1779">
        <v>0</v>
      </c>
      <c r="Q1779">
        <v>246</v>
      </c>
      <c r="R1779">
        <v>0</v>
      </c>
      <c r="S1779" s="18" t="e">
        <f t="shared" si="276"/>
        <v>#DIV/0!</v>
      </c>
      <c r="T1779" s="17" t="e">
        <f t="shared" si="277"/>
        <v>#DIV/0!</v>
      </c>
      <c r="U1779" s="17" t="e">
        <f t="shared" si="278"/>
        <v>#DIV/0!</v>
      </c>
      <c r="V1779" s="17" t="e">
        <f t="shared" si="279"/>
        <v>#DIV/0!</v>
      </c>
      <c r="W1779" s="17" t="e">
        <f t="shared" si="280"/>
        <v>#DIV/0!</v>
      </c>
      <c r="X1779" s="17" t="e">
        <f t="shared" si="281"/>
        <v>#DIV/0!</v>
      </c>
      <c r="Y1779" s="19" t="e">
        <f t="shared" si="282"/>
        <v>#DIV/0!</v>
      </c>
      <c r="Z1779">
        <v>0</v>
      </c>
      <c r="AA1779">
        <v>35</v>
      </c>
      <c r="AB1779">
        <v>282</v>
      </c>
      <c r="AC1779">
        <v>2640</v>
      </c>
      <c r="AD1779">
        <v>0</v>
      </c>
      <c r="AE1779">
        <v>0</v>
      </c>
      <c r="AF1779">
        <v>0</v>
      </c>
      <c r="AG1779">
        <v>65</v>
      </c>
      <c r="AH1779">
        <v>65</v>
      </c>
      <c r="AI1779">
        <v>0</v>
      </c>
      <c r="AJ1779">
        <v>0</v>
      </c>
      <c r="AK1779">
        <v>1910</v>
      </c>
      <c r="AL1779">
        <v>1910</v>
      </c>
      <c r="AM1779">
        <v>0</v>
      </c>
      <c r="AN1779">
        <v>0</v>
      </c>
      <c r="AO1779">
        <v>177</v>
      </c>
      <c r="AP1779">
        <v>40</v>
      </c>
      <c r="AQ1779">
        <v>177</v>
      </c>
      <c r="AR1779">
        <v>137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54</v>
      </c>
      <c r="BA1779">
        <v>54</v>
      </c>
      <c r="BB1779">
        <v>0</v>
      </c>
      <c r="BC1779">
        <v>0</v>
      </c>
      <c r="BD1779">
        <v>0</v>
      </c>
      <c r="BE1779">
        <f t="shared" si="283"/>
        <v>7229</v>
      </c>
      <c r="BF1779">
        <v>5163</v>
      </c>
      <c r="BG1779">
        <v>5163</v>
      </c>
      <c r="BH1779" t="s">
        <v>82</v>
      </c>
      <c r="BI1779" t="s">
        <v>517</v>
      </c>
      <c r="BJ1779">
        <v>2957</v>
      </c>
      <c r="BK1779">
        <v>2206</v>
      </c>
      <c r="BL1779">
        <v>5163</v>
      </c>
      <c r="BM1779">
        <v>0</v>
      </c>
      <c r="BN1779">
        <v>0</v>
      </c>
      <c r="BO1779">
        <v>0</v>
      </c>
      <c r="BP1779">
        <v>2206</v>
      </c>
      <c r="BQ1779">
        <v>2206</v>
      </c>
      <c r="BR1779">
        <f t="shared" si="284"/>
        <v>-246</v>
      </c>
      <c r="BS1779">
        <f t="shared" si="285"/>
        <v>246</v>
      </c>
    </row>
    <row r="1780" spans="1:74" x14ac:dyDescent="0.25">
      <c r="A1780" s="5" t="s">
        <v>1661</v>
      </c>
      <c r="B1780" s="5" t="s">
        <v>207</v>
      </c>
      <c r="C1780" s="5" t="s">
        <v>207</v>
      </c>
      <c r="D1780" s="1" t="s">
        <v>159</v>
      </c>
      <c r="E1780">
        <v>0</v>
      </c>
      <c r="F1780">
        <v>8073</v>
      </c>
      <c r="G1780">
        <v>0</v>
      </c>
      <c r="H1780">
        <v>0</v>
      </c>
      <c r="I1780">
        <v>10</v>
      </c>
      <c r="J1780">
        <v>770</v>
      </c>
      <c r="K1780">
        <v>35</v>
      </c>
      <c r="L1780">
        <v>0</v>
      </c>
      <c r="M1780">
        <v>594</v>
      </c>
      <c r="N1780">
        <v>0</v>
      </c>
      <c r="O1780">
        <v>0</v>
      </c>
      <c r="P1780">
        <v>4122</v>
      </c>
      <c r="Q1780">
        <v>770</v>
      </c>
      <c r="R1780">
        <v>524</v>
      </c>
      <c r="S1780" s="18">
        <f t="shared" si="276"/>
        <v>9</v>
      </c>
      <c r="T1780" s="17">
        <f t="shared" si="277"/>
        <v>66</v>
      </c>
      <c r="U1780" s="17">
        <f t="shared" si="278"/>
        <v>0</v>
      </c>
      <c r="V1780" s="17">
        <f t="shared" si="279"/>
        <v>0</v>
      </c>
      <c r="W1780" s="17">
        <f t="shared" si="280"/>
        <v>458</v>
      </c>
      <c r="X1780" s="17">
        <f t="shared" si="281"/>
        <v>246</v>
      </c>
      <c r="Y1780" s="19">
        <f t="shared" si="282"/>
        <v>0</v>
      </c>
      <c r="Z1780">
        <v>8073</v>
      </c>
      <c r="AA1780">
        <v>0</v>
      </c>
      <c r="AB1780">
        <v>0</v>
      </c>
      <c r="AC1780">
        <v>470</v>
      </c>
      <c r="AD1780">
        <v>0</v>
      </c>
      <c r="AE1780">
        <v>0</v>
      </c>
      <c r="AF1780">
        <v>0</v>
      </c>
      <c r="AG1780">
        <v>10</v>
      </c>
      <c r="AH1780">
        <v>10</v>
      </c>
      <c r="AI1780">
        <v>0</v>
      </c>
      <c r="AJ1780">
        <v>0</v>
      </c>
      <c r="AK1780">
        <v>770</v>
      </c>
      <c r="AL1780">
        <v>770</v>
      </c>
      <c r="AM1780">
        <v>0</v>
      </c>
      <c r="AN1780">
        <v>0</v>
      </c>
      <c r="AO1780">
        <v>35</v>
      </c>
      <c r="AP1780">
        <v>5</v>
      </c>
      <c r="AQ1780">
        <v>35</v>
      </c>
      <c r="AR1780">
        <v>30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f t="shared" si="283"/>
        <v>2135</v>
      </c>
      <c r="BF1780">
        <v>9135</v>
      </c>
      <c r="BG1780">
        <v>9135</v>
      </c>
      <c r="BH1780" t="s">
        <v>190</v>
      </c>
      <c r="BI1780" t="s">
        <v>1837</v>
      </c>
      <c r="BJ1780">
        <v>470</v>
      </c>
      <c r="BK1780">
        <v>815</v>
      </c>
      <c r="BL1780">
        <v>9358</v>
      </c>
      <c r="BM1780">
        <v>594</v>
      </c>
      <c r="BN1780">
        <v>0</v>
      </c>
      <c r="BO1780">
        <v>0</v>
      </c>
      <c r="BP1780">
        <v>4937</v>
      </c>
      <c r="BQ1780">
        <v>5531</v>
      </c>
      <c r="BR1780">
        <f t="shared" si="284"/>
        <v>-246</v>
      </c>
      <c r="BS1780">
        <f t="shared" si="285"/>
        <v>1294</v>
      </c>
    </row>
    <row r="1781" spans="1:74" x14ac:dyDescent="0.25">
      <c r="A1781" s="5" t="s">
        <v>207</v>
      </c>
      <c r="B1781" s="5" t="s">
        <v>61</v>
      </c>
      <c r="C1781" s="5" t="s">
        <v>207</v>
      </c>
      <c r="D1781" s="1" t="s">
        <v>86</v>
      </c>
      <c r="E1781">
        <v>0</v>
      </c>
      <c r="F1781">
        <v>650</v>
      </c>
      <c r="G1781">
        <v>0</v>
      </c>
      <c r="H1781">
        <v>0</v>
      </c>
      <c r="I1781">
        <v>3750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3222</v>
      </c>
      <c r="Q1781">
        <v>605</v>
      </c>
      <c r="R1781">
        <v>358</v>
      </c>
      <c r="S1781" s="18">
        <f t="shared" si="276"/>
        <v>9</v>
      </c>
      <c r="T1781" s="17">
        <f t="shared" si="277"/>
        <v>0</v>
      </c>
      <c r="U1781" s="17">
        <f t="shared" si="278"/>
        <v>0</v>
      </c>
      <c r="V1781" s="17">
        <f t="shared" si="279"/>
        <v>0</v>
      </c>
      <c r="W1781" s="17">
        <f t="shared" si="280"/>
        <v>358</v>
      </c>
      <c r="X1781" s="17">
        <f t="shared" si="281"/>
        <v>247</v>
      </c>
      <c r="Y1781" s="19">
        <f t="shared" si="282"/>
        <v>0</v>
      </c>
      <c r="Z1781">
        <v>650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3750</v>
      </c>
      <c r="AH1781">
        <v>3750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f t="shared" si="283"/>
        <v>7500</v>
      </c>
      <c r="BF1781">
        <v>4400</v>
      </c>
      <c r="BG1781">
        <v>4400</v>
      </c>
      <c r="BH1781" t="s">
        <v>109</v>
      </c>
      <c r="BI1781" t="s">
        <v>473</v>
      </c>
      <c r="BJ1781">
        <v>0</v>
      </c>
      <c r="BK1781">
        <v>3750</v>
      </c>
      <c r="BL1781">
        <v>4400</v>
      </c>
      <c r="BM1781">
        <v>0</v>
      </c>
      <c r="BN1781">
        <v>0</v>
      </c>
      <c r="BO1781">
        <v>0</v>
      </c>
      <c r="BP1781">
        <v>6972</v>
      </c>
      <c r="BQ1781">
        <v>6972</v>
      </c>
      <c r="BR1781">
        <f t="shared" si="284"/>
        <v>-247</v>
      </c>
      <c r="BS1781">
        <f t="shared" si="285"/>
        <v>963</v>
      </c>
    </row>
    <row r="1782" spans="1:74" x14ac:dyDescent="0.25">
      <c r="A1782" s="5" t="s">
        <v>1661</v>
      </c>
      <c r="B1782" s="5" t="s">
        <v>61</v>
      </c>
      <c r="C1782" s="5" t="s">
        <v>61</v>
      </c>
      <c r="D1782" s="1" t="s">
        <v>94</v>
      </c>
      <c r="E1782">
        <v>0</v>
      </c>
      <c r="F1782">
        <v>0</v>
      </c>
      <c r="G1782">
        <v>0</v>
      </c>
      <c r="H1782">
        <v>0</v>
      </c>
      <c r="I1782">
        <v>106</v>
      </c>
      <c r="J1782">
        <v>2768</v>
      </c>
      <c r="K1782">
        <v>286</v>
      </c>
      <c r="L1782">
        <v>85</v>
      </c>
      <c r="M1782">
        <v>0</v>
      </c>
      <c r="N1782">
        <v>0</v>
      </c>
      <c r="O1782">
        <v>0</v>
      </c>
      <c r="P1782">
        <v>0</v>
      </c>
      <c r="Q1782">
        <v>247</v>
      </c>
      <c r="R1782">
        <v>0</v>
      </c>
      <c r="S1782" s="18" t="e">
        <f t="shared" si="276"/>
        <v>#DIV/0!</v>
      </c>
      <c r="T1782" s="17" t="e">
        <f t="shared" si="277"/>
        <v>#DIV/0!</v>
      </c>
      <c r="U1782" s="17" t="e">
        <f t="shared" si="278"/>
        <v>#DIV/0!</v>
      </c>
      <c r="V1782" s="17" t="e">
        <f t="shared" si="279"/>
        <v>#DIV/0!</v>
      </c>
      <c r="W1782" s="17" t="e">
        <f t="shared" si="280"/>
        <v>#DIV/0!</v>
      </c>
      <c r="X1782" s="17" t="e">
        <f t="shared" si="281"/>
        <v>#DIV/0!</v>
      </c>
      <c r="Y1782" s="19" t="e">
        <f t="shared" si="282"/>
        <v>#DIV/0!</v>
      </c>
      <c r="Z1782">
        <v>0</v>
      </c>
      <c r="AA1782">
        <v>0</v>
      </c>
      <c r="AB1782">
        <v>144</v>
      </c>
      <c r="AC1782">
        <v>1841</v>
      </c>
      <c r="AD1782">
        <v>0</v>
      </c>
      <c r="AE1782">
        <v>0</v>
      </c>
      <c r="AF1782">
        <v>0</v>
      </c>
      <c r="AG1782">
        <v>106</v>
      </c>
      <c r="AH1782">
        <v>106</v>
      </c>
      <c r="AI1782">
        <v>0</v>
      </c>
      <c r="AJ1782">
        <v>0</v>
      </c>
      <c r="AK1782">
        <v>2768</v>
      </c>
      <c r="AL1782">
        <v>2768</v>
      </c>
      <c r="AM1782">
        <v>0</v>
      </c>
      <c r="AN1782">
        <v>0</v>
      </c>
      <c r="AO1782">
        <v>286</v>
      </c>
      <c r="AP1782">
        <v>48</v>
      </c>
      <c r="AQ1782">
        <v>286</v>
      </c>
      <c r="AR1782">
        <v>238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85</v>
      </c>
      <c r="BA1782">
        <v>85</v>
      </c>
      <c r="BB1782">
        <v>0</v>
      </c>
      <c r="BC1782">
        <v>0</v>
      </c>
      <c r="BD1782">
        <v>0</v>
      </c>
      <c r="BE1782">
        <f t="shared" si="283"/>
        <v>8617</v>
      </c>
      <c r="BF1782">
        <v>5230</v>
      </c>
      <c r="BG1782">
        <v>5230</v>
      </c>
      <c r="BH1782" t="s">
        <v>82</v>
      </c>
      <c r="BI1782" t="s">
        <v>1674</v>
      </c>
      <c r="BJ1782">
        <v>1985</v>
      </c>
      <c r="BK1782">
        <v>3245</v>
      </c>
      <c r="BL1782">
        <v>5230</v>
      </c>
      <c r="BM1782">
        <v>0</v>
      </c>
      <c r="BN1782">
        <v>0</v>
      </c>
      <c r="BO1782">
        <v>0</v>
      </c>
      <c r="BP1782">
        <v>3245</v>
      </c>
      <c r="BQ1782">
        <v>3245</v>
      </c>
      <c r="BR1782">
        <f t="shared" si="284"/>
        <v>-247</v>
      </c>
      <c r="BS1782">
        <f t="shared" si="285"/>
        <v>247</v>
      </c>
    </row>
    <row r="1783" spans="1:74" x14ac:dyDescent="0.25">
      <c r="A1783" s="5" t="s">
        <v>1661</v>
      </c>
      <c r="B1783" s="5" t="s">
        <v>207</v>
      </c>
      <c r="C1783" s="5" t="s">
        <v>61</v>
      </c>
      <c r="D1783" s="1" t="s">
        <v>143</v>
      </c>
      <c r="E1783">
        <v>100</v>
      </c>
      <c r="F1783">
        <v>50</v>
      </c>
      <c r="G1783">
        <v>0</v>
      </c>
      <c r="H1783">
        <v>0</v>
      </c>
      <c r="I1783">
        <v>385</v>
      </c>
      <c r="J1783">
        <v>4501</v>
      </c>
      <c r="K1783">
        <v>890</v>
      </c>
      <c r="L1783">
        <v>0</v>
      </c>
      <c r="M1783">
        <v>0</v>
      </c>
      <c r="N1783">
        <v>0</v>
      </c>
      <c r="O1783">
        <v>0</v>
      </c>
      <c r="P1783">
        <v>180</v>
      </c>
      <c r="Q1783">
        <v>268</v>
      </c>
      <c r="R1783">
        <v>20</v>
      </c>
      <c r="S1783" s="18">
        <f t="shared" si="276"/>
        <v>9</v>
      </c>
      <c r="T1783" s="17">
        <f t="shared" si="277"/>
        <v>0</v>
      </c>
      <c r="U1783" s="17">
        <f t="shared" si="278"/>
        <v>0</v>
      </c>
      <c r="V1783" s="17">
        <f t="shared" si="279"/>
        <v>0</v>
      </c>
      <c r="W1783" s="17">
        <f t="shared" si="280"/>
        <v>20</v>
      </c>
      <c r="X1783" s="17">
        <f t="shared" si="281"/>
        <v>248</v>
      </c>
      <c r="Y1783" s="19">
        <f t="shared" si="282"/>
        <v>0</v>
      </c>
      <c r="Z1783">
        <v>50</v>
      </c>
      <c r="AA1783">
        <v>0</v>
      </c>
      <c r="AB1783">
        <v>179</v>
      </c>
      <c r="AC1783">
        <v>2713</v>
      </c>
      <c r="AD1783">
        <v>0</v>
      </c>
      <c r="AE1783">
        <v>0</v>
      </c>
      <c r="AF1783">
        <v>0</v>
      </c>
      <c r="AG1783">
        <v>385</v>
      </c>
      <c r="AH1783">
        <v>385</v>
      </c>
      <c r="AI1783">
        <v>0</v>
      </c>
      <c r="AJ1783">
        <v>0</v>
      </c>
      <c r="AK1783">
        <v>4501</v>
      </c>
      <c r="AL1783">
        <v>4501</v>
      </c>
      <c r="AM1783">
        <v>0</v>
      </c>
      <c r="AN1783">
        <v>0</v>
      </c>
      <c r="AO1783">
        <v>890</v>
      </c>
      <c r="AP1783">
        <v>260</v>
      </c>
      <c r="AQ1783">
        <v>890</v>
      </c>
      <c r="AR1783">
        <v>630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f t="shared" si="283"/>
        <v>15155</v>
      </c>
      <c r="BF1783">
        <v>8818</v>
      </c>
      <c r="BG1783">
        <v>8818</v>
      </c>
      <c r="BH1783" t="s">
        <v>82</v>
      </c>
      <c r="BI1783" t="s">
        <v>1794</v>
      </c>
      <c r="BJ1783">
        <v>2992</v>
      </c>
      <c r="BK1783">
        <v>5776</v>
      </c>
      <c r="BL1783">
        <v>8818</v>
      </c>
      <c r="BM1783">
        <v>0</v>
      </c>
      <c r="BN1783">
        <v>0</v>
      </c>
      <c r="BO1783">
        <v>0</v>
      </c>
      <c r="BP1783">
        <v>5956</v>
      </c>
      <c r="BQ1783">
        <v>5956</v>
      </c>
      <c r="BR1783">
        <f t="shared" si="284"/>
        <v>-248</v>
      </c>
      <c r="BS1783">
        <f t="shared" si="285"/>
        <v>288</v>
      </c>
    </row>
    <row r="1784" spans="1:74" x14ac:dyDescent="0.25">
      <c r="A1784" s="5" t="s">
        <v>1337</v>
      </c>
      <c r="B1784" s="5" t="s">
        <v>61</v>
      </c>
      <c r="C1784" s="5" t="s">
        <v>61</v>
      </c>
      <c r="D1784" s="1" t="s">
        <v>133</v>
      </c>
      <c r="E1784">
        <v>15</v>
      </c>
      <c r="F1784">
        <v>30</v>
      </c>
      <c r="G1784">
        <v>0</v>
      </c>
      <c r="H1784">
        <v>0</v>
      </c>
      <c r="I1784">
        <v>50</v>
      </c>
      <c r="J1784">
        <v>2920</v>
      </c>
      <c r="K1784">
        <v>137</v>
      </c>
      <c r="L1784">
        <v>25</v>
      </c>
      <c r="M1784">
        <v>0</v>
      </c>
      <c r="N1784">
        <v>0</v>
      </c>
      <c r="O1784">
        <v>0</v>
      </c>
      <c r="P1784">
        <v>270</v>
      </c>
      <c r="Q1784">
        <v>279</v>
      </c>
      <c r="R1784">
        <v>30</v>
      </c>
      <c r="S1784" s="18">
        <f t="shared" si="276"/>
        <v>9</v>
      </c>
      <c r="T1784" s="17">
        <f t="shared" si="277"/>
        <v>0</v>
      </c>
      <c r="U1784" s="17">
        <f t="shared" si="278"/>
        <v>0</v>
      </c>
      <c r="V1784" s="17">
        <f t="shared" si="279"/>
        <v>0</v>
      </c>
      <c r="W1784" s="17">
        <f t="shared" si="280"/>
        <v>30</v>
      </c>
      <c r="X1784" s="17">
        <f t="shared" si="281"/>
        <v>249</v>
      </c>
      <c r="Y1784" s="19">
        <f t="shared" si="282"/>
        <v>0</v>
      </c>
      <c r="Z1784">
        <v>30</v>
      </c>
      <c r="AA1784">
        <v>0</v>
      </c>
      <c r="AB1784">
        <v>0</v>
      </c>
      <c r="AC1784">
        <v>2926</v>
      </c>
      <c r="AD1784">
        <v>0</v>
      </c>
      <c r="AE1784">
        <v>0</v>
      </c>
      <c r="AF1784">
        <v>0</v>
      </c>
      <c r="AG1784">
        <v>50</v>
      </c>
      <c r="AH1784">
        <v>50</v>
      </c>
      <c r="AI1784">
        <v>0</v>
      </c>
      <c r="AJ1784">
        <v>0</v>
      </c>
      <c r="AK1784">
        <v>2920</v>
      </c>
      <c r="AL1784">
        <v>2920</v>
      </c>
      <c r="AM1784">
        <v>0</v>
      </c>
      <c r="AN1784">
        <v>0</v>
      </c>
      <c r="AO1784">
        <v>137</v>
      </c>
      <c r="AP1784">
        <v>123</v>
      </c>
      <c r="AQ1784">
        <v>137</v>
      </c>
      <c r="AR1784">
        <v>14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25</v>
      </c>
      <c r="BA1784">
        <v>25</v>
      </c>
      <c r="BB1784">
        <v>0</v>
      </c>
      <c r="BC1784">
        <v>0</v>
      </c>
      <c r="BD1784">
        <v>0</v>
      </c>
      <c r="BE1784">
        <f t="shared" si="283"/>
        <v>9327</v>
      </c>
      <c r="BF1784">
        <v>6103</v>
      </c>
      <c r="BG1784">
        <v>6103</v>
      </c>
      <c r="BH1784" t="s">
        <v>82</v>
      </c>
      <c r="BI1784" t="s">
        <v>1368</v>
      </c>
      <c r="BJ1784">
        <v>2941</v>
      </c>
      <c r="BK1784">
        <v>3132</v>
      </c>
      <c r="BL1784">
        <v>6103</v>
      </c>
      <c r="BM1784">
        <v>0</v>
      </c>
      <c r="BN1784">
        <v>0</v>
      </c>
      <c r="BO1784">
        <v>0</v>
      </c>
      <c r="BP1784">
        <v>3402</v>
      </c>
      <c r="BQ1784">
        <v>3402</v>
      </c>
      <c r="BR1784">
        <f t="shared" si="284"/>
        <v>-249</v>
      </c>
      <c r="BS1784">
        <f t="shared" si="285"/>
        <v>309</v>
      </c>
    </row>
    <row r="1785" spans="1:74" x14ac:dyDescent="0.25">
      <c r="A1785" s="5" t="s">
        <v>1946</v>
      </c>
      <c r="B1785" s="5" t="s">
        <v>61</v>
      </c>
      <c r="C1785" s="5" t="s">
        <v>61</v>
      </c>
      <c r="D1785" s="1" t="s">
        <v>65</v>
      </c>
      <c r="E1785">
        <v>0</v>
      </c>
      <c r="F1785">
        <v>0</v>
      </c>
      <c r="G1785">
        <v>0</v>
      </c>
      <c r="H1785">
        <v>0</v>
      </c>
      <c r="I1785">
        <v>670</v>
      </c>
      <c r="J1785">
        <v>2470</v>
      </c>
      <c r="K1785">
        <v>350</v>
      </c>
      <c r="L1785">
        <v>450</v>
      </c>
      <c r="M1785">
        <v>0</v>
      </c>
      <c r="N1785">
        <v>0</v>
      </c>
      <c r="O1785">
        <v>0</v>
      </c>
      <c r="P1785">
        <v>0</v>
      </c>
      <c r="Q1785">
        <v>185</v>
      </c>
      <c r="R1785">
        <v>0</v>
      </c>
      <c r="S1785" s="18" t="e">
        <f t="shared" si="276"/>
        <v>#DIV/0!</v>
      </c>
      <c r="T1785" s="17" t="e">
        <f t="shared" si="277"/>
        <v>#DIV/0!</v>
      </c>
      <c r="U1785" s="17" t="e">
        <f t="shared" si="278"/>
        <v>#DIV/0!</v>
      </c>
      <c r="V1785" s="17" t="e">
        <f t="shared" si="279"/>
        <v>#DIV/0!</v>
      </c>
      <c r="W1785" s="17" t="e">
        <f t="shared" si="280"/>
        <v>#DIV/0!</v>
      </c>
      <c r="X1785" s="17" t="e">
        <f t="shared" si="281"/>
        <v>#DIV/0!</v>
      </c>
      <c r="Y1785" s="19" t="e">
        <f t="shared" si="282"/>
        <v>#DIV/0!</v>
      </c>
      <c r="Z1785">
        <v>0</v>
      </c>
      <c r="AA1785">
        <v>0</v>
      </c>
      <c r="AB1785">
        <v>0</v>
      </c>
      <c r="AC1785">
        <v>180</v>
      </c>
      <c r="AD1785">
        <v>0</v>
      </c>
      <c r="AE1785">
        <v>0</v>
      </c>
      <c r="AF1785">
        <v>0</v>
      </c>
      <c r="AG1785">
        <v>670</v>
      </c>
      <c r="AH1785">
        <v>670</v>
      </c>
      <c r="AI1785">
        <v>0</v>
      </c>
      <c r="AJ1785">
        <v>0</v>
      </c>
      <c r="AK1785">
        <v>2470</v>
      </c>
      <c r="AL1785">
        <v>2470</v>
      </c>
      <c r="AM1785">
        <v>0</v>
      </c>
      <c r="AN1785">
        <v>0</v>
      </c>
      <c r="AO1785">
        <v>350</v>
      </c>
      <c r="AP1785">
        <v>150</v>
      </c>
      <c r="AQ1785">
        <v>350</v>
      </c>
      <c r="AR1785">
        <v>200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450</v>
      </c>
      <c r="BA1785">
        <v>450</v>
      </c>
      <c r="BB1785">
        <v>0</v>
      </c>
      <c r="BC1785">
        <v>0</v>
      </c>
      <c r="BD1785">
        <v>0</v>
      </c>
      <c r="BE1785">
        <f t="shared" si="283"/>
        <v>8410</v>
      </c>
      <c r="BF1785">
        <v>4120</v>
      </c>
      <c r="BG1785">
        <v>4120</v>
      </c>
      <c r="BH1785" t="s">
        <v>63</v>
      </c>
      <c r="BI1785" t="s">
        <v>1948</v>
      </c>
      <c r="BJ1785">
        <v>180</v>
      </c>
      <c r="BK1785">
        <v>3940</v>
      </c>
      <c r="BL1785">
        <v>4120</v>
      </c>
      <c r="BM1785">
        <v>0</v>
      </c>
      <c r="BN1785">
        <v>0</v>
      </c>
      <c r="BO1785">
        <v>0</v>
      </c>
      <c r="BP1785">
        <v>3940</v>
      </c>
      <c r="BQ1785">
        <v>3940</v>
      </c>
      <c r="BR1785">
        <f t="shared" si="284"/>
        <v>-185</v>
      </c>
      <c r="BS1785">
        <f t="shared" si="285"/>
        <v>185</v>
      </c>
      <c r="BU1785">
        <f>R1785*9</f>
        <v>0</v>
      </c>
      <c r="BV1785">
        <f>IF(BU1785&gt;BG1785, 1, 0)</f>
        <v>0</v>
      </c>
    </row>
    <row r="1786" spans="1:74" x14ac:dyDescent="0.25">
      <c r="A1786" s="5" t="s">
        <v>1017</v>
      </c>
      <c r="B1786" s="5" t="s">
        <v>61</v>
      </c>
      <c r="C1786" s="5" t="s">
        <v>207</v>
      </c>
      <c r="D1786" s="1" t="s">
        <v>102</v>
      </c>
      <c r="E1786">
        <v>0</v>
      </c>
      <c r="F1786">
        <v>10</v>
      </c>
      <c r="G1786">
        <v>0</v>
      </c>
      <c r="H1786">
        <v>0</v>
      </c>
      <c r="I1786">
        <v>250</v>
      </c>
      <c r="J1786">
        <v>2270</v>
      </c>
      <c r="K1786">
        <v>4</v>
      </c>
      <c r="L1786">
        <v>100</v>
      </c>
      <c r="M1786">
        <v>0</v>
      </c>
      <c r="N1786">
        <v>0</v>
      </c>
      <c r="O1786">
        <v>0</v>
      </c>
      <c r="P1786">
        <v>90</v>
      </c>
      <c r="Q1786">
        <v>260</v>
      </c>
      <c r="R1786">
        <v>10</v>
      </c>
      <c r="S1786" s="18">
        <f t="shared" si="276"/>
        <v>9</v>
      </c>
      <c r="T1786" s="17">
        <f t="shared" si="277"/>
        <v>0</v>
      </c>
      <c r="U1786" s="17">
        <f t="shared" si="278"/>
        <v>0</v>
      </c>
      <c r="V1786" s="17">
        <f t="shared" si="279"/>
        <v>0</v>
      </c>
      <c r="W1786" s="17">
        <f t="shared" si="280"/>
        <v>10</v>
      </c>
      <c r="X1786" s="17">
        <f t="shared" si="281"/>
        <v>250</v>
      </c>
      <c r="Y1786" s="19">
        <f t="shared" si="282"/>
        <v>0</v>
      </c>
      <c r="Z1786">
        <v>10</v>
      </c>
      <c r="AA1786">
        <v>3</v>
      </c>
      <c r="AB1786">
        <v>0</v>
      </c>
      <c r="AC1786">
        <v>959</v>
      </c>
      <c r="AD1786">
        <v>0</v>
      </c>
      <c r="AE1786">
        <v>0</v>
      </c>
      <c r="AF1786">
        <v>0</v>
      </c>
      <c r="AG1786">
        <v>250</v>
      </c>
      <c r="AH1786">
        <v>250</v>
      </c>
      <c r="AI1786">
        <v>0</v>
      </c>
      <c r="AJ1786">
        <v>0</v>
      </c>
      <c r="AK1786">
        <v>2270</v>
      </c>
      <c r="AL1786">
        <v>2270</v>
      </c>
      <c r="AM1786">
        <v>0</v>
      </c>
      <c r="AN1786">
        <v>0</v>
      </c>
      <c r="AO1786">
        <v>4</v>
      </c>
      <c r="AP1786">
        <v>0</v>
      </c>
      <c r="AQ1786">
        <v>4</v>
      </c>
      <c r="AR1786">
        <v>4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100</v>
      </c>
      <c r="BA1786">
        <v>100</v>
      </c>
      <c r="BB1786">
        <v>0</v>
      </c>
      <c r="BC1786">
        <v>0</v>
      </c>
      <c r="BD1786">
        <v>0</v>
      </c>
      <c r="BE1786">
        <f t="shared" si="283"/>
        <v>6211</v>
      </c>
      <c r="BF1786">
        <v>3596</v>
      </c>
      <c r="BG1786">
        <v>3596</v>
      </c>
      <c r="BH1786" t="s">
        <v>82</v>
      </c>
      <c r="BI1786" t="s">
        <v>1064</v>
      </c>
      <c r="BJ1786">
        <v>962</v>
      </c>
      <c r="BK1786">
        <v>2624</v>
      </c>
      <c r="BL1786">
        <v>3596</v>
      </c>
      <c r="BM1786">
        <v>0</v>
      </c>
      <c r="BN1786">
        <v>0</v>
      </c>
      <c r="BO1786">
        <v>0</v>
      </c>
      <c r="BP1786">
        <v>2714</v>
      </c>
      <c r="BQ1786">
        <v>2714</v>
      </c>
      <c r="BR1786">
        <f t="shared" si="284"/>
        <v>-250</v>
      </c>
      <c r="BS1786">
        <f t="shared" si="285"/>
        <v>270</v>
      </c>
    </row>
    <row r="1787" spans="1:74" x14ac:dyDescent="0.25">
      <c r="A1787" s="5" t="s">
        <v>1017</v>
      </c>
      <c r="B1787" s="5" t="s">
        <v>207</v>
      </c>
      <c r="C1787" s="5" t="s">
        <v>207</v>
      </c>
      <c r="D1787" s="1" t="s">
        <v>67</v>
      </c>
      <c r="E1787">
        <v>0</v>
      </c>
      <c r="F1787">
        <v>0</v>
      </c>
      <c r="G1787">
        <v>0</v>
      </c>
      <c r="H1787">
        <v>0</v>
      </c>
      <c r="I1787">
        <v>360</v>
      </c>
      <c r="J1787">
        <v>0</v>
      </c>
      <c r="K1787">
        <v>43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187</v>
      </c>
      <c r="R1787">
        <v>0</v>
      </c>
      <c r="S1787" s="18" t="e">
        <f t="shared" si="276"/>
        <v>#DIV/0!</v>
      </c>
      <c r="T1787" s="17" t="e">
        <f t="shared" si="277"/>
        <v>#DIV/0!</v>
      </c>
      <c r="U1787" s="17" t="e">
        <f t="shared" si="278"/>
        <v>#DIV/0!</v>
      </c>
      <c r="V1787" s="17" t="e">
        <f t="shared" si="279"/>
        <v>#DIV/0!</v>
      </c>
      <c r="W1787" s="17" t="e">
        <f t="shared" si="280"/>
        <v>#DIV/0!</v>
      </c>
      <c r="X1787" s="17" t="e">
        <f t="shared" si="281"/>
        <v>#DIV/0!</v>
      </c>
      <c r="Y1787" s="19" t="e">
        <f t="shared" si="282"/>
        <v>#DIV/0!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360</v>
      </c>
      <c r="AH1787">
        <v>360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43</v>
      </c>
      <c r="AP1787">
        <v>0</v>
      </c>
      <c r="AQ1787">
        <v>43</v>
      </c>
      <c r="AR1787">
        <v>43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f t="shared" si="283"/>
        <v>849</v>
      </c>
      <c r="BF1787">
        <v>403</v>
      </c>
      <c r="BG1787">
        <v>403</v>
      </c>
      <c r="BH1787" t="s">
        <v>63</v>
      </c>
      <c r="BI1787" t="s">
        <v>1110</v>
      </c>
      <c r="BJ1787">
        <v>0</v>
      </c>
      <c r="BK1787">
        <v>403</v>
      </c>
      <c r="BL1787">
        <v>403</v>
      </c>
      <c r="BM1787">
        <v>0</v>
      </c>
      <c r="BN1787">
        <v>0</v>
      </c>
      <c r="BO1787">
        <v>0</v>
      </c>
      <c r="BP1787">
        <v>403</v>
      </c>
      <c r="BQ1787">
        <v>403</v>
      </c>
      <c r="BR1787">
        <f t="shared" si="284"/>
        <v>-187</v>
      </c>
      <c r="BS1787">
        <f t="shared" si="285"/>
        <v>187</v>
      </c>
      <c r="BU1787">
        <f>R1787*9</f>
        <v>0</v>
      </c>
      <c r="BV1787">
        <f>IF(BU1787&gt;BG1787, 1, 0)</f>
        <v>0</v>
      </c>
    </row>
    <row r="1788" spans="1:74" x14ac:dyDescent="0.25">
      <c r="A1788" s="5" t="s">
        <v>1135</v>
      </c>
      <c r="B1788" s="5" t="s">
        <v>61</v>
      </c>
      <c r="C1788" s="5" t="s">
        <v>61</v>
      </c>
      <c r="D1788" s="1" t="s">
        <v>163</v>
      </c>
      <c r="E1788">
        <v>0</v>
      </c>
      <c r="F1788">
        <v>90</v>
      </c>
      <c r="G1788">
        <v>0</v>
      </c>
      <c r="H1788">
        <v>0</v>
      </c>
      <c r="I1788">
        <v>0</v>
      </c>
      <c r="J1788">
        <v>330</v>
      </c>
      <c r="K1788">
        <v>30</v>
      </c>
      <c r="L1788">
        <v>0</v>
      </c>
      <c r="M1788">
        <v>0</v>
      </c>
      <c r="N1788">
        <v>0</v>
      </c>
      <c r="O1788">
        <v>0</v>
      </c>
      <c r="P1788">
        <v>810</v>
      </c>
      <c r="Q1788">
        <v>340</v>
      </c>
      <c r="R1788">
        <v>90</v>
      </c>
      <c r="S1788" s="18">
        <f t="shared" si="276"/>
        <v>9</v>
      </c>
      <c r="T1788" s="17">
        <f t="shared" si="277"/>
        <v>0</v>
      </c>
      <c r="U1788" s="17">
        <f t="shared" si="278"/>
        <v>0</v>
      </c>
      <c r="V1788" s="17">
        <f t="shared" si="279"/>
        <v>0</v>
      </c>
      <c r="W1788" s="17">
        <f t="shared" si="280"/>
        <v>90</v>
      </c>
      <c r="X1788" s="17">
        <f t="shared" si="281"/>
        <v>250</v>
      </c>
      <c r="Y1788" s="19">
        <f t="shared" si="282"/>
        <v>0</v>
      </c>
      <c r="Z1788">
        <v>90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330</v>
      </c>
      <c r="AL1788">
        <v>330</v>
      </c>
      <c r="AM1788">
        <v>0</v>
      </c>
      <c r="AN1788">
        <v>0</v>
      </c>
      <c r="AO1788">
        <v>30</v>
      </c>
      <c r="AP1788">
        <v>0</v>
      </c>
      <c r="AQ1788">
        <v>30</v>
      </c>
      <c r="AR1788">
        <v>30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f t="shared" si="283"/>
        <v>750</v>
      </c>
      <c r="BF1788">
        <v>450</v>
      </c>
      <c r="BG1788">
        <v>450</v>
      </c>
      <c r="BH1788" t="s">
        <v>190</v>
      </c>
      <c r="BI1788" t="s">
        <v>1180</v>
      </c>
      <c r="BJ1788">
        <v>0</v>
      </c>
      <c r="BK1788">
        <v>360</v>
      </c>
      <c r="BL1788">
        <v>450</v>
      </c>
      <c r="BM1788">
        <v>0</v>
      </c>
      <c r="BN1788">
        <v>0</v>
      </c>
      <c r="BO1788">
        <v>0</v>
      </c>
      <c r="BP1788">
        <v>1170</v>
      </c>
      <c r="BQ1788">
        <v>1170</v>
      </c>
      <c r="BR1788">
        <f t="shared" si="284"/>
        <v>-250</v>
      </c>
      <c r="BS1788">
        <f t="shared" si="285"/>
        <v>430</v>
      </c>
    </row>
    <row r="1789" spans="1:74" x14ac:dyDescent="0.25">
      <c r="A1789" s="5" t="s">
        <v>1451</v>
      </c>
      <c r="B1789" s="5" t="s">
        <v>61</v>
      </c>
      <c r="C1789" s="5" t="s">
        <v>61</v>
      </c>
      <c r="D1789" s="1" t="s">
        <v>71</v>
      </c>
      <c r="E1789">
        <v>0</v>
      </c>
      <c r="F1789">
        <v>4180</v>
      </c>
      <c r="G1789">
        <v>0</v>
      </c>
      <c r="H1789">
        <v>0</v>
      </c>
      <c r="I1789">
        <v>350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12951</v>
      </c>
      <c r="Q1789">
        <v>1689</v>
      </c>
      <c r="R1789">
        <v>1439</v>
      </c>
      <c r="S1789" s="18">
        <f t="shared" si="276"/>
        <v>9</v>
      </c>
      <c r="T1789" s="17">
        <f t="shared" si="277"/>
        <v>0</v>
      </c>
      <c r="U1789" s="17">
        <f t="shared" si="278"/>
        <v>0</v>
      </c>
      <c r="V1789" s="17">
        <f t="shared" si="279"/>
        <v>0</v>
      </c>
      <c r="W1789" s="17">
        <f t="shared" si="280"/>
        <v>1439</v>
      </c>
      <c r="X1789" s="17">
        <f t="shared" si="281"/>
        <v>250</v>
      </c>
      <c r="Y1789" s="19">
        <f t="shared" si="282"/>
        <v>0</v>
      </c>
      <c r="Z1789">
        <v>4180</v>
      </c>
      <c r="AA1789">
        <v>0</v>
      </c>
      <c r="AB1789">
        <v>0</v>
      </c>
      <c r="AC1789">
        <v>0</v>
      </c>
      <c r="AD1789">
        <v>350</v>
      </c>
      <c r="AE1789">
        <v>0</v>
      </c>
      <c r="AF1789">
        <v>0</v>
      </c>
      <c r="AG1789">
        <v>0</v>
      </c>
      <c r="AH1789">
        <v>350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f t="shared" si="283"/>
        <v>700</v>
      </c>
      <c r="BF1789">
        <v>4530</v>
      </c>
      <c r="BG1789">
        <v>4530</v>
      </c>
      <c r="BH1789" t="s">
        <v>109</v>
      </c>
      <c r="BI1789" t="s">
        <v>1455</v>
      </c>
      <c r="BJ1789">
        <v>0</v>
      </c>
      <c r="BK1789">
        <v>350</v>
      </c>
      <c r="BL1789">
        <v>4530</v>
      </c>
      <c r="BM1789">
        <v>350</v>
      </c>
      <c r="BN1789">
        <v>0</v>
      </c>
      <c r="BO1789">
        <v>0</v>
      </c>
      <c r="BP1789">
        <v>12951</v>
      </c>
      <c r="BQ1789">
        <v>13301</v>
      </c>
      <c r="BR1789">
        <f t="shared" si="284"/>
        <v>-250</v>
      </c>
      <c r="BS1789">
        <f t="shared" si="285"/>
        <v>3128</v>
      </c>
    </row>
    <row r="1790" spans="1:74" x14ac:dyDescent="0.25">
      <c r="A1790" s="5" t="s">
        <v>1661</v>
      </c>
      <c r="B1790" s="5" t="s">
        <v>207</v>
      </c>
      <c r="C1790" s="5" t="s">
        <v>61</v>
      </c>
      <c r="D1790" s="1" t="s">
        <v>94</v>
      </c>
      <c r="E1790">
        <v>0</v>
      </c>
      <c r="F1790">
        <v>6932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10008</v>
      </c>
      <c r="Q1790">
        <v>1362</v>
      </c>
      <c r="R1790">
        <v>1112</v>
      </c>
      <c r="S1790" s="18">
        <f t="shared" si="276"/>
        <v>9</v>
      </c>
      <c r="T1790" s="17">
        <f t="shared" si="277"/>
        <v>0</v>
      </c>
      <c r="U1790" s="17">
        <f t="shared" si="278"/>
        <v>0</v>
      </c>
      <c r="V1790" s="17">
        <f t="shared" si="279"/>
        <v>0</v>
      </c>
      <c r="W1790" s="17">
        <f t="shared" si="280"/>
        <v>1112</v>
      </c>
      <c r="X1790" s="17">
        <f t="shared" si="281"/>
        <v>250</v>
      </c>
      <c r="Y1790" s="19">
        <f t="shared" si="282"/>
        <v>0</v>
      </c>
      <c r="Z1790">
        <v>6932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f t="shared" si="283"/>
        <v>0</v>
      </c>
      <c r="BF1790">
        <v>6932</v>
      </c>
      <c r="BG1790">
        <v>6932</v>
      </c>
      <c r="BH1790" t="s">
        <v>109</v>
      </c>
      <c r="BI1790" t="s">
        <v>1771</v>
      </c>
      <c r="BJ1790">
        <v>0</v>
      </c>
      <c r="BK1790">
        <v>0</v>
      </c>
      <c r="BL1790">
        <v>6932</v>
      </c>
      <c r="BM1790">
        <v>0</v>
      </c>
      <c r="BN1790">
        <v>0</v>
      </c>
      <c r="BO1790">
        <v>0</v>
      </c>
      <c r="BP1790">
        <v>10008</v>
      </c>
      <c r="BQ1790">
        <v>10008</v>
      </c>
      <c r="BR1790">
        <f t="shared" si="284"/>
        <v>-250</v>
      </c>
      <c r="BS1790">
        <f t="shared" si="285"/>
        <v>2474</v>
      </c>
    </row>
    <row r="1791" spans="1:74" x14ac:dyDescent="0.25">
      <c r="A1791" s="5" t="s">
        <v>1661</v>
      </c>
      <c r="B1791" s="5" t="s">
        <v>359</v>
      </c>
      <c r="C1791" s="5" t="s">
        <v>359</v>
      </c>
      <c r="D1791" s="1" t="s">
        <v>81</v>
      </c>
      <c r="E1791">
        <v>0</v>
      </c>
      <c r="F1791">
        <v>0</v>
      </c>
      <c r="G1791">
        <v>0</v>
      </c>
      <c r="H1791">
        <v>0</v>
      </c>
      <c r="I1791">
        <v>776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250</v>
      </c>
      <c r="R1791">
        <v>0</v>
      </c>
      <c r="S1791" s="18" t="e">
        <f t="shared" si="276"/>
        <v>#DIV/0!</v>
      </c>
      <c r="T1791" s="17" t="e">
        <f t="shared" si="277"/>
        <v>#DIV/0!</v>
      </c>
      <c r="U1791" s="17" t="e">
        <f t="shared" si="278"/>
        <v>#DIV/0!</v>
      </c>
      <c r="V1791" s="17" t="e">
        <f t="shared" si="279"/>
        <v>#DIV/0!</v>
      </c>
      <c r="W1791" s="17" t="e">
        <f t="shared" si="280"/>
        <v>#DIV/0!</v>
      </c>
      <c r="X1791" s="17" t="e">
        <f t="shared" si="281"/>
        <v>#DIV/0!</v>
      </c>
      <c r="Y1791" s="19" t="e">
        <f t="shared" si="282"/>
        <v>#DIV/0!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776</v>
      </c>
      <c r="AH1791">
        <v>776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f t="shared" si="283"/>
        <v>1552</v>
      </c>
      <c r="BF1791">
        <v>776</v>
      </c>
      <c r="BG1791">
        <v>776</v>
      </c>
      <c r="BH1791" t="s">
        <v>109</v>
      </c>
      <c r="BI1791" t="s">
        <v>1927</v>
      </c>
      <c r="BJ1791">
        <v>0</v>
      </c>
      <c r="BK1791">
        <v>776</v>
      </c>
      <c r="BL1791">
        <v>776</v>
      </c>
      <c r="BM1791">
        <v>0</v>
      </c>
      <c r="BN1791">
        <v>0</v>
      </c>
      <c r="BO1791">
        <v>0</v>
      </c>
      <c r="BP1791">
        <v>776</v>
      </c>
      <c r="BQ1791">
        <v>776</v>
      </c>
      <c r="BR1791">
        <f t="shared" si="284"/>
        <v>-250</v>
      </c>
      <c r="BS1791">
        <f t="shared" si="285"/>
        <v>250</v>
      </c>
    </row>
    <row r="1792" spans="1:74" x14ac:dyDescent="0.25">
      <c r="A1792" s="5" t="s">
        <v>61</v>
      </c>
      <c r="B1792" s="5" t="s">
        <v>207</v>
      </c>
      <c r="C1792" s="5" t="s">
        <v>207</v>
      </c>
      <c r="D1792" s="1" t="s">
        <v>94</v>
      </c>
      <c r="E1792">
        <v>0</v>
      </c>
      <c r="F1792">
        <v>0</v>
      </c>
      <c r="G1792">
        <v>0</v>
      </c>
      <c r="H1792">
        <v>0</v>
      </c>
      <c r="I1792">
        <v>340</v>
      </c>
      <c r="J1792">
        <v>205</v>
      </c>
      <c r="K1792">
        <v>342</v>
      </c>
      <c r="L1792">
        <v>12</v>
      </c>
      <c r="M1792">
        <v>0</v>
      </c>
      <c r="N1792">
        <v>0</v>
      </c>
      <c r="O1792">
        <v>0</v>
      </c>
      <c r="P1792">
        <v>0</v>
      </c>
      <c r="Q1792">
        <v>253</v>
      </c>
      <c r="R1792">
        <v>0</v>
      </c>
      <c r="S1792" s="18" t="e">
        <f t="shared" si="276"/>
        <v>#DIV/0!</v>
      </c>
      <c r="T1792" s="17" t="e">
        <f t="shared" si="277"/>
        <v>#DIV/0!</v>
      </c>
      <c r="U1792" s="17" t="e">
        <f t="shared" si="278"/>
        <v>#DIV/0!</v>
      </c>
      <c r="V1792" s="17" t="e">
        <f t="shared" si="279"/>
        <v>#DIV/0!</v>
      </c>
      <c r="W1792" s="17" t="e">
        <f t="shared" si="280"/>
        <v>#DIV/0!</v>
      </c>
      <c r="X1792" s="17" t="e">
        <f t="shared" si="281"/>
        <v>#DIV/0!</v>
      </c>
      <c r="Y1792" s="19" t="e">
        <f t="shared" si="282"/>
        <v>#DIV/0!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340</v>
      </c>
      <c r="AH1792">
        <v>340</v>
      </c>
      <c r="AI1792">
        <v>0</v>
      </c>
      <c r="AJ1792">
        <v>0</v>
      </c>
      <c r="AK1792">
        <v>205</v>
      </c>
      <c r="AL1792">
        <v>205</v>
      </c>
      <c r="AM1792">
        <v>0</v>
      </c>
      <c r="AN1792">
        <v>0</v>
      </c>
      <c r="AO1792">
        <v>342</v>
      </c>
      <c r="AP1792">
        <v>122</v>
      </c>
      <c r="AQ1792">
        <v>342</v>
      </c>
      <c r="AR1792">
        <v>220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12</v>
      </c>
      <c r="BA1792">
        <v>12</v>
      </c>
      <c r="BB1792">
        <v>0</v>
      </c>
      <c r="BC1792">
        <v>0</v>
      </c>
      <c r="BD1792">
        <v>0</v>
      </c>
      <c r="BE1792">
        <f t="shared" si="283"/>
        <v>2140</v>
      </c>
      <c r="BF1792">
        <v>899</v>
      </c>
      <c r="BG1792">
        <v>899</v>
      </c>
      <c r="BH1792" t="s">
        <v>82</v>
      </c>
      <c r="BI1792" t="s">
        <v>294</v>
      </c>
      <c r="BJ1792">
        <v>0</v>
      </c>
      <c r="BK1792">
        <v>899</v>
      </c>
      <c r="BL1792">
        <v>899</v>
      </c>
      <c r="BM1792">
        <v>0</v>
      </c>
      <c r="BN1792">
        <v>0</v>
      </c>
      <c r="BO1792">
        <v>0</v>
      </c>
      <c r="BP1792">
        <v>899</v>
      </c>
      <c r="BQ1792">
        <v>899</v>
      </c>
      <c r="BR1792">
        <f t="shared" si="284"/>
        <v>-253</v>
      </c>
      <c r="BS1792">
        <f t="shared" si="285"/>
        <v>253</v>
      </c>
    </row>
    <row r="1793" spans="1:74" x14ac:dyDescent="0.25">
      <c r="A1793" s="5" t="s">
        <v>1017</v>
      </c>
      <c r="B1793" s="5" t="s">
        <v>61</v>
      </c>
      <c r="C1793" s="5" t="s">
        <v>207</v>
      </c>
      <c r="D1793" s="1" t="s">
        <v>133</v>
      </c>
      <c r="E1793">
        <v>0</v>
      </c>
      <c r="F1793">
        <v>86</v>
      </c>
      <c r="G1793">
        <v>0</v>
      </c>
      <c r="H1793">
        <v>0</v>
      </c>
      <c r="I1793">
        <v>445</v>
      </c>
      <c r="J1793">
        <v>3042</v>
      </c>
      <c r="K1793">
        <v>74</v>
      </c>
      <c r="L1793">
        <v>20</v>
      </c>
      <c r="M1793">
        <v>774</v>
      </c>
      <c r="N1793">
        <v>0</v>
      </c>
      <c r="O1793">
        <v>0</v>
      </c>
      <c r="P1793">
        <v>0</v>
      </c>
      <c r="Q1793">
        <v>339</v>
      </c>
      <c r="R1793">
        <v>86</v>
      </c>
      <c r="S1793" s="18">
        <f t="shared" si="276"/>
        <v>9</v>
      </c>
      <c r="T1793" s="17">
        <f t="shared" si="277"/>
        <v>86</v>
      </c>
      <c r="U1793" s="17">
        <f t="shared" si="278"/>
        <v>0</v>
      </c>
      <c r="V1793" s="17">
        <f t="shared" si="279"/>
        <v>0</v>
      </c>
      <c r="W1793" s="17">
        <f t="shared" si="280"/>
        <v>0</v>
      </c>
      <c r="X1793" s="17">
        <f t="shared" si="281"/>
        <v>253</v>
      </c>
      <c r="Y1793" s="19">
        <f t="shared" si="282"/>
        <v>0</v>
      </c>
      <c r="Z1793">
        <v>86</v>
      </c>
      <c r="AA1793">
        <v>0</v>
      </c>
      <c r="AB1793">
        <v>0</v>
      </c>
      <c r="AC1793">
        <v>100</v>
      </c>
      <c r="AD1793">
        <v>275</v>
      </c>
      <c r="AE1793">
        <v>0</v>
      </c>
      <c r="AF1793">
        <v>0</v>
      </c>
      <c r="AG1793">
        <v>170</v>
      </c>
      <c r="AH1793">
        <v>445</v>
      </c>
      <c r="AI1793">
        <v>0</v>
      </c>
      <c r="AJ1793">
        <v>0</v>
      </c>
      <c r="AK1793">
        <v>3042</v>
      </c>
      <c r="AL1793">
        <v>3042</v>
      </c>
      <c r="AM1793">
        <v>0</v>
      </c>
      <c r="AN1793">
        <v>0</v>
      </c>
      <c r="AO1793">
        <v>74</v>
      </c>
      <c r="AP1793">
        <v>0</v>
      </c>
      <c r="AQ1793">
        <v>74</v>
      </c>
      <c r="AR1793">
        <v>74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20</v>
      </c>
      <c r="BA1793">
        <v>20</v>
      </c>
      <c r="BB1793">
        <v>0</v>
      </c>
      <c r="BC1793">
        <v>0</v>
      </c>
      <c r="BD1793">
        <v>0</v>
      </c>
      <c r="BE1793">
        <f t="shared" si="283"/>
        <v>7336</v>
      </c>
      <c r="BF1793">
        <v>3767</v>
      </c>
      <c r="BG1793">
        <v>3767</v>
      </c>
      <c r="BH1793" t="s">
        <v>82</v>
      </c>
      <c r="BI1793" t="s">
        <v>1078</v>
      </c>
      <c r="BJ1793">
        <v>100</v>
      </c>
      <c r="BK1793">
        <v>3581</v>
      </c>
      <c r="BL1793">
        <v>3767</v>
      </c>
      <c r="BM1793">
        <v>1049</v>
      </c>
      <c r="BN1793">
        <v>0</v>
      </c>
      <c r="BO1793">
        <v>0</v>
      </c>
      <c r="BP1793">
        <v>3306</v>
      </c>
      <c r="BQ1793">
        <v>4355</v>
      </c>
      <c r="BR1793">
        <f t="shared" si="284"/>
        <v>-253</v>
      </c>
      <c r="BS1793">
        <f t="shared" si="285"/>
        <v>425</v>
      </c>
    </row>
    <row r="1794" spans="1:74" x14ac:dyDescent="0.25">
      <c r="A1794" s="5" t="s">
        <v>1337</v>
      </c>
      <c r="B1794" s="5" t="s">
        <v>207</v>
      </c>
      <c r="C1794" s="5" t="s">
        <v>61</v>
      </c>
      <c r="D1794" s="1" t="s">
        <v>65</v>
      </c>
      <c r="E1794">
        <v>0</v>
      </c>
      <c r="F1794">
        <v>0</v>
      </c>
      <c r="G1794">
        <v>0</v>
      </c>
      <c r="H1794">
        <v>0</v>
      </c>
      <c r="I1794">
        <v>728</v>
      </c>
      <c r="J1794">
        <v>1225</v>
      </c>
      <c r="K1794">
        <v>200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187</v>
      </c>
      <c r="R1794">
        <v>0</v>
      </c>
      <c r="S1794" s="18" t="e">
        <f t="shared" ref="S1794:S1857" si="286">(M1794+N1794+O1794+P1794)/R1794</f>
        <v>#DIV/0!</v>
      </c>
      <c r="T1794" s="17" t="e">
        <f t="shared" ref="T1794:T1857" si="287">M1794/$S1794</f>
        <v>#DIV/0!</v>
      </c>
      <c r="U1794" s="17" t="e">
        <f t="shared" ref="U1794:U1857" si="288">N1794/$S1794</f>
        <v>#DIV/0!</v>
      </c>
      <c r="V1794" s="17" t="e">
        <f t="shared" ref="V1794:V1857" si="289">O1794/$S1794</f>
        <v>#DIV/0!</v>
      </c>
      <c r="W1794" s="17" t="e">
        <f t="shared" ref="W1794:W1857" si="290">P1794/$S1794</f>
        <v>#DIV/0!</v>
      </c>
      <c r="X1794" s="17" t="e">
        <f t="shared" ref="X1794:X1857" si="291">Q1794-T1794-U1794-W1794</f>
        <v>#DIV/0!</v>
      </c>
      <c r="Y1794" s="19" t="e">
        <f t="shared" ref="Y1794:Y1857" si="292">V1794/X1794</f>
        <v>#DIV/0!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728</v>
      </c>
      <c r="AH1794">
        <v>728</v>
      </c>
      <c r="AI1794">
        <v>0</v>
      </c>
      <c r="AJ1794">
        <v>0</v>
      </c>
      <c r="AK1794">
        <v>1225</v>
      </c>
      <c r="AL1794">
        <v>1225</v>
      </c>
      <c r="AM1794">
        <v>0</v>
      </c>
      <c r="AN1794">
        <v>0</v>
      </c>
      <c r="AO1794">
        <v>200</v>
      </c>
      <c r="AP1794">
        <v>0</v>
      </c>
      <c r="AQ1794">
        <v>200</v>
      </c>
      <c r="AR1794">
        <v>200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f t="shared" ref="BE1794:BE1857" si="293">SUM(AC1794:BD1794)</f>
        <v>4506</v>
      </c>
      <c r="BF1794">
        <v>2153</v>
      </c>
      <c r="BG1794">
        <v>2153</v>
      </c>
      <c r="BH1794" t="s">
        <v>63</v>
      </c>
      <c r="BI1794" t="s">
        <v>1372</v>
      </c>
      <c r="BJ1794">
        <v>0</v>
      </c>
      <c r="BK1794">
        <v>2153</v>
      </c>
      <c r="BL1794">
        <v>2153</v>
      </c>
      <c r="BM1794">
        <v>0</v>
      </c>
      <c r="BN1794">
        <v>0</v>
      </c>
      <c r="BO1794">
        <v>0</v>
      </c>
      <c r="BP1794">
        <v>2153</v>
      </c>
      <c r="BQ1794">
        <v>2153</v>
      </c>
      <c r="BR1794">
        <f t="shared" ref="BR1794:BR1857" si="294">R1794-Q1794</f>
        <v>-187</v>
      </c>
      <c r="BS1794">
        <f t="shared" ref="BS1794:BS1857" si="295">R1794+Q1794</f>
        <v>187</v>
      </c>
      <c r="BU1794">
        <f>R1794*9</f>
        <v>0</v>
      </c>
      <c r="BV1794">
        <f>IF(BU1794&gt;BG1794, 1, 0)</f>
        <v>0</v>
      </c>
    </row>
    <row r="1795" spans="1:74" x14ac:dyDescent="0.25">
      <c r="A1795" s="5" t="s">
        <v>1946</v>
      </c>
      <c r="B1795" s="5" t="s">
        <v>61</v>
      </c>
      <c r="C1795" s="5" t="s">
        <v>61</v>
      </c>
      <c r="D1795" s="1" t="s">
        <v>181</v>
      </c>
      <c r="E1795">
        <v>0</v>
      </c>
      <c r="F1795">
        <v>0</v>
      </c>
      <c r="G1795">
        <v>0</v>
      </c>
      <c r="H1795">
        <v>0</v>
      </c>
      <c r="I1795">
        <v>280</v>
      </c>
      <c r="J1795">
        <v>2244</v>
      </c>
      <c r="K1795">
        <v>250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253</v>
      </c>
      <c r="R1795">
        <v>0</v>
      </c>
      <c r="S1795" s="18" t="e">
        <f t="shared" si="286"/>
        <v>#DIV/0!</v>
      </c>
      <c r="T1795" s="17" t="e">
        <f t="shared" si="287"/>
        <v>#DIV/0!</v>
      </c>
      <c r="U1795" s="17" t="e">
        <f t="shared" si="288"/>
        <v>#DIV/0!</v>
      </c>
      <c r="V1795" s="17" t="e">
        <f t="shared" si="289"/>
        <v>#DIV/0!</v>
      </c>
      <c r="W1795" s="17" t="e">
        <f t="shared" si="290"/>
        <v>#DIV/0!</v>
      </c>
      <c r="X1795" s="17" t="e">
        <f t="shared" si="291"/>
        <v>#DIV/0!</v>
      </c>
      <c r="Y1795" s="19" t="e">
        <f t="shared" si="292"/>
        <v>#DIV/0!</v>
      </c>
      <c r="Z1795">
        <v>0</v>
      </c>
      <c r="AA1795">
        <v>0</v>
      </c>
      <c r="AB1795">
        <v>0</v>
      </c>
      <c r="AC1795">
        <v>500</v>
      </c>
      <c r="AD1795">
        <v>0</v>
      </c>
      <c r="AE1795">
        <v>0</v>
      </c>
      <c r="AF1795">
        <v>0</v>
      </c>
      <c r="AG1795">
        <v>280</v>
      </c>
      <c r="AH1795">
        <v>280</v>
      </c>
      <c r="AI1795">
        <v>0</v>
      </c>
      <c r="AJ1795">
        <v>0</v>
      </c>
      <c r="AK1795">
        <v>2244</v>
      </c>
      <c r="AL1795">
        <v>2244</v>
      </c>
      <c r="AM1795">
        <v>0</v>
      </c>
      <c r="AN1795">
        <v>0</v>
      </c>
      <c r="AO1795">
        <v>250</v>
      </c>
      <c r="AP1795">
        <v>100</v>
      </c>
      <c r="AQ1795">
        <v>250</v>
      </c>
      <c r="AR1795">
        <v>150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f t="shared" si="293"/>
        <v>6298</v>
      </c>
      <c r="BF1795">
        <v>3274</v>
      </c>
      <c r="BG1795">
        <v>3274</v>
      </c>
      <c r="BH1795" t="s">
        <v>199</v>
      </c>
      <c r="BI1795" t="s">
        <v>2002</v>
      </c>
      <c r="BJ1795">
        <v>500</v>
      </c>
      <c r="BK1795">
        <v>2774</v>
      </c>
      <c r="BL1795">
        <v>3274</v>
      </c>
      <c r="BM1795">
        <v>0</v>
      </c>
      <c r="BN1795">
        <v>0</v>
      </c>
      <c r="BO1795">
        <v>0</v>
      </c>
      <c r="BP1795">
        <v>2774</v>
      </c>
      <c r="BQ1795">
        <v>2774</v>
      </c>
      <c r="BR1795">
        <f t="shared" si="294"/>
        <v>-253</v>
      </c>
      <c r="BS1795">
        <f t="shared" si="295"/>
        <v>253</v>
      </c>
    </row>
    <row r="1796" spans="1:74" x14ac:dyDescent="0.25">
      <c r="A1796" s="5" t="s">
        <v>207</v>
      </c>
      <c r="B1796" s="5" t="s">
        <v>207</v>
      </c>
      <c r="C1796" s="5" t="s">
        <v>61</v>
      </c>
      <c r="D1796" s="1" t="s">
        <v>147</v>
      </c>
      <c r="E1796">
        <v>0</v>
      </c>
      <c r="F1796">
        <v>0</v>
      </c>
      <c r="G1796">
        <v>0</v>
      </c>
      <c r="H1796">
        <v>0</v>
      </c>
      <c r="I1796">
        <v>112</v>
      </c>
      <c r="J1796">
        <v>600</v>
      </c>
      <c r="K1796">
        <v>475</v>
      </c>
      <c r="L1796">
        <v>56</v>
      </c>
      <c r="M1796">
        <v>0</v>
      </c>
      <c r="N1796">
        <v>0</v>
      </c>
      <c r="O1796">
        <v>0</v>
      </c>
      <c r="P1796">
        <v>0</v>
      </c>
      <c r="Q1796">
        <v>254</v>
      </c>
      <c r="R1796">
        <v>0</v>
      </c>
      <c r="S1796" s="18" t="e">
        <f t="shared" si="286"/>
        <v>#DIV/0!</v>
      </c>
      <c r="T1796" s="17" t="e">
        <f t="shared" si="287"/>
        <v>#DIV/0!</v>
      </c>
      <c r="U1796" s="17" t="e">
        <f t="shared" si="288"/>
        <v>#DIV/0!</v>
      </c>
      <c r="V1796" s="17" t="e">
        <f t="shared" si="289"/>
        <v>#DIV/0!</v>
      </c>
      <c r="W1796" s="17" t="e">
        <f t="shared" si="290"/>
        <v>#DIV/0!</v>
      </c>
      <c r="X1796" s="17" t="e">
        <f t="shared" si="291"/>
        <v>#DIV/0!</v>
      </c>
      <c r="Y1796" s="19" t="e">
        <f t="shared" si="292"/>
        <v>#DIV/0!</v>
      </c>
      <c r="Z1796">
        <v>0</v>
      </c>
      <c r="AA1796">
        <v>4</v>
      </c>
      <c r="AB1796">
        <v>100</v>
      </c>
      <c r="AC1796">
        <v>2350</v>
      </c>
      <c r="AD1796">
        <v>0</v>
      </c>
      <c r="AE1796">
        <v>0</v>
      </c>
      <c r="AF1796">
        <v>0</v>
      </c>
      <c r="AG1796">
        <v>112</v>
      </c>
      <c r="AH1796">
        <v>112</v>
      </c>
      <c r="AI1796">
        <v>0</v>
      </c>
      <c r="AJ1796">
        <v>0</v>
      </c>
      <c r="AK1796">
        <v>600</v>
      </c>
      <c r="AL1796">
        <v>600</v>
      </c>
      <c r="AM1796">
        <v>0</v>
      </c>
      <c r="AN1796">
        <v>0</v>
      </c>
      <c r="AO1796">
        <v>475</v>
      </c>
      <c r="AP1796">
        <v>180</v>
      </c>
      <c r="AQ1796">
        <v>475</v>
      </c>
      <c r="AR1796">
        <v>295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56</v>
      </c>
      <c r="BA1796">
        <v>56</v>
      </c>
      <c r="BB1796">
        <v>0</v>
      </c>
      <c r="BC1796">
        <v>0</v>
      </c>
      <c r="BD1796">
        <v>0</v>
      </c>
      <c r="BE1796">
        <f t="shared" si="293"/>
        <v>5311</v>
      </c>
      <c r="BF1796">
        <v>3697</v>
      </c>
      <c r="BG1796">
        <v>3697</v>
      </c>
      <c r="BH1796" t="s">
        <v>82</v>
      </c>
      <c r="BI1796" t="s">
        <v>584</v>
      </c>
      <c r="BJ1796">
        <v>2454</v>
      </c>
      <c r="BK1796">
        <v>1243</v>
      </c>
      <c r="BL1796">
        <v>3697</v>
      </c>
      <c r="BM1796">
        <v>0</v>
      </c>
      <c r="BN1796">
        <v>0</v>
      </c>
      <c r="BO1796">
        <v>0</v>
      </c>
      <c r="BP1796">
        <v>1243</v>
      </c>
      <c r="BQ1796">
        <v>1243</v>
      </c>
      <c r="BR1796">
        <f t="shared" si="294"/>
        <v>-254</v>
      </c>
      <c r="BS1796">
        <f t="shared" si="295"/>
        <v>254</v>
      </c>
    </row>
    <row r="1797" spans="1:74" x14ac:dyDescent="0.25">
      <c r="A1797" s="5" t="s">
        <v>1135</v>
      </c>
      <c r="B1797" s="5" t="s">
        <v>207</v>
      </c>
      <c r="C1797" s="5" t="s">
        <v>207</v>
      </c>
      <c r="D1797" s="1" t="s">
        <v>84</v>
      </c>
      <c r="E1797">
        <v>0</v>
      </c>
      <c r="F1797">
        <v>1170</v>
      </c>
      <c r="G1797">
        <v>0</v>
      </c>
      <c r="H1797">
        <v>0</v>
      </c>
      <c r="I1797">
        <v>352</v>
      </c>
      <c r="J1797">
        <v>2800</v>
      </c>
      <c r="K1797">
        <v>350</v>
      </c>
      <c r="L1797">
        <v>280</v>
      </c>
      <c r="M1797">
        <v>0</v>
      </c>
      <c r="N1797">
        <v>0</v>
      </c>
      <c r="O1797">
        <v>0</v>
      </c>
      <c r="P1797">
        <v>1350</v>
      </c>
      <c r="Q1797">
        <v>404</v>
      </c>
      <c r="R1797">
        <v>150</v>
      </c>
      <c r="S1797" s="18">
        <f t="shared" si="286"/>
        <v>9</v>
      </c>
      <c r="T1797" s="17">
        <f t="shared" si="287"/>
        <v>0</v>
      </c>
      <c r="U1797" s="17">
        <f t="shared" si="288"/>
        <v>0</v>
      </c>
      <c r="V1797" s="17">
        <f t="shared" si="289"/>
        <v>0</v>
      </c>
      <c r="W1797" s="17">
        <f t="shared" si="290"/>
        <v>150</v>
      </c>
      <c r="X1797" s="17">
        <f t="shared" si="291"/>
        <v>254</v>
      </c>
      <c r="Y1797" s="19">
        <f t="shared" si="292"/>
        <v>0</v>
      </c>
      <c r="Z1797">
        <v>1170</v>
      </c>
      <c r="AA1797">
        <v>0</v>
      </c>
      <c r="AB1797">
        <v>0</v>
      </c>
      <c r="AC1797">
        <v>2120</v>
      </c>
      <c r="AD1797">
        <v>0</v>
      </c>
      <c r="AE1797">
        <v>0</v>
      </c>
      <c r="AF1797">
        <v>0</v>
      </c>
      <c r="AG1797">
        <v>352</v>
      </c>
      <c r="AH1797">
        <v>352</v>
      </c>
      <c r="AI1797">
        <v>0</v>
      </c>
      <c r="AJ1797">
        <v>0</v>
      </c>
      <c r="AK1797">
        <v>2800</v>
      </c>
      <c r="AL1797">
        <v>2800</v>
      </c>
      <c r="AM1797">
        <v>0</v>
      </c>
      <c r="AN1797">
        <v>0</v>
      </c>
      <c r="AO1797">
        <v>350</v>
      </c>
      <c r="AP1797">
        <v>155</v>
      </c>
      <c r="AQ1797">
        <v>350</v>
      </c>
      <c r="AR1797">
        <v>195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280</v>
      </c>
      <c r="BA1797">
        <v>280</v>
      </c>
      <c r="BB1797">
        <v>0</v>
      </c>
      <c r="BC1797">
        <v>0</v>
      </c>
      <c r="BD1797">
        <v>0</v>
      </c>
      <c r="BE1797">
        <f t="shared" si="293"/>
        <v>10034</v>
      </c>
      <c r="BF1797">
        <v>7072</v>
      </c>
      <c r="BG1797">
        <v>7072</v>
      </c>
      <c r="BH1797" t="s">
        <v>82</v>
      </c>
      <c r="BI1797" t="s">
        <v>1265</v>
      </c>
      <c r="BJ1797">
        <v>2120</v>
      </c>
      <c r="BK1797">
        <v>3782</v>
      </c>
      <c r="BL1797">
        <v>7072</v>
      </c>
      <c r="BM1797">
        <v>0</v>
      </c>
      <c r="BN1797">
        <v>0</v>
      </c>
      <c r="BO1797">
        <v>0</v>
      </c>
      <c r="BP1797">
        <v>5132</v>
      </c>
      <c r="BQ1797">
        <v>5132</v>
      </c>
      <c r="BR1797">
        <f t="shared" si="294"/>
        <v>-254</v>
      </c>
      <c r="BS1797">
        <f t="shared" si="295"/>
        <v>554</v>
      </c>
    </row>
    <row r="1798" spans="1:74" x14ac:dyDescent="0.25">
      <c r="A1798" s="5" t="s">
        <v>61</v>
      </c>
      <c r="B1798" s="5" t="s">
        <v>207</v>
      </c>
      <c r="C1798" s="5" t="s">
        <v>61</v>
      </c>
      <c r="D1798" s="1" t="s">
        <v>62</v>
      </c>
      <c r="E1798">
        <v>0</v>
      </c>
      <c r="F1798">
        <v>0</v>
      </c>
      <c r="G1798">
        <v>0</v>
      </c>
      <c r="H1798">
        <v>0</v>
      </c>
      <c r="I1798">
        <v>27</v>
      </c>
      <c r="J1798">
        <v>1860</v>
      </c>
      <c r="K1798">
        <v>35</v>
      </c>
      <c r="L1798">
        <v>66</v>
      </c>
      <c r="M1798">
        <v>0</v>
      </c>
      <c r="N1798">
        <v>0</v>
      </c>
      <c r="O1798">
        <v>0</v>
      </c>
      <c r="P1798">
        <v>0</v>
      </c>
      <c r="Q1798">
        <v>190</v>
      </c>
      <c r="R1798">
        <v>0</v>
      </c>
      <c r="S1798" s="18" t="e">
        <f t="shared" si="286"/>
        <v>#DIV/0!</v>
      </c>
      <c r="T1798" s="17" t="e">
        <f t="shared" si="287"/>
        <v>#DIV/0!</v>
      </c>
      <c r="U1798" s="17" t="e">
        <f t="shared" si="288"/>
        <v>#DIV/0!</v>
      </c>
      <c r="V1798" s="17" t="e">
        <f t="shared" si="289"/>
        <v>#DIV/0!</v>
      </c>
      <c r="W1798" s="17" t="e">
        <f t="shared" si="290"/>
        <v>#DIV/0!</v>
      </c>
      <c r="X1798" s="17" t="e">
        <f t="shared" si="291"/>
        <v>#DIV/0!</v>
      </c>
      <c r="Y1798" s="19" t="e">
        <f t="shared" si="292"/>
        <v>#DIV/0!</v>
      </c>
      <c r="Z1798">
        <v>0</v>
      </c>
      <c r="AA1798">
        <v>0</v>
      </c>
      <c r="AB1798">
        <v>0</v>
      </c>
      <c r="AC1798">
        <v>120</v>
      </c>
      <c r="AD1798">
        <v>0</v>
      </c>
      <c r="AE1798">
        <v>0</v>
      </c>
      <c r="AF1798">
        <v>0</v>
      </c>
      <c r="AG1798">
        <v>27</v>
      </c>
      <c r="AH1798">
        <v>27</v>
      </c>
      <c r="AI1798">
        <v>0</v>
      </c>
      <c r="AJ1798">
        <v>0</v>
      </c>
      <c r="AK1798">
        <v>1860</v>
      </c>
      <c r="AL1798">
        <v>1860</v>
      </c>
      <c r="AM1798">
        <v>0</v>
      </c>
      <c r="AN1798">
        <v>0</v>
      </c>
      <c r="AO1798">
        <v>35</v>
      </c>
      <c r="AP1798">
        <v>0</v>
      </c>
      <c r="AQ1798">
        <v>35</v>
      </c>
      <c r="AR1798">
        <v>35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66</v>
      </c>
      <c r="BA1798">
        <v>66</v>
      </c>
      <c r="BB1798">
        <v>0</v>
      </c>
      <c r="BC1798">
        <v>0</v>
      </c>
      <c r="BD1798">
        <v>0</v>
      </c>
      <c r="BE1798">
        <f t="shared" si="293"/>
        <v>4131</v>
      </c>
      <c r="BF1798">
        <v>2108</v>
      </c>
      <c r="BG1798">
        <v>2108</v>
      </c>
      <c r="BH1798" t="s">
        <v>63</v>
      </c>
      <c r="BI1798" t="s">
        <v>208</v>
      </c>
      <c r="BJ1798">
        <v>120</v>
      </c>
      <c r="BK1798">
        <v>1988</v>
      </c>
      <c r="BL1798">
        <v>2108</v>
      </c>
      <c r="BM1798">
        <v>0</v>
      </c>
      <c r="BN1798">
        <v>0</v>
      </c>
      <c r="BO1798">
        <v>0</v>
      </c>
      <c r="BP1798">
        <v>1988</v>
      </c>
      <c r="BQ1798">
        <v>1988</v>
      </c>
      <c r="BR1798">
        <f t="shared" si="294"/>
        <v>-190</v>
      </c>
      <c r="BS1798">
        <f t="shared" si="295"/>
        <v>190</v>
      </c>
      <c r="BU1798">
        <f>R1798*9</f>
        <v>0</v>
      </c>
      <c r="BV1798">
        <f>IF(BU1798&gt;BG1798, 1, 0)</f>
        <v>0</v>
      </c>
    </row>
    <row r="1799" spans="1:74" x14ac:dyDescent="0.25">
      <c r="A1799" s="5" t="s">
        <v>1946</v>
      </c>
      <c r="B1799" s="5" t="s">
        <v>207</v>
      </c>
      <c r="C1799" s="5" t="s">
        <v>207</v>
      </c>
      <c r="D1799" s="1" t="s">
        <v>65</v>
      </c>
      <c r="E1799">
        <v>0</v>
      </c>
      <c r="F1799">
        <v>0</v>
      </c>
      <c r="G1799">
        <v>0</v>
      </c>
      <c r="H1799">
        <v>0</v>
      </c>
      <c r="I1799">
        <v>430</v>
      </c>
      <c r="J1799">
        <v>286</v>
      </c>
      <c r="K1799">
        <v>110</v>
      </c>
      <c r="L1799">
        <v>25</v>
      </c>
      <c r="M1799">
        <v>0</v>
      </c>
      <c r="N1799">
        <v>0</v>
      </c>
      <c r="O1799">
        <v>0</v>
      </c>
      <c r="P1799">
        <v>0</v>
      </c>
      <c r="Q1799">
        <v>192</v>
      </c>
      <c r="R1799">
        <v>0</v>
      </c>
      <c r="S1799" s="18" t="e">
        <f t="shared" si="286"/>
        <v>#DIV/0!</v>
      </c>
      <c r="T1799" s="17" t="e">
        <f t="shared" si="287"/>
        <v>#DIV/0!</v>
      </c>
      <c r="U1799" s="17" t="e">
        <f t="shared" si="288"/>
        <v>#DIV/0!</v>
      </c>
      <c r="V1799" s="17" t="e">
        <f t="shared" si="289"/>
        <v>#DIV/0!</v>
      </c>
      <c r="W1799" s="17" t="e">
        <f t="shared" si="290"/>
        <v>#DIV/0!</v>
      </c>
      <c r="X1799" s="17" t="e">
        <f t="shared" si="291"/>
        <v>#DIV/0!</v>
      </c>
      <c r="Y1799" s="19" t="e">
        <f t="shared" si="292"/>
        <v>#DIV/0!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430</v>
      </c>
      <c r="AH1799">
        <v>430</v>
      </c>
      <c r="AI1799">
        <v>0</v>
      </c>
      <c r="AJ1799">
        <v>0</v>
      </c>
      <c r="AK1799">
        <v>286</v>
      </c>
      <c r="AL1799">
        <v>286</v>
      </c>
      <c r="AM1799">
        <v>0</v>
      </c>
      <c r="AN1799">
        <v>0</v>
      </c>
      <c r="AO1799">
        <v>110</v>
      </c>
      <c r="AP1799">
        <v>85</v>
      </c>
      <c r="AQ1799">
        <v>110</v>
      </c>
      <c r="AR1799">
        <v>25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25</v>
      </c>
      <c r="BA1799">
        <v>25</v>
      </c>
      <c r="BB1799">
        <v>0</v>
      </c>
      <c r="BC1799">
        <v>0</v>
      </c>
      <c r="BD1799">
        <v>0</v>
      </c>
      <c r="BE1799">
        <f t="shared" si="293"/>
        <v>1812</v>
      </c>
      <c r="BF1799">
        <v>851</v>
      </c>
      <c r="BG1799">
        <v>851</v>
      </c>
      <c r="BH1799" t="s">
        <v>63</v>
      </c>
      <c r="BI1799" t="s">
        <v>2042</v>
      </c>
      <c r="BJ1799">
        <v>0</v>
      </c>
      <c r="BK1799">
        <v>851</v>
      </c>
      <c r="BL1799">
        <v>851</v>
      </c>
      <c r="BM1799">
        <v>0</v>
      </c>
      <c r="BN1799">
        <v>0</v>
      </c>
      <c r="BO1799">
        <v>0</v>
      </c>
      <c r="BP1799">
        <v>851</v>
      </c>
      <c r="BQ1799">
        <v>851</v>
      </c>
      <c r="BR1799">
        <f t="shared" si="294"/>
        <v>-192</v>
      </c>
      <c r="BS1799">
        <f t="shared" si="295"/>
        <v>192</v>
      </c>
      <c r="BU1799">
        <f>R1799*9</f>
        <v>0</v>
      </c>
      <c r="BV1799">
        <f>IF(BU1799&gt;BG1799, 1, 0)</f>
        <v>0</v>
      </c>
    </row>
    <row r="1800" spans="1:74" x14ac:dyDescent="0.25">
      <c r="A1800" s="5" t="s">
        <v>2294</v>
      </c>
      <c r="B1800" s="5" t="s">
        <v>61</v>
      </c>
      <c r="C1800" s="5" t="s">
        <v>61</v>
      </c>
      <c r="D1800" s="1" t="s">
        <v>75</v>
      </c>
      <c r="E1800">
        <v>0</v>
      </c>
      <c r="F1800">
        <v>0</v>
      </c>
      <c r="G1800">
        <v>0</v>
      </c>
      <c r="H1800">
        <v>0</v>
      </c>
      <c r="I1800">
        <v>872</v>
      </c>
      <c r="J1800">
        <v>0</v>
      </c>
      <c r="K1800">
        <v>0</v>
      </c>
      <c r="L1800">
        <v>40</v>
      </c>
      <c r="M1800">
        <v>0</v>
      </c>
      <c r="N1800">
        <v>0</v>
      </c>
      <c r="O1800">
        <v>0</v>
      </c>
      <c r="P1800">
        <v>0</v>
      </c>
      <c r="Q1800">
        <v>255</v>
      </c>
      <c r="R1800">
        <v>0</v>
      </c>
      <c r="S1800" s="18" t="e">
        <f t="shared" si="286"/>
        <v>#DIV/0!</v>
      </c>
      <c r="T1800" s="17" t="e">
        <f t="shared" si="287"/>
        <v>#DIV/0!</v>
      </c>
      <c r="U1800" s="17" t="e">
        <f t="shared" si="288"/>
        <v>#DIV/0!</v>
      </c>
      <c r="V1800" s="17" t="e">
        <f t="shared" si="289"/>
        <v>#DIV/0!</v>
      </c>
      <c r="W1800" s="17" t="e">
        <f t="shared" si="290"/>
        <v>#DIV/0!</v>
      </c>
      <c r="X1800" s="17" t="e">
        <f t="shared" si="291"/>
        <v>#DIV/0!</v>
      </c>
      <c r="Y1800" s="19" t="e">
        <f t="shared" si="292"/>
        <v>#DIV/0!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872</v>
      </c>
      <c r="AF1800">
        <v>0</v>
      </c>
      <c r="AG1800">
        <v>0</v>
      </c>
      <c r="AH1800">
        <v>872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40</v>
      </c>
      <c r="BA1800">
        <v>40</v>
      </c>
      <c r="BB1800">
        <v>0</v>
      </c>
      <c r="BC1800">
        <v>0</v>
      </c>
      <c r="BD1800">
        <v>0</v>
      </c>
      <c r="BE1800">
        <f t="shared" si="293"/>
        <v>1824</v>
      </c>
      <c r="BF1800">
        <v>912</v>
      </c>
      <c r="BG1800">
        <v>912</v>
      </c>
      <c r="BH1800" t="s">
        <v>109</v>
      </c>
      <c r="BI1800" t="s">
        <v>2301</v>
      </c>
      <c r="BJ1800">
        <v>0</v>
      </c>
      <c r="BK1800">
        <v>912</v>
      </c>
      <c r="BL1800">
        <v>912</v>
      </c>
      <c r="BM1800">
        <v>0</v>
      </c>
      <c r="BN1800">
        <v>872</v>
      </c>
      <c r="BO1800">
        <v>0</v>
      </c>
      <c r="BP1800">
        <v>40</v>
      </c>
      <c r="BQ1800">
        <v>912</v>
      </c>
      <c r="BR1800">
        <f t="shared" si="294"/>
        <v>-255</v>
      </c>
      <c r="BS1800">
        <f t="shared" si="295"/>
        <v>255</v>
      </c>
    </row>
    <row r="1801" spans="1:74" x14ac:dyDescent="0.25">
      <c r="A1801" s="5" t="s">
        <v>875</v>
      </c>
      <c r="B1801" s="5" t="s">
        <v>61</v>
      </c>
      <c r="C1801" s="5" t="s">
        <v>207</v>
      </c>
      <c r="D1801" s="1" t="s">
        <v>84</v>
      </c>
      <c r="E1801">
        <v>0</v>
      </c>
      <c r="F1801">
        <v>0</v>
      </c>
      <c r="G1801">
        <v>0</v>
      </c>
      <c r="H1801">
        <v>0</v>
      </c>
      <c r="I1801">
        <v>900</v>
      </c>
      <c r="J1801">
        <v>2923</v>
      </c>
      <c r="K1801">
        <v>220</v>
      </c>
      <c r="L1801">
        <v>45</v>
      </c>
      <c r="M1801">
        <v>0</v>
      </c>
      <c r="N1801">
        <v>0</v>
      </c>
      <c r="O1801">
        <v>0</v>
      </c>
      <c r="P1801">
        <v>0</v>
      </c>
      <c r="Q1801">
        <v>193</v>
      </c>
      <c r="R1801">
        <v>0</v>
      </c>
      <c r="S1801" s="18" t="e">
        <f t="shared" si="286"/>
        <v>#DIV/0!</v>
      </c>
      <c r="T1801" s="17" t="e">
        <f t="shared" si="287"/>
        <v>#DIV/0!</v>
      </c>
      <c r="U1801" s="17" t="e">
        <f t="shared" si="288"/>
        <v>#DIV/0!</v>
      </c>
      <c r="V1801" s="17" t="e">
        <f t="shared" si="289"/>
        <v>#DIV/0!</v>
      </c>
      <c r="W1801" s="17" t="e">
        <f t="shared" si="290"/>
        <v>#DIV/0!</v>
      </c>
      <c r="X1801" s="17" t="e">
        <f t="shared" si="291"/>
        <v>#DIV/0!</v>
      </c>
      <c r="Y1801" s="19" t="e">
        <f t="shared" si="292"/>
        <v>#DIV/0!</v>
      </c>
      <c r="Z1801">
        <v>0</v>
      </c>
      <c r="AA1801">
        <v>0</v>
      </c>
      <c r="AB1801">
        <v>0</v>
      </c>
      <c r="AC1801">
        <v>185</v>
      </c>
      <c r="AD1801">
        <v>0</v>
      </c>
      <c r="AE1801">
        <v>0</v>
      </c>
      <c r="AF1801">
        <v>0</v>
      </c>
      <c r="AG1801">
        <v>900</v>
      </c>
      <c r="AH1801">
        <v>900</v>
      </c>
      <c r="AI1801">
        <v>0</v>
      </c>
      <c r="AJ1801">
        <v>0</v>
      </c>
      <c r="AK1801">
        <v>2923</v>
      </c>
      <c r="AL1801">
        <v>2923</v>
      </c>
      <c r="AM1801">
        <v>0</v>
      </c>
      <c r="AN1801">
        <v>100</v>
      </c>
      <c r="AO1801">
        <v>220</v>
      </c>
      <c r="AP1801">
        <v>120</v>
      </c>
      <c r="AQ1801">
        <v>220</v>
      </c>
      <c r="AR1801">
        <v>100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45</v>
      </c>
      <c r="BA1801">
        <v>45</v>
      </c>
      <c r="BB1801">
        <v>0</v>
      </c>
      <c r="BC1801">
        <v>0</v>
      </c>
      <c r="BD1801">
        <v>0</v>
      </c>
      <c r="BE1801">
        <f t="shared" si="293"/>
        <v>8681</v>
      </c>
      <c r="BF1801">
        <v>4273</v>
      </c>
      <c r="BG1801">
        <v>4273</v>
      </c>
      <c r="BH1801" t="s">
        <v>63</v>
      </c>
      <c r="BI1801" t="s">
        <v>885</v>
      </c>
      <c r="BJ1801">
        <v>185</v>
      </c>
      <c r="BK1801">
        <v>4088</v>
      </c>
      <c r="BL1801">
        <v>4273</v>
      </c>
      <c r="BM1801">
        <v>0</v>
      </c>
      <c r="BN1801">
        <v>100</v>
      </c>
      <c r="BO1801">
        <v>0</v>
      </c>
      <c r="BP1801">
        <v>4088</v>
      </c>
      <c r="BQ1801">
        <v>4188</v>
      </c>
      <c r="BR1801">
        <f t="shared" si="294"/>
        <v>-193</v>
      </c>
      <c r="BS1801">
        <f t="shared" si="295"/>
        <v>193</v>
      </c>
      <c r="BU1801">
        <f>R1801*9</f>
        <v>0</v>
      </c>
      <c r="BV1801">
        <f>IF(BU1801&gt;BG1801, 1, 0)</f>
        <v>0</v>
      </c>
    </row>
    <row r="1802" spans="1:74" x14ac:dyDescent="0.25">
      <c r="A1802" s="5" t="s">
        <v>207</v>
      </c>
      <c r="B1802" s="5" t="s">
        <v>627</v>
      </c>
      <c r="C1802" s="5" t="s">
        <v>207</v>
      </c>
      <c r="D1802" s="1" t="s">
        <v>62</v>
      </c>
      <c r="E1802">
        <v>0</v>
      </c>
      <c r="F1802">
        <v>0</v>
      </c>
      <c r="G1802">
        <v>0</v>
      </c>
      <c r="H1802">
        <v>0</v>
      </c>
      <c r="I1802">
        <v>196</v>
      </c>
      <c r="J1802">
        <v>0</v>
      </c>
      <c r="K1802">
        <v>480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196</v>
      </c>
      <c r="R1802">
        <v>0</v>
      </c>
      <c r="S1802" s="18" t="e">
        <f t="shared" si="286"/>
        <v>#DIV/0!</v>
      </c>
      <c r="T1802" s="17" t="e">
        <f t="shared" si="287"/>
        <v>#DIV/0!</v>
      </c>
      <c r="U1802" s="17" t="e">
        <f t="shared" si="288"/>
        <v>#DIV/0!</v>
      </c>
      <c r="V1802" s="17" t="e">
        <f t="shared" si="289"/>
        <v>#DIV/0!</v>
      </c>
      <c r="W1802" s="17" t="e">
        <f t="shared" si="290"/>
        <v>#DIV/0!</v>
      </c>
      <c r="X1802" s="17" t="e">
        <f t="shared" si="291"/>
        <v>#DIV/0!</v>
      </c>
      <c r="Y1802" s="19" t="e">
        <f t="shared" si="292"/>
        <v>#DIV/0!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196</v>
      </c>
      <c r="AH1802">
        <v>196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480</v>
      </c>
      <c r="AP1802">
        <v>240</v>
      </c>
      <c r="AQ1802">
        <v>480</v>
      </c>
      <c r="AR1802">
        <v>240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f t="shared" si="293"/>
        <v>1832</v>
      </c>
      <c r="BF1802">
        <v>676</v>
      </c>
      <c r="BG1802">
        <v>676</v>
      </c>
      <c r="BH1802" t="s">
        <v>63</v>
      </c>
      <c r="BI1802" t="s">
        <v>659</v>
      </c>
      <c r="BJ1802">
        <v>0</v>
      </c>
      <c r="BK1802">
        <v>676</v>
      </c>
      <c r="BL1802">
        <v>676</v>
      </c>
      <c r="BM1802">
        <v>0</v>
      </c>
      <c r="BN1802">
        <v>0</v>
      </c>
      <c r="BO1802">
        <v>0</v>
      </c>
      <c r="BP1802">
        <v>676</v>
      </c>
      <c r="BQ1802">
        <v>676</v>
      </c>
      <c r="BR1802">
        <f t="shared" si="294"/>
        <v>-196</v>
      </c>
      <c r="BS1802">
        <f t="shared" si="295"/>
        <v>196</v>
      </c>
      <c r="BU1802">
        <f>R1802*9</f>
        <v>0</v>
      </c>
      <c r="BV1802">
        <f>IF(BU1802&gt;BG1802, 1, 0)</f>
        <v>0</v>
      </c>
    </row>
    <row r="1803" spans="1:74" x14ac:dyDescent="0.25">
      <c r="A1803" s="5" t="s">
        <v>61</v>
      </c>
      <c r="B1803" s="5" t="s">
        <v>207</v>
      </c>
      <c r="C1803" s="5" t="s">
        <v>207</v>
      </c>
      <c r="D1803" s="1" t="s">
        <v>159</v>
      </c>
      <c r="E1803">
        <v>0</v>
      </c>
      <c r="F1803">
        <v>0</v>
      </c>
      <c r="G1803">
        <v>0</v>
      </c>
      <c r="H1803">
        <v>0</v>
      </c>
      <c r="I1803">
        <v>181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257</v>
      </c>
      <c r="R1803">
        <v>0</v>
      </c>
      <c r="S1803" s="18" t="e">
        <f t="shared" si="286"/>
        <v>#DIV/0!</v>
      </c>
      <c r="T1803" s="17" t="e">
        <f t="shared" si="287"/>
        <v>#DIV/0!</v>
      </c>
      <c r="U1803" s="17" t="e">
        <f t="shared" si="288"/>
        <v>#DIV/0!</v>
      </c>
      <c r="V1803" s="17" t="e">
        <f t="shared" si="289"/>
        <v>#DIV/0!</v>
      </c>
      <c r="W1803" s="17" t="e">
        <f t="shared" si="290"/>
        <v>#DIV/0!</v>
      </c>
      <c r="X1803" s="17" t="e">
        <f t="shared" si="291"/>
        <v>#DIV/0!</v>
      </c>
      <c r="Y1803" s="19" t="e">
        <f t="shared" si="292"/>
        <v>#DIV/0!</v>
      </c>
      <c r="Z1803">
        <v>0</v>
      </c>
      <c r="AA1803">
        <v>0</v>
      </c>
      <c r="AB1803">
        <v>0</v>
      </c>
      <c r="AC1803">
        <v>0</v>
      </c>
      <c r="AD1803">
        <v>181</v>
      </c>
      <c r="AE1803">
        <v>0</v>
      </c>
      <c r="AF1803">
        <v>0</v>
      </c>
      <c r="AG1803">
        <v>0</v>
      </c>
      <c r="AH1803">
        <v>181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f t="shared" si="293"/>
        <v>362</v>
      </c>
      <c r="BF1803">
        <v>181</v>
      </c>
      <c r="BG1803">
        <v>181</v>
      </c>
      <c r="BH1803" t="s">
        <v>109</v>
      </c>
      <c r="BI1803" t="s">
        <v>326</v>
      </c>
      <c r="BJ1803">
        <v>0</v>
      </c>
      <c r="BK1803">
        <v>181</v>
      </c>
      <c r="BL1803">
        <v>181</v>
      </c>
      <c r="BM1803">
        <v>181</v>
      </c>
      <c r="BN1803">
        <v>0</v>
      </c>
      <c r="BO1803">
        <v>0</v>
      </c>
      <c r="BP1803">
        <v>0</v>
      </c>
      <c r="BQ1803">
        <v>181</v>
      </c>
      <c r="BR1803">
        <f t="shared" si="294"/>
        <v>-257</v>
      </c>
      <c r="BS1803">
        <f t="shared" si="295"/>
        <v>257</v>
      </c>
    </row>
    <row r="1804" spans="1:74" x14ac:dyDescent="0.25">
      <c r="A1804" s="5" t="s">
        <v>1451</v>
      </c>
      <c r="B1804" s="5" t="s">
        <v>207</v>
      </c>
      <c r="C1804" s="5" t="s">
        <v>61</v>
      </c>
      <c r="D1804" s="1" t="s">
        <v>100</v>
      </c>
      <c r="E1804">
        <v>0</v>
      </c>
      <c r="F1804">
        <v>7266</v>
      </c>
      <c r="G1804">
        <v>0</v>
      </c>
      <c r="H1804">
        <v>0</v>
      </c>
      <c r="I1804">
        <v>400</v>
      </c>
      <c r="J1804">
        <v>4260</v>
      </c>
      <c r="K1804">
        <v>550</v>
      </c>
      <c r="L1804">
        <v>250</v>
      </c>
      <c r="M1804">
        <v>0</v>
      </c>
      <c r="N1804">
        <v>0</v>
      </c>
      <c r="O1804">
        <v>0</v>
      </c>
      <c r="P1804">
        <v>4185</v>
      </c>
      <c r="Q1804">
        <v>722</v>
      </c>
      <c r="R1804">
        <v>465</v>
      </c>
      <c r="S1804" s="18">
        <f t="shared" si="286"/>
        <v>9</v>
      </c>
      <c r="T1804" s="17">
        <f t="shared" si="287"/>
        <v>0</v>
      </c>
      <c r="U1804" s="17">
        <f t="shared" si="288"/>
        <v>0</v>
      </c>
      <c r="V1804" s="17">
        <f t="shared" si="289"/>
        <v>0</v>
      </c>
      <c r="W1804" s="17">
        <f t="shared" si="290"/>
        <v>465</v>
      </c>
      <c r="X1804" s="17">
        <f t="shared" si="291"/>
        <v>257</v>
      </c>
      <c r="Y1804" s="19">
        <f t="shared" si="292"/>
        <v>0</v>
      </c>
      <c r="Z1804">
        <v>7266</v>
      </c>
      <c r="AA1804">
        <v>25</v>
      </c>
      <c r="AB1804">
        <v>250</v>
      </c>
      <c r="AC1804">
        <v>2200</v>
      </c>
      <c r="AD1804">
        <v>0</v>
      </c>
      <c r="AE1804">
        <v>0</v>
      </c>
      <c r="AF1804">
        <v>0</v>
      </c>
      <c r="AG1804">
        <v>400</v>
      </c>
      <c r="AH1804">
        <v>400</v>
      </c>
      <c r="AI1804">
        <v>0</v>
      </c>
      <c r="AJ1804">
        <v>0</v>
      </c>
      <c r="AK1804">
        <v>4260</v>
      </c>
      <c r="AL1804">
        <v>4260</v>
      </c>
      <c r="AM1804">
        <v>0</v>
      </c>
      <c r="AN1804">
        <v>0</v>
      </c>
      <c r="AO1804">
        <v>550</v>
      </c>
      <c r="AP1804">
        <v>0</v>
      </c>
      <c r="AQ1804">
        <v>550</v>
      </c>
      <c r="AR1804">
        <v>550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250</v>
      </c>
      <c r="BA1804">
        <v>250</v>
      </c>
      <c r="BB1804">
        <v>0</v>
      </c>
      <c r="BC1804">
        <v>0</v>
      </c>
      <c r="BD1804">
        <v>0</v>
      </c>
      <c r="BE1804">
        <f t="shared" si="293"/>
        <v>13670</v>
      </c>
      <c r="BF1804">
        <v>15201</v>
      </c>
      <c r="BG1804">
        <v>15201</v>
      </c>
      <c r="BH1804" t="s">
        <v>82</v>
      </c>
      <c r="BI1804" t="s">
        <v>1548</v>
      </c>
      <c r="BJ1804">
        <v>2475</v>
      </c>
      <c r="BK1804">
        <v>5460</v>
      </c>
      <c r="BL1804">
        <v>15201</v>
      </c>
      <c r="BM1804">
        <v>0</v>
      </c>
      <c r="BN1804">
        <v>0</v>
      </c>
      <c r="BO1804">
        <v>0</v>
      </c>
      <c r="BP1804">
        <v>9645</v>
      </c>
      <c r="BQ1804">
        <v>9645</v>
      </c>
      <c r="BR1804">
        <f t="shared" si="294"/>
        <v>-257</v>
      </c>
      <c r="BS1804">
        <f t="shared" si="295"/>
        <v>1187</v>
      </c>
    </row>
    <row r="1805" spans="1:74" x14ac:dyDescent="0.25">
      <c r="A1805" s="5" t="s">
        <v>1661</v>
      </c>
      <c r="B1805" s="5" t="s">
        <v>61</v>
      </c>
      <c r="C1805" s="5" t="s">
        <v>61</v>
      </c>
      <c r="D1805" s="1" t="s">
        <v>79</v>
      </c>
      <c r="E1805">
        <v>0</v>
      </c>
      <c r="F1805">
        <v>310</v>
      </c>
      <c r="G1805">
        <v>0</v>
      </c>
      <c r="H1805">
        <v>0</v>
      </c>
      <c r="I1805">
        <v>289</v>
      </c>
      <c r="J1805">
        <v>3500</v>
      </c>
      <c r="K1805">
        <v>255</v>
      </c>
      <c r="L1805">
        <v>82</v>
      </c>
      <c r="M1805">
        <v>0</v>
      </c>
      <c r="N1805">
        <v>0</v>
      </c>
      <c r="O1805">
        <v>0</v>
      </c>
      <c r="P1805">
        <v>2133</v>
      </c>
      <c r="Q1805">
        <v>494</v>
      </c>
      <c r="R1805">
        <v>237</v>
      </c>
      <c r="S1805" s="18">
        <f t="shared" si="286"/>
        <v>9</v>
      </c>
      <c r="T1805" s="17">
        <f t="shared" si="287"/>
        <v>0</v>
      </c>
      <c r="U1805" s="17">
        <f t="shared" si="288"/>
        <v>0</v>
      </c>
      <c r="V1805" s="17">
        <f t="shared" si="289"/>
        <v>0</v>
      </c>
      <c r="W1805" s="17">
        <f t="shared" si="290"/>
        <v>237</v>
      </c>
      <c r="X1805" s="17">
        <f t="shared" si="291"/>
        <v>257</v>
      </c>
      <c r="Y1805" s="19">
        <f t="shared" si="292"/>
        <v>0</v>
      </c>
      <c r="Z1805">
        <v>310</v>
      </c>
      <c r="AA1805">
        <v>0</v>
      </c>
      <c r="AB1805">
        <v>0</v>
      </c>
      <c r="AC1805">
        <v>2162</v>
      </c>
      <c r="AD1805">
        <v>0</v>
      </c>
      <c r="AE1805">
        <v>0</v>
      </c>
      <c r="AF1805">
        <v>0</v>
      </c>
      <c r="AG1805">
        <v>289</v>
      </c>
      <c r="AH1805">
        <v>289</v>
      </c>
      <c r="AI1805">
        <v>0</v>
      </c>
      <c r="AJ1805">
        <v>0</v>
      </c>
      <c r="AK1805">
        <v>3500</v>
      </c>
      <c r="AL1805">
        <v>3500</v>
      </c>
      <c r="AM1805">
        <v>0</v>
      </c>
      <c r="AN1805">
        <v>0</v>
      </c>
      <c r="AO1805">
        <v>255</v>
      </c>
      <c r="AP1805">
        <v>125</v>
      </c>
      <c r="AQ1805">
        <v>255</v>
      </c>
      <c r="AR1805">
        <v>130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82</v>
      </c>
      <c r="BA1805">
        <v>82</v>
      </c>
      <c r="BB1805">
        <v>0</v>
      </c>
      <c r="BC1805">
        <v>0</v>
      </c>
      <c r="BD1805">
        <v>0</v>
      </c>
      <c r="BE1805">
        <f t="shared" si="293"/>
        <v>10669</v>
      </c>
      <c r="BF1805">
        <v>6598</v>
      </c>
      <c r="BG1805">
        <v>6598</v>
      </c>
      <c r="BH1805" t="s">
        <v>82</v>
      </c>
      <c r="BI1805" t="s">
        <v>1669</v>
      </c>
      <c r="BJ1805">
        <v>2162</v>
      </c>
      <c r="BK1805">
        <v>4126</v>
      </c>
      <c r="BL1805">
        <v>6598</v>
      </c>
      <c r="BM1805">
        <v>0</v>
      </c>
      <c r="BN1805">
        <v>0</v>
      </c>
      <c r="BO1805">
        <v>0</v>
      </c>
      <c r="BP1805">
        <v>6259</v>
      </c>
      <c r="BQ1805">
        <v>6259</v>
      </c>
      <c r="BR1805">
        <f t="shared" si="294"/>
        <v>-257</v>
      </c>
      <c r="BS1805">
        <f t="shared" si="295"/>
        <v>731</v>
      </c>
    </row>
    <row r="1806" spans="1:74" x14ac:dyDescent="0.25">
      <c r="A1806" s="5" t="s">
        <v>61</v>
      </c>
      <c r="B1806" s="5" t="s">
        <v>207</v>
      </c>
      <c r="C1806" s="5" t="s">
        <v>207</v>
      </c>
      <c r="D1806" s="1" t="s">
        <v>67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3220</v>
      </c>
      <c r="K1806">
        <v>1210</v>
      </c>
      <c r="L1806">
        <v>1245</v>
      </c>
      <c r="M1806">
        <v>0</v>
      </c>
      <c r="N1806">
        <v>0</v>
      </c>
      <c r="O1806">
        <v>0</v>
      </c>
      <c r="P1806">
        <v>0</v>
      </c>
      <c r="Q1806">
        <v>199</v>
      </c>
      <c r="R1806">
        <v>0</v>
      </c>
      <c r="S1806" s="18" t="e">
        <f t="shared" si="286"/>
        <v>#DIV/0!</v>
      </c>
      <c r="T1806" s="17" t="e">
        <f t="shared" si="287"/>
        <v>#DIV/0!</v>
      </c>
      <c r="U1806" s="17" t="e">
        <f t="shared" si="288"/>
        <v>#DIV/0!</v>
      </c>
      <c r="V1806" s="17" t="e">
        <f t="shared" si="289"/>
        <v>#DIV/0!</v>
      </c>
      <c r="W1806" s="17" t="e">
        <f t="shared" si="290"/>
        <v>#DIV/0!</v>
      </c>
      <c r="X1806" s="17" t="e">
        <f t="shared" si="291"/>
        <v>#DIV/0!</v>
      </c>
      <c r="Y1806" s="19" t="e">
        <f t="shared" si="292"/>
        <v>#DIV/0!</v>
      </c>
      <c r="Z1806">
        <v>0</v>
      </c>
      <c r="AA1806">
        <v>0</v>
      </c>
      <c r="AB1806">
        <v>0</v>
      </c>
      <c r="AC1806">
        <v>57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3220</v>
      </c>
      <c r="AL1806">
        <v>3220</v>
      </c>
      <c r="AM1806">
        <v>0</v>
      </c>
      <c r="AN1806">
        <v>0</v>
      </c>
      <c r="AO1806">
        <v>1210</v>
      </c>
      <c r="AP1806">
        <v>121</v>
      </c>
      <c r="AQ1806">
        <v>1210</v>
      </c>
      <c r="AR1806">
        <v>1089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1245</v>
      </c>
      <c r="BA1806">
        <v>1245</v>
      </c>
      <c r="BB1806">
        <v>0</v>
      </c>
      <c r="BC1806">
        <v>0</v>
      </c>
      <c r="BD1806">
        <v>0</v>
      </c>
      <c r="BE1806">
        <f t="shared" si="293"/>
        <v>12617</v>
      </c>
      <c r="BF1806">
        <v>5732</v>
      </c>
      <c r="BG1806">
        <v>5732</v>
      </c>
      <c r="BH1806" t="s">
        <v>63</v>
      </c>
      <c r="BI1806" t="s">
        <v>281</v>
      </c>
      <c r="BJ1806">
        <v>57</v>
      </c>
      <c r="BK1806">
        <v>5675</v>
      </c>
      <c r="BL1806">
        <v>5732</v>
      </c>
      <c r="BM1806">
        <v>0</v>
      </c>
      <c r="BN1806">
        <v>0</v>
      </c>
      <c r="BO1806">
        <v>0</v>
      </c>
      <c r="BP1806">
        <v>5675</v>
      </c>
      <c r="BQ1806">
        <v>5675</v>
      </c>
      <c r="BR1806">
        <f t="shared" si="294"/>
        <v>-199</v>
      </c>
      <c r="BS1806">
        <f t="shared" si="295"/>
        <v>199</v>
      </c>
      <c r="BU1806">
        <f>R1806*9</f>
        <v>0</v>
      </c>
      <c r="BV1806">
        <f>IF(BU1806&gt;BG1806, 1, 0)</f>
        <v>0</v>
      </c>
    </row>
    <row r="1807" spans="1:74" x14ac:dyDescent="0.25">
      <c r="A1807" s="5" t="s">
        <v>1661</v>
      </c>
      <c r="B1807" s="5" t="s">
        <v>61</v>
      </c>
      <c r="C1807" s="5" t="s">
        <v>61</v>
      </c>
      <c r="D1807" s="1" t="s">
        <v>102</v>
      </c>
      <c r="E1807">
        <v>0</v>
      </c>
      <c r="F1807">
        <v>0</v>
      </c>
      <c r="G1807">
        <v>0</v>
      </c>
      <c r="H1807">
        <v>0</v>
      </c>
      <c r="I1807">
        <v>77</v>
      </c>
      <c r="J1807">
        <v>2834</v>
      </c>
      <c r="K1807">
        <v>567</v>
      </c>
      <c r="L1807">
        <v>145</v>
      </c>
      <c r="M1807">
        <v>0</v>
      </c>
      <c r="N1807">
        <v>0</v>
      </c>
      <c r="O1807">
        <v>0</v>
      </c>
      <c r="P1807">
        <v>0</v>
      </c>
      <c r="Q1807">
        <v>258</v>
      </c>
      <c r="R1807">
        <v>0</v>
      </c>
      <c r="S1807" s="18" t="e">
        <f t="shared" si="286"/>
        <v>#DIV/0!</v>
      </c>
      <c r="T1807" s="17" t="e">
        <f t="shared" si="287"/>
        <v>#DIV/0!</v>
      </c>
      <c r="U1807" s="17" t="e">
        <f t="shared" si="288"/>
        <v>#DIV/0!</v>
      </c>
      <c r="V1807" s="17" t="e">
        <f t="shared" si="289"/>
        <v>#DIV/0!</v>
      </c>
      <c r="W1807" s="17" t="e">
        <f t="shared" si="290"/>
        <v>#DIV/0!</v>
      </c>
      <c r="X1807" s="17" t="e">
        <f t="shared" si="291"/>
        <v>#DIV/0!</v>
      </c>
      <c r="Y1807" s="19" t="e">
        <f t="shared" si="292"/>
        <v>#DIV/0!</v>
      </c>
      <c r="Z1807">
        <v>0</v>
      </c>
      <c r="AA1807">
        <v>6</v>
      </c>
      <c r="AB1807">
        <v>165</v>
      </c>
      <c r="AC1807">
        <v>2806</v>
      </c>
      <c r="AD1807">
        <v>0</v>
      </c>
      <c r="AE1807">
        <v>0</v>
      </c>
      <c r="AF1807">
        <v>0</v>
      </c>
      <c r="AG1807">
        <v>77</v>
      </c>
      <c r="AH1807">
        <v>77</v>
      </c>
      <c r="AI1807">
        <v>0</v>
      </c>
      <c r="AJ1807">
        <v>0</v>
      </c>
      <c r="AK1807">
        <v>2834</v>
      </c>
      <c r="AL1807">
        <v>2834</v>
      </c>
      <c r="AM1807">
        <v>0</v>
      </c>
      <c r="AN1807">
        <v>0</v>
      </c>
      <c r="AO1807">
        <v>567</v>
      </c>
      <c r="AP1807">
        <v>212</v>
      </c>
      <c r="AQ1807">
        <v>567</v>
      </c>
      <c r="AR1807">
        <v>355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145</v>
      </c>
      <c r="BA1807">
        <v>145</v>
      </c>
      <c r="BB1807">
        <v>0</v>
      </c>
      <c r="BC1807">
        <v>0</v>
      </c>
      <c r="BD1807">
        <v>0</v>
      </c>
      <c r="BE1807">
        <f t="shared" si="293"/>
        <v>10619</v>
      </c>
      <c r="BF1807">
        <v>6600</v>
      </c>
      <c r="BG1807">
        <v>6600</v>
      </c>
      <c r="BH1807" t="s">
        <v>82</v>
      </c>
      <c r="BI1807" t="s">
        <v>1677</v>
      </c>
      <c r="BJ1807">
        <v>2977</v>
      </c>
      <c r="BK1807">
        <v>3623</v>
      </c>
      <c r="BL1807">
        <v>6600</v>
      </c>
      <c r="BM1807">
        <v>0</v>
      </c>
      <c r="BN1807">
        <v>0</v>
      </c>
      <c r="BO1807">
        <v>0</v>
      </c>
      <c r="BP1807">
        <v>3623</v>
      </c>
      <c r="BQ1807">
        <v>3623</v>
      </c>
      <c r="BR1807">
        <f t="shared" si="294"/>
        <v>-258</v>
      </c>
      <c r="BS1807">
        <f t="shared" si="295"/>
        <v>258</v>
      </c>
    </row>
    <row r="1808" spans="1:74" x14ac:dyDescent="0.25">
      <c r="A1808" s="5" t="s">
        <v>1451</v>
      </c>
      <c r="B1808" s="6" t="s">
        <v>359</v>
      </c>
      <c r="C1808" s="6" t="s">
        <v>61</v>
      </c>
      <c r="D1808" s="1" t="s">
        <v>81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6508</v>
      </c>
      <c r="K1808">
        <v>470</v>
      </c>
      <c r="L1808">
        <v>302</v>
      </c>
      <c r="M1808">
        <v>0</v>
      </c>
      <c r="N1808">
        <v>0</v>
      </c>
      <c r="O1808">
        <v>0</v>
      </c>
      <c r="P1808">
        <v>0</v>
      </c>
      <c r="Q1808">
        <v>202</v>
      </c>
      <c r="R1808">
        <v>0</v>
      </c>
      <c r="S1808" s="18" t="e">
        <f t="shared" si="286"/>
        <v>#DIV/0!</v>
      </c>
      <c r="T1808" s="17" t="e">
        <f t="shared" si="287"/>
        <v>#DIV/0!</v>
      </c>
      <c r="U1808" s="17" t="e">
        <f t="shared" si="288"/>
        <v>#DIV/0!</v>
      </c>
      <c r="V1808" s="17" t="e">
        <f t="shared" si="289"/>
        <v>#DIV/0!</v>
      </c>
      <c r="W1808" s="17" t="e">
        <f t="shared" si="290"/>
        <v>#DIV/0!</v>
      </c>
      <c r="X1808" s="17" t="e">
        <f t="shared" si="291"/>
        <v>#DIV/0!</v>
      </c>
      <c r="Y1808" s="19" t="e">
        <f t="shared" si="292"/>
        <v>#DIV/0!</v>
      </c>
      <c r="Z1808">
        <v>0</v>
      </c>
      <c r="AA1808">
        <v>0</v>
      </c>
      <c r="AB1808">
        <v>0</v>
      </c>
      <c r="AC1808">
        <v>120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4880</v>
      </c>
      <c r="AK1808">
        <v>1628</v>
      </c>
      <c r="AL1808">
        <v>6508</v>
      </c>
      <c r="AM1808">
        <v>0</v>
      </c>
      <c r="AN1808">
        <v>330</v>
      </c>
      <c r="AO1808">
        <v>140</v>
      </c>
      <c r="AP1808">
        <v>75</v>
      </c>
      <c r="AQ1808">
        <v>470</v>
      </c>
      <c r="AR1808">
        <v>395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237</v>
      </c>
      <c r="AZ1808">
        <v>65</v>
      </c>
      <c r="BA1808">
        <v>302</v>
      </c>
      <c r="BB1808">
        <v>0</v>
      </c>
      <c r="BC1808">
        <v>0</v>
      </c>
      <c r="BD1808">
        <v>0</v>
      </c>
      <c r="BE1808">
        <f t="shared" si="293"/>
        <v>15150</v>
      </c>
      <c r="BF1808">
        <v>7400</v>
      </c>
      <c r="BG1808">
        <v>7400</v>
      </c>
      <c r="BH1808" t="s">
        <v>63</v>
      </c>
      <c r="BI1808" t="s">
        <v>1610</v>
      </c>
      <c r="BJ1808">
        <v>120</v>
      </c>
      <c r="BK1808">
        <v>7280</v>
      </c>
      <c r="BL1808">
        <v>7400</v>
      </c>
      <c r="BM1808">
        <v>0</v>
      </c>
      <c r="BN1808">
        <v>5447</v>
      </c>
      <c r="BO1808">
        <v>0</v>
      </c>
      <c r="BP1808">
        <v>1833</v>
      </c>
      <c r="BQ1808">
        <v>7280</v>
      </c>
      <c r="BR1808">
        <f t="shared" si="294"/>
        <v>-202</v>
      </c>
      <c r="BS1808">
        <f t="shared" si="295"/>
        <v>202</v>
      </c>
      <c r="BU1808">
        <f>R1808*9</f>
        <v>0</v>
      </c>
      <c r="BV1808">
        <f>IF(BU1808&gt;BG1808, 1, 0)</f>
        <v>0</v>
      </c>
    </row>
    <row r="1809" spans="1:74" x14ac:dyDescent="0.25">
      <c r="A1809" s="5" t="s">
        <v>1337</v>
      </c>
      <c r="B1809" s="7" t="s">
        <v>61</v>
      </c>
      <c r="C1809" s="7" t="s">
        <v>61</v>
      </c>
      <c r="D1809" s="1" t="s">
        <v>94</v>
      </c>
      <c r="E1809">
        <v>0</v>
      </c>
      <c r="F1809">
        <v>74</v>
      </c>
      <c r="G1809">
        <v>0</v>
      </c>
      <c r="H1809">
        <v>0</v>
      </c>
      <c r="I1809">
        <v>1500</v>
      </c>
      <c r="J1809">
        <v>0</v>
      </c>
      <c r="K1809">
        <v>45</v>
      </c>
      <c r="L1809">
        <v>0</v>
      </c>
      <c r="M1809">
        <v>0</v>
      </c>
      <c r="N1809">
        <v>0</v>
      </c>
      <c r="O1809">
        <v>0</v>
      </c>
      <c r="P1809">
        <v>666</v>
      </c>
      <c r="Q1809">
        <v>333</v>
      </c>
      <c r="R1809">
        <v>74</v>
      </c>
      <c r="S1809" s="18">
        <f t="shared" si="286"/>
        <v>9</v>
      </c>
      <c r="T1809" s="17">
        <f t="shared" si="287"/>
        <v>0</v>
      </c>
      <c r="U1809" s="17">
        <f t="shared" si="288"/>
        <v>0</v>
      </c>
      <c r="V1809" s="17">
        <f t="shared" si="289"/>
        <v>0</v>
      </c>
      <c r="W1809" s="17">
        <f t="shared" si="290"/>
        <v>74</v>
      </c>
      <c r="X1809" s="17">
        <f t="shared" si="291"/>
        <v>259</v>
      </c>
      <c r="Y1809" s="19">
        <f t="shared" si="292"/>
        <v>0</v>
      </c>
      <c r="Z1809">
        <v>74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1500</v>
      </c>
      <c r="AH1809">
        <v>1500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45</v>
      </c>
      <c r="AP1809">
        <v>0</v>
      </c>
      <c r="AQ1809">
        <v>45</v>
      </c>
      <c r="AR1809">
        <v>45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f t="shared" si="293"/>
        <v>3135</v>
      </c>
      <c r="BF1809">
        <v>1619</v>
      </c>
      <c r="BG1809">
        <v>1619</v>
      </c>
      <c r="BH1809" t="s">
        <v>109</v>
      </c>
      <c r="BI1809" t="s">
        <v>1351</v>
      </c>
      <c r="BJ1809">
        <v>0</v>
      </c>
      <c r="BK1809">
        <v>1545</v>
      </c>
      <c r="BL1809">
        <v>1619</v>
      </c>
      <c r="BM1809">
        <v>0</v>
      </c>
      <c r="BN1809">
        <v>0</v>
      </c>
      <c r="BO1809">
        <v>0</v>
      </c>
      <c r="BP1809">
        <v>2211</v>
      </c>
      <c r="BQ1809">
        <v>2211</v>
      </c>
      <c r="BR1809">
        <f t="shared" si="294"/>
        <v>-259</v>
      </c>
      <c r="BS1809">
        <f t="shared" si="295"/>
        <v>407</v>
      </c>
    </row>
    <row r="1810" spans="1:74" x14ac:dyDescent="0.25">
      <c r="A1810" s="5" t="s">
        <v>1946</v>
      </c>
      <c r="B1810" s="5" t="s">
        <v>207</v>
      </c>
      <c r="C1810" s="5" t="s">
        <v>207</v>
      </c>
      <c r="D1810" s="1" t="s">
        <v>73</v>
      </c>
      <c r="E1810">
        <v>0</v>
      </c>
      <c r="F1810">
        <v>0</v>
      </c>
      <c r="G1810">
        <v>0</v>
      </c>
      <c r="H1810">
        <v>0</v>
      </c>
      <c r="I1810">
        <v>1680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202</v>
      </c>
      <c r="R1810">
        <v>0</v>
      </c>
      <c r="S1810" s="18" t="e">
        <f t="shared" si="286"/>
        <v>#DIV/0!</v>
      </c>
      <c r="T1810" s="17" t="e">
        <f t="shared" si="287"/>
        <v>#DIV/0!</v>
      </c>
      <c r="U1810" s="17" t="e">
        <f t="shared" si="288"/>
        <v>#DIV/0!</v>
      </c>
      <c r="V1810" s="17" t="e">
        <f t="shared" si="289"/>
        <v>#DIV/0!</v>
      </c>
      <c r="W1810" s="17" t="e">
        <f t="shared" si="290"/>
        <v>#DIV/0!</v>
      </c>
      <c r="X1810" s="17" t="e">
        <f t="shared" si="291"/>
        <v>#DIV/0!</v>
      </c>
      <c r="Y1810" s="19" t="e">
        <f t="shared" si="292"/>
        <v>#DIV/0!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1680</v>
      </c>
      <c r="AH1810">
        <v>1680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f t="shared" si="293"/>
        <v>3360</v>
      </c>
      <c r="BF1810">
        <v>1680</v>
      </c>
      <c r="BG1810">
        <v>1680</v>
      </c>
      <c r="BH1810" t="s">
        <v>63</v>
      </c>
      <c r="BI1810" t="s">
        <v>1953</v>
      </c>
      <c r="BJ1810">
        <v>0</v>
      </c>
      <c r="BK1810">
        <v>1680</v>
      </c>
      <c r="BL1810">
        <v>1680</v>
      </c>
      <c r="BM1810">
        <v>0</v>
      </c>
      <c r="BN1810">
        <v>0</v>
      </c>
      <c r="BO1810">
        <v>0</v>
      </c>
      <c r="BP1810">
        <v>1680</v>
      </c>
      <c r="BQ1810">
        <v>1680</v>
      </c>
      <c r="BR1810">
        <f t="shared" si="294"/>
        <v>-202</v>
      </c>
      <c r="BS1810">
        <f t="shared" si="295"/>
        <v>202</v>
      </c>
      <c r="BU1810">
        <f>R1810*9</f>
        <v>0</v>
      </c>
      <c r="BV1810">
        <f>IF(BU1810&gt;BG1810, 1, 0)</f>
        <v>0</v>
      </c>
    </row>
    <row r="1811" spans="1:74" x14ac:dyDescent="0.25">
      <c r="A1811" s="5" t="s">
        <v>1661</v>
      </c>
      <c r="B1811" s="5" t="s">
        <v>207</v>
      </c>
      <c r="C1811" s="5" t="s">
        <v>207</v>
      </c>
      <c r="D1811" s="1" t="s">
        <v>189</v>
      </c>
      <c r="E1811">
        <v>200</v>
      </c>
      <c r="F1811">
        <v>10</v>
      </c>
      <c r="G1811">
        <v>0</v>
      </c>
      <c r="H1811">
        <v>0</v>
      </c>
      <c r="I1811">
        <v>120</v>
      </c>
      <c r="J1811">
        <v>2847</v>
      </c>
      <c r="K1811">
        <v>304</v>
      </c>
      <c r="L1811">
        <v>69</v>
      </c>
      <c r="M1811">
        <v>0</v>
      </c>
      <c r="N1811">
        <v>0</v>
      </c>
      <c r="O1811">
        <v>0</v>
      </c>
      <c r="P1811">
        <v>369</v>
      </c>
      <c r="Q1811">
        <v>300</v>
      </c>
      <c r="R1811">
        <v>41</v>
      </c>
      <c r="S1811" s="18">
        <f t="shared" si="286"/>
        <v>9</v>
      </c>
      <c r="T1811" s="17">
        <f t="shared" si="287"/>
        <v>0</v>
      </c>
      <c r="U1811" s="17">
        <f t="shared" si="288"/>
        <v>0</v>
      </c>
      <c r="V1811" s="17">
        <f t="shared" si="289"/>
        <v>0</v>
      </c>
      <c r="W1811" s="17">
        <f t="shared" si="290"/>
        <v>41</v>
      </c>
      <c r="X1811" s="17">
        <f t="shared" si="291"/>
        <v>259</v>
      </c>
      <c r="Y1811" s="19">
        <f t="shared" si="292"/>
        <v>0</v>
      </c>
      <c r="Z1811">
        <v>10</v>
      </c>
      <c r="AA1811">
        <v>6</v>
      </c>
      <c r="AB1811">
        <v>320</v>
      </c>
      <c r="AC1811">
        <v>4141</v>
      </c>
      <c r="AD1811">
        <v>0</v>
      </c>
      <c r="AE1811">
        <v>0</v>
      </c>
      <c r="AF1811">
        <v>0</v>
      </c>
      <c r="AG1811">
        <v>120</v>
      </c>
      <c r="AH1811">
        <v>120</v>
      </c>
      <c r="AI1811">
        <v>0</v>
      </c>
      <c r="AJ1811">
        <v>0</v>
      </c>
      <c r="AK1811">
        <v>2847</v>
      </c>
      <c r="AL1811">
        <v>2847</v>
      </c>
      <c r="AM1811">
        <v>0</v>
      </c>
      <c r="AN1811">
        <v>0</v>
      </c>
      <c r="AO1811">
        <v>304</v>
      </c>
      <c r="AP1811">
        <v>258</v>
      </c>
      <c r="AQ1811">
        <v>304</v>
      </c>
      <c r="AR1811">
        <v>60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69</v>
      </c>
      <c r="BA1811">
        <v>69</v>
      </c>
      <c r="BB1811">
        <v>0</v>
      </c>
      <c r="BC1811">
        <v>0</v>
      </c>
      <c r="BD1811">
        <v>0</v>
      </c>
      <c r="BE1811">
        <f t="shared" si="293"/>
        <v>11139</v>
      </c>
      <c r="BF1811">
        <v>8017</v>
      </c>
      <c r="BG1811">
        <v>8017</v>
      </c>
      <c r="BH1811" t="s">
        <v>82</v>
      </c>
      <c r="BI1811" t="s">
        <v>1850</v>
      </c>
      <c r="BJ1811">
        <v>4667</v>
      </c>
      <c r="BK1811">
        <v>3340</v>
      </c>
      <c r="BL1811">
        <v>8017</v>
      </c>
      <c r="BM1811">
        <v>0</v>
      </c>
      <c r="BN1811">
        <v>0</v>
      </c>
      <c r="BO1811">
        <v>0</v>
      </c>
      <c r="BP1811">
        <v>3709</v>
      </c>
      <c r="BQ1811">
        <v>3709</v>
      </c>
      <c r="BR1811">
        <f t="shared" si="294"/>
        <v>-259</v>
      </c>
      <c r="BS1811">
        <f t="shared" si="295"/>
        <v>341</v>
      </c>
    </row>
    <row r="1812" spans="1:74" x14ac:dyDescent="0.25">
      <c r="A1812" s="5" t="s">
        <v>1946</v>
      </c>
      <c r="B1812" s="5" t="s">
        <v>207</v>
      </c>
      <c r="C1812" s="5" t="s">
        <v>61</v>
      </c>
      <c r="D1812" s="1" t="s">
        <v>81</v>
      </c>
      <c r="E1812">
        <v>0</v>
      </c>
      <c r="F1812">
        <v>0</v>
      </c>
      <c r="G1812">
        <v>0</v>
      </c>
      <c r="H1812">
        <v>0</v>
      </c>
      <c r="I1812">
        <v>980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259</v>
      </c>
      <c r="R1812">
        <v>0</v>
      </c>
      <c r="S1812" s="18" t="e">
        <f t="shared" si="286"/>
        <v>#DIV/0!</v>
      </c>
      <c r="T1812" s="17" t="e">
        <f t="shared" si="287"/>
        <v>#DIV/0!</v>
      </c>
      <c r="U1812" s="17" t="e">
        <f t="shared" si="288"/>
        <v>#DIV/0!</v>
      </c>
      <c r="V1812" s="17" t="e">
        <f t="shared" si="289"/>
        <v>#DIV/0!</v>
      </c>
      <c r="W1812" s="17" t="e">
        <f t="shared" si="290"/>
        <v>#DIV/0!</v>
      </c>
      <c r="X1812" s="17" t="e">
        <f t="shared" si="291"/>
        <v>#DIV/0!</v>
      </c>
      <c r="Y1812" s="19" t="e">
        <f t="shared" si="292"/>
        <v>#DIV/0!</v>
      </c>
      <c r="Z1812">
        <v>0</v>
      </c>
      <c r="AA1812">
        <v>0</v>
      </c>
      <c r="AB1812">
        <v>0</v>
      </c>
      <c r="AC1812">
        <v>60</v>
      </c>
      <c r="AD1812">
        <v>980</v>
      </c>
      <c r="AE1812">
        <v>0</v>
      </c>
      <c r="AF1812">
        <v>0</v>
      </c>
      <c r="AG1812">
        <v>0</v>
      </c>
      <c r="AH1812">
        <v>980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f t="shared" si="293"/>
        <v>2020</v>
      </c>
      <c r="BF1812">
        <v>1040</v>
      </c>
      <c r="BG1812">
        <v>1040</v>
      </c>
      <c r="BH1812" t="s">
        <v>109</v>
      </c>
      <c r="BI1812" t="s">
        <v>2018</v>
      </c>
      <c r="BJ1812">
        <v>60</v>
      </c>
      <c r="BK1812">
        <v>980</v>
      </c>
      <c r="BL1812">
        <v>1040</v>
      </c>
      <c r="BM1812">
        <v>980</v>
      </c>
      <c r="BN1812">
        <v>0</v>
      </c>
      <c r="BO1812">
        <v>0</v>
      </c>
      <c r="BP1812">
        <v>0</v>
      </c>
      <c r="BQ1812">
        <v>980</v>
      </c>
      <c r="BR1812">
        <f t="shared" si="294"/>
        <v>-259</v>
      </c>
      <c r="BS1812">
        <f t="shared" si="295"/>
        <v>259</v>
      </c>
    </row>
    <row r="1813" spans="1:74" x14ac:dyDescent="0.25">
      <c r="A1813" s="5" t="s">
        <v>207</v>
      </c>
      <c r="B1813" s="5" t="s">
        <v>61</v>
      </c>
      <c r="C1813" s="5" t="s">
        <v>207</v>
      </c>
      <c r="D1813" s="1" t="s">
        <v>135</v>
      </c>
      <c r="E1813">
        <v>9</v>
      </c>
      <c r="F1813">
        <v>0</v>
      </c>
      <c r="G1813">
        <v>0</v>
      </c>
      <c r="H1813">
        <v>0</v>
      </c>
      <c r="I1813">
        <v>20</v>
      </c>
      <c r="J1813">
        <v>3100</v>
      </c>
      <c r="K1813">
        <v>203</v>
      </c>
      <c r="L1813">
        <v>60</v>
      </c>
      <c r="M1813">
        <v>0</v>
      </c>
      <c r="N1813">
        <v>0</v>
      </c>
      <c r="O1813">
        <v>0</v>
      </c>
      <c r="P1813">
        <v>0</v>
      </c>
      <c r="Q1813">
        <v>260</v>
      </c>
      <c r="R1813">
        <v>0</v>
      </c>
      <c r="S1813" s="18" t="e">
        <f t="shared" si="286"/>
        <v>#DIV/0!</v>
      </c>
      <c r="T1813" s="17" t="e">
        <f t="shared" si="287"/>
        <v>#DIV/0!</v>
      </c>
      <c r="U1813" s="17" t="e">
        <f t="shared" si="288"/>
        <v>#DIV/0!</v>
      </c>
      <c r="V1813" s="17" t="e">
        <f t="shared" si="289"/>
        <v>#DIV/0!</v>
      </c>
      <c r="W1813" s="17" t="e">
        <f t="shared" si="290"/>
        <v>#DIV/0!</v>
      </c>
      <c r="X1813" s="17" t="e">
        <f t="shared" si="291"/>
        <v>#DIV/0!</v>
      </c>
      <c r="Y1813" s="19" t="e">
        <f t="shared" si="292"/>
        <v>#DIV/0!</v>
      </c>
      <c r="Z1813">
        <v>0</v>
      </c>
      <c r="AA1813">
        <v>89</v>
      </c>
      <c r="AB1813">
        <v>156</v>
      </c>
      <c r="AC1813">
        <v>4360</v>
      </c>
      <c r="AD1813">
        <v>0</v>
      </c>
      <c r="AE1813">
        <v>0</v>
      </c>
      <c r="AF1813">
        <v>0</v>
      </c>
      <c r="AG1813">
        <v>20</v>
      </c>
      <c r="AH1813">
        <v>20</v>
      </c>
      <c r="AI1813">
        <v>0</v>
      </c>
      <c r="AJ1813">
        <v>0</v>
      </c>
      <c r="AK1813">
        <v>3100</v>
      </c>
      <c r="AL1813">
        <v>3100</v>
      </c>
      <c r="AM1813">
        <v>0</v>
      </c>
      <c r="AN1813">
        <v>0</v>
      </c>
      <c r="AO1813">
        <v>203</v>
      </c>
      <c r="AP1813">
        <v>0</v>
      </c>
      <c r="AQ1813">
        <v>203</v>
      </c>
      <c r="AR1813">
        <v>203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60</v>
      </c>
      <c r="BA1813">
        <v>60</v>
      </c>
      <c r="BB1813">
        <v>0</v>
      </c>
      <c r="BC1813">
        <v>0</v>
      </c>
      <c r="BD1813">
        <v>0</v>
      </c>
      <c r="BE1813">
        <f t="shared" si="293"/>
        <v>11329</v>
      </c>
      <c r="BF1813">
        <v>7997</v>
      </c>
      <c r="BG1813">
        <v>7997</v>
      </c>
      <c r="BH1813" t="s">
        <v>82</v>
      </c>
      <c r="BI1813" t="s">
        <v>497</v>
      </c>
      <c r="BJ1813">
        <v>4614</v>
      </c>
      <c r="BK1813">
        <v>3383</v>
      </c>
      <c r="BL1813">
        <v>7997</v>
      </c>
      <c r="BM1813">
        <v>0</v>
      </c>
      <c r="BN1813">
        <v>0</v>
      </c>
      <c r="BO1813">
        <v>0</v>
      </c>
      <c r="BP1813">
        <v>3383</v>
      </c>
      <c r="BQ1813">
        <v>3383</v>
      </c>
      <c r="BR1813">
        <f t="shared" si="294"/>
        <v>-260</v>
      </c>
      <c r="BS1813">
        <f t="shared" si="295"/>
        <v>260</v>
      </c>
    </row>
    <row r="1814" spans="1:74" x14ac:dyDescent="0.25">
      <c r="A1814" s="5" t="s">
        <v>207</v>
      </c>
      <c r="B1814" s="5" t="s">
        <v>61</v>
      </c>
      <c r="C1814" s="5" t="s">
        <v>359</v>
      </c>
      <c r="D1814" s="1" t="s">
        <v>135</v>
      </c>
      <c r="E1814">
        <v>0</v>
      </c>
      <c r="F1814">
        <v>15</v>
      </c>
      <c r="G1814">
        <v>0</v>
      </c>
      <c r="H1814">
        <v>0</v>
      </c>
      <c r="I1814">
        <v>125</v>
      </c>
      <c r="J1814">
        <v>3800</v>
      </c>
      <c r="K1814">
        <v>111</v>
      </c>
      <c r="L1814">
        <v>212</v>
      </c>
      <c r="M1814">
        <v>0</v>
      </c>
      <c r="N1814">
        <v>0</v>
      </c>
      <c r="O1814">
        <v>0</v>
      </c>
      <c r="P1814">
        <v>135</v>
      </c>
      <c r="Q1814">
        <v>275</v>
      </c>
      <c r="R1814">
        <v>15</v>
      </c>
      <c r="S1814" s="18">
        <f t="shared" si="286"/>
        <v>9</v>
      </c>
      <c r="T1814" s="17">
        <f t="shared" si="287"/>
        <v>0</v>
      </c>
      <c r="U1814" s="17">
        <f t="shared" si="288"/>
        <v>0</v>
      </c>
      <c r="V1814" s="17">
        <f t="shared" si="289"/>
        <v>0</v>
      </c>
      <c r="W1814" s="17">
        <f t="shared" si="290"/>
        <v>15</v>
      </c>
      <c r="X1814" s="17">
        <f t="shared" si="291"/>
        <v>260</v>
      </c>
      <c r="Y1814" s="19">
        <f t="shared" si="292"/>
        <v>0</v>
      </c>
      <c r="Z1814">
        <v>15</v>
      </c>
      <c r="AA1814">
        <v>4</v>
      </c>
      <c r="AB1814">
        <v>500</v>
      </c>
      <c r="AC1814">
        <v>2000</v>
      </c>
      <c r="AD1814">
        <v>0</v>
      </c>
      <c r="AE1814">
        <v>0</v>
      </c>
      <c r="AF1814">
        <v>0</v>
      </c>
      <c r="AG1814">
        <v>125</v>
      </c>
      <c r="AH1814">
        <v>125</v>
      </c>
      <c r="AI1814">
        <v>0</v>
      </c>
      <c r="AJ1814">
        <v>0</v>
      </c>
      <c r="AK1814">
        <v>3800</v>
      </c>
      <c r="AL1814">
        <v>3800</v>
      </c>
      <c r="AM1814">
        <v>0</v>
      </c>
      <c r="AN1814">
        <v>0</v>
      </c>
      <c r="AO1814">
        <v>111</v>
      </c>
      <c r="AP1814">
        <v>0</v>
      </c>
      <c r="AQ1814">
        <v>111</v>
      </c>
      <c r="AR1814">
        <v>111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212</v>
      </c>
      <c r="BA1814">
        <v>212</v>
      </c>
      <c r="BB1814">
        <v>0</v>
      </c>
      <c r="BC1814">
        <v>0</v>
      </c>
      <c r="BD1814">
        <v>0</v>
      </c>
      <c r="BE1814">
        <f t="shared" si="293"/>
        <v>10607</v>
      </c>
      <c r="BF1814">
        <v>6767</v>
      </c>
      <c r="BG1814">
        <v>6767</v>
      </c>
      <c r="BH1814" t="s">
        <v>82</v>
      </c>
      <c r="BI1814" t="s">
        <v>532</v>
      </c>
      <c r="BJ1814">
        <v>2504</v>
      </c>
      <c r="BK1814">
        <v>4248</v>
      </c>
      <c r="BL1814">
        <v>6767</v>
      </c>
      <c r="BM1814">
        <v>0</v>
      </c>
      <c r="BN1814">
        <v>0</v>
      </c>
      <c r="BO1814">
        <v>0</v>
      </c>
      <c r="BP1814">
        <v>4383</v>
      </c>
      <c r="BQ1814">
        <v>4383</v>
      </c>
      <c r="BR1814">
        <f t="shared" si="294"/>
        <v>-260</v>
      </c>
      <c r="BS1814">
        <f t="shared" si="295"/>
        <v>290</v>
      </c>
    </row>
    <row r="1815" spans="1:74" x14ac:dyDescent="0.25">
      <c r="A1815" s="5" t="s">
        <v>1661</v>
      </c>
      <c r="B1815" s="5" t="s">
        <v>207</v>
      </c>
      <c r="C1815" s="5" t="s">
        <v>61</v>
      </c>
      <c r="D1815" s="1" t="s">
        <v>73</v>
      </c>
      <c r="E1815">
        <v>0</v>
      </c>
      <c r="F1815">
        <v>0</v>
      </c>
      <c r="G1815">
        <v>0</v>
      </c>
      <c r="H1815">
        <v>0</v>
      </c>
      <c r="I1815">
        <v>20</v>
      </c>
      <c r="J1815">
        <v>1470</v>
      </c>
      <c r="K1815">
        <v>0</v>
      </c>
      <c r="L1815">
        <v>97</v>
      </c>
      <c r="M1815">
        <v>0</v>
      </c>
      <c r="N1815">
        <v>0</v>
      </c>
      <c r="O1815">
        <v>0</v>
      </c>
      <c r="P1815">
        <v>0</v>
      </c>
      <c r="Q1815">
        <v>203</v>
      </c>
      <c r="R1815">
        <v>0</v>
      </c>
      <c r="S1815" s="18" t="e">
        <f t="shared" si="286"/>
        <v>#DIV/0!</v>
      </c>
      <c r="T1815" s="17" t="e">
        <f t="shared" si="287"/>
        <v>#DIV/0!</v>
      </c>
      <c r="U1815" s="17" t="e">
        <f t="shared" si="288"/>
        <v>#DIV/0!</v>
      </c>
      <c r="V1815" s="17" t="e">
        <f t="shared" si="289"/>
        <v>#DIV/0!</v>
      </c>
      <c r="W1815" s="17" t="e">
        <f t="shared" si="290"/>
        <v>#DIV/0!</v>
      </c>
      <c r="X1815" s="17" t="e">
        <f t="shared" si="291"/>
        <v>#DIV/0!</v>
      </c>
      <c r="Y1815" s="19" t="e">
        <f t="shared" si="292"/>
        <v>#DIV/0!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20</v>
      </c>
      <c r="AH1815">
        <v>20</v>
      </c>
      <c r="AI1815">
        <v>0</v>
      </c>
      <c r="AJ1815">
        <v>0</v>
      </c>
      <c r="AK1815">
        <v>1470</v>
      </c>
      <c r="AL1815">
        <v>1470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97</v>
      </c>
      <c r="BA1815">
        <v>97</v>
      </c>
      <c r="BB1815">
        <v>0</v>
      </c>
      <c r="BC1815">
        <v>0</v>
      </c>
      <c r="BD1815">
        <v>0</v>
      </c>
      <c r="BE1815">
        <f t="shared" si="293"/>
        <v>3174</v>
      </c>
      <c r="BF1815">
        <v>1587</v>
      </c>
      <c r="BG1815">
        <v>1587</v>
      </c>
      <c r="BH1815" t="s">
        <v>63</v>
      </c>
      <c r="BI1815" t="s">
        <v>1763</v>
      </c>
      <c r="BJ1815">
        <v>0</v>
      </c>
      <c r="BK1815">
        <v>1587</v>
      </c>
      <c r="BL1815">
        <v>1587</v>
      </c>
      <c r="BM1815">
        <v>0</v>
      </c>
      <c r="BN1815">
        <v>0</v>
      </c>
      <c r="BO1815">
        <v>0</v>
      </c>
      <c r="BP1815">
        <v>1587</v>
      </c>
      <c r="BQ1815">
        <v>1587</v>
      </c>
      <c r="BR1815">
        <f t="shared" si="294"/>
        <v>-203</v>
      </c>
      <c r="BS1815">
        <f t="shared" si="295"/>
        <v>203</v>
      </c>
      <c r="BU1815">
        <f>R1815*9</f>
        <v>0</v>
      </c>
      <c r="BV1815">
        <f>IF(BU1815&gt;BG1815, 1, 0)</f>
        <v>0</v>
      </c>
    </row>
    <row r="1816" spans="1:74" x14ac:dyDescent="0.25">
      <c r="A1816" s="5" t="s">
        <v>1661</v>
      </c>
      <c r="B1816" s="5" t="s">
        <v>207</v>
      </c>
      <c r="C1816" s="5" t="s">
        <v>207</v>
      </c>
      <c r="D1816" s="1" t="s">
        <v>185</v>
      </c>
      <c r="E1816">
        <v>0</v>
      </c>
      <c r="F1816">
        <v>1350</v>
      </c>
      <c r="G1816">
        <v>0</v>
      </c>
      <c r="H1816">
        <v>0</v>
      </c>
      <c r="I1816">
        <v>300</v>
      </c>
      <c r="J1816">
        <v>2560</v>
      </c>
      <c r="K1816">
        <v>89</v>
      </c>
      <c r="L1816">
        <v>0</v>
      </c>
      <c r="M1816">
        <v>0</v>
      </c>
      <c r="N1816">
        <v>0</v>
      </c>
      <c r="O1816">
        <v>0</v>
      </c>
      <c r="P1816">
        <v>666</v>
      </c>
      <c r="Q1816">
        <v>334</v>
      </c>
      <c r="R1816">
        <v>74</v>
      </c>
      <c r="S1816" s="18">
        <f t="shared" si="286"/>
        <v>9</v>
      </c>
      <c r="T1816" s="17">
        <f t="shared" si="287"/>
        <v>0</v>
      </c>
      <c r="U1816" s="17">
        <f t="shared" si="288"/>
        <v>0</v>
      </c>
      <c r="V1816" s="17">
        <f t="shared" si="289"/>
        <v>0</v>
      </c>
      <c r="W1816" s="17">
        <f t="shared" si="290"/>
        <v>74</v>
      </c>
      <c r="X1816" s="17">
        <f t="shared" si="291"/>
        <v>260</v>
      </c>
      <c r="Y1816" s="19">
        <f t="shared" si="292"/>
        <v>0</v>
      </c>
      <c r="Z1816">
        <v>1350</v>
      </c>
      <c r="AA1816">
        <v>0</v>
      </c>
      <c r="AB1816">
        <v>225</v>
      </c>
      <c r="AC1816">
        <v>2310</v>
      </c>
      <c r="AD1816">
        <v>0</v>
      </c>
      <c r="AE1816">
        <v>0</v>
      </c>
      <c r="AF1816">
        <v>0</v>
      </c>
      <c r="AG1816">
        <v>300</v>
      </c>
      <c r="AH1816">
        <v>300</v>
      </c>
      <c r="AI1816">
        <v>0</v>
      </c>
      <c r="AJ1816">
        <v>0</v>
      </c>
      <c r="AK1816">
        <v>2560</v>
      </c>
      <c r="AL1816">
        <v>2560</v>
      </c>
      <c r="AM1816">
        <v>0</v>
      </c>
      <c r="AN1816">
        <v>0</v>
      </c>
      <c r="AO1816">
        <v>89</v>
      </c>
      <c r="AP1816">
        <v>5</v>
      </c>
      <c r="AQ1816">
        <v>89</v>
      </c>
      <c r="AR1816">
        <v>84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f t="shared" si="293"/>
        <v>8297</v>
      </c>
      <c r="BF1816">
        <v>6834</v>
      </c>
      <c r="BG1816">
        <v>6834</v>
      </c>
      <c r="BH1816" t="s">
        <v>82</v>
      </c>
      <c r="BI1816" t="s">
        <v>1848</v>
      </c>
      <c r="BJ1816">
        <v>2535</v>
      </c>
      <c r="BK1816">
        <v>2949</v>
      </c>
      <c r="BL1816">
        <v>6834</v>
      </c>
      <c r="BM1816">
        <v>0</v>
      </c>
      <c r="BN1816">
        <v>0</v>
      </c>
      <c r="BO1816">
        <v>0</v>
      </c>
      <c r="BP1816">
        <v>3615</v>
      </c>
      <c r="BQ1816">
        <v>3615</v>
      </c>
      <c r="BR1816">
        <f t="shared" si="294"/>
        <v>-260</v>
      </c>
      <c r="BS1816">
        <f t="shared" si="295"/>
        <v>408</v>
      </c>
    </row>
    <row r="1817" spans="1:74" x14ac:dyDescent="0.25">
      <c r="A1817" s="5" t="s">
        <v>1661</v>
      </c>
      <c r="B1817" s="5" t="s">
        <v>207</v>
      </c>
      <c r="C1817" s="5" t="s">
        <v>207</v>
      </c>
      <c r="D1817" s="1" t="s">
        <v>67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118</v>
      </c>
      <c r="K1817">
        <v>1087</v>
      </c>
      <c r="L1817">
        <v>356</v>
      </c>
      <c r="M1817">
        <v>0</v>
      </c>
      <c r="N1817">
        <v>0</v>
      </c>
      <c r="O1817">
        <v>0</v>
      </c>
      <c r="P1817">
        <v>0</v>
      </c>
      <c r="Q1817">
        <v>203</v>
      </c>
      <c r="R1817">
        <v>0</v>
      </c>
      <c r="S1817" s="18" t="e">
        <f t="shared" si="286"/>
        <v>#DIV/0!</v>
      </c>
      <c r="T1817" s="17" t="e">
        <f t="shared" si="287"/>
        <v>#DIV/0!</v>
      </c>
      <c r="U1817" s="17" t="e">
        <f t="shared" si="288"/>
        <v>#DIV/0!</v>
      </c>
      <c r="V1817" s="17" t="e">
        <f t="shared" si="289"/>
        <v>#DIV/0!</v>
      </c>
      <c r="W1817" s="17" t="e">
        <f t="shared" si="290"/>
        <v>#DIV/0!</v>
      </c>
      <c r="X1817" s="17" t="e">
        <f t="shared" si="291"/>
        <v>#DIV/0!</v>
      </c>
      <c r="Y1817" s="19" t="e">
        <f t="shared" si="292"/>
        <v>#DIV/0!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118</v>
      </c>
      <c r="AL1817">
        <v>118</v>
      </c>
      <c r="AM1817">
        <v>0</v>
      </c>
      <c r="AN1817">
        <v>0</v>
      </c>
      <c r="AO1817">
        <v>1087</v>
      </c>
      <c r="AP1817">
        <v>938</v>
      </c>
      <c r="AQ1817">
        <v>1087</v>
      </c>
      <c r="AR1817">
        <v>149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356</v>
      </c>
      <c r="BA1817">
        <v>356</v>
      </c>
      <c r="BB1817">
        <v>0</v>
      </c>
      <c r="BC1817">
        <v>0</v>
      </c>
      <c r="BD1817">
        <v>0</v>
      </c>
      <c r="BE1817">
        <f t="shared" si="293"/>
        <v>4209</v>
      </c>
      <c r="BF1817">
        <v>1761</v>
      </c>
      <c r="BG1817">
        <v>1761</v>
      </c>
      <c r="BH1817" t="s">
        <v>63</v>
      </c>
      <c r="BI1817" t="s">
        <v>1798</v>
      </c>
      <c r="BJ1817">
        <v>0</v>
      </c>
      <c r="BK1817">
        <v>1561</v>
      </c>
      <c r="BL1817">
        <v>1561</v>
      </c>
      <c r="BM1817">
        <v>0</v>
      </c>
      <c r="BN1817">
        <v>0</v>
      </c>
      <c r="BO1817">
        <v>0</v>
      </c>
      <c r="BP1817">
        <v>1561</v>
      </c>
      <c r="BQ1817">
        <v>1561</v>
      </c>
      <c r="BR1817">
        <f t="shared" si="294"/>
        <v>-203</v>
      </c>
      <c r="BS1817">
        <f t="shared" si="295"/>
        <v>203</v>
      </c>
      <c r="BU1817">
        <f>R1817*9</f>
        <v>0</v>
      </c>
      <c r="BV1817">
        <f>IF(BU1817&gt;BG1817, 1, 0)</f>
        <v>0</v>
      </c>
    </row>
    <row r="1818" spans="1:74" x14ac:dyDescent="0.25">
      <c r="A1818" s="5" t="s">
        <v>61</v>
      </c>
      <c r="B1818" s="5" t="s">
        <v>359</v>
      </c>
      <c r="C1818" s="5" t="s">
        <v>61</v>
      </c>
      <c r="D1818" s="1" t="s">
        <v>77</v>
      </c>
      <c r="E1818">
        <v>0</v>
      </c>
      <c r="F1818">
        <v>120</v>
      </c>
      <c r="G1818">
        <v>0</v>
      </c>
      <c r="H1818">
        <v>0</v>
      </c>
      <c r="I1818">
        <v>1400</v>
      </c>
      <c r="J1818">
        <v>0</v>
      </c>
      <c r="K1818">
        <v>65</v>
      </c>
      <c r="L1818">
        <v>0</v>
      </c>
      <c r="M1818">
        <v>0</v>
      </c>
      <c r="N1818">
        <v>0</v>
      </c>
      <c r="O1818">
        <v>0</v>
      </c>
      <c r="P1818">
        <v>873</v>
      </c>
      <c r="Q1818">
        <v>358</v>
      </c>
      <c r="R1818">
        <v>97</v>
      </c>
      <c r="S1818" s="18">
        <f t="shared" si="286"/>
        <v>9</v>
      </c>
      <c r="T1818" s="17">
        <f t="shared" si="287"/>
        <v>0</v>
      </c>
      <c r="U1818" s="17">
        <f t="shared" si="288"/>
        <v>0</v>
      </c>
      <c r="V1818" s="17">
        <f t="shared" si="289"/>
        <v>0</v>
      </c>
      <c r="W1818" s="17">
        <f t="shared" si="290"/>
        <v>97</v>
      </c>
      <c r="X1818" s="17">
        <f t="shared" si="291"/>
        <v>261</v>
      </c>
      <c r="Y1818" s="19">
        <f t="shared" si="292"/>
        <v>0</v>
      </c>
      <c r="Z1818">
        <v>120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1400</v>
      </c>
      <c r="AH1818">
        <v>1400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65</v>
      </c>
      <c r="AP1818">
        <v>5</v>
      </c>
      <c r="AQ1818">
        <v>65</v>
      </c>
      <c r="AR1818">
        <v>60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f t="shared" si="293"/>
        <v>2995</v>
      </c>
      <c r="BF1818">
        <v>1585</v>
      </c>
      <c r="BG1818">
        <v>1585</v>
      </c>
      <c r="BH1818" t="s">
        <v>109</v>
      </c>
      <c r="BI1818" t="s">
        <v>367</v>
      </c>
      <c r="BJ1818">
        <v>0</v>
      </c>
      <c r="BK1818">
        <v>1465</v>
      </c>
      <c r="BL1818">
        <v>1585</v>
      </c>
      <c r="BM1818">
        <v>0</v>
      </c>
      <c r="BN1818">
        <v>0</v>
      </c>
      <c r="BO1818">
        <v>0</v>
      </c>
      <c r="BP1818">
        <v>2338</v>
      </c>
      <c r="BQ1818">
        <v>2338</v>
      </c>
      <c r="BR1818">
        <f t="shared" si="294"/>
        <v>-261</v>
      </c>
      <c r="BS1818">
        <f t="shared" si="295"/>
        <v>455</v>
      </c>
    </row>
    <row r="1819" spans="1:74" x14ac:dyDescent="0.25">
      <c r="A1819" s="5" t="s">
        <v>207</v>
      </c>
      <c r="B1819" s="5" t="s">
        <v>61</v>
      </c>
      <c r="C1819" s="5" t="s">
        <v>359</v>
      </c>
      <c r="D1819" s="1" t="s">
        <v>92</v>
      </c>
      <c r="E1819">
        <v>0</v>
      </c>
      <c r="F1819">
        <v>40</v>
      </c>
      <c r="G1819">
        <v>0</v>
      </c>
      <c r="H1819">
        <v>0</v>
      </c>
      <c r="I1819">
        <v>1440</v>
      </c>
      <c r="J1819">
        <v>0</v>
      </c>
      <c r="K1819">
        <v>0</v>
      </c>
      <c r="L1819">
        <v>0</v>
      </c>
      <c r="M1819">
        <v>90</v>
      </c>
      <c r="N1819">
        <v>0</v>
      </c>
      <c r="O1819">
        <v>0</v>
      </c>
      <c r="P1819">
        <v>0</v>
      </c>
      <c r="Q1819">
        <v>271</v>
      </c>
      <c r="R1819">
        <v>10</v>
      </c>
      <c r="S1819" s="18">
        <f t="shared" si="286"/>
        <v>9</v>
      </c>
      <c r="T1819" s="17">
        <f t="shared" si="287"/>
        <v>10</v>
      </c>
      <c r="U1819" s="17">
        <f t="shared" si="288"/>
        <v>0</v>
      </c>
      <c r="V1819" s="17">
        <f t="shared" si="289"/>
        <v>0</v>
      </c>
      <c r="W1819" s="17">
        <f t="shared" si="290"/>
        <v>0</v>
      </c>
      <c r="X1819" s="17">
        <f t="shared" si="291"/>
        <v>261</v>
      </c>
      <c r="Y1819" s="19">
        <f t="shared" si="292"/>
        <v>0</v>
      </c>
      <c r="Z1819">
        <v>40</v>
      </c>
      <c r="AA1819">
        <v>0</v>
      </c>
      <c r="AB1819">
        <v>0</v>
      </c>
      <c r="AC1819">
        <v>0</v>
      </c>
      <c r="AD1819">
        <v>440</v>
      </c>
      <c r="AE1819">
        <v>0</v>
      </c>
      <c r="AF1819">
        <v>0</v>
      </c>
      <c r="AG1819">
        <v>1000</v>
      </c>
      <c r="AH1819">
        <v>1440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f t="shared" si="293"/>
        <v>2880</v>
      </c>
      <c r="BF1819">
        <v>1480</v>
      </c>
      <c r="BG1819">
        <v>1480</v>
      </c>
      <c r="BH1819" t="s">
        <v>109</v>
      </c>
      <c r="BI1819" t="s">
        <v>512</v>
      </c>
      <c r="BJ1819">
        <v>0</v>
      </c>
      <c r="BK1819">
        <v>1440</v>
      </c>
      <c r="BL1819">
        <v>1480</v>
      </c>
      <c r="BM1819">
        <v>530</v>
      </c>
      <c r="BN1819">
        <v>0</v>
      </c>
      <c r="BO1819">
        <v>0</v>
      </c>
      <c r="BP1819">
        <v>1000</v>
      </c>
      <c r="BQ1819">
        <v>1530</v>
      </c>
      <c r="BR1819">
        <f t="shared" si="294"/>
        <v>-261</v>
      </c>
      <c r="BS1819">
        <f t="shared" si="295"/>
        <v>281</v>
      </c>
    </row>
    <row r="1820" spans="1:74" x14ac:dyDescent="0.25">
      <c r="A1820" s="5" t="s">
        <v>1946</v>
      </c>
      <c r="B1820" s="5" t="s">
        <v>207</v>
      </c>
      <c r="C1820" s="5" t="s">
        <v>207</v>
      </c>
      <c r="D1820" s="1" t="s">
        <v>133</v>
      </c>
      <c r="E1820">
        <v>0</v>
      </c>
      <c r="F1820">
        <v>1020</v>
      </c>
      <c r="G1820">
        <v>0</v>
      </c>
      <c r="H1820">
        <v>0</v>
      </c>
      <c r="I1820">
        <v>761</v>
      </c>
      <c r="J1820">
        <v>0</v>
      </c>
      <c r="K1820">
        <v>0</v>
      </c>
      <c r="L1820">
        <v>0</v>
      </c>
      <c r="M1820">
        <v>2295</v>
      </c>
      <c r="N1820">
        <v>0</v>
      </c>
      <c r="O1820">
        <v>0</v>
      </c>
      <c r="P1820">
        <v>0</v>
      </c>
      <c r="Q1820">
        <v>516</v>
      </c>
      <c r="R1820">
        <v>255</v>
      </c>
      <c r="S1820" s="18">
        <f t="shared" si="286"/>
        <v>9</v>
      </c>
      <c r="T1820" s="17">
        <f t="shared" si="287"/>
        <v>255</v>
      </c>
      <c r="U1820" s="17">
        <f t="shared" si="288"/>
        <v>0</v>
      </c>
      <c r="V1820" s="17">
        <f t="shared" si="289"/>
        <v>0</v>
      </c>
      <c r="W1820" s="17">
        <f t="shared" si="290"/>
        <v>0</v>
      </c>
      <c r="X1820" s="17">
        <f t="shared" si="291"/>
        <v>261</v>
      </c>
      <c r="Y1820" s="19">
        <f t="shared" si="292"/>
        <v>0</v>
      </c>
      <c r="Z1820">
        <v>1020</v>
      </c>
      <c r="AA1820">
        <v>0</v>
      </c>
      <c r="AB1820">
        <v>0</v>
      </c>
      <c r="AC1820">
        <v>0</v>
      </c>
      <c r="AD1820">
        <v>761</v>
      </c>
      <c r="AE1820">
        <v>0</v>
      </c>
      <c r="AF1820">
        <v>0</v>
      </c>
      <c r="AG1820">
        <v>0</v>
      </c>
      <c r="AH1820">
        <v>761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f t="shared" si="293"/>
        <v>1522</v>
      </c>
      <c r="BF1820">
        <v>1781</v>
      </c>
      <c r="BG1820">
        <v>1781</v>
      </c>
      <c r="BH1820" t="s">
        <v>109</v>
      </c>
      <c r="BI1820" t="s">
        <v>2070</v>
      </c>
      <c r="BJ1820">
        <v>0</v>
      </c>
      <c r="BK1820">
        <v>761</v>
      </c>
      <c r="BL1820">
        <v>1781</v>
      </c>
      <c r="BM1820">
        <v>3056</v>
      </c>
      <c r="BN1820">
        <v>0</v>
      </c>
      <c r="BO1820">
        <v>0</v>
      </c>
      <c r="BP1820">
        <v>0</v>
      </c>
      <c r="BQ1820">
        <v>3056</v>
      </c>
      <c r="BR1820">
        <f t="shared" si="294"/>
        <v>-261</v>
      </c>
      <c r="BS1820">
        <f t="shared" si="295"/>
        <v>771</v>
      </c>
    </row>
    <row r="1821" spans="1:74" x14ac:dyDescent="0.25">
      <c r="A1821" s="5" t="s">
        <v>2090</v>
      </c>
      <c r="B1821" s="5" t="s">
        <v>61</v>
      </c>
      <c r="C1821" s="5" t="s">
        <v>61</v>
      </c>
      <c r="D1821" s="1" t="s">
        <v>2177</v>
      </c>
      <c r="E1821">
        <v>0</v>
      </c>
      <c r="F1821">
        <v>0</v>
      </c>
      <c r="G1821">
        <v>0</v>
      </c>
      <c r="H1821">
        <v>0</v>
      </c>
      <c r="I1821">
        <v>135</v>
      </c>
      <c r="J1821">
        <v>5656</v>
      </c>
      <c r="K1821">
        <v>282</v>
      </c>
      <c r="L1821">
        <v>117</v>
      </c>
      <c r="M1821">
        <v>0</v>
      </c>
      <c r="N1821">
        <v>0</v>
      </c>
      <c r="O1821">
        <v>0</v>
      </c>
      <c r="P1821">
        <v>0</v>
      </c>
      <c r="Q1821">
        <v>261</v>
      </c>
      <c r="R1821">
        <v>0</v>
      </c>
      <c r="S1821" s="18" t="e">
        <f t="shared" si="286"/>
        <v>#DIV/0!</v>
      </c>
      <c r="T1821" s="17" t="e">
        <f t="shared" si="287"/>
        <v>#DIV/0!</v>
      </c>
      <c r="U1821" s="17" t="e">
        <f t="shared" si="288"/>
        <v>#DIV/0!</v>
      </c>
      <c r="V1821" s="17" t="e">
        <f t="shared" si="289"/>
        <v>#DIV/0!</v>
      </c>
      <c r="W1821" s="17" t="e">
        <f t="shared" si="290"/>
        <v>#DIV/0!</v>
      </c>
      <c r="X1821" s="17" t="e">
        <f t="shared" si="291"/>
        <v>#DIV/0!</v>
      </c>
      <c r="Y1821" s="19" t="e">
        <f t="shared" si="292"/>
        <v>#DIV/0!</v>
      </c>
      <c r="Z1821">
        <v>0</v>
      </c>
      <c r="AA1821">
        <v>0</v>
      </c>
      <c r="AB1821">
        <v>0</v>
      </c>
      <c r="AC1821">
        <v>130</v>
      </c>
      <c r="AD1821">
        <v>0</v>
      </c>
      <c r="AE1821">
        <v>0</v>
      </c>
      <c r="AF1821">
        <v>0</v>
      </c>
      <c r="AG1821">
        <v>135</v>
      </c>
      <c r="AH1821">
        <v>135</v>
      </c>
      <c r="AI1821">
        <v>0</v>
      </c>
      <c r="AJ1821">
        <v>0</v>
      </c>
      <c r="AK1821">
        <v>5656</v>
      </c>
      <c r="AL1821">
        <v>5656</v>
      </c>
      <c r="AM1821">
        <v>0</v>
      </c>
      <c r="AN1821">
        <v>0</v>
      </c>
      <c r="AO1821">
        <v>282</v>
      </c>
      <c r="AP1821">
        <v>0</v>
      </c>
      <c r="AQ1821">
        <v>282</v>
      </c>
      <c r="AR1821">
        <v>282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117</v>
      </c>
      <c r="BA1821">
        <v>117</v>
      </c>
      <c r="BB1821">
        <v>0</v>
      </c>
      <c r="BC1821">
        <v>0</v>
      </c>
      <c r="BD1821">
        <v>0</v>
      </c>
      <c r="BE1821">
        <f t="shared" si="293"/>
        <v>12792</v>
      </c>
      <c r="BF1821">
        <v>6320</v>
      </c>
      <c r="BG1821">
        <v>6320</v>
      </c>
      <c r="BH1821" t="s">
        <v>199</v>
      </c>
      <c r="BI1821" t="s">
        <v>2178</v>
      </c>
      <c r="BJ1821">
        <v>130</v>
      </c>
      <c r="BK1821">
        <v>6190</v>
      </c>
      <c r="BL1821">
        <v>6320</v>
      </c>
      <c r="BM1821">
        <v>0</v>
      </c>
      <c r="BN1821">
        <v>0</v>
      </c>
      <c r="BO1821">
        <v>0</v>
      </c>
      <c r="BP1821">
        <v>6190</v>
      </c>
      <c r="BQ1821">
        <v>6190</v>
      </c>
      <c r="BR1821">
        <f t="shared" si="294"/>
        <v>-261</v>
      </c>
      <c r="BS1821">
        <f t="shared" si="295"/>
        <v>261</v>
      </c>
    </row>
    <row r="1822" spans="1:74" x14ac:dyDescent="0.25">
      <c r="A1822" s="5" t="s">
        <v>1451</v>
      </c>
      <c r="B1822" s="5" t="s">
        <v>61</v>
      </c>
      <c r="C1822" s="5" t="s">
        <v>207</v>
      </c>
      <c r="D1822" s="1" t="s">
        <v>69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3100</v>
      </c>
      <c r="K1822">
        <v>350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208</v>
      </c>
      <c r="R1822">
        <v>0</v>
      </c>
      <c r="S1822" s="18" t="e">
        <f t="shared" si="286"/>
        <v>#DIV/0!</v>
      </c>
      <c r="T1822" s="17" t="e">
        <f t="shared" si="287"/>
        <v>#DIV/0!</v>
      </c>
      <c r="U1822" s="17" t="e">
        <f t="shared" si="288"/>
        <v>#DIV/0!</v>
      </c>
      <c r="V1822" s="17" t="e">
        <f t="shared" si="289"/>
        <v>#DIV/0!</v>
      </c>
      <c r="W1822" s="17" t="e">
        <f t="shared" si="290"/>
        <v>#DIV/0!</v>
      </c>
      <c r="X1822" s="17" t="e">
        <f t="shared" si="291"/>
        <v>#DIV/0!</v>
      </c>
      <c r="Y1822" s="19" t="e">
        <f t="shared" si="292"/>
        <v>#DIV/0!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3100</v>
      </c>
      <c r="AL1822">
        <v>3100</v>
      </c>
      <c r="AM1822">
        <v>0</v>
      </c>
      <c r="AN1822">
        <v>0</v>
      </c>
      <c r="AO1822">
        <v>350</v>
      </c>
      <c r="AP1822">
        <v>60</v>
      </c>
      <c r="AQ1822">
        <v>350</v>
      </c>
      <c r="AR1822">
        <v>290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f t="shared" si="293"/>
        <v>7250</v>
      </c>
      <c r="BF1822">
        <v>3450</v>
      </c>
      <c r="BG1822">
        <v>3450</v>
      </c>
      <c r="BH1822" t="s">
        <v>63</v>
      </c>
      <c r="BI1822" t="s">
        <v>1473</v>
      </c>
      <c r="BJ1822">
        <v>0</v>
      </c>
      <c r="BK1822">
        <v>3450</v>
      </c>
      <c r="BL1822">
        <v>3450</v>
      </c>
      <c r="BM1822">
        <v>0</v>
      </c>
      <c r="BN1822">
        <v>0</v>
      </c>
      <c r="BO1822">
        <v>0</v>
      </c>
      <c r="BP1822">
        <v>3450</v>
      </c>
      <c r="BQ1822">
        <v>3450</v>
      </c>
      <c r="BR1822">
        <f t="shared" si="294"/>
        <v>-208</v>
      </c>
      <c r="BS1822">
        <f t="shared" si="295"/>
        <v>208</v>
      </c>
      <c r="BU1822">
        <f>R1822*9</f>
        <v>0</v>
      </c>
      <c r="BV1822">
        <f>IF(BU1822&gt;BG1822, 1, 0)</f>
        <v>0</v>
      </c>
    </row>
    <row r="1823" spans="1:74" x14ac:dyDescent="0.25">
      <c r="A1823" s="5" t="s">
        <v>61</v>
      </c>
      <c r="B1823" s="5" t="s">
        <v>207</v>
      </c>
      <c r="C1823" s="5" t="s">
        <v>61</v>
      </c>
      <c r="D1823" s="1" t="s">
        <v>108</v>
      </c>
      <c r="E1823">
        <v>0</v>
      </c>
      <c r="F1823">
        <v>10</v>
      </c>
      <c r="G1823">
        <v>0</v>
      </c>
      <c r="H1823">
        <v>0</v>
      </c>
      <c r="I1823">
        <v>137</v>
      </c>
      <c r="J1823">
        <v>2717</v>
      </c>
      <c r="K1823">
        <v>65</v>
      </c>
      <c r="L1823">
        <v>95</v>
      </c>
      <c r="M1823">
        <v>0</v>
      </c>
      <c r="N1823">
        <v>0</v>
      </c>
      <c r="O1823">
        <v>0</v>
      </c>
      <c r="P1823">
        <v>90</v>
      </c>
      <c r="Q1823">
        <v>273</v>
      </c>
      <c r="R1823">
        <v>10</v>
      </c>
      <c r="S1823" s="18">
        <f t="shared" si="286"/>
        <v>9</v>
      </c>
      <c r="T1823" s="17">
        <f t="shared" si="287"/>
        <v>0</v>
      </c>
      <c r="U1823" s="17">
        <f t="shared" si="288"/>
        <v>0</v>
      </c>
      <c r="V1823" s="17">
        <f t="shared" si="289"/>
        <v>0</v>
      </c>
      <c r="W1823" s="17">
        <f t="shared" si="290"/>
        <v>10</v>
      </c>
      <c r="X1823" s="17">
        <f t="shared" si="291"/>
        <v>263</v>
      </c>
      <c r="Y1823" s="19">
        <f t="shared" si="292"/>
        <v>0</v>
      </c>
      <c r="Z1823">
        <v>10</v>
      </c>
      <c r="AA1823">
        <v>4</v>
      </c>
      <c r="AB1823">
        <v>0</v>
      </c>
      <c r="AC1823">
        <v>1525</v>
      </c>
      <c r="AD1823">
        <v>0</v>
      </c>
      <c r="AE1823">
        <v>0</v>
      </c>
      <c r="AF1823">
        <v>0</v>
      </c>
      <c r="AG1823">
        <v>137</v>
      </c>
      <c r="AH1823">
        <v>137</v>
      </c>
      <c r="AI1823">
        <v>0</v>
      </c>
      <c r="AJ1823">
        <v>0</v>
      </c>
      <c r="AK1823">
        <v>2717</v>
      </c>
      <c r="AL1823">
        <v>2717</v>
      </c>
      <c r="AM1823">
        <v>0</v>
      </c>
      <c r="AN1823">
        <v>0</v>
      </c>
      <c r="AO1823">
        <v>65</v>
      </c>
      <c r="AP1823">
        <v>36</v>
      </c>
      <c r="AQ1823">
        <v>65</v>
      </c>
      <c r="AR1823">
        <v>29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95</v>
      </c>
      <c r="BA1823">
        <v>95</v>
      </c>
      <c r="BB1823">
        <v>0</v>
      </c>
      <c r="BC1823">
        <v>0</v>
      </c>
      <c r="BD1823">
        <v>0</v>
      </c>
      <c r="BE1823">
        <f t="shared" si="293"/>
        <v>7618</v>
      </c>
      <c r="BF1823">
        <v>4553</v>
      </c>
      <c r="BG1823">
        <v>4553</v>
      </c>
      <c r="BH1823" t="s">
        <v>82</v>
      </c>
      <c r="BI1823" t="s">
        <v>231</v>
      </c>
      <c r="BJ1823">
        <v>1529</v>
      </c>
      <c r="BK1823">
        <v>3014</v>
      </c>
      <c r="BL1823">
        <v>4553</v>
      </c>
      <c r="BM1823">
        <v>0</v>
      </c>
      <c r="BN1823">
        <v>0</v>
      </c>
      <c r="BO1823">
        <v>0</v>
      </c>
      <c r="BP1823">
        <v>3104</v>
      </c>
      <c r="BQ1823">
        <v>3104</v>
      </c>
      <c r="BR1823">
        <f t="shared" si="294"/>
        <v>-263</v>
      </c>
      <c r="BS1823">
        <f t="shared" si="295"/>
        <v>283</v>
      </c>
    </row>
    <row r="1824" spans="1:74" x14ac:dyDescent="0.25">
      <c r="A1824" s="5" t="s">
        <v>875</v>
      </c>
      <c r="B1824" s="5" t="s">
        <v>61</v>
      </c>
      <c r="C1824" s="5" t="s">
        <v>207</v>
      </c>
      <c r="D1824" s="1" t="s">
        <v>133</v>
      </c>
      <c r="E1824">
        <v>0</v>
      </c>
      <c r="F1824">
        <v>120</v>
      </c>
      <c r="G1824">
        <v>0</v>
      </c>
      <c r="H1824">
        <v>0</v>
      </c>
      <c r="I1824">
        <v>2800</v>
      </c>
      <c r="J1824">
        <v>0</v>
      </c>
      <c r="K1824">
        <v>0</v>
      </c>
      <c r="L1824">
        <v>0</v>
      </c>
      <c r="M1824">
        <v>630</v>
      </c>
      <c r="N1824">
        <v>0</v>
      </c>
      <c r="O1824">
        <v>0</v>
      </c>
      <c r="P1824">
        <v>0</v>
      </c>
      <c r="Q1824">
        <v>333</v>
      </c>
      <c r="R1824">
        <v>70</v>
      </c>
      <c r="S1824" s="18">
        <f t="shared" si="286"/>
        <v>9</v>
      </c>
      <c r="T1824" s="17">
        <f t="shared" si="287"/>
        <v>70</v>
      </c>
      <c r="U1824" s="17">
        <f t="shared" si="288"/>
        <v>0</v>
      </c>
      <c r="V1824" s="17">
        <f t="shared" si="289"/>
        <v>0</v>
      </c>
      <c r="W1824" s="17">
        <f t="shared" si="290"/>
        <v>0</v>
      </c>
      <c r="X1824" s="17">
        <f t="shared" si="291"/>
        <v>263</v>
      </c>
      <c r="Y1824" s="19">
        <f t="shared" si="292"/>
        <v>0</v>
      </c>
      <c r="Z1824">
        <v>120</v>
      </c>
      <c r="AA1824">
        <v>0</v>
      </c>
      <c r="AB1824">
        <v>0</v>
      </c>
      <c r="AC1824">
        <v>0</v>
      </c>
      <c r="AD1824">
        <v>1450</v>
      </c>
      <c r="AE1824">
        <v>0</v>
      </c>
      <c r="AF1824">
        <v>0</v>
      </c>
      <c r="AG1824">
        <v>1350</v>
      </c>
      <c r="AH1824">
        <v>2800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f t="shared" si="293"/>
        <v>5600</v>
      </c>
      <c r="BF1824">
        <v>2920</v>
      </c>
      <c r="BG1824">
        <v>2920</v>
      </c>
      <c r="BH1824" t="s">
        <v>109</v>
      </c>
      <c r="BI1824" t="s">
        <v>821</v>
      </c>
      <c r="BJ1824">
        <v>0</v>
      </c>
      <c r="BK1824">
        <v>2800</v>
      </c>
      <c r="BL1824">
        <v>2920</v>
      </c>
      <c r="BM1824">
        <v>2080</v>
      </c>
      <c r="BN1824">
        <v>0</v>
      </c>
      <c r="BO1824">
        <v>0</v>
      </c>
      <c r="BP1824">
        <v>1350</v>
      </c>
      <c r="BQ1824">
        <v>3430</v>
      </c>
      <c r="BR1824">
        <f t="shared" si="294"/>
        <v>-263</v>
      </c>
      <c r="BS1824">
        <f t="shared" si="295"/>
        <v>403</v>
      </c>
    </row>
    <row r="1825" spans="1:74" x14ac:dyDescent="0.25">
      <c r="A1825" s="5" t="s">
        <v>1017</v>
      </c>
      <c r="B1825" s="5" t="s">
        <v>61</v>
      </c>
      <c r="C1825" s="5" t="s">
        <v>61</v>
      </c>
      <c r="D1825" s="1" t="s">
        <v>123</v>
      </c>
      <c r="E1825">
        <v>0</v>
      </c>
      <c r="F1825">
        <v>0</v>
      </c>
      <c r="G1825">
        <v>0</v>
      </c>
      <c r="H1825">
        <v>0</v>
      </c>
      <c r="I1825">
        <v>310</v>
      </c>
      <c r="J1825">
        <v>4426</v>
      </c>
      <c r="K1825">
        <v>111</v>
      </c>
      <c r="L1825">
        <v>80</v>
      </c>
      <c r="M1825">
        <v>0</v>
      </c>
      <c r="N1825">
        <v>0</v>
      </c>
      <c r="O1825">
        <v>0</v>
      </c>
      <c r="P1825">
        <v>0</v>
      </c>
      <c r="Q1825">
        <v>263</v>
      </c>
      <c r="R1825">
        <v>0</v>
      </c>
      <c r="S1825" s="18" t="e">
        <f t="shared" si="286"/>
        <v>#DIV/0!</v>
      </c>
      <c r="T1825" s="17" t="e">
        <f t="shared" si="287"/>
        <v>#DIV/0!</v>
      </c>
      <c r="U1825" s="17" t="e">
        <f t="shared" si="288"/>
        <v>#DIV/0!</v>
      </c>
      <c r="V1825" s="17" t="e">
        <f t="shared" si="289"/>
        <v>#DIV/0!</v>
      </c>
      <c r="W1825" s="17" t="e">
        <f t="shared" si="290"/>
        <v>#DIV/0!</v>
      </c>
      <c r="X1825" s="17" t="e">
        <f t="shared" si="291"/>
        <v>#DIV/0!</v>
      </c>
      <c r="Y1825" s="19" t="e">
        <f t="shared" si="292"/>
        <v>#DIV/0!</v>
      </c>
      <c r="Z1825">
        <v>0</v>
      </c>
      <c r="AA1825">
        <v>5</v>
      </c>
      <c r="AB1825">
        <v>756</v>
      </c>
      <c r="AC1825">
        <v>2976</v>
      </c>
      <c r="AD1825">
        <v>0</v>
      </c>
      <c r="AE1825">
        <v>0</v>
      </c>
      <c r="AF1825">
        <v>0</v>
      </c>
      <c r="AG1825">
        <v>310</v>
      </c>
      <c r="AH1825">
        <v>310</v>
      </c>
      <c r="AI1825">
        <v>0</v>
      </c>
      <c r="AJ1825">
        <v>0</v>
      </c>
      <c r="AK1825">
        <v>4426</v>
      </c>
      <c r="AL1825">
        <v>4426</v>
      </c>
      <c r="AM1825">
        <v>0</v>
      </c>
      <c r="AN1825">
        <v>0</v>
      </c>
      <c r="AO1825">
        <v>111</v>
      </c>
      <c r="AP1825">
        <v>20</v>
      </c>
      <c r="AQ1825">
        <v>111</v>
      </c>
      <c r="AR1825">
        <v>91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80</v>
      </c>
      <c r="BA1825">
        <v>80</v>
      </c>
      <c r="BB1825">
        <v>0</v>
      </c>
      <c r="BC1825">
        <v>0</v>
      </c>
      <c r="BD1825">
        <v>0</v>
      </c>
      <c r="BE1825">
        <f t="shared" si="293"/>
        <v>12941</v>
      </c>
      <c r="BF1825">
        <v>8664</v>
      </c>
      <c r="BG1825">
        <v>8664</v>
      </c>
      <c r="BH1825" t="s">
        <v>82</v>
      </c>
      <c r="BI1825" t="s">
        <v>1045</v>
      </c>
      <c r="BJ1825">
        <v>3737</v>
      </c>
      <c r="BK1825">
        <v>4927</v>
      </c>
      <c r="BL1825">
        <v>8664</v>
      </c>
      <c r="BM1825">
        <v>0</v>
      </c>
      <c r="BN1825">
        <v>0</v>
      </c>
      <c r="BO1825">
        <v>0</v>
      </c>
      <c r="BP1825">
        <v>4927</v>
      </c>
      <c r="BQ1825">
        <v>4927</v>
      </c>
      <c r="BR1825">
        <f t="shared" si="294"/>
        <v>-263</v>
      </c>
      <c r="BS1825">
        <f t="shared" si="295"/>
        <v>263</v>
      </c>
    </row>
    <row r="1826" spans="1:74" x14ac:dyDescent="0.25">
      <c r="A1826" s="5" t="s">
        <v>1135</v>
      </c>
      <c r="B1826" s="5" t="s">
        <v>207</v>
      </c>
      <c r="C1826" s="5" t="s">
        <v>61</v>
      </c>
      <c r="D1826" s="1" t="s">
        <v>131</v>
      </c>
      <c r="E1826">
        <v>0</v>
      </c>
      <c r="F1826">
        <v>252</v>
      </c>
      <c r="G1826">
        <v>0</v>
      </c>
      <c r="H1826">
        <v>0</v>
      </c>
      <c r="I1826">
        <v>245</v>
      </c>
      <c r="J1826">
        <v>2720</v>
      </c>
      <c r="K1826">
        <v>272</v>
      </c>
      <c r="L1826">
        <v>250</v>
      </c>
      <c r="M1826">
        <v>0</v>
      </c>
      <c r="N1826">
        <v>0</v>
      </c>
      <c r="O1826">
        <v>0</v>
      </c>
      <c r="P1826">
        <v>738</v>
      </c>
      <c r="Q1826">
        <v>345</v>
      </c>
      <c r="R1826">
        <v>82</v>
      </c>
      <c r="S1826" s="18">
        <f t="shared" si="286"/>
        <v>9</v>
      </c>
      <c r="T1826" s="17">
        <f t="shared" si="287"/>
        <v>0</v>
      </c>
      <c r="U1826" s="17">
        <f t="shared" si="288"/>
        <v>0</v>
      </c>
      <c r="V1826" s="17">
        <f t="shared" si="289"/>
        <v>0</v>
      </c>
      <c r="W1826" s="17">
        <f t="shared" si="290"/>
        <v>82</v>
      </c>
      <c r="X1826" s="17">
        <f t="shared" si="291"/>
        <v>263</v>
      </c>
      <c r="Y1826" s="19">
        <f t="shared" si="292"/>
        <v>0</v>
      </c>
      <c r="Z1826">
        <v>252</v>
      </c>
      <c r="AA1826">
        <v>20</v>
      </c>
      <c r="AB1826">
        <v>284</v>
      </c>
      <c r="AC1826">
        <v>3875</v>
      </c>
      <c r="AD1826">
        <v>0</v>
      </c>
      <c r="AE1826">
        <v>0</v>
      </c>
      <c r="AF1826">
        <v>0</v>
      </c>
      <c r="AG1826">
        <v>245</v>
      </c>
      <c r="AH1826">
        <v>245</v>
      </c>
      <c r="AI1826">
        <v>0</v>
      </c>
      <c r="AJ1826">
        <v>0</v>
      </c>
      <c r="AK1826">
        <v>2720</v>
      </c>
      <c r="AL1826">
        <v>2720</v>
      </c>
      <c r="AM1826">
        <v>0</v>
      </c>
      <c r="AN1826">
        <v>0</v>
      </c>
      <c r="AO1826">
        <v>272</v>
      </c>
      <c r="AP1826">
        <v>158</v>
      </c>
      <c r="AQ1826">
        <v>272</v>
      </c>
      <c r="AR1826">
        <v>114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250</v>
      </c>
      <c r="BA1826">
        <v>250</v>
      </c>
      <c r="BB1826">
        <v>0</v>
      </c>
      <c r="BC1826">
        <v>0</v>
      </c>
      <c r="BD1826">
        <v>0</v>
      </c>
      <c r="BE1826">
        <f t="shared" si="293"/>
        <v>11121</v>
      </c>
      <c r="BF1826">
        <v>7918</v>
      </c>
      <c r="BG1826">
        <v>7918</v>
      </c>
      <c r="BH1826" t="s">
        <v>82</v>
      </c>
      <c r="BI1826" t="s">
        <v>1229</v>
      </c>
      <c r="BJ1826">
        <v>4179</v>
      </c>
      <c r="BK1826">
        <v>3487</v>
      </c>
      <c r="BL1826">
        <v>7918</v>
      </c>
      <c r="BM1826">
        <v>0</v>
      </c>
      <c r="BN1826">
        <v>0</v>
      </c>
      <c r="BO1826">
        <v>0</v>
      </c>
      <c r="BP1826">
        <v>4225</v>
      </c>
      <c r="BQ1826">
        <v>4225</v>
      </c>
      <c r="BR1826">
        <f t="shared" si="294"/>
        <v>-263</v>
      </c>
      <c r="BS1826">
        <f t="shared" si="295"/>
        <v>427</v>
      </c>
    </row>
    <row r="1827" spans="1:74" x14ac:dyDescent="0.25">
      <c r="A1827" s="5" t="s">
        <v>1451</v>
      </c>
      <c r="B1827" s="5" t="s">
        <v>207</v>
      </c>
      <c r="C1827" s="5" t="s">
        <v>61</v>
      </c>
      <c r="D1827" s="1" t="s">
        <v>111</v>
      </c>
      <c r="E1827">
        <v>0</v>
      </c>
      <c r="F1827">
        <v>345</v>
      </c>
      <c r="G1827">
        <v>0</v>
      </c>
      <c r="H1827">
        <v>0</v>
      </c>
      <c r="I1827">
        <v>200</v>
      </c>
      <c r="J1827">
        <v>4985</v>
      </c>
      <c r="K1827">
        <v>630</v>
      </c>
      <c r="L1827">
        <v>230</v>
      </c>
      <c r="M1827">
        <v>0</v>
      </c>
      <c r="N1827">
        <v>0</v>
      </c>
      <c r="O1827">
        <v>0</v>
      </c>
      <c r="P1827">
        <v>999</v>
      </c>
      <c r="Q1827">
        <v>374</v>
      </c>
      <c r="R1827">
        <v>111</v>
      </c>
      <c r="S1827" s="18">
        <f t="shared" si="286"/>
        <v>9</v>
      </c>
      <c r="T1827" s="17">
        <f t="shared" si="287"/>
        <v>0</v>
      </c>
      <c r="U1827" s="17">
        <f t="shared" si="288"/>
        <v>0</v>
      </c>
      <c r="V1827" s="17">
        <f t="shared" si="289"/>
        <v>0</v>
      </c>
      <c r="W1827" s="17">
        <f t="shared" si="290"/>
        <v>111</v>
      </c>
      <c r="X1827" s="17">
        <f t="shared" si="291"/>
        <v>263</v>
      </c>
      <c r="Y1827" s="19">
        <f t="shared" si="292"/>
        <v>0</v>
      </c>
      <c r="Z1827">
        <v>345</v>
      </c>
      <c r="AA1827">
        <v>4</v>
      </c>
      <c r="AB1827">
        <v>248</v>
      </c>
      <c r="AC1827">
        <v>2051</v>
      </c>
      <c r="AD1827">
        <v>0</v>
      </c>
      <c r="AE1827">
        <v>0</v>
      </c>
      <c r="AF1827">
        <v>0</v>
      </c>
      <c r="AG1827">
        <v>200</v>
      </c>
      <c r="AH1827">
        <v>200</v>
      </c>
      <c r="AI1827">
        <v>0</v>
      </c>
      <c r="AJ1827">
        <v>0</v>
      </c>
      <c r="AK1827">
        <v>4985</v>
      </c>
      <c r="AL1827">
        <v>4985</v>
      </c>
      <c r="AM1827">
        <v>0</v>
      </c>
      <c r="AN1827">
        <v>0</v>
      </c>
      <c r="AO1827">
        <v>630</v>
      </c>
      <c r="AP1827">
        <v>80</v>
      </c>
      <c r="AQ1827">
        <v>630</v>
      </c>
      <c r="AR1827">
        <v>550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230</v>
      </c>
      <c r="BA1827">
        <v>230</v>
      </c>
      <c r="BB1827">
        <v>0</v>
      </c>
      <c r="BC1827">
        <v>0</v>
      </c>
      <c r="BD1827">
        <v>0</v>
      </c>
      <c r="BE1827">
        <f t="shared" si="293"/>
        <v>14771</v>
      </c>
      <c r="BF1827">
        <v>8693</v>
      </c>
      <c r="BG1827">
        <v>8693</v>
      </c>
      <c r="BH1827" t="s">
        <v>82</v>
      </c>
      <c r="BI1827" t="s">
        <v>749</v>
      </c>
      <c r="BJ1827">
        <v>2303</v>
      </c>
      <c r="BK1827">
        <v>6045</v>
      </c>
      <c r="BL1827">
        <v>8693</v>
      </c>
      <c r="BM1827">
        <v>0</v>
      </c>
      <c r="BN1827">
        <v>0</v>
      </c>
      <c r="BO1827">
        <v>0</v>
      </c>
      <c r="BP1827">
        <v>7044</v>
      </c>
      <c r="BQ1827">
        <v>7044</v>
      </c>
      <c r="BR1827">
        <f t="shared" si="294"/>
        <v>-263</v>
      </c>
      <c r="BS1827">
        <f t="shared" si="295"/>
        <v>485</v>
      </c>
    </row>
    <row r="1828" spans="1:74" x14ac:dyDescent="0.25">
      <c r="A1828" s="5" t="s">
        <v>207</v>
      </c>
      <c r="B1828" s="5" t="s">
        <v>359</v>
      </c>
      <c r="C1828" s="5" t="s">
        <v>61</v>
      </c>
      <c r="D1828" s="1" t="s">
        <v>77</v>
      </c>
      <c r="E1828">
        <v>0</v>
      </c>
      <c r="F1828">
        <v>700</v>
      </c>
      <c r="G1828">
        <v>0</v>
      </c>
      <c r="H1828">
        <v>0</v>
      </c>
      <c r="I1828">
        <v>886</v>
      </c>
      <c r="J1828">
        <v>750</v>
      </c>
      <c r="K1828">
        <v>332</v>
      </c>
      <c r="L1828">
        <v>0</v>
      </c>
      <c r="M1828">
        <v>675</v>
      </c>
      <c r="N1828">
        <v>0</v>
      </c>
      <c r="O1828">
        <v>0</v>
      </c>
      <c r="P1828">
        <v>0</v>
      </c>
      <c r="Q1828">
        <v>339</v>
      </c>
      <c r="R1828">
        <v>75</v>
      </c>
      <c r="S1828" s="18">
        <f t="shared" si="286"/>
        <v>9</v>
      </c>
      <c r="T1828" s="17">
        <f t="shared" si="287"/>
        <v>75</v>
      </c>
      <c r="U1828" s="17">
        <f t="shared" si="288"/>
        <v>0</v>
      </c>
      <c r="V1828" s="17">
        <f t="shared" si="289"/>
        <v>0</v>
      </c>
      <c r="W1828" s="17">
        <f t="shared" si="290"/>
        <v>0</v>
      </c>
      <c r="X1828" s="17">
        <f t="shared" si="291"/>
        <v>264</v>
      </c>
      <c r="Y1828" s="19">
        <f t="shared" si="292"/>
        <v>0</v>
      </c>
      <c r="Z1828">
        <v>700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886</v>
      </c>
      <c r="AH1828">
        <v>886</v>
      </c>
      <c r="AI1828">
        <v>0</v>
      </c>
      <c r="AJ1828">
        <v>0</v>
      </c>
      <c r="AK1828">
        <v>750</v>
      </c>
      <c r="AL1828">
        <v>750</v>
      </c>
      <c r="AM1828">
        <v>0</v>
      </c>
      <c r="AN1828">
        <v>0</v>
      </c>
      <c r="AO1828">
        <v>332</v>
      </c>
      <c r="AP1828">
        <v>140</v>
      </c>
      <c r="AQ1828">
        <v>332</v>
      </c>
      <c r="AR1828">
        <v>192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f t="shared" si="293"/>
        <v>4268</v>
      </c>
      <c r="BF1828">
        <v>2668</v>
      </c>
      <c r="BG1828">
        <v>2668</v>
      </c>
      <c r="BH1828" t="s">
        <v>82</v>
      </c>
      <c r="BI1828" t="s">
        <v>601</v>
      </c>
      <c r="BJ1828">
        <v>0</v>
      </c>
      <c r="BK1828">
        <v>1968</v>
      </c>
      <c r="BL1828">
        <v>2668</v>
      </c>
      <c r="BM1828">
        <v>675</v>
      </c>
      <c r="BN1828">
        <v>0</v>
      </c>
      <c r="BO1828">
        <v>0</v>
      </c>
      <c r="BP1828">
        <v>1968</v>
      </c>
      <c r="BQ1828">
        <v>2643</v>
      </c>
      <c r="BR1828">
        <f t="shared" si="294"/>
        <v>-264</v>
      </c>
      <c r="BS1828">
        <f t="shared" si="295"/>
        <v>414</v>
      </c>
    </row>
    <row r="1829" spans="1:74" x14ac:dyDescent="0.25">
      <c r="A1829" s="5" t="s">
        <v>1661</v>
      </c>
      <c r="B1829" s="5" t="s">
        <v>359</v>
      </c>
      <c r="C1829" s="5" t="s">
        <v>207</v>
      </c>
      <c r="D1829" s="1" t="s">
        <v>147</v>
      </c>
      <c r="E1829">
        <v>0</v>
      </c>
      <c r="F1829">
        <v>1695</v>
      </c>
      <c r="G1829">
        <v>0</v>
      </c>
      <c r="H1829">
        <v>0</v>
      </c>
      <c r="I1829">
        <v>377</v>
      </c>
      <c r="J1829">
        <v>1348</v>
      </c>
      <c r="K1829">
        <v>1762</v>
      </c>
      <c r="L1829">
        <v>130</v>
      </c>
      <c r="M1829">
        <v>0</v>
      </c>
      <c r="N1829">
        <v>4890.8819095477393</v>
      </c>
      <c r="O1829">
        <v>0</v>
      </c>
      <c r="P1829">
        <v>911.1180904522613</v>
      </c>
      <c r="Q1829">
        <v>1060</v>
      </c>
      <c r="R1829">
        <v>796</v>
      </c>
      <c r="S1829" s="18">
        <f t="shared" si="286"/>
        <v>7.2889447236180915</v>
      </c>
      <c r="T1829" s="17">
        <f t="shared" si="287"/>
        <v>0</v>
      </c>
      <c r="U1829" s="17">
        <f t="shared" si="288"/>
        <v>671</v>
      </c>
      <c r="V1829" s="17">
        <f t="shared" si="289"/>
        <v>0</v>
      </c>
      <c r="W1829" s="17">
        <f t="shared" si="290"/>
        <v>124.99999999999999</v>
      </c>
      <c r="X1829" s="17">
        <f t="shared" si="291"/>
        <v>264</v>
      </c>
      <c r="Y1829" s="19">
        <f t="shared" si="292"/>
        <v>0</v>
      </c>
      <c r="Z1829">
        <v>1695</v>
      </c>
      <c r="AA1829">
        <v>0</v>
      </c>
      <c r="AB1829">
        <v>0</v>
      </c>
      <c r="AC1829">
        <v>0</v>
      </c>
      <c r="AD1829">
        <v>0</v>
      </c>
      <c r="AE1829">
        <v>377</v>
      </c>
      <c r="AF1829">
        <v>0</v>
      </c>
      <c r="AG1829">
        <v>0</v>
      </c>
      <c r="AH1829">
        <v>377</v>
      </c>
      <c r="AI1829">
        <v>0</v>
      </c>
      <c r="AJ1829">
        <v>0</v>
      </c>
      <c r="AK1829">
        <v>1348</v>
      </c>
      <c r="AL1829">
        <v>1348</v>
      </c>
      <c r="AM1829">
        <v>47</v>
      </c>
      <c r="AN1829">
        <v>1700</v>
      </c>
      <c r="AO1829">
        <v>15</v>
      </c>
      <c r="AP1829">
        <v>801</v>
      </c>
      <c r="AQ1829">
        <v>1762</v>
      </c>
      <c r="AR1829">
        <v>961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130</v>
      </c>
      <c r="BA1829">
        <v>130</v>
      </c>
      <c r="BB1829">
        <v>0</v>
      </c>
      <c r="BC1829">
        <v>0</v>
      </c>
      <c r="BD1829">
        <v>0</v>
      </c>
      <c r="BE1829">
        <f t="shared" si="293"/>
        <v>8996</v>
      </c>
      <c r="BF1829">
        <v>5802</v>
      </c>
      <c r="BG1829">
        <v>5802</v>
      </c>
      <c r="BH1829" t="s">
        <v>82</v>
      </c>
      <c r="BI1829" t="s">
        <v>1920</v>
      </c>
      <c r="BJ1829">
        <v>0</v>
      </c>
      <c r="BK1829">
        <v>3617</v>
      </c>
      <c r="BL1829">
        <v>5312</v>
      </c>
      <c r="BM1829">
        <v>47</v>
      </c>
      <c r="BN1829">
        <v>6967.8819095477393</v>
      </c>
      <c r="BO1829">
        <v>0</v>
      </c>
      <c r="BP1829">
        <v>2404.1180904522612</v>
      </c>
      <c r="BQ1829">
        <v>9419</v>
      </c>
      <c r="BR1829">
        <f t="shared" si="294"/>
        <v>-264</v>
      </c>
      <c r="BS1829">
        <f t="shared" si="295"/>
        <v>1856</v>
      </c>
    </row>
    <row r="1830" spans="1:74" x14ac:dyDescent="0.25">
      <c r="A1830" s="5" t="s">
        <v>627</v>
      </c>
      <c r="B1830" s="5" t="s">
        <v>359</v>
      </c>
      <c r="C1830" s="5" t="s">
        <v>61</v>
      </c>
      <c r="D1830" s="1" t="s">
        <v>88</v>
      </c>
      <c r="E1830">
        <v>0</v>
      </c>
      <c r="F1830">
        <v>0</v>
      </c>
      <c r="G1830">
        <v>0</v>
      </c>
      <c r="H1830">
        <v>0</v>
      </c>
      <c r="I1830">
        <v>131</v>
      </c>
      <c r="J1830">
        <v>4350</v>
      </c>
      <c r="K1830">
        <v>415</v>
      </c>
      <c r="L1830">
        <v>102</v>
      </c>
      <c r="M1830">
        <v>0</v>
      </c>
      <c r="N1830">
        <v>0</v>
      </c>
      <c r="O1830">
        <v>0</v>
      </c>
      <c r="P1830">
        <v>0</v>
      </c>
      <c r="Q1830">
        <v>265</v>
      </c>
      <c r="R1830">
        <v>0</v>
      </c>
      <c r="S1830" s="18" t="e">
        <f t="shared" si="286"/>
        <v>#DIV/0!</v>
      </c>
      <c r="T1830" s="17" t="e">
        <f t="shared" si="287"/>
        <v>#DIV/0!</v>
      </c>
      <c r="U1830" s="17" t="e">
        <f t="shared" si="288"/>
        <v>#DIV/0!</v>
      </c>
      <c r="V1830" s="17" t="e">
        <f t="shared" si="289"/>
        <v>#DIV/0!</v>
      </c>
      <c r="W1830" s="17" t="e">
        <f t="shared" si="290"/>
        <v>#DIV/0!</v>
      </c>
      <c r="X1830" s="17" t="e">
        <f t="shared" si="291"/>
        <v>#DIV/0!</v>
      </c>
      <c r="Y1830" s="19" t="e">
        <f t="shared" si="292"/>
        <v>#DIV/0!</v>
      </c>
      <c r="Z1830">
        <v>0</v>
      </c>
      <c r="AA1830">
        <v>9</v>
      </c>
      <c r="AB1830">
        <v>0</v>
      </c>
      <c r="AC1830">
        <v>2730</v>
      </c>
      <c r="AD1830">
        <v>0</v>
      </c>
      <c r="AE1830">
        <v>131</v>
      </c>
      <c r="AF1830">
        <v>0</v>
      </c>
      <c r="AG1830">
        <v>0</v>
      </c>
      <c r="AH1830">
        <v>131</v>
      </c>
      <c r="AI1830">
        <v>0</v>
      </c>
      <c r="AJ1830">
        <v>4350</v>
      </c>
      <c r="AK1830">
        <v>0</v>
      </c>
      <c r="AL1830">
        <v>4350</v>
      </c>
      <c r="AM1830">
        <v>0</v>
      </c>
      <c r="AN1830">
        <v>415</v>
      </c>
      <c r="AO1830">
        <v>0</v>
      </c>
      <c r="AP1830">
        <v>185</v>
      </c>
      <c r="AQ1830">
        <v>415</v>
      </c>
      <c r="AR1830">
        <v>230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102</v>
      </c>
      <c r="AZ1830">
        <v>0</v>
      </c>
      <c r="BA1830">
        <v>102</v>
      </c>
      <c r="BB1830">
        <v>0</v>
      </c>
      <c r="BC1830">
        <v>0</v>
      </c>
      <c r="BD1830">
        <v>0</v>
      </c>
      <c r="BE1830">
        <f t="shared" si="293"/>
        <v>13141</v>
      </c>
      <c r="BF1830">
        <v>7737</v>
      </c>
      <c r="BG1830">
        <v>7737</v>
      </c>
      <c r="BH1830" t="s">
        <v>82</v>
      </c>
      <c r="BI1830" t="s">
        <v>747</v>
      </c>
      <c r="BJ1830">
        <v>2739</v>
      </c>
      <c r="BK1830">
        <v>4998</v>
      </c>
      <c r="BL1830">
        <v>7737</v>
      </c>
      <c r="BM1830">
        <v>0</v>
      </c>
      <c r="BN1830">
        <v>4998</v>
      </c>
      <c r="BO1830">
        <v>0</v>
      </c>
      <c r="BP1830">
        <v>0</v>
      </c>
      <c r="BQ1830">
        <v>4998</v>
      </c>
      <c r="BR1830">
        <f t="shared" si="294"/>
        <v>-265</v>
      </c>
      <c r="BS1830">
        <f t="shared" si="295"/>
        <v>265</v>
      </c>
    </row>
    <row r="1831" spans="1:74" x14ac:dyDescent="0.25">
      <c r="A1831" s="5" t="s">
        <v>1451</v>
      </c>
      <c r="B1831" s="5" t="s">
        <v>61</v>
      </c>
      <c r="C1831" s="5" t="s">
        <v>61</v>
      </c>
      <c r="D1831" s="1" t="s">
        <v>79</v>
      </c>
      <c r="E1831">
        <v>0</v>
      </c>
      <c r="F1831">
        <v>490</v>
      </c>
      <c r="G1831">
        <v>0</v>
      </c>
      <c r="H1831">
        <v>0</v>
      </c>
      <c r="I1831">
        <v>62</v>
      </c>
      <c r="J1831">
        <v>3242</v>
      </c>
      <c r="K1831">
        <v>342</v>
      </c>
      <c r="L1831">
        <v>125</v>
      </c>
      <c r="M1831">
        <v>0</v>
      </c>
      <c r="N1831">
        <v>0</v>
      </c>
      <c r="O1831">
        <v>0</v>
      </c>
      <c r="P1831">
        <v>990</v>
      </c>
      <c r="Q1831">
        <v>375</v>
      </c>
      <c r="R1831">
        <v>110</v>
      </c>
      <c r="S1831" s="18">
        <f t="shared" si="286"/>
        <v>9</v>
      </c>
      <c r="T1831" s="17">
        <f t="shared" si="287"/>
        <v>0</v>
      </c>
      <c r="U1831" s="17">
        <f t="shared" si="288"/>
        <v>0</v>
      </c>
      <c r="V1831" s="17">
        <f t="shared" si="289"/>
        <v>0</v>
      </c>
      <c r="W1831" s="17">
        <f t="shared" si="290"/>
        <v>110</v>
      </c>
      <c r="X1831" s="17">
        <f t="shared" si="291"/>
        <v>265</v>
      </c>
      <c r="Y1831" s="19">
        <f t="shared" si="292"/>
        <v>0</v>
      </c>
      <c r="Z1831">
        <v>490</v>
      </c>
      <c r="AA1831">
        <v>4</v>
      </c>
      <c r="AB1831">
        <v>210</v>
      </c>
      <c r="AC1831">
        <v>3243</v>
      </c>
      <c r="AD1831">
        <v>0</v>
      </c>
      <c r="AE1831">
        <v>0</v>
      </c>
      <c r="AF1831">
        <v>0</v>
      </c>
      <c r="AG1831">
        <v>62</v>
      </c>
      <c r="AH1831">
        <v>62</v>
      </c>
      <c r="AI1831">
        <v>0</v>
      </c>
      <c r="AJ1831">
        <v>0</v>
      </c>
      <c r="AK1831">
        <v>3242</v>
      </c>
      <c r="AL1831">
        <v>3242</v>
      </c>
      <c r="AM1831">
        <v>0</v>
      </c>
      <c r="AN1831">
        <v>0</v>
      </c>
      <c r="AO1831">
        <v>342</v>
      </c>
      <c r="AP1831">
        <v>127</v>
      </c>
      <c r="AQ1831">
        <v>342</v>
      </c>
      <c r="AR1831">
        <v>215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125</v>
      </c>
      <c r="BA1831">
        <v>125</v>
      </c>
      <c r="BB1831">
        <v>0</v>
      </c>
      <c r="BC1831">
        <v>0</v>
      </c>
      <c r="BD1831">
        <v>0</v>
      </c>
      <c r="BE1831">
        <f t="shared" si="293"/>
        <v>11127</v>
      </c>
      <c r="BF1831">
        <v>7718</v>
      </c>
      <c r="BG1831">
        <v>7718</v>
      </c>
      <c r="BH1831" t="s">
        <v>82</v>
      </c>
      <c r="BI1831" t="s">
        <v>745</v>
      </c>
      <c r="BJ1831">
        <v>3457</v>
      </c>
      <c r="BK1831">
        <v>3771</v>
      </c>
      <c r="BL1831">
        <v>7718</v>
      </c>
      <c r="BM1831">
        <v>0</v>
      </c>
      <c r="BN1831">
        <v>0</v>
      </c>
      <c r="BO1831">
        <v>0</v>
      </c>
      <c r="BP1831">
        <v>4761</v>
      </c>
      <c r="BQ1831">
        <v>4761</v>
      </c>
      <c r="BR1831">
        <f t="shared" si="294"/>
        <v>-265</v>
      </c>
      <c r="BS1831">
        <f t="shared" si="295"/>
        <v>485</v>
      </c>
    </row>
    <row r="1832" spans="1:74" x14ac:dyDescent="0.25">
      <c r="A1832" s="5" t="s">
        <v>2090</v>
      </c>
      <c r="B1832" s="5" t="s">
        <v>61</v>
      </c>
      <c r="C1832" s="5" t="s">
        <v>61</v>
      </c>
      <c r="D1832" s="1" t="s">
        <v>2191</v>
      </c>
      <c r="E1832">
        <v>0</v>
      </c>
      <c r="F1832">
        <v>0</v>
      </c>
      <c r="G1832">
        <v>0</v>
      </c>
      <c r="H1832">
        <v>0</v>
      </c>
      <c r="I1832">
        <v>202</v>
      </c>
      <c r="J1832">
        <v>569</v>
      </c>
      <c r="K1832">
        <v>63</v>
      </c>
      <c r="L1832">
        <v>33</v>
      </c>
      <c r="M1832">
        <v>0</v>
      </c>
      <c r="N1832">
        <v>0</v>
      </c>
      <c r="O1832">
        <v>0</v>
      </c>
      <c r="P1832">
        <v>0</v>
      </c>
      <c r="Q1832">
        <v>265</v>
      </c>
      <c r="R1832">
        <v>0</v>
      </c>
      <c r="S1832" s="18" t="e">
        <f t="shared" si="286"/>
        <v>#DIV/0!</v>
      </c>
      <c r="T1832" s="17" t="e">
        <f t="shared" si="287"/>
        <v>#DIV/0!</v>
      </c>
      <c r="U1832" s="17" t="e">
        <f t="shared" si="288"/>
        <v>#DIV/0!</v>
      </c>
      <c r="V1832" s="17" t="e">
        <f t="shared" si="289"/>
        <v>#DIV/0!</v>
      </c>
      <c r="W1832" s="17" t="e">
        <f t="shared" si="290"/>
        <v>#DIV/0!</v>
      </c>
      <c r="X1832" s="17" t="e">
        <f t="shared" si="291"/>
        <v>#DIV/0!</v>
      </c>
      <c r="Y1832" s="19" t="e">
        <f t="shared" si="292"/>
        <v>#DIV/0!</v>
      </c>
      <c r="Z1832">
        <v>0</v>
      </c>
      <c r="AA1832">
        <v>0</v>
      </c>
      <c r="AB1832">
        <v>206</v>
      </c>
      <c r="AC1832">
        <v>717</v>
      </c>
      <c r="AD1832">
        <v>0</v>
      </c>
      <c r="AE1832">
        <v>0</v>
      </c>
      <c r="AF1832">
        <v>0</v>
      </c>
      <c r="AG1832">
        <v>202</v>
      </c>
      <c r="AH1832">
        <v>202</v>
      </c>
      <c r="AI1832">
        <v>0</v>
      </c>
      <c r="AJ1832">
        <v>0</v>
      </c>
      <c r="AK1832">
        <v>569</v>
      </c>
      <c r="AL1832">
        <v>569</v>
      </c>
      <c r="AM1832">
        <v>0</v>
      </c>
      <c r="AN1832">
        <v>0</v>
      </c>
      <c r="AO1832">
        <v>63</v>
      </c>
      <c r="AP1832">
        <v>33</v>
      </c>
      <c r="AQ1832">
        <v>63</v>
      </c>
      <c r="AR1832">
        <v>30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33</v>
      </c>
      <c r="BA1832">
        <v>33</v>
      </c>
      <c r="BB1832">
        <v>0</v>
      </c>
      <c r="BC1832">
        <v>0</v>
      </c>
      <c r="BD1832">
        <v>0</v>
      </c>
      <c r="BE1832">
        <f t="shared" si="293"/>
        <v>2514</v>
      </c>
      <c r="BF1832">
        <v>1790</v>
      </c>
      <c r="BG1832">
        <v>1790</v>
      </c>
      <c r="BH1832" t="s">
        <v>82</v>
      </c>
      <c r="BI1832" t="s">
        <v>2192</v>
      </c>
      <c r="BJ1832">
        <v>923</v>
      </c>
      <c r="BK1832">
        <v>867</v>
      </c>
      <c r="BL1832">
        <v>1790</v>
      </c>
      <c r="BM1832">
        <v>0</v>
      </c>
      <c r="BN1832">
        <v>0</v>
      </c>
      <c r="BO1832">
        <v>0</v>
      </c>
      <c r="BP1832">
        <v>867</v>
      </c>
      <c r="BQ1832">
        <v>867</v>
      </c>
      <c r="BR1832">
        <f t="shared" si="294"/>
        <v>-265</v>
      </c>
      <c r="BS1832">
        <f t="shared" si="295"/>
        <v>265</v>
      </c>
    </row>
    <row r="1833" spans="1:74" x14ac:dyDescent="0.25">
      <c r="A1833" s="5" t="s">
        <v>1451</v>
      </c>
      <c r="B1833" s="5" t="s">
        <v>207</v>
      </c>
      <c r="C1833" s="5" t="s">
        <v>61</v>
      </c>
      <c r="D1833" s="1" t="s">
        <v>62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1000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210</v>
      </c>
      <c r="R1833">
        <v>0</v>
      </c>
      <c r="S1833" s="18" t="e">
        <f t="shared" si="286"/>
        <v>#DIV/0!</v>
      </c>
      <c r="T1833" s="17" t="e">
        <f t="shared" si="287"/>
        <v>#DIV/0!</v>
      </c>
      <c r="U1833" s="17" t="e">
        <f t="shared" si="288"/>
        <v>#DIV/0!</v>
      </c>
      <c r="V1833" s="17" t="e">
        <f t="shared" si="289"/>
        <v>#DIV/0!</v>
      </c>
      <c r="W1833" s="17" t="e">
        <f t="shared" si="290"/>
        <v>#DIV/0!</v>
      </c>
      <c r="X1833" s="17" t="e">
        <f t="shared" si="291"/>
        <v>#DIV/0!</v>
      </c>
      <c r="Y1833" s="19" t="e">
        <f t="shared" si="292"/>
        <v>#DIV/0!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1000</v>
      </c>
      <c r="AO1833">
        <v>0</v>
      </c>
      <c r="AP1833">
        <v>0</v>
      </c>
      <c r="AQ1833">
        <v>1000</v>
      </c>
      <c r="AR1833">
        <v>1000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f t="shared" si="293"/>
        <v>3000</v>
      </c>
      <c r="BF1833">
        <v>1000</v>
      </c>
      <c r="BG1833">
        <v>1000</v>
      </c>
      <c r="BH1833" t="s">
        <v>63</v>
      </c>
      <c r="BI1833" t="s">
        <v>1534</v>
      </c>
      <c r="BJ1833">
        <v>0</v>
      </c>
      <c r="BK1833">
        <v>1000</v>
      </c>
      <c r="BL1833">
        <v>1000</v>
      </c>
      <c r="BM1833">
        <v>0</v>
      </c>
      <c r="BN1833">
        <v>1000</v>
      </c>
      <c r="BO1833">
        <v>0</v>
      </c>
      <c r="BP1833">
        <v>0</v>
      </c>
      <c r="BQ1833">
        <v>1000</v>
      </c>
      <c r="BR1833">
        <f t="shared" si="294"/>
        <v>-210</v>
      </c>
      <c r="BS1833">
        <f t="shared" si="295"/>
        <v>210</v>
      </c>
      <c r="BU1833">
        <f>R1833*9</f>
        <v>0</v>
      </c>
      <c r="BV1833">
        <f>IF(BU1833&gt;BG1833, 1, 0)</f>
        <v>0</v>
      </c>
    </row>
    <row r="1834" spans="1:74" x14ac:dyDescent="0.25">
      <c r="A1834" s="5" t="s">
        <v>1017</v>
      </c>
      <c r="B1834" s="5" t="s">
        <v>61</v>
      </c>
      <c r="C1834" s="5" t="s">
        <v>207</v>
      </c>
      <c r="D1834" s="1" t="s">
        <v>98</v>
      </c>
      <c r="E1834">
        <v>0</v>
      </c>
      <c r="F1834">
        <v>9</v>
      </c>
      <c r="G1834">
        <v>0</v>
      </c>
      <c r="H1834">
        <v>0</v>
      </c>
      <c r="I1834">
        <v>240</v>
      </c>
      <c r="J1834">
        <v>3504</v>
      </c>
      <c r="K1834">
        <v>92</v>
      </c>
      <c r="L1834">
        <v>225</v>
      </c>
      <c r="M1834">
        <v>0</v>
      </c>
      <c r="N1834">
        <v>0</v>
      </c>
      <c r="O1834">
        <v>0</v>
      </c>
      <c r="P1834">
        <v>81</v>
      </c>
      <c r="Q1834">
        <v>278</v>
      </c>
      <c r="R1834">
        <v>9</v>
      </c>
      <c r="S1834" s="18">
        <f t="shared" si="286"/>
        <v>9</v>
      </c>
      <c r="T1834" s="17">
        <f t="shared" si="287"/>
        <v>0</v>
      </c>
      <c r="U1834" s="17">
        <f t="shared" si="288"/>
        <v>0</v>
      </c>
      <c r="V1834" s="17">
        <f t="shared" si="289"/>
        <v>0</v>
      </c>
      <c r="W1834" s="17">
        <f t="shared" si="290"/>
        <v>9</v>
      </c>
      <c r="X1834" s="17">
        <f t="shared" si="291"/>
        <v>269</v>
      </c>
      <c r="Y1834" s="19">
        <f t="shared" si="292"/>
        <v>0</v>
      </c>
      <c r="Z1834">
        <v>9</v>
      </c>
      <c r="AA1834">
        <v>3</v>
      </c>
      <c r="AB1834">
        <v>0</v>
      </c>
      <c r="AC1834">
        <v>1789</v>
      </c>
      <c r="AD1834">
        <v>0</v>
      </c>
      <c r="AE1834">
        <v>0</v>
      </c>
      <c r="AF1834">
        <v>0</v>
      </c>
      <c r="AG1834">
        <v>240</v>
      </c>
      <c r="AH1834">
        <v>240</v>
      </c>
      <c r="AI1834">
        <v>0</v>
      </c>
      <c r="AJ1834">
        <v>0</v>
      </c>
      <c r="AK1834">
        <v>3504</v>
      </c>
      <c r="AL1834">
        <v>3504</v>
      </c>
      <c r="AM1834">
        <v>0</v>
      </c>
      <c r="AN1834">
        <v>0</v>
      </c>
      <c r="AO1834">
        <v>92</v>
      </c>
      <c r="AP1834">
        <v>0</v>
      </c>
      <c r="AQ1834">
        <v>92</v>
      </c>
      <c r="AR1834">
        <v>92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225</v>
      </c>
      <c r="BA1834">
        <v>225</v>
      </c>
      <c r="BB1834">
        <v>0</v>
      </c>
      <c r="BC1834">
        <v>0</v>
      </c>
      <c r="BD1834">
        <v>0</v>
      </c>
      <c r="BE1834">
        <f t="shared" si="293"/>
        <v>10003</v>
      </c>
      <c r="BF1834">
        <v>5862</v>
      </c>
      <c r="BG1834">
        <v>5862</v>
      </c>
      <c r="BH1834" t="s">
        <v>82</v>
      </c>
      <c r="BI1834" t="s">
        <v>1062</v>
      </c>
      <c r="BJ1834">
        <v>1792</v>
      </c>
      <c r="BK1834">
        <v>4061</v>
      </c>
      <c r="BL1834">
        <v>5862</v>
      </c>
      <c r="BM1834">
        <v>0</v>
      </c>
      <c r="BN1834">
        <v>0</v>
      </c>
      <c r="BO1834">
        <v>0</v>
      </c>
      <c r="BP1834">
        <v>4142</v>
      </c>
      <c r="BQ1834">
        <v>4142</v>
      </c>
      <c r="BR1834">
        <f t="shared" si="294"/>
        <v>-269</v>
      </c>
      <c r="BS1834">
        <f t="shared" si="295"/>
        <v>287</v>
      </c>
    </row>
    <row r="1835" spans="1:74" x14ac:dyDescent="0.25">
      <c r="A1835" s="5" t="s">
        <v>61</v>
      </c>
      <c r="B1835" s="5" t="s">
        <v>207</v>
      </c>
      <c r="C1835" s="5" t="s">
        <v>61</v>
      </c>
      <c r="D1835" s="1" t="s">
        <v>75</v>
      </c>
      <c r="E1835">
        <v>0</v>
      </c>
      <c r="F1835">
        <v>147</v>
      </c>
      <c r="G1835">
        <v>0</v>
      </c>
      <c r="H1835">
        <v>0</v>
      </c>
      <c r="I1835">
        <v>910</v>
      </c>
      <c r="J1835">
        <v>0</v>
      </c>
      <c r="K1835">
        <v>56</v>
      </c>
      <c r="L1835">
        <v>0</v>
      </c>
      <c r="M1835">
        <v>0</v>
      </c>
      <c r="N1835">
        <v>0</v>
      </c>
      <c r="O1835">
        <v>0</v>
      </c>
      <c r="P1835">
        <v>1323</v>
      </c>
      <c r="Q1835">
        <v>417</v>
      </c>
      <c r="R1835">
        <v>147</v>
      </c>
      <c r="S1835" s="18">
        <f t="shared" si="286"/>
        <v>9</v>
      </c>
      <c r="T1835" s="17">
        <f t="shared" si="287"/>
        <v>0</v>
      </c>
      <c r="U1835" s="17">
        <f t="shared" si="288"/>
        <v>0</v>
      </c>
      <c r="V1835" s="17">
        <f t="shared" si="289"/>
        <v>0</v>
      </c>
      <c r="W1835" s="17">
        <f t="shared" si="290"/>
        <v>147</v>
      </c>
      <c r="X1835" s="17">
        <f t="shared" si="291"/>
        <v>270</v>
      </c>
      <c r="Y1835" s="19">
        <f t="shared" si="292"/>
        <v>0</v>
      </c>
      <c r="Z1835">
        <v>147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910</v>
      </c>
      <c r="AH1835">
        <v>910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56</v>
      </c>
      <c r="AP1835">
        <v>28</v>
      </c>
      <c r="AQ1835">
        <v>56</v>
      </c>
      <c r="AR1835">
        <v>28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f t="shared" si="293"/>
        <v>1988</v>
      </c>
      <c r="BF1835">
        <v>1113</v>
      </c>
      <c r="BG1835">
        <v>1113</v>
      </c>
      <c r="BH1835" t="s">
        <v>109</v>
      </c>
      <c r="BI1835" t="s">
        <v>214</v>
      </c>
      <c r="BJ1835">
        <v>0</v>
      </c>
      <c r="BK1835">
        <v>966</v>
      </c>
      <c r="BL1835">
        <v>1113</v>
      </c>
      <c r="BM1835">
        <v>0</v>
      </c>
      <c r="BN1835">
        <v>0</v>
      </c>
      <c r="BO1835">
        <v>0</v>
      </c>
      <c r="BP1835">
        <v>2289</v>
      </c>
      <c r="BQ1835">
        <v>2289</v>
      </c>
      <c r="BR1835">
        <f t="shared" si="294"/>
        <v>-270</v>
      </c>
      <c r="BS1835">
        <f t="shared" si="295"/>
        <v>564</v>
      </c>
    </row>
    <row r="1836" spans="1:74" x14ac:dyDescent="0.25">
      <c r="A1836" s="5" t="s">
        <v>875</v>
      </c>
      <c r="B1836" s="5" t="s">
        <v>61</v>
      </c>
      <c r="C1836" s="5" t="s">
        <v>207</v>
      </c>
      <c r="D1836" s="1" t="s">
        <v>111</v>
      </c>
      <c r="E1836">
        <v>0</v>
      </c>
      <c r="F1836">
        <v>0</v>
      </c>
      <c r="G1836">
        <v>0</v>
      </c>
      <c r="H1836">
        <v>0</v>
      </c>
      <c r="I1836">
        <v>440</v>
      </c>
      <c r="J1836">
        <v>4790</v>
      </c>
      <c r="K1836">
        <v>200</v>
      </c>
      <c r="L1836">
        <v>60</v>
      </c>
      <c r="M1836">
        <v>0</v>
      </c>
      <c r="N1836">
        <v>0</v>
      </c>
      <c r="O1836">
        <v>0</v>
      </c>
      <c r="P1836">
        <v>0</v>
      </c>
      <c r="Q1836">
        <v>270</v>
      </c>
      <c r="R1836">
        <v>0</v>
      </c>
      <c r="S1836" s="18" t="e">
        <f t="shared" si="286"/>
        <v>#DIV/0!</v>
      </c>
      <c r="T1836" s="17" t="e">
        <f t="shared" si="287"/>
        <v>#DIV/0!</v>
      </c>
      <c r="U1836" s="17" t="e">
        <f t="shared" si="288"/>
        <v>#DIV/0!</v>
      </c>
      <c r="V1836" s="17" t="e">
        <f t="shared" si="289"/>
        <v>#DIV/0!</v>
      </c>
      <c r="W1836" s="17" t="e">
        <f t="shared" si="290"/>
        <v>#DIV/0!</v>
      </c>
      <c r="X1836" s="17" t="e">
        <f t="shared" si="291"/>
        <v>#DIV/0!</v>
      </c>
      <c r="Y1836" s="19" t="e">
        <f t="shared" si="292"/>
        <v>#DIV/0!</v>
      </c>
      <c r="Z1836">
        <v>0</v>
      </c>
      <c r="AA1836">
        <v>30</v>
      </c>
      <c r="AB1836">
        <v>180</v>
      </c>
      <c r="AC1836">
        <v>1500</v>
      </c>
      <c r="AD1836">
        <v>0</v>
      </c>
      <c r="AE1836">
        <v>0</v>
      </c>
      <c r="AF1836">
        <v>0</v>
      </c>
      <c r="AG1836">
        <v>440</v>
      </c>
      <c r="AH1836">
        <v>440</v>
      </c>
      <c r="AI1836">
        <v>0</v>
      </c>
      <c r="AJ1836">
        <v>0</v>
      </c>
      <c r="AK1836">
        <v>4790</v>
      </c>
      <c r="AL1836">
        <v>4790</v>
      </c>
      <c r="AM1836">
        <v>0</v>
      </c>
      <c r="AN1836">
        <v>0</v>
      </c>
      <c r="AO1836">
        <v>200</v>
      </c>
      <c r="AP1836">
        <v>115</v>
      </c>
      <c r="AQ1836">
        <v>200</v>
      </c>
      <c r="AR1836">
        <v>85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60</v>
      </c>
      <c r="BA1836">
        <v>60</v>
      </c>
      <c r="BB1836">
        <v>0</v>
      </c>
      <c r="BC1836">
        <v>0</v>
      </c>
      <c r="BD1836">
        <v>0</v>
      </c>
      <c r="BE1836">
        <f t="shared" si="293"/>
        <v>12680</v>
      </c>
      <c r="BF1836">
        <v>7200</v>
      </c>
      <c r="BG1836">
        <v>7200</v>
      </c>
      <c r="BH1836" t="s">
        <v>82</v>
      </c>
      <c r="BI1836" t="s">
        <v>898</v>
      </c>
      <c r="BJ1836">
        <v>1710</v>
      </c>
      <c r="BK1836">
        <v>5490</v>
      </c>
      <c r="BL1836">
        <v>7200</v>
      </c>
      <c r="BM1836">
        <v>0</v>
      </c>
      <c r="BN1836">
        <v>0</v>
      </c>
      <c r="BO1836">
        <v>0</v>
      </c>
      <c r="BP1836">
        <v>5490</v>
      </c>
      <c r="BQ1836">
        <v>5490</v>
      </c>
      <c r="BR1836">
        <f t="shared" si="294"/>
        <v>-270</v>
      </c>
      <c r="BS1836">
        <f t="shared" si="295"/>
        <v>270</v>
      </c>
    </row>
    <row r="1837" spans="1:74" x14ac:dyDescent="0.25">
      <c r="A1837" s="5" t="s">
        <v>61</v>
      </c>
      <c r="B1837" s="5" t="s">
        <v>61</v>
      </c>
      <c r="C1837" s="5" t="s">
        <v>61</v>
      </c>
      <c r="D1837" s="1" t="s">
        <v>153</v>
      </c>
      <c r="E1837">
        <v>0</v>
      </c>
      <c r="F1837">
        <v>70</v>
      </c>
      <c r="G1837">
        <v>0</v>
      </c>
      <c r="H1837">
        <v>0</v>
      </c>
      <c r="I1837">
        <v>160</v>
      </c>
      <c r="J1837">
        <v>0</v>
      </c>
      <c r="K1837">
        <v>0</v>
      </c>
      <c r="L1837">
        <v>0</v>
      </c>
      <c r="M1837">
        <v>333</v>
      </c>
      <c r="N1837">
        <v>0</v>
      </c>
      <c r="O1837">
        <v>0</v>
      </c>
      <c r="P1837">
        <v>0</v>
      </c>
      <c r="Q1837">
        <v>309</v>
      </c>
      <c r="R1837">
        <v>37</v>
      </c>
      <c r="S1837" s="18">
        <f t="shared" si="286"/>
        <v>9</v>
      </c>
      <c r="T1837" s="17">
        <f t="shared" si="287"/>
        <v>37</v>
      </c>
      <c r="U1837" s="17">
        <f t="shared" si="288"/>
        <v>0</v>
      </c>
      <c r="V1837" s="17">
        <f t="shared" si="289"/>
        <v>0</v>
      </c>
      <c r="W1837" s="17">
        <f t="shared" si="290"/>
        <v>0</v>
      </c>
      <c r="X1837" s="17">
        <f t="shared" si="291"/>
        <v>272</v>
      </c>
      <c r="Y1837" s="19">
        <f t="shared" si="292"/>
        <v>0</v>
      </c>
      <c r="Z1837">
        <v>70</v>
      </c>
      <c r="AA1837">
        <v>0</v>
      </c>
      <c r="AB1837">
        <v>0</v>
      </c>
      <c r="AC1837">
        <v>0</v>
      </c>
      <c r="AD1837">
        <v>160</v>
      </c>
      <c r="AE1837">
        <v>0</v>
      </c>
      <c r="AF1837">
        <v>0</v>
      </c>
      <c r="AG1837">
        <v>0</v>
      </c>
      <c r="AH1837">
        <v>160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f t="shared" si="293"/>
        <v>320</v>
      </c>
      <c r="BF1837">
        <v>230</v>
      </c>
      <c r="BG1837">
        <v>230</v>
      </c>
      <c r="BH1837" t="s">
        <v>109</v>
      </c>
      <c r="BI1837" t="s">
        <v>154</v>
      </c>
      <c r="BJ1837">
        <v>0</v>
      </c>
      <c r="BK1837">
        <v>160</v>
      </c>
      <c r="BL1837">
        <v>230</v>
      </c>
      <c r="BM1837">
        <v>493</v>
      </c>
      <c r="BN1837">
        <v>0</v>
      </c>
      <c r="BO1837">
        <v>0</v>
      </c>
      <c r="BP1837">
        <v>0</v>
      </c>
      <c r="BQ1837">
        <v>493</v>
      </c>
      <c r="BR1837">
        <f t="shared" si="294"/>
        <v>-272</v>
      </c>
      <c r="BS1837">
        <f t="shared" si="295"/>
        <v>346</v>
      </c>
    </row>
    <row r="1838" spans="1:74" x14ac:dyDescent="0.25">
      <c r="A1838" s="5" t="s">
        <v>61</v>
      </c>
      <c r="B1838" s="5" t="s">
        <v>207</v>
      </c>
      <c r="C1838" s="5" t="s">
        <v>207</v>
      </c>
      <c r="D1838" s="1" t="s">
        <v>125</v>
      </c>
      <c r="E1838">
        <v>0</v>
      </c>
      <c r="F1838">
        <v>20</v>
      </c>
      <c r="G1838">
        <v>0</v>
      </c>
      <c r="H1838">
        <v>0</v>
      </c>
      <c r="I1838">
        <v>416</v>
      </c>
      <c r="J1838">
        <v>0</v>
      </c>
      <c r="K1838">
        <v>0</v>
      </c>
      <c r="L1838">
        <v>0</v>
      </c>
      <c r="M1838">
        <v>180</v>
      </c>
      <c r="N1838">
        <v>0</v>
      </c>
      <c r="O1838">
        <v>0</v>
      </c>
      <c r="P1838">
        <v>0</v>
      </c>
      <c r="Q1838">
        <v>292</v>
      </c>
      <c r="R1838">
        <v>20</v>
      </c>
      <c r="S1838" s="18">
        <f t="shared" si="286"/>
        <v>9</v>
      </c>
      <c r="T1838" s="17">
        <f t="shared" si="287"/>
        <v>20</v>
      </c>
      <c r="U1838" s="17">
        <f t="shared" si="288"/>
        <v>0</v>
      </c>
      <c r="V1838" s="17">
        <f t="shared" si="289"/>
        <v>0</v>
      </c>
      <c r="W1838" s="17">
        <f t="shared" si="290"/>
        <v>0</v>
      </c>
      <c r="X1838" s="17">
        <f t="shared" si="291"/>
        <v>272</v>
      </c>
      <c r="Y1838" s="19">
        <f t="shared" si="292"/>
        <v>0</v>
      </c>
      <c r="Z1838">
        <v>20</v>
      </c>
      <c r="AA1838">
        <v>0</v>
      </c>
      <c r="AB1838">
        <v>0</v>
      </c>
      <c r="AC1838">
        <v>0</v>
      </c>
      <c r="AD1838">
        <v>416</v>
      </c>
      <c r="AE1838">
        <v>0</v>
      </c>
      <c r="AF1838">
        <v>0</v>
      </c>
      <c r="AG1838">
        <v>0</v>
      </c>
      <c r="AH1838">
        <v>416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f t="shared" si="293"/>
        <v>832</v>
      </c>
      <c r="BF1838">
        <v>436</v>
      </c>
      <c r="BG1838">
        <v>436</v>
      </c>
      <c r="BH1838" t="s">
        <v>109</v>
      </c>
      <c r="BI1838" t="s">
        <v>309</v>
      </c>
      <c r="BJ1838">
        <v>0</v>
      </c>
      <c r="BK1838">
        <v>416</v>
      </c>
      <c r="BL1838">
        <v>436</v>
      </c>
      <c r="BM1838">
        <v>596</v>
      </c>
      <c r="BN1838">
        <v>0</v>
      </c>
      <c r="BO1838">
        <v>0</v>
      </c>
      <c r="BP1838">
        <v>0</v>
      </c>
      <c r="BQ1838">
        <v>596</v>
      </c>
      <c r="BR1838">
        <f t="shared" si="294"/>
        <v>-272</v>
      </c>
      <c r="BS1838">
        <f t="shared" si="295"/>
        <v>312</v>
      </c>
    </row>
    <row r="1839" spans="1:74" x14ac:dyDescent="0.25">
      <c r="A1839" s="5" t="s">
        <v>61</v>
      </c>
      <c r="B1839" s="5" t="s">
        <v>207</v>
      </c>
      <c r="C1839" s="5" t="s">
        <v>207</v>
      </c>
      <c r="D1839" s="1" t="s">
        <v>65</v>
      </c>
      <c r="E1839">
        <v>0</v>
      </c>
      <c r="F1839">
        <v>0</v>
      </c>
      <c r="G1839">
        <v>0</v>
      </c>
      <c r="H1839">
        <v>0</v>
      </c>
      <c r="I1839">
        <v>2482</v>
      </c>
      <c r="J1839">
        <v>7606</v>
      </c>
      <c r="K1839">
        <v>507</v>
      </c>
      <c r="L1839">
        <v>168</v>
      </c>
      <c r="M1839">
        <v>0</v>
      </c>
      <c r="N1839">
        <v>0</v>
      </c>
      <c r="O1839">
        <v>0</v>
      </c>
      <c r="P1839">
        <v>0</v>
      </c>
      <c r="Q1839">
        <v>213</v>
      </c>
      <c r="R1839">
        <v>0</v>
      </c>
      <c r="S1839" s="18" t="e">
        <f t="shared" si="286"/>
        <v>#DIV/0!</v>
      </c>
      <c r="T1839" s="17" t="e">
        <f t="shared" si="287"/>
        <v>#DIV/0!</v>
      </c>
      <c r="U1839" s="17" t="e">
        <f t="shared" si="288"/>
        <v>#DIV/0!</v>
      </c>
      <c r="V1839" s="17" t="e">
        <f t="shared" si="289"/>
        <v>#DIV/0!</v>
      </c>
      <c r="W1839" s="17" t="e">
        <f t="shared" si="290"/>
        <v>#DIV/0!</v>
      </c>
      <c r="X1839" s="17" t="e">
        <f t="shared" si="291"/>
        <v>#DIV/0!</v>
      </c>
      <c r="Y1839" s="19" t="e">
        <f t="shared" si="292"/>
        <v>#DIV/0!</v>
      </c>
      <c r="Z1839">
        <v>0</v>
      </c>
      <c r="AA1839">
        <v>0</v>
      </c>
      <c r="AB1839">
        <v>0</v>
      </c>
      <c r="AC1839">
        <v>28</v>
      </c>
      <c r="AD1839">
        <v>0</v>
      </c>
      <c r="AE1839">
        <v>2482</v>
      </c>
      <c r="AF1839">
        <v>0</v>
      </c>
      <c r="AG1839">
        <v>0</v>
      </c>
      <c r="AH1839">
        <v>2482</v>
      </c>
      <c r="AI1839">
        <v>0</v>
      </c>
      <c r="AJ1839">
        <v>7606</v>
      </c>
      <c r="AK1839">
        <v>0</v>
      </c>
      <c r="AL1839">
        <v>7606</v>
      </c>
      <c r="AM1839">
        <v>0</v>
      </c>
      <c r="AN1839">
        <v>507</v>
      </c>
      <c r="AO1839">
        <v>0</v>
      </c>
      <c r="AP1839">
        <v>0</v>
      </c>
      <c r="AQ1839">
        <v>507</v>
      </c>
      <c r="AR1839">
        <v>507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168</v>
      </c>
      <c r="AZ1839">
        <v>0</v>
      </c>
      <c r="BA1839">
        <v>168</v>
      </c>
      <c r="BB1839">
        <v>0</v>
      </c>
      <c r="BC1839">
        <v>0</v>
      </c>
      <c r="BD1839">
        <v>0</v>
      </c>
      <c r="BE1839">
        <f t="shared" si="293"/>
        <v>22061</v>
      </c>
      <c r="BF1839">
        <v>10791</v>
      </c>
      <c r="BG1839">
        <v>10791</v>
      </c>
      <c r="BH1839" t="s">
        <v>63</v>
      </c>
      <c r="BI1839" t="s">
        <v>280</v>
      </c>
      <c r="BJ1839">
        <v>28</v>
      </c>
      <c r="BK1839">
        <v>10763</v>
      </c>
      <c r="BL1839">
        <v>10791</v>
      </c>
      <c r="BM1839">
        <v>0</v>
      </c>
      <c r="BN1839">
        <v>10763</v>
      </c>
      <c r="BO1839">
        <v>0</v>
      </c>
      <c r="BP1839">
        <v>0</v>
      </c>
      <c r="BQ1839">
        <v>10763</v>
      </c>
      <c r="BR1839">
        <f t="shared" si="294"/>
        <v>-213</v>
      </c>
      <c r="BS1839">
        <f t="shared" si="295"/>
        <v>213</v>
      </c>
      <c r="BU1839">
        <f>R1839*9</f>
        <v>0</v>
      </c>
      <c r="BV1839">
        <f>IF(BU1839&gt;BG1839, 1, 0)</f>
        <v>0</v>
      </c>
    </row>
    <row r="1840" spans="1:74" x14ac:dyDescent="0.25">
      <c r="A1840" s="5" t="s">
        <v>207</v>
      </c>
      <c r="B1840" s="5" t="s">
        <v>61</v>
      </c>
      <c r="C1840" s="6" t="s">
        <v>61</v>
      </c>
      <c r="D1840" s="1" t="s">
        <v>69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1350</v>
      </c>
      <c r="K1840">
        <v>75</v>
      </c>
      <c r="L1840">
        <v>100</v>
      </c>
      <c r="M1840">
        <v>0</v>
      </c>
      <c r="N1840">
        <v>0</v>
      </c>
      <c r="O1840">
        <v>0</v>
      </c>
      <c r="P1840">
        <v>0</v>
      </c>
      <c r="Q1840">
        <v>219</v>
      </c>
      <c r="R1840">
        <v>0</v>
      </c>
      <c r="S1840" s="18" t="e">
        <f t="shared" si="286"/>
        <v>#DIV/0!</v>
      </c>
      <c r="T1840" s="17" t="e">
        <f t="shared" si="287"/>
        <v>#DIV/0!</v>
      </c>
      <c r="U1840" s="17" t="e">
        <f t="shared" si="288"/>
        <v>#DIV/0!</v>
      </c>
      <c r="V1840" s="17" t="e">
        <f t="shared" si="289"/>
        <v>#DIV/0!</v>
      </c>
      <c r="W1840" s="17" t="e">
        <f t="shared" si="290"/>
        <v>#DIV/0!</v>
      </c>
      <c r="X1840" s="17" t="e">
        <f t="shared" si="291"/>
        <v>#DIV/0!</v>
      </c>
      <c r="Y1840" s="19" t="e">
        <f t="shared" si="292"/>
        <v>#DIV/0!</v>
      </c>
      <c r="Z1840">
        <v>0</v>
      </c>
      <c r="AA1840">
        <v>0</v>
      </c>
      <c r="AB1840">
        <v>0</v>
      </c>
      <c r="AC1840">
        <v>92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1350</v>
      </c>
      <c r="AL1840">
        <v>1350</v>
      </c>
      <c r="AM1840">
        <v>0</v>
      </c>
      <c r="AN1840">
        <v>0</v>
      </c>
      <c r="AO1840">
        <v>75</v>
      </c>
      <c r="AP1840">
        <v>0</v>
      </c>
      <c r="AQ1840">
        <v>75</v>
      </c>
      <c r="AR1840">
        <v>75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100</v>
      </c>
      <c r="BA1840">
        <v>100</v>
      </c>
      <c r="BB1840">
        <v>0</v>
      </c>
      <c r="BC1840">
        <v>0</v>
      </c>
      <c r="BD1840">
        <v>0</v>
      </c>
      <c r="BE1840">
        <f t="shared" si="293"/>
        <v>3217</v>
      </c>
      <c r="BF1840">
        <v>1617</v>
      </c>
      <c r="BG1840">
        <v>1617</v>
      </c>
      <c r="BH1840" t="s">
        <v>63</v>
      </c>
      <c r="BI1840" t="s">
        <v>429</v>
      </c>
      <c r="BJ1840">
        <v>92</v>
      </c>
      <c r="BK1840">
        <v>1525</v>
      </c>
      <c r="BL1840">
        <v>1617</v>
      </c>
      <c r="BM1840">
        <v>0</v>
      </c>
      <c r="BN1840">
        <v>0</v>
      </c>
      <c r="BO1840">
        <v>0</v>
      </c>
      <c r="BP1840">
        <v>1525</v>
      </c>
      <c r="BQ1840">
        <v>1525</v>
      </c>
      <c r="BR1840">
        <f t="shared" si="294"/>
        <v>-219</v>
      </c>
      <c r="BS1840">
        <f t="shared" si="295"/>
        <v>219</v>
      </c>
      <c r="BU1840">
        <f>R1840*9</f>
        <v>0</v>
      </c>
      <c r="BV1840">
        <f>IF(BU1840&gt;BG1840, 1, 0)</f>
        <v>0</v>
      </c>
    </row>
    <row r="1841" spans="1:74" x14ac:dyDescent="0.25">
      <c r="A1841" s="5" t="s">
        <v>1661</v>
      </c>
      <c r="B1841" s="5" t="s">
        <v>207</v>
      </c>
      <c r="C1841" s="7" t="s">
        <v>207</v>
      </c>
      <c r="D1841" s="1" t="s">
        <v>73</v>
      </c>
      <c r="E1841">
        <v>0</v>
      </c>
      <c r="F1841">
        <v>0</v>
      </c>
      <c r="G1841">
        <v>0</v>
      </c>
      <c r="H1841">
        <v>0</v>
      </c>
      <c r="I1841">
        <v>37</v>
      </c>
      <c r="J1841">
        <v>4615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220</v>
      </c>
      <c r="R1841">
        <v>0</v>
      </c>
      <c r="S1841" s="18" t="e">
        <f t="shared" si="286"/>
        <v>#DIV/0!</v>
      </c>
      <c r="T1841" s="17" t="e">
        <f t="shared" si="287"/>
        <v>#DIV/0!</v>
      </c>
      <c r="U1841" s="17" t="e">
        <f t="shared" si="288"/>
        <v>#DIV/0!</v>
      </c>
      <c r="V1841" s="17" t="e">
        <f t="shared" si="289"/>
        <v>#DIV/0!</v>
      </c>
      <c r="W1841" s="17" t="e">
        <f t="shared" si="290"/>
        <v>#DIV/0!</v>
      </c>
      <c r="X1841" s="17" t="e">
        <f t="shared" si="291"/>
        <v>#DIV/0!</v>
      </c>
      <c r="Y1841" s="19" t="e">
        <f t="shared" si="292"/>
        <v>#DIV/0!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37</v>
      </c>
      <c r="AH1841">
        <v>37</v>
      </c>
      <c r="AI1841">
        <v>0</v>
      </c>
      <c r="AJ1841">
        <v>0</v>
      </c>
      <c r="AK1841">
        <v>4615</v>
      </c>
      <c r="AL1841">
        <v>4615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f t="shared" si="293"/>
        <v>9304</v>
      </c>
      <c r="BF1841">
        <v>4652</v>
      </c>
      <c r="BG1841">
        <v>4652</v>
      </c>
      <c r="BH1841" t="s">
        <v>63</v>
      </c>
      <c r="BI1841" t="s">
        <v>1799</v>
      </c>
      <c r="BJ1841">
        <v>0</v>
      </c>
      <c r="BK1841">
        <v>4652</v>
      </c>
      <c r="BL1841">
        <v>4652</v>
      </c>
      <c r="BM1841">
        <v>0</v>
      </c>
      <c r="BN1841">
        <v>0</v>
      </c>
      <c r="BO1841">
        <v>0</v>
      </c>
      <c r="BP1841">
        <v>4652</v>
      </c>
      <c r="BQ1841">
        <v>4652</v>
      </c>
      <c r="BR1841">
        <f t="shared" si="294"/>
        <v>-220</v>
      </c>
      <c r="BS1841">
        <f t="shared" si="295"/>
        <v>220</v>
      </c>
      <c r="BU1841">
        <f>R1841*9</f>
        <v>0</v>
      </c>
      <c r="BV1841">
        <f>IF(BU1841&gt;BG1841, 1, 0)</f>
        <v>0</v>
      </c>
    </row>
    <row r="1842" spans="1:74" x14ac:dyDescent="0.25">
      <c r="A1842" s="5" t="s">
        <v>875</v>
      </c>
      <c r="B1842" s="5" t="s">
        <v>207</v>
      </c>
      <c r="C1842" s="5" t="s">
        <v>61</v>
      </c>
      <c r="D1842" s="1" t="s">
        <v>141</v>
      </c>
      <c r="E1842">
        <v>0</v>
      </c>
      <c r="F1842">
        <v>612</v>
      </c>
      <c r="G1842">
        <v>0</v>
      </c>
      <c r="H1842">
        <v>0</v>
      </c>
      <c r="I1842">
        <v>750</v>
      </c>
      <c r="J1842">
        <v>1744</v>
      </c>
      <c r="K1842">
        <v>1993</v>
      </c>
      <c r="L1842">
        <v>325</v>
      </c>
      <c r="M1842">
        <v>0</v>
      </c>
      <c r="N1842">
        <v>0</v>
      </c>
      <c r="O1842">
        <v>0</v>
      </c>
      <c r="P1842">
        <v>3672</v>
      </c>
      <c r="Q1842">
        <v>681</v>
      </c>
      <c r="R1842">
        <v>408</v>
      </c>
      <c r="S1842" s="18">
        <f t="shared" si="286"/>
        <v>9</v>
      </c>
      <c r="T1842" s="17">
        <f t="shared" si="287"/>
        <v>0</v>
      </c>
      <c r="U1842" s="17">
        <f t="shared" si="288"/>
        <v>0</v>
      </c>
      <c r="V1842" s="17">
        <f t="shared" si="289"/>
        <v>0</v>
      </c>
      <c r="W1842" s="17">
        <f t="shared" si="290"/>
        <v>408</v>
      </c>
      <c r="X1842" s="17">
        <f t="shared" si="291"/>
        <v>273</v>
      </c>
      <c r="Y1842" s="19">
        <f t="shared" si="292"/>
        <v>0</v>
      </c>
      <c r="Z1842">
        <v>612</v>
      </c>
      <c r="AA1842">
        <v>4</v>
      </c>
      <c r="AB1842">
        <v>0</v>
      </c>
      <c r="AC1842">
        <v>3306</v>
      </c>
      <c r="AD1842">
        <v>0</v>
      </c>
      <c r="AE1842">
        <v>0</v>
      </c>
      <c r="AF1842">
        <v>0</v>
      </c>
      <c r="AG1842">
        <v>750</v>
      </c>
      <c r="AH1842">
        <v>750</v>
      </c>
      <c r="AI1842">
        <v>0</v>
      </c>
      <c r="AJ1842">
        <v>0</v>
      </c>
      <c r="AK1842">
        <v>1744</v>
      </c>
      <c r="AL1842">
        <v>1744</v>
      </c>
      <c r="AM1842">
        <v>0</v>
      </c>
      <c r="AN1842">
        <v>0</v>
      </c>
      <c r="AO1842">
        <v>1993</v>
      </c>
      <c r="AP1842">
        <v>1633</v>
      </c>
      <c r="AQ1842">
        <v>1993</v>
      </c>
      <c r="AR1842">
        <v>360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325</v>
      </c>
      <c r="BA1842">
        <v>325</v>
      </c>
      <c r="BB1842">
        <v>0</v>
      </c>
      <c r="BC1842">
        <v>0</v>
      </c>
      <c r="BD1842">
        <v>0</v>
      </c>
      <c r="BE1842">
        <f t="shared" si="293"/>
        <v>14923</v>
      </c>
      <c r="BF1842">
        <v>8734</v>
      </c>
      <c r="BG1842">
        <v>8734</v>
      </c>
      <c r="BH1842" t="s">
        <v>82</v>
      </c>
      <c r="BI1842" t="s">
        <v>1003</v>
      </c>
      <c r="BJ1842">
        <v>3310</v>
      </c>
      <c r="BK1842">
        <v>4812</v>
      </c>
      <c r="BL1842">
        <v>8734</v>
      </c>
      <c r="BM1842">
        <v>0</v>
      </c>
      <c r="BN1842">
        <v>0</v>
      </c>
      <c r="BO1842">
        <v>0</v>
      </c>
      <c r="BP1842">
        <v>8484</v>
      </c>
      <c r="BQ1842">
        <v>8484</v>
      </c>
      <c r="BR1842">
        <f t="shared" si="294"/>
        <v>-273</v>
      </c>
      <c r="BS1842">
        <f t="shared" si="295"/>
        <v>1089</v>
      </c>
    </row>
    <row r="1843" spans="1:74" x14ac:dyDescent="0.25">
      <c r="A1843" s="5" t="s">
        <v>359</v>
      </c>
      <c r="B1843" s="5" t="s">
        <v>61</v>
      </c>
      <c r="C1843" s="5" t="s">
        <v>61</v>
      </c>
      <c r="D1843" s="1" t="s">
        <v>127</v>
      </c>
      <c r="E1843">
        <v>0</v>
      </c>
      <c r="F1843">
        <v>0</v>
      </c>
      <c r="G1843">
        <v>0</v>
      </c>
      <c r="H1843">
        <v>0</v>
      </c>
      <c r="I1843">
        <v>135</v>
      </c>
      <c r="J1843">
        <v>6850</v>
      </c>
      <c r="K1843">
        <v>200</v>
      </c>
      <c r="L1843">
        <v>160</v>
      </c>
      <c r="M1843">
        <v>0</v>
      </c>
      <c r="N1843">
        <v>0</v>
      </c>
      <c r="O1843">
        <v>0</v>
      </c>
      <c r="P1843">
        <v>0</v>
      </c>
      <c r="Q1843">
        <v>274</v>
      </c>
      <c r="R1843">
        <v>0</v>
      </c>
      <c r="S1843" s="18" t="e">
        <f t="shared" si="286"/>
        <v>#DIV/0!</v>
      </c>
      <c r="T1843" s="17" t="e">
        <f t="shared" si="287"/>
        <v>#DIV/0!</v>
      </c>
      <c r="U1843" s="17" t="e">
        <f t="shared" si="288"/>
        <v>#DIV/0!</v>
      </c>
      <c r="V1843" s="17" t="e">
        <f t="shared" si="289"/>
        <v>#DIV/0!</v>
      </c>
      <c r="W1843" s="17" t="e">
        <f t="shared" si="290"/>
        <v>#DIV/0!</v>
      </c>
      <c r="X1843" s="17" t="e">
        <f t="shared" si="291"/>
        <v>#DIV/0!</v>
      </c>
      <c r="Y1843" s="19" t="e">
        <f t="shared" si="292"/>
        <v>#DIV/0!</v>
      </c>
      <c r="Z1843">
        <v>0</v>
      </c>
      <c r="AA1843">
        <v>2</v>
      </c>
      <c r="AB1843">
        <v>0</v>
      </c>
      <c r="AC1843">
        <v>4699</v>
      </c>
      <c r="AD1843">
        <v>0</v>
      </c>
      <c r="AE1843">
        <v>0</v>
      </c>
      <c r="AF1843">
        <v>0</v>
      </c>
      <c r="AG1843">
        <v>135</v>
      </c>
      <c r="AH1843">
        <v>135</v>
      </c>
      <c r="AI1843">
        <v>0</v>
      </c>
      <c r="AJ1843">
        <v>0</v>
      </c>
      <c r="AK1843">
        <v>6850</v>
      </c>
      <c r="AL1843">
        <v>6850</v>
      </c>
      <c r="AM1843">
        <v>0</v>
      </c>
      <c r="AN1843">
        <v>0</v>
      </c>
      <c r="AO1843">
        <v>200</v>
      </c>
      <c r="AP1843">
        <v>90</v>
      </c>
      <c r="AQ1843">
        <v>200</v>
      </c>
      <c r="AR1843">
        <v>110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160</v>
      </c>
      <c r="BA1843">
        <v>160</v>
      </c>
      <c r="BB1843">
        <v>0</v>
      </c>
      <c r="BC1843">
        <v>0</v>
      </c>
      <c r="BD1843">
        <v>0</v>
      </c>
      <c r="BE1843">
        <f t="shared" si="293"/>
        <v>19589</v>
      </c>
      <c r="BF1843">
        <v>12046</v>
      </c>
      <c r="BG1843">
        <v>12046</v>
      </c>
      <c r="BH1843" t="s">
        <v>82</v>
      </c>
      <c r="BI1843" t="s">
        <v>726</v>
      </c>
      <c r="BJ1843">
        <v>4701</v>
      </c>
      <c r="BK1843">
        <v>7345</v>
      </c>
      <c r="BL1843">
        <v>12046</v>
      </c>
      <c r="BM1843">
        <v>0</v>
      </c>
      <c r="BN1843">
        <v>0</v>
      </c>
      <c r="BO1843">
        <v>0</v>
      </c>
      <c r="BP1843">
        <v>7345</v>
      </c>
      <c r="BQ1843">
        <v>7345</v>
      </c>
      <c r="BR1843">
        <f t="shared" si="294"/>
        <v>-274</v>
      </c>
      <c r="BS1843">
        <f t="shared" si="295"/>
        <v>274</v>
      </c>
    </row>
    <row r="1844" spans="1:74" x14ac:dyDescent="0.25">
      <c r="A1844" s="5" t="s">
        <v>1451</v>
      </c>
      <c r="B1844" s="5" t="s">
        <v>61</v>
      </c>
      <c r="C1844" s="5" t="s">
        <v>207</v>
      </c>
      <c r="D1844" s="1" t="s">
        <v>84</v>
      </c>
      <c r="E1844">
        <v>0</v>
      </c>
      <c r="F1844">
        <v>210</v>
      </c>
      <c r="G1844">
        <v>0</v>
      </c>
      <c r="H1844">
        <v>0</v>
      </c>
      <c r="I1844">
        <v>352</v>
      </c>
      <c r="J1844">
        <v>4200</v>
      </c>
      <c r="K1844">
        <v>360</v>
      </c>
      <c r="L1844">
        <v>95</v>
      </c>
      <c r="M1844">
        <v>0</v>
      </c>
      <c r="N1844">
        <v>0</v>
      </c>
      <c r="O1844">
        <v>0</v>
      </c>
      <c r="P1844">
        <v>630</v>
      </c>
      <c r="Q1844">
        <v>344</v>
      </c>
      <c r="R1844">
        <v>70</v>
      </c>
      <c r="S1844" s="18">
        <f t="shared" si="286"/>
        <v>9</v>
      </c>
      <c r="T1844" s="17">
        <f t="shared" si="287"/>
        <v>0</v>
      </c>
      <c r="U1844" s="17">
        <f t="shared" si="288"/>
        <v>0</v>
      </c>
      <c r="V1844" s="17">
        <f t="shared" si="289"/>
        <v>0</v>
      </c>
      <c r="W1844" s="17">
        <f t="shared" si="290"/>
        <v>70</v>
      </c>
      <c r="X1844" s="17">
        <f t="shared" si="291"/>
        <v>274</v>
      </c>
      <c r="Y1844" s="19">
        <f t="shared" si="292"/>
        <v>0</v>
      </c>
      <c r="Z1844">
        <v>210</v>
      </c>
      <c r="AA1844">
        <v>32</v>
      </c>
      <c r="AB1844">
        <v>1267</v>
      </c>
      <c r="AC1844">
        <v>10784</v>
      </c>
      <c r="AD1844">
        <v>0</v>
      </c>
      <c r="AE1844">
        <v>0</v>
      </c>
      <c r="AF1844">
        <v>0</v>
      </c>
      <c r="AG1844">
        <v>352</v>
      </c>
      <c r="AH1844">
        <v>352</v>
      </c>
      <c r="AI1844">
        <v>0</v>
      </c>
      <c r="AJ1844">
        <v>0</v>
      </c>
      <c r="AK1844">
        <v>4200</v>
      </c>
      <c r="AL1844">
        <v>4200</v>
      </c>
      <c r="AM1844">
        <v>0</v>
      </c>
      <c r="AN1844">
        <v>0</v>
      </c>
      <c r="AO1844">
        <v>360</v>
      </c>
      <c r="AP1844">
        <v>210</v>
      </c>
      <c r="AQ1844">
        <v>360</v>
      </c>
      <c r="AR1844">
        <v>150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95</v>
      </c>
      <c r="BA1844">
        <v>95</v>
      </c>
      <c r="BB1844">
        <v>0</v>
      </c>
      <c r="BC1844">
        <v>0</v>
      </c>
      <c r="BD1844">
        <v>0</v>
      </c>
      <c r="BE1844">
        <f t="shared" si="293"/>
        <v>21158</v>
      </c>
      <c r="BF1844">
        <v>9875</v>
      </c>
      <c r="BG1844">
        <v>9875</v>
      </c>
      <c r="BH1844" t="s">
        <v>82</v>
      </c>
      <c r="BI1844" t="s">
        <v>1480</v>
      </c>
      <c r="BJ1844">
        <v>12083</v>
      </c>
      <c r="BK1844">
        <v>5007</v>
      </c>
      <c r="BL1844">
        <v>17300</v>
      </c>
      <c r="BM1844">
        <v>0</v>
      </c>
      <c r="BN1844">
        <v>0</v>
      </c>
      <c r="BO1844">
        <v>0</v>
      </c>
      <c r="BP1844">
        <v>5637</v>
      </c>
      <c r="BQ1844">
        <v>5637</v>
      </c>
      <c r="BR1844">
        <f t="shared" si="294"/>
        <v>-274</v>
      </c>
      <c r="BS1844">
        <f t="shared" si="295"/>
        <v>414</v>
      </c>
    </row>
    <row r="1845" spans="1:74" x14ac:dyDescent="0.25">
      <c r="A1845" s="5" t="s">
        <v>2090</v>
      </c>
      <c r="B1845" s="5" t="s">
        <v>207</v>
      </c>
      <c r="C1845" s="5" t="s">
        <v>61</v>
      </c>
      <c r="D1845" s="1" t="s">
        <v>192</v>
      </c>
      <c r="E1845">
        <v>53</v>
      </c>
      <c r="F1845">
        <v>0</v>
      </c>
      <c r="G1845">
        <v>0</v>
      </c>
      <c r="H1845">
        <v>0</v>
      </c>
      <c r="I1845">
        <v>176</v>
      </c>
      <c r="J1845">
        <v>1970</v>
      </c>
      <c r="K1845">
        <v>335</v>
      </c>
      <c r="L1845">
        <v>47</v>
      </c>
      <c r="M1845">
        <v>0</v>
      </c>
      <c r="N1845">
        <v>0</v>
      </c>
      <c r="O1845">
        <v>0</v>
      </c>
      <c r="P1845">
        <v>0</v>
      </c>
      <c r="Q1845">
        <v>276</v>
      </c>
      <c r="R1845">
        <v>0</v>
      </c>
      <c r="S1845" s="18" t="e">
        <f t="shared" si="286"/>
        <v>#DIV/0!</v>
      </c>
      <c r="T1845" s="17" t="e">
        <f t="shared" si="287"/>
        <v>#DIV/0!</v>
      </c>
      <c r="U1845" s="17" t="e">
        <f t="shared" si="288"/>
        <v>#DIV/0!</v>
      </c>
      <c r="V1845" s="17" t="e">
        <f t="shared" si="289"/>
        <v>#DIV/0!</v>
      </c>
      <c r="W1845" s="17" t="e">
        <f t="shared" si="290"/>
        <v>#DIV/0!</v>
      </c>
      <c r="X1845" s="17" t="e">
        <f t="shared" si="291"/>
        <v>#DIV/0!</v>
      </c>
      <c r="Y1845" s="19" t="e">
        <f t="shared" si="292"/>
        <v>#DIV/0!</v>
      </c>
      <c r="Z1845">
        <v>0</v>
      </c>
      <c r="AA1845">
        <v>0</v>
      </c>
      <c r="AB1845">
        <v>98</v>
      </c>
      <c r="AC1845">
        <v>1488</v>
      </c>
      <c r="AD1845">
        <v>0</v>
      </c>
      <c r="AE1845">
        <v>0</v>
      </c>
      <c r="AF1845">
        <v>0</v>
      </c>
      <c r="AG1845">
        <v>176</v>
      </c>
      <c r="AH1845">
        <v>176</v>
      </c>
      <c r="AI1845">
        <v>0</v>
      </c>
      <c r="AJ1845">
        <v>0</v>
      </c>
      <c r="AK1845">
        <v>1970</v>
      </c>
      <c r="AL1845">
        <v>1970</v>
      </c>
      <c r="AM1845">
        <v>0</v>
      </c>
      <c r="AN1845">
        <v>0</v>
      </c>
      <c r="AO1845">
        <v>335</v>
      </c>
      <c r="AP1845">
        <v>43</v>
      </c>
      <c r="AQ1845">
        <v>335</v>
      </c>
      <c r="AR1845">
        <v>292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47</v>
      </c>
      <c r="BA1845">
        <v>47</v>
      </c>
      <c r="BB1845">
        <v>0</v>
      </c>
      <c r="BC1845">
        <v>0</v>
      </c>
      <c r="BD1845">
        <v>0</v>
      </c>
      <c r="BE1845">
        <f t="shared" si="293"/>
        <v>6879</v>
      </c>
      <c r="BF1845">
        <v>4167</v>
      </c>
      <c r="BG1845">
        <v>4167</v>
      </c>
      <c r="BH1845" t="s">
        <v>82</v>
      </c>
      <c r="BI1845" t="s">
        <v>2272</v>
      </c>
      <c r="BJ1845">
        <v>1639</v>
      </c>
      <c r="BK1845">
        <v>2528</v>
      </c>
      <c r="BL1845">
        <v>4167</v>
      </c>
      <c r="BM1845">
        <v>0</v>
      </c>
      <c r="BN1845">
        <v>0</v>
      </c>
      <c r="BO1845">
        <v>0</v>
      </c>
      <c r="BP1845">
        <v>2528</v>
      </c>
      <c r="BQ1845">
        <v>2528</v>
      </c>
      <c r="BR1845">
        <f t="shared" si="294"/>
        <v>-276</v>
      </c>
      <c r="BS1845">
        <f t="shared" si="295"/>
        <v>276</v>
      </c>
    </row>
    <row r="1846" spans="1:74" x14ac:dyDescent="0.25">
      <c r="A1846" s="5" t="s">
        <v>1451</v>
      </c>
      <c r="B1846" s="5" t="s">
        <v>61</v>
      </c>
      <c r="C1846" s="5" t="s">
        <v>627</v>
      </c>
      <c r="D1846" s="1" t="s">
        <v>113</v>
      </c>
      <c r="E1846">
        <v>16</v>
      </c>
      <c r="F1846">
        <v>0</v>
      </c>
      <c r="G1846">
        <v>0</v>
      </c>
      <c r="H1846">
        <v>0</v>
      </c>
      <c r="I1846">
        <v>10</v>
      </c>
      <c r="J1846">
        <v>2100</v>
      </c>
      <c r="K1846">
        <v>658</v>
      </c>
      <c r="L1846">
        <v>20</v>
      </c>
      <c r="M1846">
        <v>0</v>
      </c>
      <c r="N1846">
        <v>0</v>
      </c>
      <c r="O1846">
        <v>0</v>
      </c>
      <c r="P1846">
        <v>0</v>
      </c>
      <c r="Q1846">
        <v>278</v>
      </c>
      <c r="R1846">
        <v>0</v>
      </c>
      <c r="S1846" s="18" t="e">
        <f t="shared" si="286"/>
        <v>#DIV/0!</v>
      </c>
      <c r="T1846" s="17" t="e">
        <f t="shared" si="287"/>
        <v>#DIV/0!</v>
      </c>
      <c r="U1846" s="17" t="e">
        <f t="shared" si="288"/>
        <v>#DIV/0!</v>
      </c>
      <c r="V1846" s="17" t="e">
        <f t="shared" si="289"/>
        <v>#DIV/0!</v>
      </c>
      <c r="W1846" s="17" t="e">
        <f t="shared" si="290"/>
        <v>#DIV/0!</v>
      </c>
      <c r="X1846" s="17" t="e">
        <f t="shared" si="291"/>
        <v>#DIV/0!</v>
      </c>
      <c r="Y1846" s="19" t="e">
        <f t="shared" si="292"/>
        <v>#DIV/0!</v>
      </c>
      <c r="Z1846">
        <v>0</v>
      </c>
      <c r="AA1846">
        <v>4</v>
      </c>
      <c r="AB1846">
        <v>250</v>
      </c>
      <c r="AC1846">
        <v>1800</v>
      </c>
      <c r="AD1846">
        <v>0</v>
      </c>
      <c r="AE1846">
        <v>0</v>
      </c>
      <c r="AF1846">
        <v>0</v>
      </c>
      <c r="AG1846">
        <v>10</v>
      </c>
      <c r="AH1846">
        <v>10</v>
      </c>
      <c r="AI1846">
        <v>0</v>
      </c>
      <c r="AJ1846">
        <v>0</v>
      </c>
      <c r="AK1846">
        <v>2100</v>
      </c>
      <c r="AL1846">
        <v>2100</v>
      </c>
      <c r="AM1846">
        <v>0</v>
      </c>
      <c r="AN1846">
        <v>0</v>
      </c>
      <c r="AO1846">
        <v>658</v>
      </c>
      <c r="AP1846">
        <v>100</v>
      </c>
      <c r="AQ1846">
        <v>658</v>
      </c>
      <c r="AR1846">
        <v>558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20</v>
      </c>
      <c r="BA1846">
        <v>20</v>
      </c>
      <c r="BB1846">
        <v>0</v>
      </c>
      <c r="BC1846">
        <v>0</v>
      </c>
      <c r="BD1846">
        <v>0</v>
      </c>
      <c r="BE1846">
        <f t="shared" si="293"/>
        <v>8034</v>
      </c>
      <c r="BF1846">
        <v>4858</v>
      </c>
      <c r="BG1846">
        <v>4858</v>
      </c>
      <c r="BH1846" t="s">
        <v>82</v>
      </c>
      <c r="BI1846" t="s">
        <v>536</v>
      </c>
      <c r="BJ1846">
        <v>2070</v>
      </c>
      <c r="BK1846">
        <v>2788</v>
      </c>
      <c r="BL1846">
        <v>4858</v>
      </c>
      <c r="BM1846">
        <v>0</v>
      </c>
      <c r="BN1846">
        <v>0</v>
      </c>
      <c r="BO1846">
        <v>0</v>
      </c>
      <c r="BP1846">
        <v>2788</v>
      </c>
      <c r="BQ1846">
        <v>2788</v>
      </c>
      <c r="BR1846">
        <f t="shared" si="294"/>
        <v>-278</v>
      </c>
      <c r="BS1846">
        <f t="shared" si="295"/>
        <v>278</v>
      </c>
    </row>
    <row r="1847" spans="1:74" x14ac:dyDescent="0.25">
      <c r="A1847" s="5" t="s">
        <v>1661</v>
      </c>
      <c r="B1847" s="5" t="s">
        <v>359</v>
      </c>
      <c r="C1847" s="5" t="s">
        <v>207</v>
      </c>
      <c r="D1847" s="1" t="s">
        <v>129</v>
      </c>
      <c r="E1847">
        <v>558</v>
      </c>
      <c r="F1847">
        <v>1794</v>
      </c>
      <c r="G1847">
        <v>0</v>
      </c>
      <c r="H1847">
        <v>0</v>
      </c>
      <c r="I1847">
        <v>2088</v>
      </c>
      <c r="J1847">
        <v>3609</v>
      </c>
      <c r="K1847">
        <v>2844</v>
      </c>
      <c r="L1847">
        <v>178</v>
      </c>
      <c r="M1847">
        <v>0</v>
      </c>
      <c r="N1847">
        <v>0</v>
      </c>
      <c r="O1847">
        <v>0</v>
      </c>
      <c r="P1847">
        <v>9054</v>
      </c>
      <c r="Q1847">
        <v>1284</v>
      </c>
      <c r="R1847">
        <v>1006</v>
      </c>
      <c r="S1847" s="18">
        <f t="shared" si="286"/>
        <v>9</v>
      </c>
      <c r="T1847" s="17">
        <f t="shared" si="287"/>
        <v>0</v>
      </c>
      <c r="U1847" s="17">
        <f t="shared" si="288"/>
        <v>0</v>
      </c>
      <c r="V1847" s="17">
        <f t="shared" si="289"/>
        <v>0</v>
      </c>
      <c r="W1847" s="17">
        <f t="shared" si="290"/>
        <v>1006</v>
      </c>
      <c r="X1847" s="17">
        <f t="shared" si="291"/>
        <v>278</v>
      </c>
      <c r="Y1847" s="19">
        <f t="shared" si="292"/>
        <v>0</v>
      </c>
      <c r="Z1847">
        <v>1794</v>
      </c>
      <c r="AA1847">
        <v>456</v>
      </c>
      <c r="AB1847">
        <v>130</v>
      </c>
      <c r="AC1847">
        <v>2397</v>
      </c>
      <c r="AD1847">
        <v>0</v>
      </c>
      <c r="AE1847">
        <v>0</v>
      </c>
      <c r="AF1847">
        <v>0</v>
      </c>
      <c r="AG1847">
        <v>2088</v>
      </c>
      <c r="AH1847">
        <v>2088</v>
      </c>
      <c r="AI1847">
        <v>0</v>
      </c>
      <c r="AJ1847">
        <v>0</v>
      </c>
      <c r="AK1847">
        <v>3609</v>
      </c>
      <c r="AL1847">
        <v>3609</v>
      </c>
      <c r="AM1847">
        <v>0</v>
      </c>
      <c r="AN1847">
        <v>0</v>
      </c>
      <c r="AO1847">
        <v>2844</v>
      </c>
      <c r="AP1847">
        <v>1319</v>
      </c>
      <c r="AQ1847">
        <v>2844</v>
      </c>
      <c r="AR1847">
        <v>1525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178</v>
      </c>
      <c r="BA1847">
        <v>178</v>
      </c>
      <c r="BB1847">
        <v>0</v>
      </c>
      <c r="BC1847">
        <v>0</v>
      </c>
      <c r="BD1847">
        <v>0</v>
      </c>
      <c r="BE1847">
        <f t="shared" si="293"/>
        <v>22679</v>
      </c>
      <c r="BF1847">
        <v>18404</v>
      </c>
      <c r="BG1847">
        <v>18404</v>
      </c>
      <c r="BH1847" t="s">
        <v>82</v>
      </c>
      <c r="BI1847" t="s">
        <v>1913</v>
      </c>
      <c r="BJ1847">
        <v>3541</v>
      </c>
      <c r="BK1847">
        <v>8719</v>
      </c>
      <c r="BL1847">
        <v>14054</v>
      </c>
      <c r="BM1847">
        <v>0</v>
      </c>
      <c r="BN1847">
        <v>0</v>
      </c>
      <c r="BO1847">
        <v>0</v>
      </c>
      <c r="BP1847">
        <v>17773</v>
      </c>
      <c r="BQ1847">
        <v>17773</v>
      </c>
      <c r="BR1847">
        <f t="shared" si="294"/>
        <v>-278</v>
      </c>
      <c r="BS1847">
        <f t="shared" si="295"/>
        <v>2290</v>
      </c>
    </row>
    <row r="1848" spans="1:74" x14ac:dyDescent="0.25">
      <c r="A1848" s="5" t="s">
        <v>1451</v>
      </c>
      <c r="B1848" s="5" t="s">
        <v>207</v>
      </c>
      <c r="C1848" s="5" t="s">
        <v>61</v>
      </c>
      <c r="D1848" s="1" t="s">
        <v>71</v>
      </c>
      <c r="E1848">
        <v>0</v>
      </c>
      <c r="F1848">
        <v>0</v>
      </c>
      <c r="G1848">
        <v>0</v>
      </c>
      <c r="H1848">
        <v>0</v>
      </c>
      <c r="I1848">
        <v>1500</v>
      </c>
      <c r="J1848">
        <v>0</v>
      </c>
      <c r="K1848">
        <v>0</v>
      </c>
      <c r="L1848">
        <v>120</v>
      </c>
      <c r="M1848">
        <v>0</v>
      </c>
      <c r="N1848">
        <v>0</v>
      </c>
      <c r="O1848">
        <v>0</v>
      </c>
      <c r="P1848">
        <v>0</v>
      </c>
      <c r="Q1848">
        <v>222</v>
      </c>
      <c r="R1848">
        <v>0</v>
      </c>
      <c r="S1848" s="18" t="e">
        <f t="shared" si="286"/>
        <v>#DIV/0!</v>
      </c>
      <c r="T1848" s="17" t="e">
        <f t="shared" si="287"/>
        <v>#DIV/0!</v>
      </c>
      <c r="U1848" s="17" t="e">
        <f t="shared" si="288"/>
        <v>#DIV/0!</v>
      </c>
      <c r="V1848" s="17" t="e">
        <f t="shared" si="289"/>
        <v>#DIV/0!</v>
      </c>
      <c r="W1848" s="17" t="e">
        <f t="shared" si="290"/>
        <v>#DIV/0!</v>
      </c>
      <c r="X1848" s="17" t="e">
        <f t="shared" si="291"/>
        <v>#DIV/0!</v>
      </c>
      <c r="Y1848" s="19" t="e">
        <f t="shared" si="292"/>
        <v>#DIV/0!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1500</v>
      </c>
      <c r="AF1848">
        <v>0</v>
      </c>
      <c r="AG1848">
        <v>0</v>
      </c>
      <c r="AH1848">
        <v>1500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120</v>
      </c>
      <c r="BA1848">
        <v>120</v>
      </c>
      <c r="BB1848">
        <v>0</v>
      </c>
      <c r="BC1848">
        <v>0</v>
      </c>
      <c r="BD1848">
        <v>0</v>
      </c>
      <c r="BE1848">
        <f t="shared" si="293"/>
        <v>3240</v>
      </c>
      <c r="BF1848">
        <v>1620</v>
      </c>
      <c r="BG1848">
        <v>1620</v>
      </c>
      <c r="BH1848" t="s">
        <v>63</v>
      </c>
      <c r="BI1848" t="s">
        <v>1537</v>
      </c>
      <c r="BJ1848">
        <v>0</v>
      </c>
      <c r="BK1848">
        <v>1620</v>
      </c>
      <c r="BL1848">
        <v>1620</v>
      </c>
      <c r="BM1848">
        <v>0</v>
      </c>
      <c r="BN1848">
        <v>1500</v>
      </c>
      <c r="BO1848">
        <v>0</v>
      </c>
      <c r="BP1848">
        <v>120</v>
      </c>
      <c r="BQ1848">
        <v>1620</v>
      </c>
      <c r="BR1848">
        <f t="shared" si="294"/>
        <v>-222</v>
      </c>
      <c r="BS1848">
        <f t="shared" si="295"/>
        <v>222</v>
      </c>
      <c r="BU1848">
        <f>R1848*9</f>
        <v>0</v>
      </c>
      <c r="BV1848">
        <f>IF(BU1848&gt;BG1848, 1, 0)</f>
        <v>0</v>
      </c>
    </row>
    <row r="1849" spans="1:74" x14ac:dyDescent="0.25">
      <c r="A1849" s="5" t="s">
        <v>207</v>
      </c>
      <c r="B1849" s="5" t="s">
        <v>61</v>
      </c>
      <c r="C1849" s="5" t="s">
        <v>207</v>
      </c>
      <c r="D1849" s="1" t="s">
        <v>133</v>
      </c>
      <c r="E1849">
        <v>14</v>
      </c>
      <c r="F1849">
        <v>0</v>
      </c>
      <c r="G1849">
        <v>0</v>
      </c>
      <c r="H1849">
        <v>0</v>
      </c>
      <c r="I1849">
        <v>152</v>
      </c>
      <c r="J1849">
        <v>4000</v>
      </c>
      <c r="K1849">
        <v>369</v>
      </c>
      <c r="L1849">
        <v>235</v>
      </c>
      <c r="M1849">
        <v>0</v>
      </c>
      <c r="N1849">
        <v>0</v>
      </c>
      <c r="O1849">
        <v>0</v>
      </c>
      <c r="P1849">
        <v>0</v>
      </c>
      <c r="Q1849">
        <v>280</v>
      </c>
      <c r="R1849">
        <v>0</v>
      </c>
      <c r="S1849" s="18" t="e">
        <f t="shared" si="286"/>
        <v>#DIV/0!</v>
      </c>
      <c r="T1849" s="17" t="e">
        <f t="shared" si="287"/>
        <v>#DIV/0!</v>
      </c>
      <c r="U1849" s="17" t="e">
        <f t="shared" si="288"/>
        <v>#DIV/0!</v>
      </c>
      <c r="V1849" s="17" t="e">
        <f t="shared" si="289"/>
        <v>#DIV/0!</v>
      </c>
      <c r="W1849" s="17" t="e">
        <f t="shared" si="290"/>
        <v>#DIV/0!</v>
      </c>
      <c r="X1849" s="17" t="e">
        <f t="shared" si="291"/>
        <v>#DIV/0!</v>
      </c>
      <c r="Y1849" s="19" t="e">
        <f t="shared" si="292"/>
        <v>#DIV/0!</v>
      </c>
      <c r="Z1849">
        <v>0</v>
      </c>
      <c r="AA1849">
        <v>4</v>
      </c>
      <c r="AB1849">
        <v>600</v>
      </c>
      <c r="AC1849">
        <v>4400</v>
      </c>
      <c r="AD1849">
        <v>0</v>
      </c>
      <c r="AE1849">
        <v>0</v>
      </c>
      <c r="AF1849">
        <v>0</v>
      </c>
      <c r="AG1849">
        <v>152</v>
      </c>
      <c r="AH1849">
        <v>152</v>
      </c>
      <c r="AI1849">
        <v>0</v>
      </c>
      <c r="AJ1849">
        <v>0</v>
      </c>
      <c r="AK1849">
        <v>4000</v>
      </c>
      <c r="AL1849">
        <v>4000</v>
      </c>
      <c r="AM1849">
        <v>0</v>
      </c>
      <c r="AN1849">
        <v>0</v>
      </c>
      <c r="AO1849">
        <v>369</v>
      </c>
      <c r="AP1849">
        <v>175</v>
      </c>
      <c r="AQ1849">
        <v>369</v>
      </c>
      <c r="AR1849">
        <v>194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235</v>
      </c>
      <c r="BA1849">
        <v>235</v>
      </c>
      <c r="BB1849">
        <v>0</v>
      </c>
      <c r="BC1849">
        <v>0</v>
      </c>
      <c r="BD1849">
        <v>0</v>
      </c>
      <c r="BE1849">
        <f t="shared" si="293"/>
        <v>14281</v>
      </c>
      <c r="BF1849">
        <v>9774</v>
      </c>
      <c r="BG1849">
        <v>9774</v>
      </c>
      <c r="BH1849" t="s">
        <v>82</v>
      </c>
      <c r="BI1849" t="s">
        <v>496</v>
      </c>
      <c r="BJ1849">
        <v>5018</v>
      </c>
      <c r="BK1849">
        <v>4756</v>
      </c>
      <c r="BL1849">
        <v>9774</v>
      </c>
      <c r="BM1849">
        <v>0</v>
      </c>
      <c r="BN1849">
        <v>0</v>
      </c>
      <c r="BO1849">
        <v>0</v>
      </c>
      <c r="BP1849">
        <v>4756</v>
      </c>
      <c r="BQ1849">
        <v>4756</v>
      </c>
      <c r="BR1849">
        <f t="shared" si="294"/>
        <v>-280</v>
      </c>
      <c r="BS1849">
        <f t="shared" si="295"/>
        <v>280</v>
      </c>
    </row>
    <row r="1850" spans="1:74" x14ac:dyDescent="0.25">
      <c r="A1850" s="5" t="s">
        <v>1451</v>
      </c>
      <c r="B1850" s="5" t="s">
        <v>207</v>
      </c>
      <c r="C1850" s="5" t="s">
        <v>207</v>
      </c>
      <c r="D1850" s="1" t="s">
        <v>71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1211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222</v>
      </c>
      <c r="R1850">
        <v>0</v>
      </c>
      <c r="S1850" s="18" t="e">
        <f t="shared" si="286"/>
        <v>#DIV/0!</v>
      </c>
      <c r="T1850" s="17" t="e">
        <f t="shared" si="287"/>
        <v>#DIV/0!</v>
      </c>
      <c r="U1850" s="17" t="e">
        <f t="shared" si="288"/>
        <v>#DIV/0!</v>
      </c>
      <c r="V1850" s="17" t="e">
        <f t="shared" si="289"/>
        <v>#DIV/0!</v>
      </c>
      <c r="W1850" s="17" t="e">
        <f t="shared" si="290"/>
        <v>#DIV/0!</v>
      </c>
      <c r="X1850" s="17" t="e">
        <f t="shared" si="291"/>
        <v>#DIV/0!</v>
      </c>
      <c r="Y1850" s="19" t="e">
        <f t="shared" si="292"/>
        <v>#DIV/0!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1211</v>
      </c>
      <c r="AP1850">
        <v>25</v>
      </c>
      <c r="AQ1850">
        <v>1211</v>
      </c>
      <c r="AR1850">
        <v>1186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f t="shared" si="293"/>
        <v>3633</v>
      </c>
      <c r="BF1850">
        <v>1211</v>
      </c>
      <c r="BG1850">
        <v>1211</v>
      </c>
      <c r="BH1850" t="s">
        <v>63</v>
      </c>
      <c r="BI1850" t="s">
        <v>1563</v>
      </c>
      <c r="BJ1850">
        <v>0</v>
      </c>
      <c r="BK1850">
        <v>1211</v>
      </c>
      <c r="BL1850">
        <v>1211</v>
      </c>
      <c r="BM1850">
        <v>0</v>
      </c>
      <c r="BN1850">
        <v>0</v>
      </c>
      <c r="BO1850">
        <v>0</v>
      </c>
      <c r="BP1850">
        <v>1211</v>
      </c>
      <c r="BQ1850">
        <v>1211</v>
      </c>
      <c r="BR1850">
        <f t="shared" si="294"/>
        <v>-222</v>
      </c>
      <c r="BS1850">
        <f t="shared" si="295"/>
        <v>222</v>
      </c>
      <c r="BU1850">
        <f>R1850*9</f>
        <v>0</v>
      </c>
      <c r="BV1850">
        <f>IF(BU1850&gt;BG1850, 1, 0)</f>
        <v>0</v>
      </c>
    </row>
    <row r="1851" spans="1:74" x14ac:dyDescent="0.25">
      <c r="A1851" s="5" t="s">
        <v>875</v>
      </c>
      <c r="B1851" s="5" t="s">
        <v>61</v>
      </c>
      <c r="C1851" s="5" t="s">
        <v>207</v>
      </c>
      <c r="D1851" s="1" t="s">
        <v>137</v>
      </c>
      <c r="E1851">
        <v>0</v>
      </c>
      <c r="F1851">
        <v>100</v>
      </c>
      <c r="G1851">
        <v>0</v>
      </c>
      <c r="H1851">
        <v>0</v>
      </c>
      <c r="I1851">
        <v>310</v>
      </c>
      <c r="J1851">
        <v>0</v>
      </c>
      <c r="K1851">
        <v>580</v>
      </c>
      <c r="L1851">
        <v>0</v>
      </c>
      <c r="M1851">
        <v>225</v>
      </c>
      <c r="N1851">
        <v>0</v>
      </c>
      <c r="O1851">
        <v>0</v>
      </c>
      <c r="P1851">
        <v>0</v>
      </c>
      <c r="Q1851">
        <v>305</v>
      </c>
      <c r="R1851">
        <v>25</v>
      </c>
      <c r="S1851" s="18">
        <f t="shared" si="286"/>
        <v>9</v>
      </c>
      <c r="T1851" s="17">
        <f t="shared" si="287"/>
        <v>25</v>
      </c>
      <c r="U1851" s="17">
        <f t="shared" si="288"/>
        <v>0</v>
      </c>
      <c r="V1851" s="17">
        <f t="shared" si="289"/>
        <v>0</v>
      </c>
      <c r="W1851" s="17">
        <f t="shared" si="290"/>
        <v>0</v>
      </c>
      <c r="X1851" s="17">
        <f t="shared" si="291"/>
        <v>280</v>
      </c>
      <c r="Y1851" s="19">
        <f t="shared" si="292"/>
        <v>0</v>
      </c>
      <c r="Z1851">
        <v>100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310</v>
      </c>
      <c r="AH1851">
        <v>310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580</v>
      </c>
      <c r="AP1851">
        <v>0</v>
      </c>
      <c r="AQ1851">
        <v>580</v>
      </c>
      <c r="AR1851">
        <v>580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f t="shared" si="293"/>
        <v>2360</v>
      </c>
      <c r="BF1851">
        <v>990</v>
      </c>
      <c r="BG1851">
        <v>990</v>
      </c>
      <c r="BH1851" t="s">
        <v>109</v>
      </c>
      <c r="BI1851" t="s">
        <v>908</v>
      </c>
      <c r="BJ1851">
        <v>0</v>
      </c>
      <c r="BK1851">
        <v>890</v>
      </c>
      <c r="BL1851">
        <v>990</v>
      </c>
      <c r="BM1851">
        <v>225</v>
      </c>
      <c r="BN1851">
        <v>0</v>
      </c>
      <c r="BO1851">
        <v>0</v>
      </c>
      <c r="BP1851">
        <v>890</v>
      </c>
      <c r="BQ1851">
        <v>1115</v>
      </c>
      <c r="BR1851">
        <f t="shared" si="294"/>
        <v>-280</v>
      </c>
      <c r="BS1851">
        <f t="shared" si="295"/>
        <v>330</v>
      </c>
    </row>
    <row r="1852" spans="1:74" x14ac:dyDescent="0.25">
      <c r="A1852" s="5" t="s">
        <v>1017</v>
      </c>
      <c r="B1852" s="5" t="s">
        <v>61</v>
      </c>
      <c r="C1852" s="5" t="s">
        <v>207</v>
      </c>
      <c r="D1852" s="1" t="s">
        <v>143</v>
      </c>
      <c r="E1852">
        <v>0</v>
      </c>
      <c r="F1852">
        <v>58</v>
      </c>
      <c r="G1852">
        <v>0</v>
      </c>
      <c r="H1852">
        <v>0</v>
      </c>
      <c r="I1852">
        <v>475</v>
      </c>
      <c r="J1852">
        <v>2000</v>
      </c>
      <c r="K1852">
        <v>345</v>
      </c>
      <c r="L1852">
        <v>140</v>
      </c>
      <c r="M1852">
        <v>0</v>
      </c>
      <c r="N1852">
        <v>0</v>
      </c>
      <c r="O1852">
        <v>0</v>
      </c>
      <c r="P1852">
        <v>522</v>
      </c>
      <c r="Q1852">
        <v>338</v>
      </c>
      <c r="R1852">
        <v>58</v>
      </c>
      <c r="S1852" s="18">
        <f t="shared" si="286"/>
        <v>9</v>
      </c>
      <c r="T1852" s="17">
        <f t="shared" si="287"/>
        <v>0</v>
      </c>
      <c r="U1852" s="17">
        <f t="shared" si="288"/>
        <v>0</v>
      </c>
      <c r="V1852" s="17">
        <f t="shared" si="289"/>
        <v>0</v>
      </c>
      <c r="W1852" s="17">
        <f t="shared" si="290"/>
        <v>58</v>
      </c>
      <c r="X1852" s="17">
        <f t="shared" si="291"/>
        <v>280</v>
      </c>
      <c r="Y1852" s="19">
        <f t="shared" si="292"/>
        <v>0</v>
      </c>
      <c r="Z1852">
        <v>58</v>
      </c>
      <c r="AA1852">
        <v>0</v>
      </c>
      <c r="AB1852">
        <v>0</v>
      </c>
      <c r="AC1852">
        <v>500</v>
      </c>
      <c r="AD1852">
        <v>0</v>
      </c>
      <c r="AE1852">
        <v>0</v>
      </c>
      <c r="AF1852">
        <v>0</v>
      </c>
      <c r="AG1852">
        <v>475</v>
      </c>
      <c r="AH1852">
        <v>475</v>
      </c>
      <c r="AI1852">
        <v>0</v>
      </c>
      <c r="AJ1852">
        <v>0</v>
      </c>
      <c r="AK1852">
        <v>2000</v>
      </c>
      <c r="AL1852">
        <v>2000</v>
      </c>
      <c r="AM1852">
        <v>0</v>
      </c>
      <c r="AN1852">
        <v>0</v>
      </c>
      <c r="AO1852">
        <v>345</v>
      </c>
      <c r="AP1852">
        <v>345</v>
      </c>
      <c r="AQ1852">
        <v>345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140</v>
      </c>
      <c r="BA1852">
        <v>140</v>
      </c>
      <c r="BB1852">
        <v>0</v>
      </c>
      <c r="BC1852">
        <v>0</v>
      </c>
      <c r="BD1852">
        <v>0</v>
      </c>
      <c r="BE1852">
        <f t="shared" si="293"/>
        <v>6765</v>
      </c>
      <c r="BF1852">
        <v>3518</v>
      </c>
      <c r="BG1852">
        <v>3518</v>
      </c>
      <c r="BH1852" t="s">
        <v>82</v>
      </c>
      <c r="BI1852" t="s">
        <v>1083</v>
      </c>
      <c r="BJ1852">
        <v>500</v>
      </c>
      <c r="BK1852">
        <v>2960</v>
      </c>
      <c r="BL1852">
        <v>3518</v>
      </c>
      <c r="BM1852">
        <v>0</v>
      </c>
      <c r="BN1852">
        <v>0</v>
      </c>
      <c r="BO1852">
        <v>0</v>
      </c>
      <c r="BP1852">
        <v>3482</v>
      </c>
      <c r="BQ1852">
        <v>3482</v>
      </c>
      <c r="BR1852">
        <f t="shared" si="294"/>
        <v>-280</v>
      </c>
      <c r="BS1852">
        <f t="shared" si="295"/>
        <v>396</v>
      </c>
    </row>
    <row r="1853" spans="1:74" x14ac:dyDescent="0.25">
      <c r="A1853" s="5" t="s">
        <v>207</v>
      </c>
      <c r="B1853" s="5" t="s">
        <v>207</v>
      </c>
      <c r="C1853" s="5" t="s">
        <v>207</v>
      </c>
      <c r="D1853" s="1" t="s">
        <v>69</v>
      </c>
      <c r="E1853">
        <v>0</v>
      </c>
      <c r="F1853">
        <v>60</v>
      </c>
      <c r="G1853">
        <v>600</v>
      </c>
      <c r="H1853">
        <v>0</v>
      </c>
      <c r="I1853">
        <v>0</v>
      </c>
      <c r="J1853">
        <v>3363</v>
      </c>
      <c r="K1853">
        <v>980</v>
      </c>
      <c r="L1853">
        <v>0</v>
      </c>
      <c r="M1853">
        <v>0</v>
      </c>
      <c r="N1853">
        <v>90</v>
      </c>
      <c r="O1853">
        <v>0</v>
      </c>
      <c r="P1853">
        <v>450</v>
      </c>
      <c r="Q1853">
        <v>341</v>
      </c>
      <c r="R1853">
        <v>60</v>
      </c>
      <c r="S1853" s="18">
        <f t="shared" si="286"/>
        <v>9</v>
      </c>
      <c r="T1853" s="17">
        <f t="shared" si="287"/>
        <v>0</v>
      </c>
      <c r="U1853" s="17">
        <f t="shared" si="288"/>
        <v>10</v>
      </c>
      <c r="V1853" s="17">
        <f t="shared" si="289"/>
        <v>0</v>
      </c>
      <c r="W1853" s="17">
        <f t="shared" si="290"/>
        <v>50</v>
      </c>
      <c r="X1853" s="17">
        <f t="shared" si="291"/>
        <v>281</v>
      </c>
      <c r="Y1853" s="19">
        <f t="shared" si="292"/>
        <v>0</v>
      </c>
      <c r="Z1853">
        <v>60</v>
      </c>
      <c r="AA1853">
        <v>4</v>
      </c>
      <c r="AB1853">
        <v>0</v>
      </c>
      <c r="AC1853">
        <v>744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2200</v>
      </c>
      <c r="AK1853">
        <v>1163</v>
      </c>
      <c r="AL1853">
        <v>3363</v>
      </c>
      <c r="AM1853">
        <v>0</v>
      </c>
      <c r="AN1853">
        <v>830</v>
      </c>
      <c r="AO1853">
        <v>150</v>
      </c>
      <c r="AP1853">
        <v>350</v>
      </c>
      <c r="AQ1853">
        <v>980</v>
      </c>
      <c r="AR1853">
        <v>630</v>
      </c>
      <c r="AS1853">
        <v>600</v>
      </c>
      <c r="AT1853">
        <v>0</v>
      </c>
      <c r="AU1853">
        <v>600</v>
      </c>
      <c r="AV1853">
        <v>600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f t="shared" si="293"/>
        <v>12210</v>
      </c>
      <c r="BF1853">
        <v>5751</v>
      </c>
      <c r="BG1853">
        <v>5751</v>
      </c>
      <c r="BH1853" t="s">
        <v>560</v>
      </c>
      <c r="BI1853" t="s">
        <v>590</v>
      </c>
      <c r="BJ1853">
        <v>748</v>
      </c>
      <c r="BK1853">
        <v>4943</v>
      </c>
      <c r="BL1853">
        <v>5751</v>
      </c>
      <c r="BM1853">
        <v>0</v>
      </c>
      <c r="BN1853">
        <v>3720</v>
      </c>
      <c r="BO1853">
        <v>0</v>
      </c>
      <c r="BP1853">
        <v>1763</v>
      </c>
      <c r="BQ1853">
        <v>5483</v>
      </c>
      <c r="BR1853">
        <f t="shared" si="294"/>
        <v>-281</v>
      </c>
      <c r="BS1853">
        <f t="shared" si="295"/>
        <v>401</v>
      </c>
    </row>
    <row r="1854" spans="1:74" x14ac:dyDescent="0.25">
      <c r="A1854" s="5" t="s">
        <v>1451</v>
      </c>
      <c r="B1854" s="5" t="s">
        <v>207</v>
      </c>
      <c r="C1854" s="5" t="s">
        <v>61</v>
      </c>
      <c r="D1854" s="1" t="s">
        <v>84</v>
      </c>
      <c r="E1854">
        <v>0</v>
      </c>
      <c r="F1854">
        <v>612</v>
      </c>
      <c r="G1854">
        <v>0</v>
      </c>
      <c r="H1854">
        <v>0</v>
      </c>
      <c r="I1854">
        <v>200</v>
      </c>
      <c r="J1854">
        <v>4045</v>
      </c>
      <c r="K1854">
        <v>550</v>
      </c>
      <c r="L1854">
        <v>200</v>
      </c>
      <c r="M1854">
        <v>0</v>
      </c>
      <c r="N1854">
        <v>0</v>
      </c>
      <c r="O1854">
        <v>0</v>
      </c>
      <c r="P1854">
        <v>1503</v>
      </c>
      <c r="Q1854">
        <v>448</v>
      </c>
      <c r="R1854">
        <v>167</v>
      </c>
      <c r="S1854" s="18">
        <f t="shared" si="286"/>
        <v>9</v>
      </c>
      <c r="T1854" s="17">
        <f t="shared" si="287"/>
        <v>0</v>
      </c>
      <c r="U1854" s="17">
        <f t="shared" si="288"/>
        <v>0</v>
      </c>
      <c r="V1854" s="17">
        <f t="shared" si="289"/>
        <v>0</v>
      </c>
      <c r="W1854" s="17">
        <f t="shared" si="290"/>
        <v>167</v>
      </c>
      <c r="X1854" s="17">
        <f t="shared" si="291"/>
        <v>281</v>
      </c>
      <c r="Y1854" s="19">
        <f t="shared" si="292"/>
        <v>0</v>
      </c>
      <c r="Z1854">
        <v>612</v>
      </c>
      <c r="AA1854">
        <v>4</v>
      </c>
      <c r="AB1854">
        <v>303</v>
      </c>
      <c r="AC1854">
        <v>2100</v>
      </c>
      <c r="AD1854">
        <v>0</v>
      </c>
      <c r="AE1854">
        <v>0</v>
      </c>
      <c r="AF1854">
        <v>0</v>
      </c>
      <c r="AG1854">
        <v>200</v>
      </c>
      <c r="AH1854">
        <v>200</v>
      </c>
      <c r="AI1854">
        <v>0</v>
      </c>
      <c r="AJ1854">
        <v>0</v>
      </c>
      <c r="AK1854">
        <v>4045</v>
      </c>
      <c r="AL1854">
        <v>4045</v>
      </c>
      <c r="AM1854">
        <v>0</v>
      </c>
      <c r="AN1854">
        <v>0</v>
      </c>
      <c r="AO1854">
        <v>550</v>
      </c>
      <c r="AP1854">
        <v>300</v>
      </c>
      <c r="AQ1854">
        <v>550</v>
      </c>
      <c r="AR1854">
        <v>250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200</v>
      </c>
      <c r="BA1854">
        <v>200</v>
      </c>
      <c r="BB1854">
        <v>0</v>
      </c>
      <c r="BC1854">
        <v>0</v>
      </c>
      <c r="BD1854">
        <v>0</v>
      </c>
      <c r="BE1854">
        <f t="shared" si="293"/>
        <v>12640</v>
      </c>
      <c r="BF1854">
        <v>8014</v>
      </c>
      <c r="BG1854">
        <v>8014</v>
      </c>
      <c r="BH1854" t="s">
        <v>82</v>
      </c>
      <c r="BI1854" t="s">
        <v>1542</v>
      </c>
      <c r="BJ1854">
        <v>2407</v>
      </c>
      <c r="BK1854">
        <v>4995</v>
      </c>
      <c r="BL1854">
        <v>8014</v>
      </c>
      <c r="BM1854">
        <v>0</v>
      </c>
      <c r="BN1854">
        <v>0</v>
      </c>
      <c r="BO1854">
        <v>0</v>
      </c>
      <c r="BP1854">
        <v>6498</v>
      </c>
      <c r="BQ1854">
        <v>6498</v>
      </c>
      <c r="BR1854">
        <f t="shared" si="294"/>
        <v>-281</v>
      </c>
      <c r="BS1854">
        <f t="shared" si="295"/>
        <v>615</v>
      </c>
    </row>
    <row r="1855" spans="1:74" x14ac:dyDescent="0.25">
      <c r="A1855" s="5" t="s">
        <v>1661</v>
      </c>
      <c r="B1855" s="5" t="s">
        <v>61</v>
      </c>
      <c r="C1855" s="5" t="s">
        <v>359</v>
      </c>
      <c r="D1855" s="1" t="s">
        <v>135</v>
      </c>
      <c r="E1855">
        <v>0</v>
      </c>
      <c r="F1855">
        <v>372</v>
      </c>
      <c r="G1855">
        <v>0</v>
      </c>
      <c r="H1855">
        <v>0</v>
      </c>
      <c r="I1855">
        <v>31</v>
      </c>
      <c r="J1855">
        <v>3510</v>
      </c>
      <c r="K1855">
        <v>14</v>
      </c>
      <c r="L1855">
        <v>52</v>
      </c>
      <c r="M1855">
        <v>0</v>
      </c>
      <c r="N1855">
        <v>0</v>
      </c>
      <c r="O1855">
        <v>0</v>
      </c>
      <c r="P1855">
        <v>108</v>
      </c>
      <c r="Q1855">
        <v>293</v>
      </c>
      <c r="R1855">
        <v>12</v>
      </c>
      <c r="S1855" s="18">
        <f t="shared" si="286"/>
        <v>9</v>
      </c>
      <c r="T1855" s="17">
        <f t="shared" si="287"/>
        <v>0</v>
      </c>
      <c r="U1855" s="17">
        <f t="shared" si="288"/>
        <v>0</v>
      </c>
      <c r="V1855" s="17">
        <f t="shared" si="289"/>
        <v>0</v>
      </c>
      <c r="W1855" s="17">
        <f t="shared" si="290"/>
        <v>12</v>
      </c>
      <c r="X1855" s="17">
        <f t="shared" si="291"/>
        <v>281</v>
      </c>
      <c r="Y1855" s="19">
        <f t="shared" si="292"/>
        <v>0</v>
      </c>
      <c r="Z1855">
        <v>372</v>
      </c>
      <c r="AA1855">
        <v>0</v>
      </c>
      <c r="AB1855">
        <v>0</v>
      </c>
      <c r="AC1855">
        <v>2617</v>
      </c>
      <c r="AD1855">
        <v>0</v>
      </c>
      <c r="AE1855">
        <v>0</v>
      </c>
      <c r="AF1855">
        <v>0</v>
      </c>
      <c r="AG1855">
        <v>31</v>
      </c>
      <c r="AH1855">
        <v>31</v>
      </c>
      <c r="AI1855">
        <v>0</v>
      </c>
      <c r="AJ1855">
        <v>0</v>
      </c>
      <c r="AK1855">
        <v>3510</v>
      </c>
      <c r="AL1855">
        <v>3510</v>
      </c>
      <c r="AM1855">
        <v>0</v>
      </c>
      <c r="AN1855">
        <v>0</v>
      </c>
      <c r="AO1855">
        <v>14</v>
      </c>
      <c r="AP1855">
        <v>4</v>
      </c>
      <c r="AQ1855">
        <v>14</v>
      </c>
      <c r="AR1855">
        <v>10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52</v>
      </c>
      <c r="BA1855">
        <v>52</v>
      </c>
      <c r="BB1855">
        <v>0</v>
      </c>
      <c r="BC1855">
        <v>0</v>
      </c>
      <c r="BD1855">
        <v>0</v>
      </c>
      <c r="BE1855">
        <f t="shared" si="293"/>
        <v>9845</v>
      </c>
      <c r="BF1855">
        <v>6596</v>
      </c>
      <c r="BG1855">
        <v>6596</v>
      </c>
      <c r="BH1855" t="s">
        <v>82</v>
      </c>
      <c r="BI1855" t="s">
        <v>1104</v>
      </c>
      <c r="BJ1855">
        <v>2617</v>
      </c>
      <c r="BK1855">
        <v>3607</v>
      </c>
      <c r="BL1855">
        <v>6596</v>
      </c>
      <c r="BM1855">
        <v>0</v>
      </c>
      <c r="BN1855">
        <v>0</v>
      </c>
      <c r="BO1855">
        <v>0</v>
      </c>
      <c r="BP1855">
        <v>3715</v>
      </c>
      <c r="BQ1855">
        <v>3715</v>
      </c>
      <c r="BR1855">
        <f t="shared" si="294"/>
        <v>-281</v>
      </c>
      <c r="BS1855">
        <f t="shared" si="295"/>
        <v>305</v>
      </c>
    </row>
    <row r="1856" spans="1:74" x14ac:dyDescent="0.25">
      <c r="A1856" s="5" t="s">
        <v>627</v>
      </c>
      <c r="B1856" s="5" t="s">
        <v>61</v>
      </c>
      <c r="C1856" s="5" t="s">
        <v>61</v>
      </c>
      <c r="D1856" s="1" t="s">
        <v>67</v>
      </c>
      <c r="E1856">
        <v>0</v>
      </c>
      <c r="F1856">
        <v>0</v>
      </c>
      <c r="G1856">
        <v>0</v>
      </c>
      <c r="H1856">
        <v>0</v>
      </c>
      <c r="I1856">
        <v>1000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224</v>
      </c>
      <c r="R1856">
        <v>0</v>
      </c>
      <c r="S1856" s="18" t="e">
        <f t="shared" si="286"/>
        <v>#DIV/0!</v>
      </c>
      <c r="T1856" s="17" t="e">
        <f t="shared" si="287"/>
        <v>#DIV/0!</v>
      </c>
      <c r="U1856" s="17" t="e">
        <f t="shared" si="288"/>
        <v>#DIV/0!</v>
      </c>
      <c r="V1856" s="17" t="e">
        <f t="shared" si="289"/>
        <v>#DIV/0!</v>
      </c>
      <c r="W1856" s="17" t="e">
        <f t="shared" si="290"/>
        <v>#DIV/0!</v>
      </c>
      <c r="X1856" s="17" t="e">
        <f t="shared" si="291"/>
        <v>#DIV/0!</v>
      </c>
      <c r="Y1856" s="19" t="e">
        <f t="shared" si="292"/>
        <v>#DIV/0!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1000</v>
      </c>
      <c r="AH1856">
        <v>1000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f t="shared" si="293"/>
        <v>2000</v>
      </c>
      <c r="BF1856">
        <v>1000</v>
      </c>
      <c r="BG1856">
        <v>1000</v>
      </c>
      <c r="BH1856" t="s">
        <v>63</v>
      </c>
      <c r="BI1856" t="s">
        <v>702</v>
      </c>
      <c r="BJ1856">
        <v>0</v>
      </c>
      <c r="BK1856">
        <v>1000</v>
      </c>
      <c r="BL1856">
        <v>1000</v>
      </c>
      <c r="BM1856">
        <v>0</v>
      </c>
      <c r="BN1856">
        <v>0</v>
      </c>
      <c r="BO1856">
        <v>0</v>
      </c>
      <c r="BP1856">
        <v>1000</v>
      </c>
      <c r="BQ1856">
        <v>1000</v>
      </c>
      <c r="BR1856">
        <f t="shared" si="294"/>
        <v>-224</v>
      </c>
      <c r="BS1856">
        <f t="shared" si="295"/>
        <v>224</v>
      </c>
      <c r="BU1856">
        <f>R1856*9</f>
        <v>0</v>
      </c>
      <c r="BV1856">
        <f>IF(BU1856&gt;BG1856, 1, 0)</f>
        <v>0</v>
      </c>
    </row>
    <row r="1857" spans="1:74" x14ac:dyDescent="0.25">
      <c r="A1857" s="5" t="s">
        <v>2090</v>
      </c>
      <c r="B1857" s="5" t="s">
        <v>61</v>
      </c>
      <c r="C1857" s="5" t="s">
        <v>61</v>
      </c>
      <c r="D1857" s="1" t="s">
        <v>2208</v>
      </c>
      <c r="E1857">
        <v>0</v>
      </c>
      <c r="F1857">
        <v>172</v>
      </c>
      <c r="G1857">
        <v>0</v>
      </c>
      <c r="H1857">
        <v>0</v>
      </c>
      <c r="I1857">
        <v>81</v>
      </c>
      <c r="J1857">
        <v>2296</v>
      </c>
      <c r="K1857">
        <v>11</v>
      </c>
      <c r="L1857">
        <v>10</v>
      </c>
      <c r="M1857">
        <v>0</v>
      </c>
      <c r="N1857">
        <v>0</v>
      </c>
      <c r="O1857">
        <v>0</v>
      </c>
      <c r="P1857">
        <v>459</v>
      </c>
      <c r="Q1857">
        <v>332</v>
      </c>
      <c r="R1857">
        <v>51</v>
      </c>
      <c r="S1857" s="18">
        <f t="shared" si="286"/>
        <v>9</v>
      </c>
      <c r="T1857" s="17">
        <f t="shared" si="287"/>
        <v>0</v>
      </c>
      <c r="U1857" s="17">
        <f t="shared" si="288"/>
        <v>0</v>
      </c>
      <c r="V1857" s="17">
        <f t="shared" si="289"/>
        <v>0</v>
      </c>
      <c r="W1857" s="17">
        <f t="shared" si="290"/>
        <v>51</v>
      </c>
      <c r="X1857" s="17">
        <f t="shared" si="291"/>
        <v>281</v>
      </c>
      <c r="Y1857" s="19">
        <f t="shared" si="292"/>
        <v>0</v>
      </c>
      <c r="Z1857">
        <v>172</v>
      </c>
      <c r="AA1857">
        <v>10</v>
      </c>
      <c r="AB1857">
        <v>0</v>
      </c>
      <c r="AC1857">
        <v>1120</v>
      </c>
      <c r="AD1857">
        <v>0</v>
      </c>
      <c r="AE1857">
        <v>0</v>
      </c>
      <c r="AF1857">
        <v>0</v>
      </c>
      <c r="AG1857">
        <v>81</v>
      </c>
      <c r="AH1857">
        <v>81</v>
      </c>
      <c r="AI1857">
        <v>0</v>
      </c>
      <c r="AJ1857">
        <v>0</v>
      </c>
      <c r="AK1857">
        <v>2296</v>
      </c>
      <c r="AL1857">
        <v>2296</v>
      </c>
      <c r="AM1857">
        <v>0</v>
      </c>
      <c r="AN1857">
        <v>0</v>
      </c>
      <c r="AO1857">
        <v>11</v>
      </c>
      <c r="AP1857">
        <v>2</v>
      </c>
      <c r="AQ1857">
        <v>11</v>
      </c>
      <c r="AR1857">
        <v>9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10</v>
      </c>
      <c r="BA1857">
        <v>10</v>
      </c>
      <c r="BB1857">
        <v>0</v>
      </c>
      <c r="BC1857">
        <v>0</v>
      </c>
      <c r="BD1857">
        <v>0</v>
      </c>
      <c r="BE1857">
        <f t="shared" si="293"/>
        <v>5927</v>
      </c>
      <c r="BF1857">
        <v>3700</v>
      </c>
      <c r="BG1857">
        <v>3700</v>
      </c>
      <c r="BH1857" t="s">
        <v>82</v>
      </c>
      <c r="BI1857" t="s">
        <v>459</v>
      </c>
      <c r="BJ1857">
        <v>1130</v>
      </c>
      <c r="BK1857">
        <v>2398</v>
      </c>
      <c r="BL1857">
        <v>3700</v>
      </c>
      <c r="BM1857">
        <v>0</v>
      </c>
      <c r="BN1857">
        <v>0</v>
      </c>
      <c r="BO1857">
        <v>0</v>
      </c>
      <c r="BP1857">
        <v>2857</v>
      </c>
      <c r="BQ1857">
        <v>2857</v>
      </c>
      <c r="BR1857">
        <f t="shared" si="294"/>
        <v>-281</v>
      </c>
      <c r="BS1857">
        <f t="shared" si="295"/>
        <v>383</v>
      </c>
    </row>
    <row r="1858" spans="1:74" x14ac:dyDescent="0.25">
      <c r="A1858" s="5" t="s">
        <v>1337</v>
      </c>
      <c r="B1858" s="5" t="s">
        <v>359</v>
      </c>
      <c r="C1858" s="5" t="s">
        <v>61</v>
      </c>
      <c r="D1858" s="1" t="s">
        <v>73</v>
      </c>
      <c r="E1858">
        <v>0</v>
      </c>
      <c r="F1858">
        <v>200</v>
      </c>
      <c r="G1858">
        <v>0</v>
      </c>
      <c r="H1858">
        <v>0</v>
      </c>
      <c r="I1858">
        <v>1054</v>
      </c>
      <c r="J1858">
        <v>1189</v>
      </c>
      <c r="K1858">
        <v>15</v>
      </c>
      <c r="L1858">
        <v>0</v>
      </c>
      <c r="M1858">
        <v>0</v>
      </c>
      <c r="N1858">
        <v>0</v>
      </c>
      <c r="O1858">
        <v>0</v>
      </c>
      <c r="P1858">
        <v>1494</v>
      </c>
      <c r="Q1858">
        <v>449</v>
      </c>
      <c r="R1858">
        <v>166</v>
      </c>
      <c r="S1858" s="18">
        <f t="shared" ref="S1858:S1921" si="296">(M1858+N1858+O1858+P1858)/R1858</f>
        <v>9</v>
      </c>
      <c r="T1858" s="17">
        <f t="shared" ref="T1858:T1921" si="297">M1858/$S1858</f>
        <v>0</v>
      </c>
      <c r="U1858" s="17">
        <f t="shared" ref="U1858:U1921" si="298">N1858/$S1858</f>
        <v>0</v>
      </c>
      <c r="V1858" s="17">
        <f t="shared" ref="V1858:V1921" si="299">O1858/$S1858</f>
        <v>0</v>
      </c>
      <c r="W1858" s="17">
        <f t="shared" ref="W1858:W1921" si="300">P1858/$S1858</f>
        <v>166</v>
      </c>
      <c r="X1858" s="17">
        <f t="shared" ref="X1858:X1921" si="301">Q1858-T1858-U1858-W1858</f>
        <v>283</v>
      </c>
      <c r="Y1858" s="19">
        <f t="shared" ref="Y1858:Y1921" si="302">V1858/X1858</f>
        <v>0</v>
      </c>
      <c r="Z1858">
        <v>200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1054</v>
      </c>
      <c r="AH1858">
        <v>1054</v>
      </c>
      <c r="AI1858">
        <v>0</v>
      </c>
      <c r="AJ1858">
        <v>0</v>
      </c>
      <c r="AK1858">
        <v>1189</v>
      </c>
      <c r="AL1858">
        <v>1189</v>
      </c>
      <c r="AM1858">
        <v>0</v>
      </c>
      <c r="AN1858">
        <v>0</v>
      </c>
      <c r="AO1858">
        <v>15</v>
      </c>
      <c r="AP1858">
        <v>0</v>
      </c>
      <c r="AQ1858">
        <v>15</v>
      </c>
      <c r="AR1858">
        <v>15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f t="shared" ref="BE1858:BE1921" si="303">SUM(AC1858:BD1858)</f>
        <v>4531</v>
      </c>
      <c r="BF1858">
        <v>2458</v>
      </c>
      <c r="BG1858">
        <v>2458</v>
      </c>
      <c r="BH1858" t="s">
        <v>109</v>
      </c>
      <c r="BI1858" t="s">
        <v>1418</v>
      </c>
      <c r="BJ1858">
        <v>0</v>
      </c>
      <c r="BK1858">
        <v>2258</v>
      </c>
      <c r="BL1858">
        <v>2458</v>
      </c>
      <c r="BM1858">
        <v>0</v>
      </c>
      <c r="BN1858">
        <v>0</v>
      </c>
      <c r="BO1858">
        <v>0</v>
      </c>
      <c r="BP1858">
        <v>3752</v>
      </c>
      <c r="BQ1858">
        <v>3752</v>
      </c>
      <c r="BR1858">
        <f t="shared" ref="BR1858:BR1921" si="304">R1858-Q1858</f>
        <v>-283</v>
      </c>
      <c r="BS1858">
        <f t="shared" ref="BS1858:BS1921" si="305">R1858+Q1858</f>
        <v>615</v>
      </c>
    </row>
    <row r="1859" spans="1:74" x14ac:dyDescent="0.25">
      <c r="A1859" s="5" t="s">
        <v>1017</v>
      </c>
      <c r="B1859" s="5" t="s">
        <v>61</v>
      </c>
      <c r="C1859" s="5" t="s">
        <v>61</v>
      </c>
      <c r="D1859" s="1" t="s">
        <v>62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3596</v>
      </c>
      <c r="K1859">
        <v>620</v>
      </c>
      <c r="L1859">
        <v>850</v>
      </c>
      <c r="M1859">
        <v>0</v>
      </c>
      <c r="N1859">
        <v>0</v>
      </c>
      <c r="O1859">
        <v>0</v>
      </c>
      <c r="P1859">
        <v>0</v>
      </c>
      <c r="Q1859">
        <v>227</v>
      </c>
      <c r="R1859">
        <v>0</v>
      </c>
      <c r="S1859" s="18" t="e">
        <f t="shared" si="296"/>
        <v>#DIV/0!</v>
      </c>
      <c r="T1859" s="17" t="e">
        <f t="shared" si="297"/>
        <v>#DIV/0!</v>
      </c>
      <c r="U1859" s="17" t="e">
        <f t="shared" si="298"/>
        <v>#DIV/0!</v>
      </c>
      <c r="V1859" s="17" t="e">
        <f t="shared" si="299"/>
        <v>#DIV/0!</v>
      </c>
      <c r="W1859" s="17" t="e">
        <f t="shared" si="300"/>
        <v>#DIV/0!</v>
      </c>
      <c r="X1859" s="17" t="e">
        <f t="shared" si="301"/>
        <v>#DIV/0!</v>
      </c>
      <c r="Y1859" s="19" t="e">
        <f t="shared" si="302"/>
        <v>#DIV/0!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3596</v>
      </c>
      <c r="AL1859">
        <v>3596</v>
      </c>
      <c r="AM1859">
        <v>0</v>
      </c>
      <c r="AN1859">
        <v>0</v>
      </c>
      <c r="AO1859">
        <v>620</v>
      </c>
      <c r="AP1859">
        <v>275</v>
      </c>
      <c r="AQ1859">
        <v>620</v>
      </c>
      <c r="AR1859">
        <v>345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850</v>
      </c>
      <c r="BA1859">
        <v>850</v>
      </c>
      <c r="BB1859">
        <v>0</v>
      </c>
      <c r="BC1859">
        <v>0</v>
      </c>
      <c r="BD1859">
        <v>0</v>
      </c>
      <c r="BE1859">
        <f t="shared" si="303"/>
        <v>10752</v>
      </c>
      <c r="BF1859">
        <v>5066</v>
      </c>
      <c r="BG1859">
        <v>5066</v>
      </c>
      <c r="BH1859" t="s">
        <v>63</v>
      </c>
      <c r="BI1859" t="s">
        <v>1018</v>
      </c>
      <c r="BJ1859">
        <v>0</v>
      </c>
      <c r="BK1859">
        <v>5066</v>
      </c>
      <c r="BL1859">
        <v>5066</v>
      </c>
      <c r="BM1859">
        <v>0</v>
      </c>
      <c r="BN1859">
        <v>0</v>
      </c>
      <c r="BO1859">
        <v>0</v>
      </c>
      <c r="BP1859">
        <v>5066</v>
      </c>
      <c r="BQ1859">
        <v>5066</v>
      </c>
      <c r="BR1859">
        <f t="shared" si="304"/>
        <v>-227</v>
      </c>
      <c r="BS1859">
        <f t="shared" si="305"/>
        <v>227</v>
      </c>
      <c r="BU1859">
        <f>R1859*9</f>
        <v>0</v>
      </c>
      <c r="BV1859">
        <f>IF(BU1859&gt;BG1859, 1, 0)</f>
        <v>0</v>
      </c>
    </row>
    <row r="1860" spans="1:74" x14ac:dyDescent="0.25">
      <c r="A1860" s="5" t="s">
        <v>1946</v>
      </c>
      <c r="B1860" s="5" t="s">
        <v>207</v>
      </c>
      <c r="C1860" s="5" t="s">
        <v>207</v>
      </c>
      <c r="D1860" s="1" t="s">
        <v>98</v>
      </c>
      <c r="E1860">
        <v>0</v>
      </c>
      <c r="F1860">
        <v>2450</v>
      </c>
      <c r="G1860">
        <v>0</v>
      </c>
      <c r="H1860">
        <v>0</v>
      </c>
      <c r="I1860">
        <v>290</v>
      </c>
      <c r="J1860">
        <v>1630</v>
      </c>
      <c r="K1860">
        <v>65</v>
      </c>
      <c r="L1860">
        <v>50</v>
      </c>
      <c r="M1860">
        <v>0</v>
      </c>
      <c r="N1860">
        <v>0</v>
      </c>
      <c r="O1860">
        <v>0</v>
      </c>
      <c r="P1860">
        <v>4158</v>
      </c>
      <c r="Q1860">
        <v>747</v>
      </c>
      <c r="R1860">
        <v>462</v>
      </c>
      <c r="S1860" s="18">
        <f t="shared" si="296"/>
        <v>9</v>
      </c>
      <c r="T1860" s="17">
        <f t="shared" si="297"/>
        <v>0</v>
      </c>
      <c r="U1860" s="17">
        <f t="shared" si="298"/>
        <v>0</v>
      </c>
      <c r="V1860" s="17">
        <f t="shared" si="299"/>
        <v>0</v>
      </c>
      <c r="W1860" s="17">
        <f t="shared" si="300"/>
        <v>462</v>
      </c>
      <c r="X1860" s="17">
        <f t="shared" si="301"/>
        <v>285</v>
      </c>
      <c r="Y1860" s="19">
        <f t="shared" si="302"/>
        <v>0</v>
      </c>
      <c r="Z1860">
        <v>2450</v>
      </c>
      <c r="AA1860">
        <v>10</v>
      </c>
      <c r="AB1860">
        <v>300</v>
      </c>
      <c r="AC1860">
        <v>2454</v>
      </c>
      <c r="AD1860">
        <v>0</v>
      </c>
      <c r="AE1860">
        <v>0</v>
      </c>
      <c r="AF1860">
        <v>0</v>
      </c>
      <c r="AG1860">
        <v>290</v>
      </c>
      <c r="AH1860">
        <v>290</v>
      </c>
      <c r="AI1860">
        <v>0</v>
      </c>
      <c r="AJ1860">
        <v>0</v>
      </c>
      <c r="AK1860">
        <v>1630</v>
      </c>
      <c r="AL1860">
        <v>1630</v>
      </c>
      <c r="AM1860">
        <v>0</v>
      </c>
      <c r="AN1860">
        <v>0</v>
      </c>
      <c r="AO1860">
        <v>65</v>
      </c>
      <c r="AP1860">
        <v>15</v>
      </c>
      <c r="AQ1860">
        <v>65</v>
      </c>
      <c r="AR1860">
        <v>50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50</v>
      </c>
      <c r="BA1860">
        <v>50</v>
      </c>
      <c r="BB1860">
        <v>0</v>
      </c>
      <c r="BC1860">
        <v>0</v>
      </c>
      <c r="BD1860">
        <v>0</v>
      </c>
      <c r="BE1860">
        <f t="shared" si="303"/>
        <v>6589</v>
      </c>
      <c r="BF1860">
        <v>7249</v>
      </c>
      <c r="BG1860">
        <v>7249</v>
      </c>
      <c r="BH1860" t="s">
        <v>82</v>
      </c>
      <c r="BI1860" t="s">
        <v>2055</v>
      </c>
      <c r="BJ1860">
        <v>2764</v>
      </c>
      <c r="BK1860">
        <v>2035</v>
      </c>
      <c r="BL1860">
        <v>7249</v>
      </c>
      <c r="BM1860">
        <v>0</v>
      </c>
      <c r="BN1860">
        <v>0</v>
      </c>
      <c r="BO1860">
        <v>0</v>
      </c>
      <c r="BP1860">
        <v>6193</v>
      </c>
      <c r="BQ1860">
        <v>6193</v>
      </c>
      <c r="BR1860">
        <f t="shared" si="304"/>
        <v>-285</v>
      </c>
      <c r="BS1860">
        <f t="shared" si="305"/>
        <v>1209</v>
      </c>
    </row>
    <row r="1861" spans="1:74" x14ac:dyDescent="0.25">
      <c r="A1861" s="5" t="s">
        <v>359</v>
      </c>
      <c r="B1861" s="5" t="s">
        <v>61</v>
      </c>
      <c r="C1861" s="5" t="s">
        <v>61</v>
      </c>
      <c r="D1861" s="1" t="s">
        <v>77</v>
      </c>
      <c r="E1861">
        <v>0</v>
      </c>
      <c r="F1861">
        <v>0</v>
      </c>
      <c r="G1861">
        <v>0</v>
      </c>
      <c r="H1861">
        <v>0</v>
      </c>
      <c r="I1861">
        <v>1550</v>
      </c>
      <c r="J1861">
        <v>4200</v>
      </c>
      <c r="K1861">
        <v>50</v>
      </c>
      <c r="L1861">
        <v>250</v>
      </c>
      <c r="M1861">
        <v>0</v>
      </c>
      <c r="N1861">
        <v>0</v>
      </c>
      <c r="O1861">
        <v>0</v>
      </c>
      <c r="P1861">
        <v>0</v>
      </c>
      <c r="Q1861">
        <v>233</v>
      </c>
      <c r="R1861">
        <v>0</v>
      </c>
      <c r="S1861" s="18" t="e">
        <f t="shared" si="296"/>
        <v>#DIV/0!</v>
      </c>
      <c r="T1861" s="17" t="e">
        <f t="shared" si="297"/>
        <v>#DIV/0!</v>
      </c>
      <c r="U1861" s="17" t="e">
        <f t="shared" si="298"/>
        <v>#DIV/0!</v>
      </c>
      <c r="V1861" s="17" t="e">
        <f t="shared" si="299"/>
        <v>#DIV/0!</v>
      </c>
      <c r="W1861" s="17" t="e">
        <f t="shared" si="300"/>
        <v>#DIV/0!</v>
      </c>
      <c r="X1861" s="17" t="e">
        <f t="shared" si="301"/>
        <v>#DIV/0!</v>
      </c>
      <c r="Y1861" s="19" t="e">
        <f t="shared" si="302"/>
        <v>#DIV/0!</v>
      </c>
      <c r="Z1861">
        <v>0</v>
      </c>
      <c r="AA1861">
        <v>0</v>
      </c>
      <c r="AB1861">
        <v>0</v>
      </c>
      <c r="AC1861">
        <v>1950</v>
      </c>
      <c r="AD1861">
        <v>0</v>
      </c>
      <c r="AE1861">
        <v>1180</v>
      </c>
      <c r="AF1861">
        <v>0</v>
      </c>
      <c r="AG1861">
        <v>370</v>
      </c>
      <c r="AH1861">
        <v>1550</v>
      </c>
      <c r="AI1861">
        <v>0</v>
      </c>
      <c r="AJ1861">
        <v>3300</v>
      </c>
      <c r="AK1861">
        <v>900</v>
      </c>
      <c r="AL1861">
        <v>4200</v>
      </c>
      <c r="AM1861">
        <v>0</v>
      </c>
      <c r="AN1861">
        <v>50</v>
      </c>
      <c r="AO1861">
        <v>0</v>
      </c>
      <c r="AP1861">
        <v>25</v>
      </c>
      <c r="AQ1861">
        <v>50</v>
      </c>
      <c r="AR1861">
        <v>25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250</v>
      </c>
      <c r="AZ1861">
        <v>0</v>
      </c>
      <c r="BA1861">
        <v>250</v>
      </c>
      <c r="BB1861">
        <v>0</v>
      </c>
      <c r="BC1861">
        <v>0</v>
      </c>
      <c r="BD1861">
        <v>0</v>
      </c>
      <c r="BE1861">
        <f t="shared" si="303"/>
        <v>14100</v>
      </c>
      <c r="BF1861">
        <v>8000</v>
      </c>
      <c r="BG1861">
        <v>8000</v>
      </c>
      <c r="BH1861" t="s">
        <v>63</v>
      </c>
      <c r="BI1861" t="s">
        <v>469</v>
      </c>
      <c r="BJ1861">
        <v>1950</v>
      </c>
      <c r="BK1861">
        <v>6050</v>
      </c>
      <c r="BL1861">
        <v>8000</v>
      </c>
      <c r="BM1861">
        <v>0</v>
      </c>
      <c r="BN1861">
        <v>4780</v>
      </c>
      <c r="BO1861">
        <v>0</v>
      </c>
      <c r="BP1861">
        <v>1270</v>
      </c>
      <c r="BQ1861">
        <v>6050</v>
      </c>
      <c r="BR1861">
        <f t="shared" si="304"/>
        <v>-233</v>
      </c>
      <c r="BS1861">
        <f t="shared" si="305"/>
        <v>233</v>
      </c>
      <c r="BU1861">
        <f>R1861*9</f>
        <v>0</v>
      </c>
      <c r="BV1861">
        <f>IF(BU1861&gt;BG1861, 1, 0)</f>
        <v>0</v>
      </c>
    </row>
    <row r="1862" spans="1:74" x14ac:dyDescent="0.25">
      <c r="A1862" s="5" t="s">
        <v>1946</v>
      </c>
      <c r="B1862" s="5" t="s">
        <v>207</v>
      </c>
      <c r="C1862" s="5" t="s">
        <v>207</v>
      </c>
      <c r="D1862" s="1" t="s">
        <v>104</v>
      </c>
      <c r="E1862">
        <v>0</v>
      </c>
      <c r="F1862">
        <v>2540</v>
      </c>
      <c r="G1862">
        <v>0</v>
      </c>
      <c r="H1862">
        <v>0</v>
      </c>
      <c r="I1862">
        <v>790</v>
      </c>
      <c r="J1862">
        <v>2848</v>
      </c>
      <c r="K1862">
        <v>631</v>
      </c>
      <c r="L1862">
        <v>35</v>
      </c>
      <c r="M1862">
        <v>0</v>
      </c>
      <c r="N1862">
        <v>0</v>
      </c>
      <c r="O1862">
        <v>0</v>
      </c>
      <c r="P1862">
        <v>2538</v>
      </c>
      <c r="Q1862">
        <v>568</v>
      </c>
      <c r="R1862">
        <v>282</v>
      </c>
      <c r="S1862" s="18">
        <f t="shared" si="296"/>
        <v>9</v>
      </c>
      <c r="T1862" s="17">
        <f t="shared" si="297"/>
        <v>0</v>
      </c>
      <c r="U1862" s="17">
        <f t="shared" si="298"/>
        <v>0</v>
      </c>
      <c r="V1862" s="17">
        <f t="shared" si="299"/>
        <v>0</v>
      </c>
      <c r="W1862" s="17">
        <f t="shared" si="300"/>
        <v>282</v>
      </c>
      <c r="X1862" s="17">
        <f t="shared" si="301"/>
        <v>286</v>
      </c>
      <c r="Y1862" s="19">
        <f t="shared" si="302"/>
        <v>0</v>
      </c>
      <c r="Z1862">
        <v>2540</v>
      </c>
      <c r="AA1862">
        <v>20</v>
      </c>
      <c r="AB1862">
        <v>100</v>
      </c>
      <c r="AC1862">
        <v>3453</v>
      </c>
      <c r="AD1862">
        <v>0</v>
      </c>
      <c r="AE1862">
        <v>0</v>
      </c>
      <c r="AF1862">
        <v>0</v>
      </c>
      <c r="AG1862">
        <v>790</v>
      </c>
      <c r="AH1862">
        <v>790</v>
      </c>
      <c r="AI1862">
        <v>0</v>
      </c>
      <c r="AJ1862">
        <v>0</v>
      </c>
      <c r="AK1862">
        <v>2848</v>
      </c>
      <c r="AL1862">
        <v>2848</v>
      </c>
      <c r="AM1862">
        <v>0</v>
      </c>
      <c r="AN1862">
        <v>0</v>
      </c>
      <c r="AO1862">
        <v>631</v>
      </c>
      <c r="AP1862">
        <v>256</v>
      </c>
      <c r="AQ1862">
        <v>631</v>
      </c>
      <c r="AR1862">
        <v>375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35</v>
      </c>
      <c r="BA1862">
        <v>35</v>
      </c>
      <c r="BB1862">
        <v>0</v>
      </c>
      <c r="BC1862">
        <v>0</v>
      </c>
      <c r="BD1862">
        <v>0</v>
      </c>
      <c r="BE1862">
        <f t="shared" si="303"/>
        <v>12692</v>
      </c>
      <c r="BF1862">
        <v>10417</v>
      </c>
      <c r="BG1862">
        <v>10417</v>
      </c>
      <c r="BH1862" t="s">
        <v>82</v>
      </c>
      <c r="BI1862" t="s">
        <v>2057</v>
      </c>
      <c r="BJ1862">
        <v>3573</v>
      </c>
      <c r="BK1862">
        <v>4304</v>
      </c>
      <c r="BL1862">
        <v>10417</v>
      </c>
      <c r="BM1862">
        <v>0</v>
      </c>
      <c r="BN1862">
        <v>0</v>
      </c>
      <c r="BO1862">
        <v>0</v>
      </c>
      <c r="BP1862">
        <v>6842</v>
      </c>
      <c r="BQ1862">
        <v>6842</v>
      </c>
      <c r="BR1862">
        <f t="shared" si="304"/>
        <v>-286</v>
      </c>
      <c r="BS1862">
        <f t="shared" si="305"/>
        <v>850</v>
      </c>
    </row>
    <row r="1863" spans="1:74" x14ac:dyDescent="0.25">
      <c r="A1863" s="5" t="s">
        <v>61</v>
      </c>
      <c r="B1863" s="5" t="s">
        <v>207</v>
      </c>
      <c r="C1863" s="5" t="s">
        <v>207</v>
      </c>
      <c r="D1863" s="1" t="s">
        <v>131</v>
      </c>
      <c r="E1863">
        <v>0</v>
      </c>
      <c r="F1863">
        <v>7</v>
      </c>
      <c r="G1863">
        <v>0</v>
      </c>
      <c r="H1863">
        <v>0</v>
      </c>
      <c r="I1863">
        <v>1200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63</v>
      </c>
      <c r="Q1863">
        <v>296</v>
      </c>
      <c r="R1863">
        <v>7</v>
      </c>
      <c r="S1863" s="18">
        <f t="shared" si="296"/>
        <v>9</v>
      </c>
      <c r="T1863" s="17">
        <f t="shared" si="297"/>
        <v>0</v>
      </c>
      <c r="U1863" s="17">
        <f t="shared" si="298"/>
        <v>0</v>
      </c>
      <c r="V1863" s="17">
        <f t="shared" si="299"/>
        <v>0</v>
      </c>
      <c r="W1863" s="17">
        <f t="shared" si="300"/>
        <v>7</v>
      </c>
      <c r="X1863" s="17">
        <f t="shared" si="301"/>
        <v>289</v>
      </c>
      <c r="Y1863" s="19">
        <f t="shared" si="302"/>
        <v>0</v>
      </c>
      <c r="Z1863">
        <v>7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1200</v>
      </c>
      <c r="AH1863">
        <v>1200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f t="shared" si="303"/>
        <v>2400</v>
      </c>
      <c r="BF1863">
        <v>1207</v>
      </c>
      <c r="BG1863">
        <v>1207</v>
      </c>
      <c r="BH1863" t="s">
        <v>109</v>
      </c>
      <c r="BI1863" t="s">
        <v>312</v>
      </c>
      <c r="BJ1863">
        <v>0</v>
      </c>
      <c r="BK1863">
        <v>1200</v>
      </c>
      <c r="BL1863">
        <v>1207</v>
      </c>
      <c r="BM1863">
        <v>0</v>
      </c>
      <c r="BN1863">
        <v>0</v>
      </c>
      <c r="BO1863">
        <v>0</v>
      </c>
      <c r="BP1863">
        <v>1263</v>
      </c>
      <c r="BQ1863">
        <v>1263</v>
      </c>
      <c r="BR1863">
        <f t="shared" si="304"/>
        <v>-289</v>
      </c>
      <c r="BS1863">
        <f t="shared" si="305"/>
        <v>303</v>
      </c>
    </row>
    <row r="1864" spans="1:74" x14ac:dyDescent="0.25">
      <c r="A1864" s="5" t="s">
        <v>1135</v>
      </c>
      <c r="B1864" s="5" t="s">
        <v>61</v>
      </c>
      <c r="C1864" s="5" t="s">
        <v>61</v>
      </c>
      <c r="D1864" s="1" t="s">
        <v>71</v>
      </c>
      <c r="E1864">
        <v>0</v>
      </c>
      <c r="F1864">
        <v>0</v>
      </c>
      <c r="G1864">
        <v>0</v>
      </c>
      <c r="H1864">
        <v>0</v>
      </c>
      <c r="I1864">
        <v>1100</v>
      </c>
      <c r="J1864">
        <v>0</v>
      </c>
      <c r="K1864">
        <v>650</v>
      </c>
      <c r="L1864">
        <v>40</v>
      </c>
      <c r="M1864">
        <v>0</v>
      </c>
      <c r="N1864">
        <v>0</v>
      </c>
      <c r="O1864">
        <v>0</v>
      </c>
      <c r="P1864">
        <v>0</v>
      </c>
      <c r="Q1864">
        <v>233</v>
      </c>
      <c r="R1864">
        <v>0</v>
      </c>
      <c r="S1864" s="18" t="e">
        <f t="shared" si="296"/>
        <v>#DIV/0!</v>
      </c>
      <c r="T1864" s="17" t="e">
        <f t="shared" si="297"/>
        <v>#DIV/0!</v>
      </c>
      <c r="U1864" s="17" t="e">
        <f t="shared" si="298"/>
        <v>#DIV/0!</v>
      </c>
      <c r="V1864" s="17" t="e">
        <f t="shared" si="299"/>
        <v>#DIV/0!</v>
      </c>
      <c r="W1864" s="17" t="e">
        <f t="shared" si="300"/>
        <v>#DIV/0!</v>
      </c>
      <c r="X1864" s="17" t="e">
        <f t="shared" si="301"/>
        <v>#DIV/0!</v>
      </c>
      <c r="Y1864" s="19" t="e">
        <f t="shared" si="302"/>
        <v>#DIV/0!</v>
      </c>
      <c r="Z1864">
        <v>0</v>
      </c>
      <c r="AA1864">
        <v>0</v>
      </c>
      <c r="AB1864">
        <v>0</v>
      </c>
      <c r="AC1864">
        <v>0</v>
      </c>
      <c r="AD1864">
        <v>1100</v>
      </c>
      <c r="AE1864">
        <v>0</v>
      </c>
      <c r="AF1864">
        <v>0</v>
      </c>
      <c r="AG1864">
        <v>0</v>
      </c>
      <c r="AH1864">
        <v>1100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650</v>
      </c>
      <c r="AP1864">
        <v>650</v>
      </c>
      <c r="AQ1864">
        <v>650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40</v>
      </c>
      <c r="BA1864">
        <v>40</v>
      </c>
      <c r="BB1864">
        <v>0</v>
      </c>
      <c r="BC1864">
        <v>0</v>
      </c>
      <c r="BD1864">
        <v>0</v>
      </c>
      <c r="BE1864">
        <f t="shared" si="303"/>
        <v>4230</v>
      </c>
      <c r="BF1864">
        <v>1790</v>
      </c>
      <c r="BG1864">
        <v>1790</v>
      </c>
      <c r="BH1864" t="s">
        <v>63</v>
      </c>
      <c r="BI1864" t="s">
        <v>1139</v>
      </c>
      <c r="BJ1864">
        <v>0</v>
      </c>
      <c r="BK1864">
        <v>1790</v>
      </c>
      <c r="BL1864">
        <v>1790</v>
      </c>
      <c r="BM1864">
        <v>1100</v>
      </c>
      <c r="BN1864">
        <v>0</v>
      </c>
      <c r="BO1864">
        <v>0</v>
      </c>
      <c r="BP1864">
        <v>690</v>
      </c>
      <c r="BQ1864">
        <v>1790</v>
      </c>
      <c r="BR1864">
        <f t="shared" si="304"/>
        <v>-233</v>
      </c>
      <c r="BS1864">
        <f t="shared" si="305"/>
        <v>233</v>
      </c>
      <c r="BU1864">
        <f>R1864*9</f>
        <v>0</v>
      </c>
      <c r="BV1864">
        <f>IF(BU1864&gt;BG1864, 1, 0)</f>
        <v>0</v>
      </c>
    </row>
    <row r="1865" spans="1:74" x14ac:dyDescent="0.25">
      <c r="A1865" s="5" t="s">
        <v>207</v>
      </c>
      <c r="B1865" s="5" t="s">
        <v>627</v>
      </c>
      <c r="C1865" s="5" t="s">
        <v>207</v>
      </c>
      <c r="D1865" s="1" t="s">
        <v>102</v>
      </c>
      <c r="E1865">
        <v>0</v>
      </c>
      <c r="F1865">
        <v>108</v>
      </c>
      <c r="G1865">
        <v>0</v>
      </c>
      <c r="H1865">
        <v>0</v>
      </c>
      <c r="I1865">
        <v>900</v>
      </c>
      <c r="J1865">
        <v>0</v>
      </c>
      <c r="K1865">
        <v>0</v>
      </c>
      <c r="L1865">
        <v>0</v>
      </c>
      <c r="M1865">
        <v>972</v>
      </c>
      <c r="N1865">
        <v>0</v>
      </c>
      <c r="O1865">
        <v>0</v>
      </c>
      <c r="P1865">
        <v>0</v>
      </c>
      <c r="Q1865">
        <v>398</v>
      </c>
      <c r="R1865">
        <v>108</v>
      </c>
      <c r="S1865" s="18">
        <f t="shared" si="296"/>
        <v>9</v>
      </c>
      <c r="T1865" s="17">
        <f t="shared" si="297"/>
        <v>108</v>
      </c>
      <c r="U1865" s="17">
        <f t="shared" si="298"/>
        <v>0</v>
      </c>
      <c r="V1865" s="17">
        <f t="shared" si="299"/>
        <v>0</v>
      </c>
      <c r="W1865" s="17">
        <f t="shared" si="300"/>
        <v>0</v>
      </c>
      <c r="X1865" s="17">
        <f t="shared" si="301"/>
        <v>290</v>
      </c>
      <c r="Y1865" s="19">
        <f t="shared" si="302"/>
        <v>0</v>
      </c>
      <c r="Z1865">
        <v>108</v>
      </c>
      <c r="AA1865">
        <v>0</v>
      </c>
      <c r="AB1865">
        <v>0</v>
      </c>
      <c r="AC1865">
        <v>0</v>
      </c>
      <c r="AD1865">
        <v>900</v>
      </c>
      <c r="AE1865">
        <v>0</v>
      </c>
      <c r="AF1865">
        <v>0</v>
      </c>
      <c r="AG1865">
        <v>0</v>
      </c>
      <c r="AH1865">
        <v>900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f t="shared" si="303"/>
        <v>1800</v>
      </c>
      <c r="BF1865">
        <v>1008</v>
      </c>
      <c r="BG1865">
        <v>1008</v>
      </c>
      <c r="BH1865" t="s">
        <v>109</v>
      </c>
      <c r="BI1865" t="s">
        <v>677</v>
      </c>
      <c r="BJ1865">
        <v>0</v>
      </c>
      <c r="BK1865">
        <v>900</v>
      </c>
      <c r="BL1865">
        <v>1008</v>
      </c>
      <c r="BM1865">
        <v>1872</v>
      </c>
      <c r="BN1865">
        <v>0</v>
      </c>
      <c r="BO1865">
        <v>0</v>
      </c>
      <c r="BP1865">
        <v>0</v>
      </c>
      <c r="BQ1865">
        <v>1872</v>
      </c>
      <c r="BR1865">
        <f t="shared" si="304"/>
        <v>-290</v>
      </c>
      <c r="BS1865">
        <f t="shared" si="305"/>
        <v>506</v>
      </c>
    </row>
    <row r="1866" spans="1:74" x14ac:dyDescent="0.25">
      <c r="A1866" s="5" t="s">
        <v>61</v>
      </c>
      <c r="B1866" s="5" t="s">
        <v>61</v>
      </c>
      <c r="C1866" s="5" t="s">
        <v>61</v>
      </c>
      <c r="D1866" s="1" t="s">
        <v>75</v>
      </c>
      <c r="E1866">
        <v>0</v>
      </c>
      <c r="F1866">
        <v>0</v>
      </c>
      <c r="G1866">
        <v>0</v>
      </c>
      <c r="H1866">
        <v>0</v>
      </c>
      <c r="I1866">
        <v>50</v>
      </c>
      <c r="J1866">
        <v>1324</v>
      </c>
      <c r="K1866">
        <v>1008</v>
      </c>
      <c r="L1866">
        <v>70</v>
      </c>
      <c r="M1866">
        <v>0</v>
      </c>
      <c r="N1866">
        <v>0</v>
      </c>
      <c r="O1866">
        <v>0</v>
      </c>
      <c r="P1866">
        <v>0</v>
      </c>
      <c r="Q1866">
        <v>236</v>
      </c>
      <c r="R1866">
        <v>0</v>
      </c>
      <c r="S1866" s="18" t="e">
        <f t="shared" si="296"/>
        <v>#DIV/0!</v>
      </c>
      <c r="T1866" s="17" t="e">
        <f t="shared" si="297"/>
        <v>#DIV/0!</v>
      </c>
      <c r="U1866" s="17" t="e">
        <f t="shared" si="298"/>
        <v>#DIV/0!</v>
      </c>
      <c r="V1866" s="17" t="e">
        <f t="shared" si="299"/>
        <v>#DIV/0!</v>
      </c>
      <c r="W1866" s="17" t="e">
        <f t="shared" si="300"/>
        <v>#DIV/0!</v>
      </c>
      <c r="X1866" s="17" t="e">
        <f t="shared" si="301"/>
        <v>#DIV/0!</v>
      </c>
      <c r="Y1866" s="19" t="e">
        <f t="shared" si="302"/>
        <v>#DIV/0!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50</v>
      </c>
      <c r="AH1866">
        <v>50</v>
      </c>
      <c r="AI1866">
        <v>0</v>
      </c>
      <c r="AJ1866">
        <v>0</v>
      </c>
      <c r="AK1866">
        <v>1464</v>
      </c>
      <c r="AL1866">
        <v>1464</v>
      </c>
      <c r="AM1866">
        <v>0</v>
      </c>
      <c r="AN1866">
        <v>0</v>
      </c>
      <c r="AO1866">
        <v>1008</v>
      </c>
      <c r="AP1866">
        <v>458</v>
      </c>
      <c r="AQ1866">
        <v>1008</v>
      </c>
      <c r="AR1866">
        <v>550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70</v>
      </c>
      <c r="BA1866">
        <v>70</v>
      </c>
      <c r="BB1866">
        <v>0</v>
      </c>
      <c r="BC1866">
        <v>0</v>
      </c>
      <c r="BD1866">
        <v>0</v>
      </c>
      <c r="BE1866">
        <f t="shared" si="303"/>
        <v>6192</v>
      </c>
      <c r="BF1866">
        <v>2592</v>
      </c>
      <c r="BG1866">
        <v>2592</v>
      </c>
      <c r="BH1866" t="s">
        <v>63</v>
      </c>
      <c r="BI1866" t="s">
        <v>76</v>
      </c>
      <c r="BJ1866">
        <v>0</v>
      </c>
      <c r="BK1866">
        <v>2592</v>
      </c>
      <c r="BL1866">
        <v>2592</v>
      </c>
      <c r="BM1866">
        <v>0</v>
      </c>
      <c r="BN1866">
        <v>0</v>
      </c>
      <c r="BO1866">
        <v>0</v>
      </c>
      <c r="BP1866">
        <v>2592</v>
      </c>
      <c r="BQ1866">
        <v>2592</v>
      </c>
      <c r="BR1866">
        <f t="shared" si="304"/>
        <v>-236</v>
      </c>
      <c r="BS1866">
        <f t="shared" si="305"/>
        <v>236</v>
      </c>
      <c r="BU1866">
        <f>R1866*9</f>
        <v>0</v>
      </c>
      <c r="BV1866">
        <f>IF(BU1866&gt;BG1866, 1, 0)</f>
        <v>0</v>
      </c>
    </row>
    <row r="1867" spans="1:74" x14ac:dyDescent="0.25">
      <c r="A1867" s="5" t="s">
        <v>61</v>
      </c>
      <c r="B1867" s="5" t="s">
        <v>61</v>
      </c>
      <c r="C1867" s="5" t="s">
        <v>61</v>
      </c>
      <c r="D1867" s="2" t="s">
        <v>67</v>
      </c>
      <c r="E1867">
        <v>16</v>
      </c>
      <c r="F1867">
        <v>0</v>
      </c>
      <c r="G1867">
        <v>0</v>
      </c>
      <c r="H1867">
        <v>0</v>
      </c>
      <c r="I1867">
        <v>970</v>
      </c>
      <c r="J1867">
        <v>2076</v>
      </c>
      <c r="K1867">
        <v>77</v>
      </c>
      <c r="L1867">
        <v>45</v>
      </c>
      <c r="M1867">
        <v>0</v>
      </c>
      <c r="N1867">
        <v>0</v>
      </c>
      <c r="O1867">
        <v>0</v>
      </c>
      <c r="P1867">
        <v>0</v>
      </c>
      <c r="Q1867">
        <v>238</v>
      </c>
      <c r="R1867">
        <v>0</v>
      </c>
      <c r="S1867" s="18" t="e">
        <f t="shared" si="296"/>
        <v>#DIV/0!</v>
      </c>
      <c r="T1867" s="17" t="e">
        <f t="shared" si="297"/>
        <v>#DIV/0!</v>
      </c>
      <c r="U1867" s="17" t="e">
        <f t="shared" si="298"/>
        <v>#DIV/0!</v>
      </c>
      <c r="V1867" s="17" t="e">
        <f t="shared" si="299"/>
        <v>#DIV/0!</v>
      </c>
      <c r="W1867" s="17" t="e">
        <f t="shared" si="300"/>
        <v>#DIV/0!</v>
      </c>
      <c r="X1867" s="17" t="e">
        <f t="shared" si="301"/>
        <v>#DIV/0!</v>
      </c>
      <c r="Y1867" s="19" t="e">
        <f t="shared" si="302"/>
        <v>#DIV/0!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970</v>
      </c>
      <c r="AH1867">
        <v>970</v>
      </c>
      <c r="AI1867">
        <v>0</v>
      </c>
      <c r="AJ1867">
        <v>0</v>
      </c>
      <c r="AK1867">
        <v>2076</v>
      </c>
      <c r="AL1867">
        <v>2076</v>
      </c>
      <c r="AM1867">
        <v>0</v>
      </c>
      <c r="AN1867">
        <v>0</v>
      </c>
      <c r="AO1867">
        <v>77</v>
      </c>
      <c r="AP1867">
        <v>0</v>
      </c>
      <c r="AQ1867">
        <v>77</v>
      </c>
      <c r="AR1867">
        <v>77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45</v>
      </c>
      <c r="BA1867">
        <v>45</v>
      </c>
      <c r="BB1867">
        <v>0</v>
      </c>
      <c r="BC1867">
        <v>0</v>
      </c>
      <c r="BD1867">
        <v>0</v>
      </c>
      <c r="BE1867">
        <f t="shared" si="303"/>
        <v>6413</v>
      </c>
      <c r="BF1867">
        <v>3184</v>
      </c>
      <c r="BG1867">
        <v>3184</v>
      </c>
      <c r="BH1867" t="s">
        <v>63</v>
      </c>
      <c r="BI1867" t="s">
        <v>68</v>
      </c>
      <c r="BJ1867">
        <v>16</v>
      </c>
      <c r="BK1867">
        <v>3168</v>
      </c>
      <c r="BL1867">
        <v>3184</v>
      </c>
      <c r="BM1867">
        <v>0</v>
      </c>
      <c r="BN1867">
        <v>0</v>
      </c>
      <c r="BO1867">
        <v>0</v>
      </c>
      <c r="BP1867">
        <v>3168</v>
      </c>
      <c r="BQ1867">
        <v>3168</v>
      </c>
      <c r="BR1867">
        <f t="shared" si="304"/>
        <v>-238</v>
      </c>
      <c r="BS1867">
        <f t="shared" si="305"/>
        <v>238</v>
      </c>
      <c r="BU1867">
        <f>R1867*9</f>
        <v>0</v>
      </c>
      <c r="BV1867">
        <f>IF(BU1867&gt;BG1867, 1, 0)</f>
        <v>0</v>
      </c>
    </row>
    <row r="1868" spans="1:74" x14ac:dyDescent="0.25">
      <c r="A1868" s="5" t="s">
        <v>1946</v>
      </c>
      <c r="B1868" s="5" t="s">
        <v>61</v>
      </c>
      <c r="C1868" s="5" t="s">
        <v>61</v>
      </c>
      <c r="D1868" s="1" t="s">
        <v>194</v>
      </c>
      <c r="E1868">
        <v>50</v>
      </c>
      <c r="F1868">
        <v>0</v>
      </c>
      <c r="G1868">
        <v>0</v>
      </c>
      <c r="H1868">
        <v>0</v>
      </c>
      <c r="I1868">
        <v>127</v>
      </c>
      <c r="J1868">
        <v>2500</v>
      </c>
      <c r="K1868">
        <v>543</v>
      </c>
      <c r="L1868">
        <v>80</v>
      </c>
      <c r="M1868">
        <v>0</v>
      </c>
      <c r="N1868">
        <v>0</v>
      </c>
      <c r="O1868">
        <v>0</v>
      </c>
      <c r="P1868">
        <v>0</v>
      </c>
      <c r="Q1868">
        <v>290</v>
      </c>
      <c r="R1868">
        <v>0</v>
      </c>
      <c r="S1868" s="18" t="e">
        <f t="shared" si="296"/>
        <v>#DIV/0!</v>
      </c>
      <c r="T1868" s="17" t="e">
        <f t="shared" si="297"/>
        <v>#DIV/0!</v>
      </c>
      <c r="U1868" s="17" t="e">
        <f t="shared" si="298"/>
        <v>#DIV/0!</v>
      </c>
      <c r="V1868" s="17" t="e">
        <f t="shared" si="299"/>
        <v>#DIV/0!</v>
      </c>
      <c r="W1868" s="17" t="e">
        <f t="shared" si="300"/>
        <v>#DIV/0!</v>
      </c>
      <c r="X1868" s="17" t="e">
        <f t="shared" si="301"/>
        <v>#DIV/0!</v>
      </c>
      <c r="Y1868" s="19" t="e">
        <f t="shared" si="302"/>
        <v>#DIV/0!</v>
      </c>
      <c r="Z1868">
        <v>0</v>
      </c>
      <c r="AA1868">
        <v>10</v>
      </c>
      <c r="AB1868">
        <v>0</v>
      </c>
      <c r="AC1868">
        <v>4320</v>
      </c>
      <c r="AD1868">
        <v>0</v>
      </c>
      <c r="AE1868">
        <v>0</v>
      </c>
      <c r="AF1868">
        <v>0</v>
      </c>
      <c r="AG1868">
        <v>127</v>
      </c>
      <c r="AH1868">
        <v>127</v>
      </c>
      <c r="AI1868">
        <v>0</v>
      </c>
      <c r="AJ1868">
        <v>0</v>
      </c>
      <c r="AK1868">
        <v>2500</v>
      </c>
      <c r="AL1868">
        <v>2500</v>
      </c>
      <c r="AM1868">
        <v>0</v>
      </c>
      <c r="AN1868">
        <v>0</v>
      </c>
      <c r="AO1868">
        <v>543</v>
      </c>
      <c r="AP1868">
        <v>260</v>
      </c>
      <c r="AQ1868">
        <v>543</v>
      </c>
      <c r="AR1868">
        <v>283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80</v>
      </c>
      <c r="BA1868">
        <v>80</v>
      </c>
      <c r="BB1868">
        <v>0</v>
      </c>
      <c r="BC1868">
        <v>0</v>
      </c>
      <c r="BD1868">
        <v>0</v>
      </c>
      <c r="BE1868">
        <f t="shared" si="303"/>
        <v>11363</v>
      </c>
      <c r="BF1868">
        <v>7630</v>
      </c>
      <c r="BG1868">
        <v>7630</v>
      </c>
      <c r="BH1868" t="s">
        <v>82</v>
      </c>
      <c r="BI1868" t="s">
        <v>2007</v>
      </c>
      <c r="BJ1868">
        <v>4380</v>
      </c>
      <c r="BK1868">
        <v>3250</v>
      </c>
      <c r="BL1868">
        <v>7630</v>
      </c>
      <c r="BM1868">
        <v>0</v>
      </c>
      <c r="BN1868">
        <v>0</v>
      </c>
      <c r="BO1868">
        <v>0</v>
      </c>
      <c r="BP1868">
        <v>3250</v>
      </c>
      <c r="BQ1868">
        <v>3250</v>
      </c>
      <c r="BR1868">
        <f t="shared" si="304"/>
        <v>-290</v>
      </c>
      <c r="BS1868">
        <f t="shared" si="305"/>
        <v>290</v>
      </c>
    </row>
    <row r="1869" spans="1:74" x14ac:dyDescent="0.25">
      <c r="A1869" s="5" t="s">
        <v>627</v>
      </c>
      <c r="B1869" s="5" t="s">
        <v>61</v>
      </c>
      <c r="C1869" s="5" t="s">
        <v>61</v>
      </c>
      <c r="D1869" s="1" t="s">
        <v>79</v>
      </c>
      <c r="E1869">
        <v>0</v>
      </c>
      <c r="F1869">
        <v>88</v>
      </c>
      <c r="G1869">
        <v>0</v>
      </c>
      <c r="H1869">
        <v>0</v>
      </c>
      <c r="I1869">
        <v>650</v>
      </c>
      <c r="J1869">
        <v>0</v>
      </c>
      <c r="K1869">
        <v>55</v>
      </c>
      <c r="L1869">
        <v>75</v>
      </c>
      <c r="M1869">
        <v>0</v>
      </c>
      <c r="N1869">
        <v>0</v>
      </c>
      <c r="O1869">
        <v>0</v>
      </c>
      <c r="P1869">
        <v>792</v>
      </c>
      <c r="Q1869">
        <v>380</v>
      </c>
      <c r="R1869">
        <v>88</v>
      </c>
      <c r="S1869" s="18">
        <f t="shared" si="296"/>
        <v>9</v>
      </c>
      <c r="T1869" s="17">
        <f t="shared" si="297"/>
        <v>0</v>
      </c>
      <c r="U1869" s="17">
        <f t="shared" si="298"/>
        <v>0</v>
      </c>
      <c r="V1869" s="17">
        <f t="shared" si="299"/>
        <v>0</v>
      </c>
      <c r="W1869" s="17">
        <f t="shared" si="300"/>
        <v>88</v>
      </c>
      <c r="X1869" s="17">
        <f t="shared" si="301"/>
        <v>292</v>
      </c>
      <c r="Y1869" s="19">
        <f t="shared" si="302"/>
        <v>0</v>
      </c>
      <c r="Z1869">
        <v>88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650</v>
      </c>
      <c r="AH1869">
        <v>650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55</v>
      </c>
      <c r="AP1869">
        <v>55</v>
      </c>
      <c r="AQ1869">
        <v>55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75</v>
      </c>
      <c r="BA1869">
        <v>75</v>
      </c>
      <c r="BB1869">
        <v>0</v>
      </c>
      <c r="BC1869">
        <v>0</v>
      </c>
      <c r="BD1869">
        <v>0</v>
      </c>
      <c r="BE1869">
        <f t="shared" si="303"/>
        <v>1615</v>
      </c>
      <c r="BF1869">
        <v>868</v>
      </c>
      <c r="BG1869">
        <v>868</v>
      </c>
      <c r="BH1869" t="s">
        <v>109</v>
      </c>
      <c r="BI1869" t="s">
        <v>817</v>
      </c>
      <c r="BJ1869">
        <v>0</v>
      </c>
      <c r="BK1869">
        <v>780</v>
      </c>
      <c r="BL1869">
        <v>868</v>
      </c>
      <c r="BM1869">
        <v>0</v>
      </c>
      <c r="BN1869">
        <v>0</v>
      </c>
      <c r="BO1869">
        <v>0</v>
      </c>
      <c r="BP1869">
        <v>1572</v>
      </c>
      <c r="BQ1869">
        <v>1572</v>
      </c>
      <c r="BR1869">
        <f t="shared" si="304"/>
        <v>-292</v>
      </c>
      <c r="BS1869">
        <f t="shared" si="305"/>
        <v>468</v>
      </c>
    </row>
    <row r="1870" spans="1:74" x14ac:dyDescent="0.25">
      <c r="A1870" s="5" t="s">
        <v>1661</v>
      </c>
      <c r="B1870" s="5" t="s">
        <v>61</v>
      </c>
      <c r="C1870" s="5" t="s">
        <v>359</v>
      </c>
      <c r="D1870" s="1" t="s">
        <v>108</v>
      </c>
      <c r="E1870">
        <v>0</v>
      </c>
      <c r="F1870">
        <v>230</v>
      </c>
      <c r="G1870">
        <v>0</v>
      </c>
      <c r="H1870">
        <v>0</v>
      </c>
      <c r="I1870">
        <v>188</v>
      </c>
      <c r="J1870">
        <v>2150</v>
      </c>
      <c r="K1870">
        <v>20</v>
      </c>
      <c r="L1870">
        <v>48</v>
      </c>
      <c r="M1870">
        <v>0</v>
      </c>
      <c r="N1870">
        <v>0</v>
      </c>
      <c r="O1870">
        <v>0</v>
      </c>
      <c r="P1870">
        <v>225</v>
      </c>
      <c r="Q1870">
        <v>318</v>
      </c>
      <c r="R1870">
        <v>25</v>
      </c>
      <c r="S1870" s="18">
        <f t="shared" si="296"/>
        <v>9</v>
      </c>
      <c r="T1870" s="17">
        <f t="shared" si="297"/>
        <v>0</v>
      </c>
      <c r="U1870" s="17">
        <f t="shared" si="298"/>
        <v>0</v>
      </c>
      <c r="V1870" s="17">
        <f t="shared" si="299"/>
        <v>0</v>
      </c>
      <c r="W1870" s="17">
        <f t="shared" si="300"/>
        <v>25</v>
      </c>
      <c r="X1870" s="17">
        <f t="shared" si="301"/>
        <v>293</v>
      </c>
      <c r="Y1870" s="19">
        <f t="shared" si="302"/>
        <v>0</v>
      </c>
      <c r="Z1870">
        <v>230</v>
      </c>
      <c r="AA1870">
        <v>0</v>
      </c>
      <c r="AB1870">
        <v>0</v>
      </c>
      <c r="AC1870">
        <v>513</v>
      </c>
      <c r="AD1870">
        <v>0</v>
      </c>
      <c r="AE1870">
        <v>0</v>
      </c>
      <c r="AF1870">
        <v>0</v>
      </c>
      <c r="AG1870">
        <v>188</v>
      </c>
      <c r="AH1870">
        <v>188</v>
      </c>
      <c r="AI1870">
        <v>0</v>
      </c>
      <c r="AJ1870">
        <v>0</v>
      </c>
      <c r="AK1870">
        <v>2150</v>
      </c>
      <c r="AL1870">
        <v>2150</v>
      </c>
      <c r="AM1870">
        <v>0</v>
      </c>
      <c r="AN1870">
        <v>0</v>
      </c>
      <c r="AO1870">
        <v>20</v>
      </c>
      <c r="AP1870">
        <v>0</v>
      </c>
      <c r="AQ1870">
        <v>20</v>
      </c>
      <c r="AR1870">
        <v>20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48</v>
      </c>
      <c r="BA1870">
        <v>48</v>
      </c>
      <c r="BB1870">
        <v>0</v>
      </c>
      <c r="BC1870">
        <v>0</v>
      </c>
      <c r="BD1870">
        <v>0</v>
      </c>
      <c r="BE1870">
        <f t="shared" si="303"/>
        <v>5345</v>
      </c>
      <c r="BF1870">
        <v>3149</v>
      </c>
      <c r="BG1870">
        <v>3149</v>
      </c>
      <c r="BH1870" t="s">
        <v>190</v>
      </c>
      <c r="BI1870" t="s">
        <v>1734</v>
      </c>
      <c r="BJ1870">
        <v>513</v>
      </c>
      <c r="BK1870">
        <v>2406</v>
      </c>
      <c r="BL1870">
        <v>3149</v>
      </c>
      <c r="BM1870">
        <v>0</v>
      </c>
      <c r="BN1870">
        <v>0</v>
      </c>
      <c r="BO1870">
        <v>0</v>
      </c>
      <c r="BP1870">
        <v>2631</v>
      </c>
      <c r="BQ1870">
        <v>2631</v>
      </c>
      <c r="BR1870">
        <f t="shared" si="304"/>
        <v>-293</v>
      </c>
      <c r="BS1870">
        <f t="shared" si="305"/>
        <v>343</v>
      </c>
    </row>
    <row r="1871" spans="1:74" x14ac:dyDescent="0.25">
      <c r="A1871" s="5" t="s">
        <v>1661</v>
      </c>
      <c r="B1871" s="5" t="s">
        <v>61</v>
      </c>
      <c r="C1871" s="5" t="s">
        <v>359</v>
      </c>
      <c r="D1871" s="1" t="s">
        <v>141</v>
      </c>
      <c r="E1871">
        <v>0</v>
      </c>
      <c r="F1871">
        <v>117</v>
      </c>
      <c r="G1871">
        <v>0</v>
      </c>
      <c r="H1871">
        <v>0</v>
      </c>
      <c r="I1871">
        <v>181</v>
      </c>
      <c r="J1871">
        <v>4049</v>
      </c>
      <c r="K1871">
        <v>171</v>
      </c>
      <c r="L1871">
        <v>0</v>
      </c>
      <c r="M1871">
        <v>0</v>
      </c>
      <c r="N1871">
        <v>0</v>
      </c>
      <c r="O1871">
        <v>0</v>
      </c>
      <c r="P1871">
        <v>45</v>
      </c>
      <c r="Q1871">
        <v>298</v>
      </c>
      <c r="R1871">
        <v>5</v>
      </c>
      <c r="S1871" s="18">
        <f t="shared" si="296"/>
        <v>9</v>
      </c>
      <c r="T1871" s="17">
        <f t="shared" si="297"/>
        <v>0</v>
      </c>
      <c r="U1871" s="17">
        <f t="shared" si="298"/>
        <v>0</v>
      </c>
      <c r="V1871" s="17">
        <f t="shared" si="299"/>
        <v>0</v>
      </c>
      <c r="W1871" s="17">
        <f t="shared" si="300"/>
        <v>5</v>
      </c>
      <c r="X1871" s="17">
        <f t="shared" si="301"/>
        <v>293</v>
      </c>
      <c r="Y1871" s="19">
        <f t="shared" si="302"/>
        <v>0</v>
      </c>
      <c r="Z1871">
        <v>117</v>
      </c>
      <c r="AA1871">
        <v>0</v>
      </c>
      <c r="AB1871">
        <v>311</v>
      </c>
      <c r="AC1871">
        <v>2844</v>
      </c>
      <c r="AD1871">
        <v>0</v>
      </c>
      <c r="AE1871">
        <v>0</v>
      </c>
      <c r="AF1871">
        <v>0</v>
      </c>
      <c r="AG1871">
        <v>181</v>
      </c>
      <c r="AH1871">
        <v>181</v>
      </c>
      <c r="AI1871">
        <v>0</v>
      </c>
      <c r="AJ1871">
        <v>0</v>
      </c>
      <c r="AK1871">
        <v>4049</v>
      </c>
      <c r="AL1871">
        <v>4049</v>
      </c>
      <c r="AM1871">
        <v>0</v>
      </c>
      <c r="AN1871">
        <v>0</v>
      </c>
      <c r="AO1871">
        <v>171</v>
      </c>
      <c r="AP1871">
        <v>71</v>
      </c>
      <c r="AQ1871">
        <v>171</v>
      </c>
      <c r="AR1871">
        <v>100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f t="shared" si="303"/>
        <v>11817</v>
      </c>
      <c r="BF1871">
        <v>7673</v>
      </c>
      <c r="BG1871">
        <v>7673</v>
      </c>
      <c r="BH1871" t="s">
        <v>82</v>
      </c>
      <c r="BI1871" t="s">
        <v>1746</v>
      </c>
      <c r="BJ1871">
        <v>3155</v>
      </c>
      <c r="BK1871">
        <v>4401</v>
      </c>
      <c r="BL1871">
        <v>7673</v>
      </c>
      <c r="BM1871">
        <v>0</v>
      </c>
      <c r="BN1871">
        <v>0</v>
      </c>
      <c r="BO1871">
        <v>0</v>
      </c>
      <c r="BP1871">
        <v>4446</v>
      </c>
      <c r="BQ1871">
        <v>4446</v>
      </c>
      <c r="BR1871">
        <f t="shared" si="304"/>
        <v>-293</v>
      </c>
      <c r="BS1871">
        <f t="shared" si="305"/>
        <v>303</v>
      </c>
    </row>
    <row r="1872" spans="1:74" x14ac:dyDescent="0.25">
      <c r="A1872" s="5" t="s">
        <v>1946</v>
      </c>
      <c r="B1872" s="5" t="s">
        <v>207</v>
      </c>
      <c r="C1872" s="5" t="s">
        <v>61</v>
      </c>
      <c r="D1872" s="1" t="s">
        <v>129</v>
      </c>
      <c r="E1872">
        <v>0</v>
      </c>
      <c r="F1872">
        <v>875</v>
      </c>
      <c r="G1872">
        <v>0</v>
      </c>
      <c r="H1872">
        <v>0</v>
      </c>
      <c r="I1872">
        <v>1097</v>
      </c>
      <c r="J1872">
        <v>1650</v>
      </c>
      <c r="K1872">
        <v>5055</v>
      </c>
      <c r="L1872">
        <v>340</v>
      </c>
      <c r="M1872">
        <v>0</v>
      </c>
      <c r="N1872">
        <v>0</v>
      </c>
      <c r="O1872">
        <v>0</v>
      </c>
      <c r="P1872">
        <v>1575</v>
      </c>
      <c r="Q1872">
        <v>469</v>
      </c>
      <c r="R1872">
        <v>175</v>
      </c>
      <c r="S1872" s="18">
        <f t="shared" si="296"/>
        <v>9</v>
      </c>
      <c r="T1872" s="17">
        <f t="shared" si="297"/>
        <v>0</v>
      </c>
      <c r="U1872" s="17">
        <f t="shared" si="298"/>
        <v>0</v>
      </c>
      <c r="V1872" s="17">
        <f t="shared" si="299"/>
        <v>0</v>
      </c>
      <c r="W1872" s="17">
        <f t="shared" si="300"/>
        <v>175</v>
      </c>
      <c r="X1872" s="17">
        <f t="shared" si="301"/>
        <v>294</v>
      </c>
      <c r="Y1872" s="19">
        <f t="shared" si="302"/>
        <v>0</v>
      </c>
      <c r="Z1872">
        <v>875</v>
      </c>
      <c r="AA1872">
        <v>15</v>
      </c>
      <c r="AB1872">
        <v>0</v>
      </c>
      <c r="AC1872">
        <v>17450</v>
      </c>
      <c r="AD1872">
        <v>0</v>
      </c>
      <c r="AE1872">
        <v>0</v>
      </c>
      <c r="AF1872">
        <v>0</v>
      </c>
      <c r="AG1872">
        <v>1097</v>
      </c>
      <c r="AH1872">
        <v>1097</v>
      </c>
      <c r="AI1872">
        <v>0</v>
      </c>
      <c r="AJ1872">
        <v>0</v>
      </c>
      <c r="AK1872">
        <v>1650</v>
      </c>
      <c r="AL1872">
        <v>1650</v>
      </c>
      <c r="AM1872">
        <v>0</v>
      </c>
      <c r="AN1872">
        <v>0</v>
      </c>
      <c r="AO1872">
        <v>5055</v>
      </c>
      <c r="AP1872">
        <v>4055</v>
      </c>
      <c r="AQ1872">
        <v>5055</v>
      </c>
      <c r="AR1872">
        <v>1000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340</v>
      </c>
      <c r="BA1872">
        <v>340</v>
      </c>
      <c r="BB1872">
        <v>0</v>
      </c>
      <c r="BC1872">
        <v>0</v>
      </c>
      <c r="BD1872">
        <v>0</v>
      </c>
      <c r="BE1872">
        <f t="shared" si="303"/>
        <v>38789</v>
      </c>
      <c r="BF1872">
        <v>26482</v>
      </c>
      <c r="BG1872">
        <v>26482</v>
      </c>
      <c r="BH1872" t="s">
        <v>82</v>
      </c>
      <c r="BI1872" t="s">
        <v>2040</v>
      </c>
      <c r="BJ1872">
        <v>17465</v>
      </c>
      <c r="BK1872">
        <v>8142</v>
      </c>
      <c r="BL1872">
        <v>26482</v>
      </c>
      <c r="BM1872">
        <v>0</v>
      </c>
      <c r="BN1872">
        <v>0</v>
      </c>
      <c r="BO1872">
        <v>0</v>
      </c>
      <c r="BP1872">
        <v>9717</v>
      </c>
      <c r="BQ1872">
        <v>9717</v>
      </c>
      <c r="BR1872">
        <f t="shared" si="304"/>
        <v>-294</v>
      </c>
      <c r="BS1872">
        <f t="shared" si="305"/>
        <v>644</v>
      </c>
    </row>
    <row r="1873" spans="1:74" x14ac:dyDescent="0.25">
      <c r="A1873" s="5" t="s">
        <v>1946</v>
      </c>
      <c r="B1873" s="5" t="s">
        <v>61</v>
      </c>
      <c r="C1873" s="5" t="s">
        <v>61</v>
      </c>
      <c r="D1873" s="1" t="s">
        <v>111</v>
      </c>
      <c r="E1873">
        <v>0</v>
      </c>
      <c r="F1873">
        <v>0</v>
      </c>
      <c r="G1873">
        <v>0</v>
      </c>
      <c r="H1873">
        <v>0</v>
      </c>
      <c r="I1873">
        <v>500</v>
      </c>
      <c r="J1873">
        <v>4244</v>
      </c>
      <c r="K1873">
        <v>400</v>
      </c>
      <c r="L1873">
        <v>328</v>
      </c>
      <c r="M1873">
        <v>0</v>
      </c>
      <c r="N1873">
        <v>0</v>
      </c>
      <c r="O1873">
        <v>0</v>
      </c>
      <c r="P1873">
        <v>0</v>
      </c>
      <c r="Q1873">
        <v>295</v>
      </c>
      <c r="R1873">
        <v>0</v>
      </c>
      <c r="S1873" s="18" t="e">
        <f t="shared" si="296"/>
        <v>#DIV/0!</v>
      </c>
      <c r="T1873" s="17" t="e">
        <f t="shared" si="297"/>
        <v>#DIV/0!</v>
      </c>
      <c r="U1873" s="17" t="e">
        <f t="shared" si="298"/>
        <v>#DIV/0!</v>
      </c>
      <c r="V1873" s="17" t="e">
        <f t="shared" si="299"/>
        <v>#DIV/0!</v>
      </c>
      <c r="W1873" s="17" t="e">
        <f t="shared" si="300"/>
        <v>#DIV/0!</v>
      </c>
      <c r="X1873" s="17" t="e">
        <f t="shared" si="301"/>
        <v>#DIV/0!</v>
      </c>
      <c r="Y1873" s="19" t="e">
        <f t="shared" si="302"/>
        <v>#DIV/0!</v>
      </c>
      <c r="Z1873">
        <v>0</v>
      </c>
      <c r="AA1873">
        <v>12</v>
      </c>
      <c r="AB1873">
        <v>484</v>
      </c>
      <c r="AC1873">
        <v>3372</v>
      </c>
      <c r="AD1873">
        <v>0</v>
      </c>
      <c r="AE1873">
        <v>0</v>
      </c>
      <c r="AF1873">
        <v>0</v>
      </c>
      <c r="AG1873">
        <v>500</v>
      </c>
      <c r="AH1873">
        <v>500</v>
      </c>
      <c r="AI1873">
        <v>0</v>
      </c>
      <c r="AJ1873">
        <v>3924</v>
      </c>
      <c r="AK1873">
        <v>320</v>
      </c>
      <c r="AL1873">
        <v>4244</v>
      </c>
      <c r="AM1873">
        <v>0</v>
      </c>
      <c r="AN1873">
        <v>400</v>
      </c>
      <c r="AO1873">
        <v>0</v>
      </c>
      <c r="AP1873">
        <v>125</v>
      </c>
      <c r="AQ1873">
        <v>400</v>
      </c>
      <c r="AR1873">
        <v>275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328</v>
      </c>
      <c r="BA1873">
        <v>328</v>
      </c>
      <c r="BB1873">
        <v>0</v>
      </c>
      <c r="BC1873">
        <v>0</v>
      </c>
      <c r="BD1873">
        <v>0</v>
      </c>
      <c r="BE1873">
        <f t="shared" si="303"/>
        <v>14716</v>
      </c>
      <c r="BF1873">
        <v>9340</v>
      </c>
      <c r="BG1873">
        <v>9340</v>
      </c>
      <c r="BH1873" t="s">
        <v>82</v>
      </c>
      <c r="BI1873" t="s">
        <v>295</v>
      </c>
      <c r="BJ1873">
        <v>3868</v>
      </c>
      <c r="BK1873">
        <v>5472</v>
      </c>
      <c r="BL1873">
        <v>9340</v>
      </c>
      <c r="BM1873">
        <v>0</v>
      </c>
      <c r="BN1873">
        <v>4324</v>
      </c>
      <c r="BO1873">
        <v>0</v>
      </c>
      <c r="BP1873">
        <v>1148</v>
      </c>
      <c r="BQ1873">
        <v>5472</v>
      </c>
      <c r="BR1873">
        <f t="shared" si="304"/>
        <v>-295</v>
      </c>
      <c r="BS1873">
        <f t="shared" si="305"/>
        <v>295</v>
      </c>
    </row>
    <row r="1874" spans="1:74" x14ac:dyDescent="0.25">
      <c r="A1874" s="5" t="s">
        <v>1661</v>
      </c>
      <c r="B1874" s="5" t="s">
        <v>359</v>
      </c>
      <c r="C1874" s="5" t="s">
        <v>359</v>
      </c>
      <c r="D1874" s="1" t="s">
        <v>117</v>
      </c>
      <c r="E1874">
        <v>0</v>
      </c>
      <c r="F1874">
        <v>66</v>
      </c>
      <c r="G1874">
        <v>0</v>
      </c>
      <c r="H1874">
        <v>0</v>
      </c>
      <c r="I1874">
        <v>43</v>
      </c>
      <c r="J1874">
        <v>3400</v>
      </c>
      <c r="K1874">
        <v>233</v>
      </c>
      <c r="L1874">
        <v>143</v>
      </c>
      <c r="M1874">
        <v>0</v>
      </c>
      <c r="N1874">
        <v>0</v>
      </c>
      <c r="O1874">
        <v>0</v>
      </c>
      <c r="P1874">
        <v>738</v>
      </c>
      <c r="Q1874">
        <v>378</v>
      </c>
      <c r="R1874">
        <v>82</v>
      </c>
      <c r="S1874" s="18">
        <f t="shared" si="296"/>
        <v>9</v>
      </c>
      <c r="T1874" s="17">
        <f t="shared" si="297"/>
        <v>0</v>
      </c>
      <c r="U1874" s="17">
        <f t="shared" si="298"/>
        <v>0</v>
      </c>
      <c r="V1874" s="17">
        <f t="shared" si="299"/>
        <v>0</v>
      </c>
      <c r="W1874" s="17">
        <f t="shared" si="300"/>
        <v>82</v>
      </c>
      <c r="X1874" s="17">
        <f t="shared" si="301"/>
        <v>296</v>
      </c>
      <c r="Y1874" s="19">
        <f t="shared" si="302"/>
        <v>0</v>
      </c>
      <c r="Z1874">
        <v>66</v>
      </c>
      <c r="AA1874">
        <v>0</v>
      </c>
      <c r="AB1874">
        <v>0</v>
      </c>
      <c r="AC1874">
        <v>4921</v>
      </c>
      <c r="AD1874">
        <v>0</v>
      </c>
      <c r="AE1874">
        <v>0</v>
      </c>
      <c r="AF1874">
        <v>0</v>
      </c>
      <c r="AG1874">
        <v>43</v>
      </c>
      <c r="AH1874">
        <v>43</v>
      </c>
      <c r="AI1874">
        <v>0</v>
      </c>
      <c r="AJ1874">
        <v>0</v>
      </c>
      <c r="AK1874">
        <v>3400</v>
      </c>
      <c r="AL1874">
        <v>3400</v>
      </c>
      <c r="AM1874">
        <v>0</v>
      </c>
      <c r="AN1874">
        <v>0</v>
      </c>
      <c r="AO1874">
        <v>233</v>
      </c>
      <c r="AP1874">
        <v>111</v>
      </c>
      <c r="AQ1874">
        <v>233</v>
      </c>
      <c r="AR1874">
        <v>122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143</v>
      </c>
      <c r="BA1874">
        <v>143</v>
      </c>
      <c r="BB1874">
        <v>0</v>
      </c>
      <c r="BC1874">
        <v>0</v>
      </c>
      <c r="BD1874">
        <v>0</v>
      </c>
      <c r="BE1874">
        <f t="shared" si="303"/>
        <v>12792</v>
      </c>
      <c r="BF1874">
        <v>8806</v>
      </c>
      <c r="BG1874">
        <v>8806</v>
      </c>
      <c r="BH1874" t="s">
        <v>82</v>
      </c>
      <c r="BI1874" t="s">
        <v>532</v>
      </c>
      <c r="BJ1874">
        <v>4921</v>
      </c>
      <c r="BK1874">
        <v>3819</v>
      </c>
      <c r="BL1874">
        <v>8806</v>
      </c>
      <c r="BM1874">
        <v>0</v>
      </c>
      <c r="BN1874">
        <v>0</v>
      </c>
      <c r="BO1874">
        <v>0</v>
      </c>
      <c r="BP1874">
        <v>4557</v>
      </c>
      <c r="BQ1874">
        <v>4557</v>
      </c>
      <c r="BR1874">
        <f t="shared" si="304"/>
        <v>-296</v>
      </c>
      <c r="BS1874">
        <f t="shared" si="305"/>
        <v>460</v>
      </c>
    </row>
    <row r="1875" spans="1:74" x14ac:dyDescent="0.25">
      <c r="A1875" s="5" t="s">
        <v>2294</v>
      </c>
      <c r="B1875" s="5" t="s">
        <v>207</v>
      </c>
      <c r="C1875" s="5" t="s">
        <v>61</v>
      </c>
      <c r="D1875" s="1" t="s">
        <v>92</v>
      </c>
      <c r="E1875">
        <v>0</v>
      </c>
      <c r="F1875">
        <v>12</v>
      </c>
      <c r="G1875">
        <v>0</v>
      </c>
      <c r="H1875">
        <v>0</v>
      </c>
      <c r="I1875">
        <v>1238</v>
      </c>
      <c r="J1875">
        <v>0</v>
      </c>
      <c r="K1875">
        <v>272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239</v>
      </c>
      <c r="R1875">
        <v>0</v>
      </c>
      <c r="S1875" s="18" t="e">
        <f t="shared" si="296"/>
        <v>#DIV/0!</v>
      </c>
      <c r="T1875" s="17" t="e">
        <f t="shared" si="297"/>
        <v>#DIV/0!</v>
      </c>
      <c r="U1875" s="17" t="e">
        <f t="shared" si="298"/>
        <v>#DIV/0!</v>
      </c>
      <c r="V1875" s="17" t="e">
        <f t="shared" si="299"/>
        <v>#DIV/0!</v>
      </c>
      <c r="W1875" s="17" t="e">
        <f t="shared" si="300"/>
        <v>#DIV/0!</v>
      </c>
      <c r="X1875" s="17" t="e">
        <f t="shared" si="301"/>
        <v>#DIV/0!</v>
      </c>
      <c r="Y1875" s="19" t="e">
        <f t="shared" si="302"/>
        <v>#DIV/0!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1238</v>
      </c>
      <c r="AH1875">
        <v>1238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229</v>
      </c>
      <c r="AP1875">
        <v>0</v>
      </c>
      <c r="AQ1875">
        <v>229</v>
      </c>
      <c r="AR1875">
        <v>229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f t="shared" si="303"/>
        <v>3163</v>
      </c>
      <c r="BF1875">
        <v>1467</v>
      </c>
      <c r="BG1875">
        <v>1467</v>
      </c>
      <c r="BH1875" t="s">
        <v>63</v>
      </c>
      <c r="BI1875" t="s">
        <v>2336</v>
      </c>
      <c r="BJ1875">
        <v>0</v>
      </c>
      <c r="BK1875">
        <v>1467</v>
      </c>
      <c r="BL1875">
        <v>1467</v>
      </c>
      <c r="BM1875">
        <v>0</v>
      </c>
      <c r="BN1875">
        <v>0</v>
      </c>
      <c r="BO1875">
        <v>0</v>
      </c>
      <c r="BP1875">
        <v>1467</v>
      </c>
      <c r="BQ1875">
        <v>1467</v>
      </c>
      <c r="BR1875">
        <f t="shared" si="304"/>
        <v>-239</v>
      </c>
      <c r="BS1875">
        <f t="shared" si="305"/>
        <v>239</v>
      </c>
      <c r="BU1875">
        <f>R1875*9</f>
        <v>0</v>
      </c>
      <c r="BV1875">
        <f>IF(BU1875&gt;BG1875, 1, 0)</f>
        <v>0</v>
      </c>
    </row>
    <row r="1876" spans="1:74" x14ac:dyDescent="0.25">
      <c r="A1876" s="5" t="s">
        <v>1017</v>
      </c>
      <c r="B1876" s="5" t="s">
        <v>61</v>
      </c>
      <c r="C1876" s="5" t="s">
        <v>61</v>
      </c>
      <c r="D1876" s="1" t="s">
        <v>102</v>
      </c>
      <c r="E1876">
        <v>0</v>
      </c>
      <c r="F1876">
        <v>0</v>
      </c>
      <c r="G1876">
        <v>0</v>
      </c>
      <c r="H1876">
        <v>0</v>
      </c>
      <c r="I1876">
        <v>224</v>
      </c>
      <c r="J1876">
        <v>5550</v>
      </c>
      <c r="K1876">
        <v>95</v>
      </c>
      <c r="L1876">
        <v>75</v>
      </c>
      <c r="M1876">
        <v>0</v>
      </c>
      <c r="N1876">
        <v>0</v>
      </c>
      <c r="O1876">
        <v>0</v>
      </c>
      <c r="P1876">
        <v>0</v>
      </c>
      <c r="Q1876">
        <v>299</v>
      </c>
      <c r="R1876">
        <v>0</v>
      </c>
      <c r="S1876" s="18" t="e">
        <f t="shared" si="296"/>
        <v>#DIV/0!</v>
      </c>
      <c r="T1876" s="17" t="e">
        <f t="shared" si="297"/>
        <v>#DIV/0!</v>
      </c>
      <c r="U1876" s="17" t="e">
        <f t="shared" si="298"/>
        <v>#DIV/0!</v>
      </c>
      <c r="V1876" s="17" t="e">
        <f t="shared" si="299"/>
        <v>#DIV/0!</v>
      </c>
      <c r="W1876" s="17" t="e">
        <f t="shared" si="300"/>
        <v>#DIV/0!</v>
      </c>
      <c r="X1876" s="17" t="e">
        <f t="shared" si="301"/>
        <v>#DIV/0!</v>
      </c>
      <c r="Y1876" s="19" t="e">
        <f t="shared" si="302"/>
        <v>#DIV/0!</v>
      </c>
      <c r="Z1876">
        <v>0</v>
      </c>
      <c r="AA1876">
        <v>2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224</v>
      </c>
      <c r="AH1876">
        <v>224</v>
      </c>
      <c r="AI1876">
        <v>0</v>
      </c>
      <c r="AJ1876">
        <v>0</v>
      </c>
      <c r="AK1876">
        <v>5550</v>
      </c>
      <c r="AL1876">
        <v>5550</v>
      </c>
      <c r="AM1876">
        <v>0</v>
      </c>
      <c r="AN1876">
        <v>0</v>
      </c>
      <c r="AO1876">
        <v>95</v>
      </c>
      <c r="AP1876">
        <v>75</v>
      </c>
      <c r="AQ1876">
        <v>95</v>
      </c>
      <c r="AR1876">
        <v>20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75</v>
      </c>
      <c r="BA1876">
        <v>75</v>
      </c>
      <c r="BB1876">
        <v>0</v>
      </c>
      <c r="BC1876">
        <v>0</v>
      </c>
      <c r="BD1876">
        <v>0</v>
      </c>
      <c r="BE1876">
        <f t="shared" si="303"/>
        <v>11983</v>
      </c>
      <c r="BF1876">
        <v>5946</v>
      </c>
      <c r="BG1876">
        <v>5946</v>
      </c>
      <c r="BH1876" t="s">
        <v>199</v>
      </c>
      <c r="BI1876" t="s">
        <v>1036</v>
      </c>
      <c r="BJ1876">
        <v>2</v>
      </c>
      <c r="BK1876">
        <v>5944</v>
      </c>
      <c r="BL1876">
        <v>5946</v>
      </c>
      <c r="BM1876">
        <v>0</v>
      </c>
      <c r="BN1876">
        <v>0</v>
      </c>
      <c r="BO1876">
        <v>0</v>
      </c>
      <c r="BP1876">
        <v>5944</v>
      </c>
      <c r="BQ1876">
        <v>5944</v>
      </c>
      <c r="BR1876">
        <f t="shared" si="304"/>
        <v>-299</v>
      </c>
      <c r="BS1876">
        <f t="shared" si="305"/>
        <v>299</v>
      </c>
    </row>
    <row r="1877" spans="1:74" x14ac:dyDescent="0.25">
      <c r="A1877" s="5" t="s">
        <v>1135</v>
      </c>
      <c r="B1877" s="5" t="s">
        <v>61</v>
      </c>
      <c r="C1877" s="5" t="s">
        <v>61</v>
      </c>
      <c r="D1877" s="1" t="s">
        <v>141</v>
      </c>
      <c r="E1877">
        <v>0</v>
      </c>
      <c r="F1877">
        <v>820</v>
      </c>
      <c r="G1877">
        <v>0</v>
      </c>
      <c r="H1877">
        <v>0</v>
      </c>
      <c r="I1877">
        <v>3900</v>
      </c>
      <c r="J1877">
        <v>0</v>
      </c>
      <c r="K1877">
        <v>285</v>
      </c>
      <c r="L1877">
        <v>0</v>
      </c>
      <c r="M1877">
        <v>7380</v>
      </c>
      <c r="N1877">
        <v>0</v>
      </c>
      <c r="O1877">
        <v>0</v>
      </c>
      <c r="P1877">
        <v>0</v>
      </c>
      <c r="Q1877">
        <v>1119</v>
      </c>
      <c r="R1877">
        <v>820</v>
      </c>
      <c r="S1877" s="18">
        <f t="shared" si="296"/>
        <v>9</v>
      </c>
      <c r="T1877" s="17">
        <f t="shared" si="297"/>
        <v>820</v>
      </c>
      <c r="U1877" s="17">
        <f t="shared" si="298"/>
        <v>0</v>
      </c>
      <c r="V1877" s="17">
        <f t="shared" si="299"/>
        <v>0</v>
      </c>
      <c r="W1877" s="17">
        <f t="shared" si="300"/>
        <v>0</v>
      </c>
      <c r="X1877" s="17">
        <f t="shared" si="301"/>
        <v>299</v>
      </c>
      <c r="Y1877" s="19">
        <f t="shared" si="302"/>
        <v>0</v>
      </c>
      <c r="Z1877">
        <v>820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3900</v>
      </c>
      <c r="AH1877">
        <v>3900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285</v>
      </c>
      <c r="AP1877">
        <v>215</v>
      </c>
      <c r="AQ1877">
        <v>285</v>
      </c>
      <c r="AR1877">
        <v>70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f t="shared" si="303"/>
        <v>8655</v>
      </c>
      <c r="BF1877">
        <v>5005</v>
      </c>
      <c r="BG1877">
        <v>5005</v>
      </c>
      <c r="BH1877" t="s">
        <v>109</v>
      </c>
      <c r="BI1877" t="s">
        <v>1169</v>
      </c>
      <c r="BJ1877">
        <v>0</v>
      </c>
      <c r="BK1877">
        <v>4185</v>
      </c>
      <c r="BL1877">
        <v>5005</v>
      </c>
      <c r="BM1877">
        <v>7380</v>
      </c>
      <c r="BN1877">
        <v>0</v>
      </c>
      <c r="BO1877">
        <v>0</v>
      </c>
      <c r="BP1877">
        <v>4185</v>
      </c>
      <c r="BQ1877">
        <v>11565</v>
      </c>
      <c r="BR1877">
        <f t="shared" si="304"/>
        <v>-299</v>
      </c>
      <c r="BS1877">
        <f t="shared" si="305"/>
        <v>1939</v>
      </c>
    </row>
    <row r="1878" spans="1:74" x14ac:dyDescent="0.25">
      <c r="A1878" s="5" t="s">
        <v>207</v>
      </c>
      <c r="B1878" s="5" t="s">
        <v>627</v>
      </c>
      <c r="C1878" s="5" t="s">
        <v>61</v>
      </c>
      <c r="D1878" s="1" t="s">
        <v>69</v>
      </c>
      <c r="E1878">
        <v>0</v>
      </c>
      <c r="F1878">
        <v>0</v>
      </c>
      <c r="G1878">
        <v>0</v>
      </c>
      <c r="H1878">
        <v>0</v>
      </c>
      <c r="I1878">
        <v>72</v>
      </c>
      <c r="J1878">
        <v>12710</v>
      </c>
      <c r="K1878">
        <v>200</v>
      </c>
      <c r="L1878">
        <v>678</v>
      </c>
      <c r="M1878">
        <v>0</v>
      </c>
      <c r="N1878">
        <v>0</v>
      </c>
      <c r="O1878">
        <v>0</v>
      </c>
      <c r="P1878">
        <v>0</v>
      </c>
      <c r="Q1878">
        <v>240</v>
      </c>
      <c r="R1878">
        <v>0</v>
      </c>
      <c r="S1878" s="18" t="e">
        <f t="shared" si="296"/>
        <v>#DIV/0!</v>
      </c>
      <c r="T1878" s="17" t="e">
        <f t="shared" si="297"/>
        <v>#DIV/0!</v>
      </c>
      <c r="U1878" s="17" t="e">
        <f t="shared" si="298"/>
        <v>#DIV/0!</v>
      </c>
      <c r="V1878" s="17" t="e">
        <f t="shared" si="299"/>
        <v>#DIV/0!</v>
      </c>
      <c r="W1878" s="17" t="e">
        <f t="shared" si="300"/>
        <v>#DIV/0!</v>
      </c>
      <c r="X1878" s="17" t="e">
        <f t="shared" si="301"/>
        <v>#DIV/0!</v>
      </c>
      <c r="Y1878" s="19" t="e">
        <f t="shared" si="302"/>
        <v>#DIV/0!</v>
      </c>
      <c r="Z1878">
        <v>0</v>
      </c>
      <c r="AA1878">
        <v>0</v>
      </c>
      <c r="AB1878">
        <v>0</v>
      </c>
      <c r="AC1878">
        <v>80</v>
      </c>
      <c r="AD1878">
        <v>0</v>
      </c>
      <c r="AE1878">
        <v>72</v>
      </c>
      <c r="AF1878">
        <v>0</v>
      </c>
      <c r="AG1878">
        <v>0</v>
      </c>
      <c r="AH1878">
        <v>72</v>
      </c>
      <c r="AI1878">
        <v>0</v>
      </c>
      <c r="AJ1878">
        <v>12710</v>
      </c>
      <c r="AK1878">
        <v>0</v>
      </c>
      <c r="AL1878">
        <v>12710</v>
      </c>
      <c r="AM1878">
        <v>0</v>
      </c>
      <c r="AN1878">
        <v>200</v>
      </c>
      <c r="AO1878">
        <v>0</v>
      </c>
      <c r="AP1878">
        <v>0</v>
      </c>
      <c r="AQ1878">
        <v>200</v>
      </c>
      <c r="AR1878">
        <v>200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678</v>
      </c>
      <c r="AZ1878">
        <v>0</v>
      </c>
      <c r="BA1878">
        <v>678</v>
      </c>
      <c r="BB1878">
        <v>0</v>
      </c>
      <c r="BC1878">
        <v>0</v>
      </c>
      <c r="BD1878">
        <v>0</v>
      </c>
      <c r="BE1878">
        <f t="shared" si="303"/>
        <v>27600</v>
      </c>
      <c r="BF1878">
        <v>13740</v>
      </c>
      <c r="BG1878">
        <v>13740</v>
      </c>
      <c r="BH1878" t="s">
        <v>63</v>
      </c>
      <c r="BI1878" t="s">
        <v>506</v>
      </c>
      <c r="BJ1878">
        <v>80</v>
      </c>
      <c r="BK1878">
        <v>13660</v>
      </c>
      <c r="BL1878">
        <v>13740</v>
      </c>
      <c r="BM1878">
        <v>0</v>
      </c>
      <c r="BN1878">
        <v>13660</v>
      </c>
      <c r="BO1878">
        <v>0</v>
      </c>
      <c r="BP1878">
        <v>0</v>
      </c>
      <c r="BQ1878">
        <v>13660</v>
      </c>
      <c r="BR1878">
        <f t="shared" si="304"/>
        <v>-240</v>
      </c>
      <c r="BS1878">
        <f t="shared" si="305"/>
        <v>240</v>
      </c>
      <c r="BU1878">
        <f>R1878*9</f>
        <v>0</v>
      </c>
      <c r="BV1878">
        <f>IF(BU1878&gt;BG1878, 1, 0)</f>
        <v>0</v>
      </c>
    </row>
    <row r="1879" spans="1:74" x14ac:dyDescent="0.25">
      <c r="A1879" s="5" t="s">
        <v>207</v>
      </c>
      <c r="B1879" s="5" t="s">
        <v>627</v>
      </c>
      <c r="C1879" s="5" t="s">
        <v>207</v>
      </c>
      <c r="D1879" s="1" t="s">
        <v>67</v>
      </c>
      <c r="E1879">
        <v>0</v>
      </c>
      <c r="F1879">
        <v>0</v>
      </c>
      <c r="G1879">
        <v>0</v>
      </c>
      <c r="H1879">
        <v>0</v>
      </c>
      <c r="I1879">
        <v>1222</v>
      </c>
      <c r="J1879">
        <v>0</v>
      </c>
      <c r="K1879">
        <v>506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250</v>
      </c>
      <c r="R1879">
        <v>0</v>
      </c>
      <c r="S1879" s="18" t="e">
        <f t="shared" si="296"/>
        <v>#DIV/0!</v>
      </c>
      <c r="T1879" s="17" t="e">
        <f t="shared" si="297"/>
        <v>#DIV/0!</v>
      </c>
      <c r="U1879" s="17" t="e">
        <f t="shared" si="298"/>
        <v>#DIV/0!</v>
      </c>
      <c r="V1879" s="17" t="e">
        <f t="shared" si="299"/>
        <v>#DIV/0!</v>
      </c>
      <c r="W1879" s="17" t="e">
        <f t="shared" si="300"/>
        <v>#DIV/0!</v>
      </c>
      <c r="X1879" s="17" t="e">
        <f t="shared" si="301"/>
        <v>#DIV/0!</v>
      </c>
      <c r="Y1879" s="19" t="e">
        <f t="shared" si="302"/>
        <v>#DIV/0!</v>
      </c>
      <c r="Z1879">
        <v>0</v>
      </c>
      <c r="AA1879">
        <v>0</v>
      </c>
      <c r="AB1879">
        <v>0</v>
      </c>
      <c r="AC1879">
        <v>128</v>
      </c>
      <c r="AD1879">
        <v>980</v>
      </c>
      <c r="AE1879">
        <v>0</v>
      </c>
      <c r="AF1879">
        <v>0</v>
      </c>
      <c r="AG1879">
        <v>242</v>
      </c>
      <c r="AH1879">
        <v>1222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506</v>
      </c>
      <c r="AP1879">
        <v>242</v>
      </c>
      <c r="AQ1879">
        <v>506</v>
      </c>
      <c r="AR1879">
        <v>264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f t="shared" si="303"/>
        <v>4090</v>
      </c>
      <c r="BF1879">
        <v>1856</v>
      </c>
      <c r="BG1879">
        <v>1856</v>
      </c>
      <c r="BH1879" t="s">
        <v>63</v>
      </c>
      <c r="BI1879" t="s">
        <v>661</v>
      </c>
      <c r="BJ1879">
        <v>128</v>
      </c>
      <c r="BK1879">
        <v>1728</v>
      </c>
      <c r="BL1879">
        <v>1856</v>
      </c>
      <c r="BM1879">
        <v>980</v>
      </c>
      <c r="BN1879">
        <v>0</v>
      </c>
      <c r="BO1879">
        <v>0</v>
      </c>
      <c r="BP1879">
        <v>748</v>
      </c>
      <c r="BQ1879">
        <v>1728</v>
      </c>
      <c r="BR1879">
        <f t="shared" si="304"/>
        <v>-250</v>
      </c>
      <c r="BS1879">
        <f t="shared" si="305"/>
        <v>250</v>
      </c>
      <c r="BU1879">
        <f>R1879*9</f>
        <v>0</v>
      </c>
      <c r="BV1879">
        <f>IF(BU1879&gt;BG1879, 1, 0)</f>
        <v>0</v>
      </c>
    </row>
    <row r="1880" spans="1:74" x14ac:dyDescent="0.25">
      <c r="A1880" s="5" t="s">
        <v>1661</v>
      </c>
      <c r="B1880" s="5" t="s">
        <v>359</v>
      </c>
      <c r="C1880" s="5" t="s">
        <v>61</v>
      </c>
      <c r="D1880" s="1" t="s">
        <v>67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3580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253</v>
      </c>
      <c r="R1880">
        <v>0</v>
      </c>
      <c r="S1880" s="18" t="e">
        <f t="shared" si="296"/>
        <v>#DIV/0!</v>
      </c>
      <c r="T1880" s="17" t="e">
        <f t="shared" si="297"/>
        <v>#DIV/0!</v>
      </c>
      <c r="U1880" s="17" t="e">
        <f t="shared" si="298"/>
        <v>#DIV/0!</v>
      </c>
      <c r="V1880" s="17" t="e">
        <f t="shared" si="299"/>
        <v>#DIV/0!</v>
      </c>
      <c r="W1880" s="17" t="e">
        <f t="shared" si="300"/>
        <v>#DIV/0!</v>
      </c>
      <c r="X1880" s="17" t="e">
        <f t="shared" si="301"/>
        <v>#DIV/0!</v>
      </c>
      <c r="Y1880" s="19" t="e">
        <f t="shared" si="302"/>
        <v>#DIV/0!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3580</v>
      </c>
      <c r="AL1880">
        <v>3580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f t="shared" si="303"/>
        <v>7160</v>
      </c>
      <c r="BF1880">
        <v>3580</v>
      </c>
      <c r="BG1880">
        <v>3580</v>
      </c>
      <c r="BH1880" t="s">
        <v>63</v>
      </c>
      <c r="BI1880" t="s">
        <v>1760</v>
      </c>
      <c r="BJ1880">
        <v>0</v>
      </c>
      <c r="BK1880">
        <v>3580</v>
      </c>
      <c r="BL1880">
        <v>3580</v>
      </c>
      <c r="BM1880">
        <v>0</v>
      </c>
      <c r="BN1880">
        <v>0</v>
      </c>
      <c r="BO1880">
        <v>0</v>
      </c>
      <c r="BP1880">
        <v>3580</v>
      </c>
      <c r="BQ1880">
        <v>3580</v>
      </c>
      <c r="BR1880">
        <f t="shared" si="304"/>
        <v>-253</v>
      </c>
      <c r="BS1880">
        <f t="shared" si="305"/>
        <v>253</v>
      </c>
      <c r="BU1880">
        <f>R1880*9</f>
        <v>0</v>
      </c>
      <c r="BV1880">
        <f>IF(BU1880&gt;BG1880, 1, 0)</f>
        <v>0</v>
      </c>
    </row>
    <row r="1881" spans="1:74" x14ac:dyDescent="0.25">
      <c r="A1881" s="5" t="s">
        <v>61</v>
      </c>
      <c r="B1881" s="5" t="s">
        <v>207</v>
      </c>
      <c r="C1881" s="5" t="s">
        <v>61</v>
      </c>
      <c r="D1881" s="1" t="s">
        <v>71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2072</v>
      </c>
      <c r="K1881">
        <v>72</v>
      </c>
      <c r="L1881">
        <v>288</v>
      </c>
      <c r="M1881">
        <v>0</v>
      </c>
      <c r="N1881">
        <v>0</v>
      </c>
      <c r="O1881">
        <v>0</v>
      </c>
      <c r="P1881">
        <v>0</v>
      </c>
      <c r="Q1881">
        <v>255</v>
      </c>
      <c r="R1881">
        <v>0</v>
      </c>
      <c r="S1881" s="18" t="e">
        <f t="shared" si="296"/>
        <v>#DIV/0!</v>
      </c>
      <c r="T1881" s="17" t="e">
        <f t="shared" si="297"/>
        <v>#DIV/0!</v>
      </c>
      <c r="U1881" s="17" t="e">
        <f t="shared" si="298"/>
        <v>#DIV/0!</v>
      </c>
      <c r="V1881" s="17" t="e">
        <f t="shared" si="299"/>
        <v>#DIV/0!</v>
      </c>
      <c r="W1881" s="17" t="e">
        <f t="shared" si="300"/>
        <v>#DIV/0!</v>
      </c>
      <c r="X1881" s="17" t="e">
        <f t="shared" si="301"/>
        <v>#DIV/0!</v>
      </c>
      <c r="Y1881" s="19" t="e">
        <f t="shared" si="302"/>
        <v>#DIV/0!</v>
      </c>
      <c r="Z1881">
        <v>0</v>
      </c>
      <c r="AA1881">
        <v>0</v>
      </c>
      <c r="AB1881">
        <v>0</v>
      </c>
      <c r="AC1881">
        <v>218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2072</v>
      </c>
      <c r="AL1881">
        <v>2072</v>
      </c>
      <c r="AM1881">
        <v>0</v>
      </c>
      <c r="AN1881">
        <v>0</v>
      </c>
      <c r="AO1881">
        <v>72</v>
      </c>
      <c r="AP1881">
        <v>0</v>
      </c>
      <c r="AQ1881">
        <v>72</v>
      </c>
      <c r="AR1881">
        <v>72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288</v>
      </c>
      <c r="BA1881">
        <v>288</v>
      </c>
      <c r="BB1881">
        <v>0</v>
      </c>
      <c r="BC1881">
        <v>0</v>
      </c>
      <c r="BD1881">
        <v>0</v>
      </c>
      <c r="BE1881">
        <f t="shared" si="303"/>
        <v>5154</v>
      </c>
      <c r="BF1881">
        <v>2650</v>
      </c>
      <c r="BG1881">
        <v>2650</v>
      </c>
      <c r="BH1881" t="s">
        <v>63</v>
      </c>
      <c r="BI1881" t="s">
        <v>212</v>
      </c>
      <c r="BJ1881">
        <v>218</v>
      </c>
      <c r="BK1881">
        <v>2432</v>
      </c>
      <c r="BL1881">
        <v>2650</v>
      </c>
      <c r="BM1881">
        <v>0</v>
      </c>
      <c r="BN1881">
        <v>0</v>
      </c>
      <c r="BO1881">
        <v>0</v>
      </c>
      <c r="BP1881">
        <v>2432</v>
      </c>
      <c r="BQ1881">
        <v>2432</v>
      </c>
      <c r="BR1881">
        <f t="shared" si="304"/>
        <v>-255</v>
      </c>
      <c r="BS1881">
        <f t="shared" si="305"/>
        <v>255</v>
      </c>
      <c r="BU1881">
        <f>R1881*9</f>
        <v>0</v>
      </c>
      <c r="BV1881">
        <f>IF(BU1881&gt;BG1881, 1, 0)</f>
        <v>0</v>
      </c>
    </row>
    <row r="1882" spans="1:74" x14ac:dyDescent="0.25">
      <c r="A1882" s="5" t="s">
        <v>61</v>
      </c>
      <c r="B1882" s="5" t="s">
        <v>61</v>
      </c>
      <c r="C1882" s="5" t="s">
        <v>61</v>
      </c>
      <c r="D1882" s="1" t="s">
        <v>127</v>
      </c>
      <c r="E1882">
        <v>0</v>
      </c>
      <c r="F1882">
        <v>187</v>
      </c>
      <c r="G1882">
        <v>0</v>
      </c>
      <c r="H1882">
        <v>0</v>
      </c>
      <c r="I1882">
        <v>167</v>
      </c>
      <c r="J1882">
        <v>0</v>
      </c>
      <c r="K1882">
        <v>0</v>
      </c>
      <c r="L1882">
        <v>0</v>
      </c>
      <c r="M1882">
        <v>1125</v>
      </c>
      <c r="N1882">
        <v>0</v>
      </c>
      <c r="O1882">
        <v>0</v>
      </c>
      <c r="P1882">
        <v>0</v>
      </c>
      <c r="Q1882">
        <v>426</v>
      </c>
      <c r="R1882">
        <v>125</v>
      </c>
      <c r="S1882" s="18">
        <f t="shared" si="296"/>
        <v>9</v>
      </c>
      <c r="T1882" s="17">
        <f t="shared" si="297"/>
        <v>125</v>
      </c>
      <c r="U1882" s="17">
        <f t="shared" si="298"/>
        <v>0</v>
      </c>
      <c r="V1882" s="17">
        <f t="shared" si="299"/>
        <v>0</v>
      </c>
      <c r="W1882" s="17">
        <f t="shared" si="300"/>
        <v>0</v>
      </c>
      <c r="X1882" s="17">
        <f t="shared" si="301"/>
        <v>301</v>
      </c>
      <c r="Y1882" s="19">
        <f t="shared" si="302"/>
        <v>0</v>
      </c>
      <c r="Z1882">
        <v>187</v>
      </c>
      <c r="AA1882">
        <v>0</v>
      </c>
      <c r="AB1882">
        <v>0</v>
      </c>
      <c r="AC1882">
        <v>0</v>
      </c>
      <c r="AD1882">
        <v>167</v>
      </c>
      <c r="AE1882">
        <v>0</v>
      </c>
      <c r="AF1882">
        <v>0</v>
      </c>
      <c r="AG1882">
        <v>0</v>
      </c>
      <c r="AH1882">
        <v>167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f t="shared" si="303"/>
        <v>334</v>
      </c>
      <c r="BF1882">
        <v>354</v>
      </c>
      <c r="BG1882">
        <v>354</v>
      </c>
      <c r="BH1882" t="s">
        <v>109</v>
      </c>
      <c r="BI1882" t="s">
        <v>128</v>
      </c>
      <c r="BJ1882">
        <v>0</v>
      </c>
      <c r="BK1882">
        <v>167</v>
      </c>
      <c r="BL1882">
        <v>354</v>
      </c>
      <c r="BM1882">
        <v>1292</v>
      </c>
      <c r="BN1882">
        <v>0</v>
      </c>
      <c r="BO1882">
        <v>0</v>
      </c>
      <c r="BP1882">
        <v>0</v>
      </c>
      <c r="BQ1882">
        <v>1292</v>
      </c>
      <c r="BR1882">
        <f t="shared" si="304"/>
        <v>-301</v>
      </c>
      <c r="BS1882">
        <f t="shared" si="305"/>
        <v>551</v>
      </c>
    </row>
    <row r="1883" spans="1:74" x14ac:dyDescent="0.25">
      <c r="A1883" s="5" t="s">
        <v>1661</v>
      </c>
      <c r="B1883" s="5" t="s">
        <v>359</v>
      </c>
      <c r="C1883" s="6" t="s">
        <v>359</v>
      </c>
      <c r="D1883" s="1" t="s">
        <v>129</v>
      </c>
      <c r="E1883">
        <v>54</v>
      </c>
      <c r="F1883">
        <v>430</v>
      </c>
      <c r="G1883">
        <v>0</v>
      </c>
      <c r="H1883">
        <v>0</v>
      </c>
      <c r="I1883">
        <v>183</v>
      </c>
      <c r="J1883">
        <v>4962</v>
      </c>
      <c r="K1883">
        <v>797</v>
      </c>
      <c r="L1883">
        <v>40</v>
      </c>
      <c r="M1883">
        <v>0</v>
      </c>
      <c r="N1883">
        <v>0</v>
      </c>
      <c r="O1883">
        <v>0</v>
      </c>
      <c r="P1883">
        <v>2160</v>
      </c>
      <c r="Q1883">
        <v>543</v>
      </c>
      <c r="R1883">
        <v>240</v>
      </c>
      <c r="S1883" s="18">
        <f t="shared" si="296"/>
        <v>9</v>
      </c>
      <c r="T1883" s="17">
        <f t="shared" si="297"/>
        <v>0</v>
      </c>
      <c r="U1883" s="17">
        <f t="shared" si="298"/>
        <v>0</v>
      </c>
      <c r="V1883" s="17">
        <f t="shared" si="299"/>
        <v>0</v>
      </c>
      <c r="W1883" s="17">
        <f t="shared" si="300"/>
        <v>240</v>
      </c>
      <c r="X1883" s="17">
        <f t="shared" si="301"/>
        <v>303</v>
      </c>
      <c r="Y1883" s="19">
        <f t="shared" si="302"/>
        <v>0</v>
      </c>
      <c r="Z1883">
        <v>430</v>
      </c>
      <c r="AA1883">
        <v>6</v>
      </c>
      <c r="AB1883">
        <v>132</v>
      </c>
      <c r="AC1883">
        <v>3985</v>
      </c>
      <c r="AD1883">
        <v>0</v>
      </c>
      <c r="AE1883">
        <v>0</v>
      </c>
      <c r="AF1883">
        <v>0</v>
      </c>
      <c r="AG1883">
        <v>183</v>
      </c>
      <c r="AH1883">
        <v>183</v>
      </c>
      <c r="AI1883">
        <v>0</v>
      </c>
      <c r="AJ1883">
        <v>0</v>
      </c>
      <c r="AK1883">
        <v>4962</v>
      </c>
      <c r="AL1883">
        <v>4962</v>
      </c>
      <c r="AM1883">
        <v>0</v>
      </c>
      <c r="AN1883">
        <v>0</v>
      </c>
      <c r="AO1883">
        <v>797</v>
      </c>
      <c r="AP1883">
        <v>476</v>
      </c>
      <c r="AQ1883">
        <v>797</v>
      </c>
      <c r="AR1883">
        <v>321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40</v>
      </c>
      <c r="BA1883">
        <v>40</v>
      </c>
      <c r="BB1883">
        <v>0</v>
      </c>
      <c r="BC1883">
        <v>0</v>
      </c>
      <c r="BD1883">
        <v>0</v>
      </c>
      <c r="BE1883">
        <f t="shared" si="303"/>
        <v>16746</v>
      </c>
      <c r="BF1883">
        <v>10589</v>
      </c>
      <c r="BG1883">
        <v>10589</v>
      </c>
      <c r="BH1883" t="s">
        <v>82</v>
      </c>
      <c r="BI1883" t="s">
        <v>1945</v>
      </c>
      <c r="BJ1883">
        <v>4177</v>
      </c>
      <c r="BK1883">
        <v>5982</v>
      </c>
      <c r="BL1883">
        <v>10589</v>
      </c>
      <c r="BM1883">
        <v>0</v>
      </c>
      <c r="BN1883">
        <v>0</v>
      </c>
      <c r="BO1883">
        <v>0</v>
      </c>
      <c r="BP1883">
        <v>8142</v>
      </c>
      <c r="BQ1883">
        <v>8142</v>
      </c>
      <c r="BR1883">
        <f t="shared" si="304"/>
        <v>-303</v>
      </c>
      <c r="BS1883">
        <f t="shared" si="305"/>
        <v>783</v>
      </c>
    </row>
    <row r="1884" spans="1:74" x14ac:dyDescent="0.25">
      <c r="A1884" s="5" t="s">
        <v>61</v>
      </c>
      <c r="B1884" s="5" t="s">
        <v>207</v>
      </c>
      <c r="C1884" s="7" t="s">
        <v>207</v>
      </c>
      <c r="D1884" s="1" t="s">
        <v>96</v>
      </c>
      <c r="E1884">
        <v>56</v>
      </c>
      <c r="F1884">
        <v>11</v>
      </c>
      <c r="G1884">
        <v>0</v>
      </c>
      <c r="H1884">
        <v>0</v>
      </c>
      <c r="I1884">
        <v>365</v>
      </c>
      <c r="J1884">
        <v>1583</v>
      </c>
      <c r="K1884">
        <v>407</v>
      </c>
      <c r="L1884">
        <v>189</v>
      </c>
      <c r="M1884">
        <v>0</v>
      </c>
      <c r="N1884">
        <v>0</v>
      </c>
      <c r="O1884">
        <v>0</v>
      </c>
      <c r="P1884">
        <v>99</v>
      </c>
      <c r="Q1884">
        <v>315</v>
      </c>
      <c r="R1884">
        <v>11</v>
      </c>
      <c r="S1884" s="18">
        <f t="shared" si="296"/>
        <v>9</v>
      </c>
      <c r="T1884" s="17">
        <f t="shared" si="297"/>
        <v>0</v>
      </c>
      <c r="U1884" s="17">
        <f t="shared" si="298"/>
        <v>0</v>
      </c>
      <c r="V1884" s="17">
        <f t="shared" si="299"/>
        <v>0</v>
      </c>
      <c r="W1884" s="17">
        <f t="shared" si="300"/>
        <v>11</v>
      </c>
      <c r="X1884" s="17">
        <f t="shared" si="301"/>
        <v>304</v>
      </c>
      <c r="Y1884" s="19">
        <f t="shared" si="302"/>
        <v>0</v>
      </c>
      <c r="Z1884">
        <v>11</v>
      </c>
      <c r="AA1884">
        <v>25</v>
      </c>
      <c r="AB1884">
        <v>150</v>
      </c>
      <c r="AC1884">
        <v>3328</v>
      </c>
      <c r="AD1884">
        <v>0</v>
      </c>
      <c r="AE1884">
        <v>0</v>
      </c>
      <c r="AF1884">
        <v>0</v>
      </c>
      <c r="AG1884">
        <v>365</v>
      </c>
      <c r="AH1884">
        <v>365</v>
      </c>
      <c r="AI1884">
        <v>0</v>
      </c>
      <c r="AJ1884">
        <v>0</v>
      </c>
      <c r="AK1884">
        <v>1583</v>
      </c>
      <c r="AL1884">
        <v>1583</v>
      </c>
      <c r="AM1884">
        <v>0</v>
      </c>
      <c r="AN1884">
        <v>0</v>
      </c>
      <c r="AO1884">
        <v>407</v>
      </c>
      <c r="AP1884">
        <v>138</v>
      </c>
      <c r="AQ1884">
        <v>407</v>
      </c>
      <c r="AR1884">
        <v>269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189</v>
      </c>
      <c r="BA1884">
        <v>189</v>
      </c>
      <c r="BB1884">
        <v>0</v>
      </c>
      <c r="BC1884">
        <v>0</v>
      </c>
      <c r="BD1884">
        <v>0</v>
      </c>
      <c r="BE1884">
        <f t="shared" si="303"/>
        <v>8823</v>
      </c>
      <c r="BF1884">
        <v>6114</v>
      </c>
      <c r="BG1884">
        <v>6114</v>
      </c>
      <c r="BH1884" t="s">
        <v>82</v>
      </c>
      <c r="BI1884" t="s">
        <v>295</v>
      </c>
      <c r="BJ1884">
        <v>3559</v>
      </c>
      <c r="BK1884">
        <v>2544</v>
      </c>
      <c r="BL1884">
        <v>6114</v>
      </c>
      <c r="BM1884">
        <v>0</v>
      </c>
      <c r="BN1884">
        <v>0</v>
      </c>
      <c r="BO1884">
        <v>0</v>
      </c>
      <c r="BP1884">
        <v>2643</v>
      </c>
      <c r="BQ1884">
        <v>2643</v>
      </c>
      <c r="BR1884">
        <f t="shared" si="304"/>
        <v>-304</v>
      </c>
      <c r="BS1884">
        <f t="shared" si="305"/>
        <v>326</v>
      </c>
    </row>
    <row r="1885" spans="1:74" x14ac:dyDescent="0.25">
      <c r="A1885" s="5" t="s">
        <v>627</v>
      </c>
      <c r="B1885" s="5" t="s">
        <v>207</v>
      </c>
      <c r="C1885" s="5" t="s">
        <v>61</v>
      </c>
      <c r="D1885" s="1" t="s">
        <v>84</v>
      </c>
      <c r="E1885">
        <v>0</v>
      </c>
      <c r="F1885">
        <v>3582</v>
      </c>
      <c r="G1885">
        <v>300</v>
      </c>
      <c r="H1885">
        <v>0</v>
      </c>
      <c r="I1885">
        <v>756</v>
      </c>
      <c r="J1885">
        <v>26685</v>
      </c>
      <c r="K1885">
        <v>852</v>
      </c>
      <c r="L1885">
        <v>885</v>
      </c>
      <c r="M1885">
        <v>0</v>
      </c>
      <c r="N1885">
        <v>0</v>
      </c>
      <c r="O1885">
        <v>0</v>
      </c>
      <c r="P1885">
        <v>4680</v>
      </c>
      <c r="Q1885">
        <v>824</v>
      </c>
      <c r="R1885">
        <v>520</v>
      </c>
      <c r="S1885" s="18">
        <f t="shared" si="296"/>
        <v>9</v>
      </c>
      <c r="T1885" s="17">
        <f t="shared" si="297"/>
        <v>0</v>
      </c>
      <c r="U1885" s="17">
        <f t="shared" si="298"/>
        <v>0</v>
      </c>
      <c r="V1885" s="17">
        <f t="shared" si="299"/>
        <v>0</v>
      </c>
      <c r="W1885" s="17">
        <f t="shared" si="300"/>
        <v>520</v>
      </c>
      <c r="X1885" s="17">
        <f t="shared" si="301"/>
        <v>304</v>
      </c>
      <c r="Y1885" s="19">
        <f t="shared" si="302"/>
        <v>0</v>
      </c>
      <c r="Z1885">
        <v>3582</v>
      </c>
      <c r="AA1885">
        <v>0</v>
      </c>
      <c r="AB1885">
        <v>0</v>
      </c>
      <c r="AC1885">
        <v>520</v>
      </c>
      <c r="AD1885">
        <v>0</v>
      </c>
      <c r="AE1885">
        <v>0</v>
      </c>
      <c r="AF1885">
        <v>0</v>
      </c>
      <c r="AG1885">
        <v>756</v>
      </c>
      <c r="AH1885">
        <v>756</v>
      </c>
      <c r="AI1885">
        <v>0</v>
      </c>
      <c r="AJ1885">
        <v>24495</v>
      </c>
      <c r="AK1885">
        <v>2190</v>
      </c>
      <c r="AL1885">
        <v>26685</v>
      </c>
      <c r="AM1885">
        <v>0</v>
      </c>
      <c r="AN1885">
        <v>852</v>
      </c>
      <c r="AO1885">
        <v>0</v>
      </c>
      <c r="AP1885">
        <v>352</v>
      </c>
      <c r="AQ1885">
        <v>852</v>
      </c>
      <c r="AR1885">
        <v>500</v>
      </c>
      <c r="AS1885">
        <v>300</v>
      </c>
      <c r="AT1885">
        <v>0</v>
      </c>
      <c r="AU1885">
        <v>300</v>
      </c>
      <c r="AV1885">
        <v>300</v>
      </c>
      <c r="AW1885">
        <v>0</v>
      </c>
      <c r="AX1885">
        <v>0</v>
      </c>
      <c r="AY1885">
        <v>885</v>
      </c>
      <c r="AZ1885">
        <v>0</v>
      </c>
      <c r="BA1885">
        <v>885</v>
      </c>
      <c r="BB1885">
        <v>0</v>
      </c>
      <c r="BC1885">
        <v>0</v>
      </c>
      <c r="BD1885">
        <v>0</v>
      </c>
      <c r="BE1885">
        <f t="shared" si="303"/>
        <v>60628</v>
      </c>
      <c r="BF1885">
        <v>33580</v>
      </c>
      <c r="BG1885">
        <v>33580</v>
      </c>
      <c r="BH1885" t="s">
        <v>199</v>
      </c>
      <c r="BI1885" t="s">
        <v>840</v>
      </c>
      <c r="BJ1885">
        <v>520</v>
      </c>
      <c r="BK1885">
        <v>29478</v>
      </c>
      <c r="BL1885">
        <v>33580</v>
      </c>
      <c r="BM1885">
        <v>0</v>
      </c>
      <c r="BN1885">
        <v>26532</v>
      </c>
      <c r="BO1885">
        <v>0</v>
      </c>
      <c r="BP1885">
        <v>7626</v>
      </c>
      <c r="BQ1885">
        <v>34158</v>
      </c>
      <c r="BR1885">
        <f t="shared" si="304"/>
        <v>-304</v>
      </c>
      <c r="BS1885">
        <f t="shared" si="305"/>
        <v>1344</v>
      </c>
    </row>
    <row r="1886" spans="1:74" x14ac:dyDescent="0.25">
      <c r="A1886" s="5" t="s">
        <v>2090</v>
      </c>
      <c r="B1886" s="5" t="s">
        <v>61</v>
      </c>
      <c r="C1886" s="5" t="s">
        <v>61</v>
      </c>
      <c r="D1886" s="1" t="s">
        <v>119</v>
      </c>
      <c r="E1886">
        <v>0</v>
      </c>
      <c r="F1886">
        <v>28237</v>
      </c>
      <c r="G1886">
        <v>0</v>
      </c>
      <c r="H1886">
        <v>0</v>
      </c>
      <c r="I1886">
        <v>5005</v>
      </c>
      <c r="J1886">
        <v>0</v>
      </c>
      <c r="K1886">
        <v>2511</v>
      </c>
      <c r="L1886">
        <v>0</v>
      </c>
      <c r="M1886">
        <v>0</v>
      </c>
      <c r="N1886">
        <v>38700</v>
      </c>
      <c r="O1886">
        <v>0</v>
      </c>
      <c r="P1886">
        <v>4941</v>
      </c>
      <c r="Q1886">
        <v>5153</v>
      </c>
      <c r="R1886">
        <v>4849</v>
      </c>
      <c r="S1886" s="18">
        <f t="shared" si="296"/>
        <v>9</v>
      </c>
      <c r="T1886" s="17">
        <f t="shared" si="297"/>
        <v>0</v>
      </c>
      <c r="U1886" s="17">
        <f t="shared" si="298"/>
        <v>4300</v>
      </c>
      <c r="V1886" s="17">
        <f t="shared" si="299"/>
        <v>0</v>
      </c>
      <c r="W1886" s="17">
        <f t="shared" si="300"/>
        <v>549</v>
      </c>
      <c r="X1886" s="17">
        <f t="shared" si="301"/>
        <v>304</v>
      </c>
      <c r="Y1886" s="19">
        <f t="shared" si="302"/>
        <v>0</v>
      </c>
      <c r="Z1886">
        <v>28237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5005</v>
      </c>
      <c r="AH1886">
        <v>5005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2511</v>
      </c>
      <c r="AO1886">
        <v>0</v>
      </c>
      <c r="AP1886">
        <v>23</v>
      </c>
      <c r="AQ1886">
        <v>2511</v>
      </c>
      <c r="AR1886">
        <v>2488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f t="shared" si="303"/>
        <v>17543</v>
      </c>
      <c r="BF1886">
        <v>35753</v>
      </c>
      <c r="BG1886">
        <v>35753</v>
      </c>
      <c r="BH1886" t="s">
        <v>560</v>
      </c>
      <c r="BI1886" t="s">
        <v>2115</v>
      </c>
      <c r="BJ1886">
        <v>0</v>
      </c>
      <c r="BK1886">
        <v>7516</v>
      </c>
      <c r="BL1886">
        <v>35753</v>
      </c>
      <c r="BM1886">
        <v>0</v>
      </c>
      <c r="BN1886">
        <v>41211</v>
      </c>
      <c r="BO1886">
        <v>0</v>
      </c>
      <c r="BP1886">
        <v>9946</v>
      </c>
      <c r="BQ1886">
        <v>51157</v>
      </c>
      <c r="BR1886">
        <f t="shared" si="304"/>
        <v>-304</v>
      </c>
      <c r="BS1886">
        <f t="shared" si="305"/>
        <v>10002</v>
      </c>
    </row>
    <row r="1887" spans="1:74" x14ac:dyDescent="0.25">
      <c r="A1887" s="5" t="s">
        <v>2090</v>
      </c>
      <c r="B1887" s="5" t="s">
        <v>207</v>
      </c>
      <c r="C1887" s="5" t="s">
        <v>61</v>
      </c>
      <c r="D1887" s="1" t="s">
        <v>198</v>
      </c>
      <c r="E1887">
        <v>0</v>
      </c>
      <c r="F1887">
        <v>0</v>
      </c>
      <c r="G1887">
        <v>0</v>
      </c>
      <c r="H1887">
        <v>0</v>
      </c>
      <c r="I1887">
        <v>65</v>
      </c>
      <c r="J1887">
        <v>1980</v>
      </c>
      <c r="K1887">
        <v>60</v>
      </c>
      <c r="L1887">
        <v>90</v>
      </c>
      <c r="M1887">
        <v>0</v>
      </c>
      <c r="N1887">
        <v>0</v>
      </c>
      <c r="O1887">
        <v>0</v>
      </c>
      <c r="P1887">
        <v>0</v>
      </c>
      <c r="Q1887">
        <v>304</v>
      </c>
      <c r="R1887">
        <v>0</v>
      </c>
      <c r="S1887" s="18" t="e">
        <f t="shared" si="296"/>
        <v>#DIV/0!</v>
      </c>
      <c r="T1887" s="17" t="e">
        <f t="shared" si="297"/>
        <v>#DIV/0!</v>
      </c>
      <c r="U1887" s="17" t="e">
        <f t="shared" si="298"/>
        <v>#DIV/0!</v>
      </c>
      <c r="V1887" s="17" t="e">
        <f t="shared" si="299"/>
        <v>#DIV/0!</v>
      </c>
      <c r="W1887" s="17" t="e">
        <f t="shared" si="300"/>
        <v>#DIV/0!</v>
      </c>
      <c r="X1887" s="17" t="e">
        <f t="shared" si="301"/>
        <v>#DIV/0!</v>
      </c>
      <c r="Y1887" s="19" t="e">
        <f t="shared" si="302"/>
        <v>#DIV/0!</v>
      </c>
      <c r="Z1887">
        <v>0</v>
      </c>
      <c r="AA1887">
        <v>0</v>
      </c>
      <c r="AB1887">
        <v>200</v>
      </c>
      <c r="AC1887">
        <v>1500</v>
      </c>
      <c r="AD1887">
        <v>0</v>
      </c>
      <c r="AE1887">
        <v>0</v>
      </c>
      <c r="AF1887">
        <v>0</v>
      </c>
      <c r="AG1887">
        <v>65</v>
      </c>
      <c r="AH1887">
        <v>65</v>
      </c>
      <c r="AI1887">
        <v>0</v>
      </c>
      <c r="AJ1887">
        <v>0</v>
      </c>
      <c r="AK1887">
        <v>1980</v>
      </c>
      <c r="AL1887">
        <v>1980</v>
      </c>
      <c r="AM1887">
        <v>0</v>
      </c>
      <c r="AN1887">
        <v>0</v>
      </c>
      <c r="AO1887">
        <v>60</v>
      </c>
      <c r="AP1887">
        <v>20</v>
      </c>
      <c r="AQ1887">
        <v>60</v>
      </c>
      <c r="AR1887">
        <v>40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90</v>
      </c>
      <c r="BA1887">
        <v>90</v>
      </c>
      <c r="BB1887">
        <v>0</v>
      </c>
      <c r="BC1887">
        <v>0</v>
      </c>
      <c r="BD1887">
        <v>0</v>
      </c>
      <c r="BE1887">
        <f t="shared" si="303"/>
        <v>5950</v>
      </c>
      <c r="BF1887">
        <v>3895</v>
      </c>
      <c r="BG1887">
        <v>3895</v>
      </c>
      <c r="BH1887" t="s">
        <v>82</v>
      </c>
      <c r="BI1887" t="s">
        <v>1742</v>
      </c>
      <c r="BJ1887">
        <v>1700</v>
      </c>
      <c r="BK1887">
        <v>2195</v>
      </c>
      <c r="BL1887">
        <v>3895</v>
      </c>
      <c r="BM1887">
        <v>0</v>
      </c>
      <c r="BN1887">
        <v>0</v>
      </c>
      <c r="BO1887">
        <v>0</v>
      </c>
      <c r="BP1887">
        <v>2195</v>
      </c>
      <c r="BQ1887">
        <v>2195</v>
      </c>
      <c r="BR1887">
        <f t="shared" si="304"/>
        <v>-304</v>
      </c>
      <c r="BS1887">
        <f t="shared" si="305"/>
        <v>304</v>
      </c>
    </row>
    <row r="1888" spans="1:74" x14ac:dyDescent="0.25">
      <c r="A1888" s="5" t="s">
        <v>61</v>
      </c>
      <c r="B1888" s="5" t="s">
        <v>61</v>
      </c>
      <c r="C1888" s="5" t="s">
        <v>61</v>
      </c>
      <c r="D1888" s="1" t="s">
        <v>187</v>
      </c>
      <c r="E1888">
        <v>0</v>
      </c>
      <c r="F1888">
        <v>90</v>
      </c>
      <c r="G1888">
        <v>0</v>
      </c>
      <c r="H1888">
        <v>0</v>
      </c>
      <c r="I1888">
        <v>120</v>
      </c>
      <c r="J1888">
        <v>0</v>
      </c>
      <c r="K1888">
        <v>0</v>
      </c>
      <c r="L1888">
        <v>0</v>
      </c>
      <c r="M1888">
        <v>405</v>
      </c>
      <c r="N1888">
        <v>0</v>
      </c>
      <c r="O1888">
        <v>0</v>
      </c>
      <c r="P1888">
        <v>0</v>
      </c>
      <c r="Q1888">
        <v>350</v>
      </c>
      <c r="R1888">
        <v>45</v>
      </c>
      <c r="S1888" s="18">
        <f t="shared" si="296"/>
        <v>9</v>
      </c>
      <c r="T1888" s="17">
        <f t="shared" si="297"/>
        <v>45</v>
      </c>
      <c r="U1888" s="17">
        <f t="shared" si="298"/>
        <v>0</v>
      </c>
      <c r="V1888" s="17">
        <f t="shared" si="299"/>
        <v>0</v>
      </c>
      <c r="W1888" s="17">
        <f t="shared" si="300"/>
        <v>0</v>
      </c>
      <c r="X1888" s="17">
        <f t="shared" si="301"/>
        <v>305</v>
      </c>
      <c r="Y1888" s="19">
        <f t="shared" si="302"/>
        <v>0</v>
      </c>
      <c r="Z1888">
        <v>90</v>
      </c>
      <c r="AA1888">
        <v>0</v>
      </c>
      <c r="AB1888">
        <v>0</v>
      </c>
      <c r="AC1888">
        <v>0</v>
      </c>
      <c r="AD1888">
        <v>120</v>
      </c>
      <c r="AE1888">
        <v>0</v>
      </c>
      <c r="AF1888">
        <v>0</v>
      </c>
      <c r="AG1888">
        <v>0</v>
      </c>
      <c r="AH1888">
        <v>120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f t="shared" si="303"/>
        <v>240</v>
      </c>
      <c r="BF1888">
        <v>210</v>
      </c>
      <c r="BG1888">
        <v>210</v>
      </c>
      <c r="BH1888" t="s">
        <v>109</v>
      </c>
      <c r="BI1888" t="s">
        <v>188</v>
      </c>
      <c r="BJ1888">
        <v>0</v>
      </c>
      <c r="BK1888">
        <v>120</v>
      </c>
      <c r="BL1888">
        <v>210</v>
      </c>
      <c r="BM1888">
        <v>525</v>
      </c>
      <c r="BN1888">
        <v>0</v>
      </c>
      <c r="BO1888">
        <v>0</v>
      </c>
      <c r="BP1888">
        <v>0</v>
      </c>
      <c r="BQ1888">
        <v>525</v>
      </c>
      <c r="BR1888">
        <f t="shared" si="304"/>
        <v>-305</v>
      </c>
      <c r="BS1888">
        <f t="shared" si="305"/>
        <v>395</v>
      </c>
    </row>
    <row r="1889" spans="1:74" x14ac:dyDescent="0.25">
      <c r="A1889" s="5" t="s">
        <v>1661</v>
      </c>
      <c r="B1889" s="5" t="s">
        <v>61</v>
      </c>
      <c r="C1889" s="5" t="s">
        <v>359</v>
      </c>
      <c r="D1889" s="1" t="s">
        <v>73</v>
      </c>
      <c r="E1889">
        <v>0</v>
      </c>
      <c r="F1889">
        <v>0</v>
      </c>
      <c r="G1889">
        <v>0</v>
      </c>
      <c r="H1889">
        <v>0</v>
      </c>
      <c r="I1889">
        <v>2860</v>
      </c>
      <c r="J1889">
        <v>2530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255</v>
      </c>
      <c r="R1889">
        <v>0</v>
      </c>
      <c r="S1889" s="18" t="e">
        <f t="shared" si="296"/>
        <v>#DIV/0!</v>
      </c>
      <c r="T1889" s="17" t="e">
        <f t="shared" si="297"/>
        <v>#DIV/0!</v>
      </c>
      <c r="U1889" s="17" t="e">
        <f t="shared" si="298"/>
        <v>#DIV/0!</v>
      </c>
      <c r="V1889" s="17" t="e">
        <f t="shared" si="299"/>
        <v>#DIV/0!</v>
      </c>
      <c r="W1889" s="17" t="e">
        <f t="shared" si="300"/>
        <v>#DIV/0!</v>
      </c>
      <c r="X1889" s="17" t="e">
        <f t="shared" si="301"/>
        <v>#DIV/0!</v>
      </c>
      <c r="Y1889" s="19" t="e">
        <f t="shared" si="302"/>
        <v>#DIV/0!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2860</v>
      </c>
      <c r="AH1889">
        <v>2860</v>
      </c>
      <c r="AI1889">
        <v>0</v>
      </c>
      <c r="AJ1889">
        <v>0</v>
      </c>
      <c r="AK1889">
        <v>2530</v>
      </c>
      <c r="AL1889">
        <v>2530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f t="shared" si="303"/>
        <v>10780</v>
      </c>
      <c r="BF1889">
        <v>5390</v>
      </c>
      <c r="BG1889">
        <v>5390</v>
      </c>
      <c r="BH1889" t="s">
        <v>63</v>
      </c>
      <c r="BI1889" t="s">
        <v>1717</v>
      </c>
      <c r="BJ1889">
        <v>0</v>
      </c>
      <c r="BK1889">
        <v>5390</v>
      </c>
      <c r="BL1889">
        <v>5390</v>
      </c>
      <c r="BM1889">
        <v>0</v>
      </c>
      <c r="BN1889">
        <v>0</v>
      </c>
      <c r="BO1889">
        <v>0</v>
      </c>
      <c r="BP1889">
        <v>5390</v>
      </c>
      <c r="BQ1889">
        <v>5390</v>
      </c>
      <c r="BR1889">
        <f t="shared" si="304"/>
        <v>-255</v>
      </c>
      <c r="BS1889">
        <f t="shared" si="305"/>
        <v>255</v>
      </c>
      <c r="BU1889">
        <f>R1889*9</f>
        <v>0</v>
      </c>
      <c r="BV1889">
        <f>IF(BU1889&gt;BG1889, 1, 0)</f>
        <v>0</v>
      </c>
    </row>
    <row r="1890" spans="1:74" x14ac:dyDescent="0.25">
      <c r="A1890" s="5" t="s">
        <v>207</v>
      </c>
      <c r="B1890" s="5" t="s">
        <v>61</v>
      </c>
      <c r="C1890" s="5" t="s">
        <v>359</v>
      </c>
      <c r="D1890" s="1" t="s">
        <v>131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11000</v>
      </c>
      <c r="K1890">
        <v>548</v>
      </c>
      <c r="L1890">
        <v>445</v>
      </c>
      <c r="M1890">
        <v>0</v>
      </c>
      <c r="N1890">
        <v>0</v>
      </c>
      <c r="O1890">
        <v>0</v>
      </c>
      <c r="P1890">
        <v>0</v>
      </c>
      <c r="Q1890">
        <v>305</v>
      </c>
      <c r="R1890">
        <v>0</v>
      </c>
      <c r="S1890" s="18" t="e">
        <f t="shared" si="296"/>
        <v>#DIV/0!</v>
      </c>
      <c r="T1890" s="17" t="e">
        <f t="shared" si="297"/>
        <v>#DIV/0!</v>
      </c>
      <c r="U1890" s="17" t="e">
        <f t="shared" si="298"/>
        <v>#DIV/0!</v>
      </c>
      <c r="V1890" s="17" t="e">
        <f t="shared" si="299"/>
        <v>#DIV/0!</v>
      </c>
      <c r="W1890" s="17" t="e">
        <f t="shared" si="300"/>
        <v>#DIV/0!</v>
      </c>
      <c r="X1890" s="17" t="e">
        <f t="shared" si="301"/>
        <v>#DIV/0!</v>
      </c>
      <c r="Y1890" s="19" t="e">
        <f t="shared" si="302"/>
        <v>#DIV/0!</v>
      </c>
      <c r="Z1890">
        <v>0</v>
      </c>
      <c r="AA1890">
        <v>0</v>
      </c>
      <c r="AB1890">
        <v>0</v>
      </c>
      <c r="AC1890">
        <v>199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2000</v>
      </c>
      <c r="AK1890">
        <v>9000</v>
      </c>
      <c r="AL1890">
        <v>11000</v>
      </c>
      <c r="AM1890">
        <v>0</v>
      </c>
      <c r="AN1890">
        <v>0</v>
      </c>
      <c r="AO1890">
        <v>548</v>
      </c>
      <c r="AP1890">
        <v>0</v>
      </c>
      <c r="AQ1890">
        <v>548</v>
      </c>
      <c r="AR1890">
        <v>548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445</v>
      </c>
      <c r="BA1890">
        <v>445</v>
      </c>
      <c r="BB1890">
        <v>0</v>
      </c>
      <c r="BC1890">
        <v>0</v>
      </c>
      <c r="BD1890">
        <v>0</v>
      </c>
      <c r="BE1890">
        <f t="shared" si="303"/>
        <v>24733</v>
      </c>
      <c r="BF1890">
        <v>12192</v>
      </c>
      <c r="BG1890">
        <v>12192</v>
      </c>
      <c r="BH1890" t="s">
        <v>199</v>
      </c>
      <c r="BI1890" t="s">
        <v>530</v>
      </c>
      <c r="BJ1890">
        <v>199</v>
      </c>
      <c r="BK1890">
        <v>11993</v>
      </c>
      <c r="BL1890">
        <v>12192</v>
      </c>
      <c r="BM1890">
        <v>0</v>
      </c>
      <c r="BN1890">
        <v>2000</v>
      </c>
      <c r="BO1890">
        <v>0</v>
      </c>
      <c r="BP1890">
        <v>9993</v>
      </c>
      <c r="BQ1890">
        <v>11993</v>
      </c>
      <c r="BR1890">
        <f t="shared" si="304"/>
        <v>-305</v>
      </c>
      <c r="BS1890">
        <f t="shared" si="305"/>
        <v>305</v>
      </c>
    </row>
    <row r="1891" spans="1:74" x14ac:dyDescent="0.25">
      <c r="A1891" s="5" t="s">
        <v>61</v>
      </c>
      <c r="B1891" s="5" t="s">
        <v>207</v>
      </c>
      <c r="C1891" s="5" t="s">
        <v>207</v>
      </c>
      <c r="D1891" s="1" t="s">
        <v>69</v>
      </c>
      <c r="E1891">
        <v>166</v>
      </c>
      <c r="F1891">
        <v>0</v>
      </c>
      <c r="G1891">
        <v>0</v>
      </c>
      <c r="H1891">
        <v>0</v>
      </c>
      <c r="I1891">
        <v>0</v>
      </c>
      <c r="J1891">
        <v>2500</v>
      </c>
      <c r="K1891">
        <v>126</v>
      </c>
      <c r="L1891">
        <v>505</v>
      </c>
      <c r="M1891">
        <v>0</v>
      </c>
      <c r="N1891">
        <v>0</v>
      </c>
      <c r="O1891">
        <v>0</v>
      </c>
      <c r="P1891">
        <v>0</v>
      </c>
      <c r="Q1891">
        <v>256</v>
      </c>
      <c r="R1891">
        <v>0</v>
      </c>
      <c r="S1891" s="18" t="e">
        <f t="shared" si="296"/>
        <v>#DIV/0!</v>
      </c>
      <c r="T1891" s="17" t="e">
        <f t="shared" si="297"/>
        <v>#DIV/0!</v>
      </c>
      <c r="U1891" s="17" t="e">
        <f t="shared" si="298"/>
        <v>#DIV/0!</v>
      </c>
      <c r="V1891" s="17" t="e">
        <f t="shared" si="299"/>
        <v>#DIV/0!</v>
      </c>
      <c r="W1891" s="17" t="e">
        <f t="shared" si="300"/>
        <v>#DIV/0!</v>
      </c>
      <c r="X1891" s="17" t="e">
        <f t="shared" si="301"/>
        <v>#DIV/0!</v>
      </c>
      <c r="Y1891" s="19" t="e">
        <f t="shared" si="302"/>
        <v>#DIV/0!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2500</v>
      </c>
      <c r="AL1891">
        <v>2500</v>
      </c>
      <c r="AM1891">
        <v>0</v>
      </c>
      <c r="AN1891">
        <v>0</v>
      </c>
      <c r="AO1891">
        <v>126</v>
      </c>
      <c r="AP1891">
        <v>126</v>
      </c>
      <c r="AQ1891">
        <v>126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505</v>
      </c>
      <c r="BA1891">
        <v>505</v>
      </c>
      <c r="BB1891">
        <v>0</v>
      </c>
      <c r="BC1891">
        <v>0</v>
      </c>
      <c r="BD1891">
        <v>0</v>
      </c>
      <c r="BE1891">
        <f t="shared" si="303"/>
        <v>6388</v>
      </c>
      <c r="BF1891">
        <v>3297</v>
      </c>
      <c r="BG1891">
        <v>3297</v>
      </c>
      <c r="BH1891" t="s">
        <v>63</v>
      </c>
      <c r="BI1891" t="s">
        <v>282</v>
      </c>
      <c r="BJ1891">
        <v>166</v>
      </c>
      <c r="BK1891">
        <v>3131</v>
      </c>
      <c r="BL1891">
        <v>3297</v>
      </c>
      <c r="BM1891">
        <v>0</v>
      </c>
      <c r="BN1891">
        <v>0</v>
      </c>
      <c r="BO1891">
        <v>0</v>
      </c>
      <c r="BP1891">
        <v>3131</v>
      </c>
      <c r="BQ1891">
        <v>3131</v>
      </c>
      <c r="BR1891">
        <f t="shared" si="304"/>
        <v>-256</v>
      </c>
      <c r="BS1891">
        <f t="shared" si="305"/>
        <v>256</v>
      </c>
      <c r="BU1891">
        <f>R1891*9</f>
        <v>0</v>
      </c>
      <c r="BV1891">
        <f>IF(BU1891&gt;BG1891, 1, 0)</f>
        <v>0</v>
      </c>
    </row>
    <row r="1892" spans="1:74" x14ac:dyDescent="0.25">
      <c r="A1892" s="5" t="s">
        <v>1135</v>
      </c>
      <c r="B1892" s="5" t="s">
        <v>207</v>
      </c>
      <c r="C1892" s="5" t="s">
        <v>61</v>
      </c>
      <c r="D1892" s="1" t="s">
        <v>135</v>
      </c>
      <c r="E1892">
        <v>0</v>
      </c>
      <c r="F1892">
        <v>352</v>
      </c>
      <c r="G1892">
        <v>0</v>
      </c>
      <c r="H1892">
        <v>0</v>
      </c>
      <c r="I1892">
        <v>331</v>
      </c>
      <c r="J1892">
        <v>1595</v>
      </c>
      <c r="K1892">
        <v>78</v>
      </c>
      <c r="L1892">
        <v>125</v>
      </c>
      <c r="M1892">
        <v>0</v>
      </c>
      <c r="N1892">
        <v>0</v>
      </c>
      <c r="O1892">
        <v>0</v>
      </c>
      <c r="P1892">
        <v>540</v>
      </c>
      <c r="Q1892">
        <v>365</v>
      </c>
      <c r="R1892">
        <v>60</v>
      </c>
      <c r="S1892" s="18">
        <f t="shared" si="296"/>
        <v>9</v>
      </c>
      <c r="T1892" s="17">
        <f t="shared" si="297"/>
        <v>0</v>
      </c>
      <c r="U1892" s="17">
        <f t="shared" si="298"/>
        <v>0</v>
      </c>
      <c r="V1892" s="17">
        <f t="shared" si="299"/>
        <v>0</v>
      </c>
      <c r="W1892" s="17">
        <f t="shared" si="300"/>
        <v>60</v>
      </c>
      <c r="X1892" s="17">
        <f t="shared" si="301"/>
        <v>305</v>
      </c>
      <c r="Y1892" s="19">
        <f t="shared" si="302"/>
        <v>0</v>
      </c>
      <c r="Z1892">
        <v>352</v>
      </c>
      <c r="AA1892">
        <v>0</v>
      </c>
      <c r="AB1892">
        <v>180</v>
      </c>
      <c r="AC1892">
        <v>2218</v>
      </c>
      <c r="AD1892">
        <v>0</v>
      </c>
      <c r="AE1892">
        <v>0</v>
      </c>
      <c r="AF1892">
        <v>0</v>
      </c>
      <c r="AG1892">
        <v>331</v>
      </c>
      <c r="AH1892">
        <v>331</v>
      </c>
      <c r="AI1892">
        <v>0</v>
      </c>
      <c r="AJ1892">
        <v>0</v>
      </c>
      <c r="AK1892">
        <v>1595</v>
      </c>
      <c r="AL1892">
        <v>1595</v>
      </c>
      <c r="AM1892">
        <v>0</v>
      </c>
      <c r="AN1892">
        <v>0</v>
      </c>
      <c r="AO1892">
        <v>78</v>
      </c>
      <c r="AP1892">
        <v>53</v>
      </c>
      <c r="AQ1892">
        <v>78</v>
      </c>
      <c r="AR1892">
        <v>25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125</v>
      </c>
      <c r="BA1892">
        <v>125</v>
      </c>
      <c r="BB1892">
        <v>0</v>
      </c>
      <c r="BC1892">
        <v>0</v>
      </c>
      <c r="BD1892">
        <v>0</v>
      </c>
      <c r="BE1892">
        <f t="shared" si="303"/>
        <v>6554</v>
      </c>
      <c r="BF1892">
        <v>4879</v>
      </c>
      <c r="BG1892">
        <v>4879</v>
      </c>
      <c r="BH1892" t="s">
        <v>82</v>
      </c>
      <c r="BI1892" t="s">
        <v>1231</v>
      </c>
      <c r="BJ1892">
        <v>2398</v>
      </c>
      <c r="BK1892">
        <v>2129</v>
      </c>
      <c r="BL1892">
        <v>4879</v>
      </c>
      <c r="BM1892">
        <v>0</v>
      </c>
      <c r="BN1892">
        <v>0</v>
      </c>
      <c r="BO1892">
        <v>0</v>
      </c>
      <c r="BP1892">
        <v>2669</v>
      </c>
      <c r="BQ1892">
        <v>2669</v>
      </c>
      <c r="BR1892">
        <f t="shared" si="304"/>
        <v>-305</v>
      </c>
      <c r="BS1892">
        <f t="shared" si="305"/>
        <v>425</v>
      </c>
    </row>
    <row r="1893" spans="1:74" x14ac:dyDescent="0.25">
      <c r="A1893" s="5" t="s">
        <v>1661</v>
      </c>
      <c r="B1893" s="5" t="s">
        <v>359</v>
      </c>
      <c r="C1893" s="5" t="s">
        <v>207</v>
      </c>
      <c r="D1893" s="1" t="s">
        <v>127</v>
      </c>
      <c r="E1893">
        <v>0</v>
      </c>
      <c r="F1893">
        <v>1635</v>
      </c>
      <c r="G1893">
        <v>0</v>
      </c>
      <c r="H1893">
        <v>0</v>
      </c>
      <c r="I1893">
        <v>159</v>
      </c>
      <c r="J1893">
        <v>4361</v>
      </c>
      <c r="K1893">
        <v>1088</v>
      </c>
      <c r="L1893">
        <v>31</v>
      </c>
      <c r="M1893">
        <v>0</v>
      </c>
      <c r="N1893">
        <v>0</v>
      </c>
      <c r="O1893">
        <v>0</v>
      </c>
      <c r="P1893">
        <v>5283</v>
      </c>
      <c r="Q1893">
        <v>892</v>
      </c>
      <c r="R1893">
        <v>587</v>
      </c>
      <c r="S1893" s="18">
        <f t="shared" si="296"/>
        <v>9</v>
      </c>
      <c r="T1893" s="17">
        <f t="shared" si="297"/>
        <v>0</v>
      </c>
      <c r="U1893" s="17">
        <f t="shared" si="298"/>
        <v>0</v>
      </c>
      <c r="V1893" s="17">
        <f t="shared" si="299"/>
        <v>0</v>
      </c>
      <c r="W1893" s="17">
        <f t="shared" si="300"/>
        <v>587</v>
      </c>
      <c r="X1893" s="17">
        <f t="shared" si="301"/>
        <v>305</v>
      </c>
      <c r="Y1893" s="19">
        <f t="shared" si="302"/>
        <v>0</v>
      </c>
      <c r="Z1893">
        <v>1635</v>
      </c>
      <c r="AA1893">
        <v>0</v>
      </c>
      <c r="AB1893">
        <v>0</v>
      </c>
      <c r="AC1893">
        <v>1633</v>
      </c>
      <c r="AD1893">
        <v>0</v>
      </c>
      <c r="AE1893">
        <v>0</v>
      </c>
      <c r="AF1893">
        <v>0</v>
      </c>
      <c r="AG1893">
        <v>159</v>
      </c>
      <c r="AH1893">
        <v>159</v>
      </c>
      <c r="AI1893">
        <v>0</v>
      </c>
      <c r="AJ1893">
        <v>0</v>
      </c>
      <c r="AK1893">
        <v>4360</v>
      </c>
      <c r="AL1893">
        <v>4361</v>
      </c>
      <c r="AM1893">
        <v>0</v>
      </c>
      <c r="AN1893">
        <v>0</v>
      </c>
      <c r="AO1893">
        <v>1088</v>
      </c>
      <c r="AP1893">
        <v>602</v>
      </c>
      <c r="AQ1893">
        <v>1088</v>
      </c>
      <c r="AR1893">
        <v>486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31</v>
      </c>
      <c r="BA1893">
        <v>31</v>
      </c>
      <c r="BB1893">
        <v>0</v>
      </c>
      <c r="BC1893">
        <v>0</v>
      </c>
      <c r="BD1893">
        <v>0</v>
      </c>
      <c r="BE1893">
        <f t="shared" si="303"/>
        <v>13998</v>
      </c>
      <c r="BF1893">
        <v>9177</v>
      </c>
      <c r="BG1893">
        <v>9177</v>
      </c>
      <c r="BH1893" t="s">
        <v>82</v>
      </c>
      <c r="BI1893" t="s">
        <v>1912</v>
      </c>
      <c r="BJ1893">
        <v>1633</v>
      </c>
      <c r="BK1893">
        <v>5639</v>
      </c>
      <c r="BL1893">
        <v>8907</v>
      </c>
      <c r="BM1893">
        <v>0</v>
      </c>
      <c r="BN1893">
        <v>0</v>
      </c>
      <c r="BO1893">
        <v>0</v>
      </c>
      <c r="BP1893">
        <v>10921</v>
      </c>
      <c r="BQ1893">
        <v>10921</v>
      </c>
      <c r="BR1893">
        <f t="shared" si="304"/>
        <v>-305</v>
      </c>
      <c r="BS1893">
        <f t="shared" si="305"/>
        <v>1479</v>
      </c>
    </row>
    <row r="1894" spans="1:74" x14ac:dyDescent="0.25">
      <c r="A1894" s="5" t="s">
        <v>207</v>
      </c>
      <c r="B1894" s="5" t="s">
        <v>627</v>
      </c>
      <c r="C1894" s="5" t="s">
        <v>61</v>
      </c>
      <c r="D1894" s="1" t="s">
        <v>65</v>
      </c>
      <c r="E1894">
        <v>0</v>
      </c>
      <c r="F1894">
        <v>0</v>
      </c>
      <c r="G1894">
        <v>0</v>
      </c>
      <c r="H1894">
        <v>0</v>
      </c>
      <c r="I1894">
        <v>514</v>
      </c>
      <c r="J1894">
        <v>100</v>
      </c>
      <c r="K1894">
        <v>824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256</v>
      </c>
      <c r="R1894">
        <v>0</v>
      </c>
      <c r="S1894" s="18" t="e">
        <f t="shared" si="296"/>
        <v>#DIV/0!</v>
      </c>
      <c r="T1894" s="17" t="e">
        <f t="shared" si="297"/>
        <v>#DIV/0!</v>
      </c>
      <c r="U1894" s="17" t="e">
        <f t="shared" si="298"/>
        <v>#DIV/0!</v>
      </c>
      <c r="V1894" s="17" t="e">
        <f t="shared" si="299"/>
        <v>#DIV/0!</v>
      </c>
      <c r="W1894" s="17" t="e">
        <f t="shared" si="300"/>
        <v>#DIV/0!</v>
      </c>
      <c r="X1894" s="17" t="e">
        <f t="shared" si="301"/>
        <v>#DIV/0!</v>
      </c>
      <c r="Y1894" s="19" t="e">
        <f t="shared" si="302"/>
        <v>#DIV/0!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514</v>
      </c>
      <c r="AH1894">
        <v>514</v>
      </c>
      <c r="AI1894">
        <v>0</v>
      </c>
      <c r="AJ1894">
        <v>0</v>
      </c>
      <c r="AK1894">
        <v>100</v>
      </c>
      <c r="AL1894">
        <v>100</v>
      </c>
      <c r="AM1894">
        <v>0</v>
      </c>
      <c r="AN1894">
        <v>0</v>
      </c>
      <c r="AO1894">
        <v>824</v>
      </c>
      <c r="AP1894">
        <v>371</v>
      </c>
      <c r="AQ1894">
        <v>824</v>
      </c>
      <c r="AR1894">
        <v>453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f t="shared" si="303"/>
        <v>3700</v>
      </c>
      <c r="BF1894">
        <v>1438</v>
      </c>
      <c r="BG1894">
        <v>1438</v>
      </c>
      <c r="BH1894" t="s">
        <v>63</v>
      </c>
      <c r="BI1894" t="s">
        <v>629</v>
      </c>
      <c r="BJ1894">
        <v>0</v>
      </c>
      <c r="BK1894">
        <v>1438</v>
      </c>
      <c r="BL1894">
        <v>1438</v>
      </c>
      <c r="BM1894">
        <v>0</v>
      </c>
      <c r="BN1894">
        <v>0</v>
      </c>
      <c r="BO1894">
        <v>0</v>
      </c>
      <c r="BP1894">
        <v>1438</v>
      </c>
      <c r="BQ1894">
        <v>1438</v>
      </c>
      <c r="BR1894">
        <f t="shared" si="304"/>
        <v>-256</v>
      </c>
      <c r="BS1894">
        <f t="shared" si="305"/>
        <v>256</v>
      </c>
      <c r="BU1894">
        <f>R1894*9</f>
        <v>0</v>
      </c>
      <c r="BV1894">
        <f>IF(BU1894&gt;BG1894, 1, 0)</f>
        <v>0</v>
      </c>
    </row>
    <row r="1895" spans="1:74" x14ac:dyDescent="0.25">
      <c r="A1895" s="5" t="s">
        <v>2090</v>
      </c>
      <c r="B1895" s="5" t="s">
        <v>207</v>
      </c>
      <c r="C1895" s="5" t="s">
        <v>61</v>
      </c>
      <c r="D1895" s="1" t="s">
        <v>167</v>
      </c>
      <c r="E1895">
        <v>0</v>
      </c>
      <c r="F1895">
        <v>298</v>
      </c>
      <c r="G1895">
        <v>0</v>
      </c>
      <c r="H1895">
        <v>0</v>
      </c>
      <c r="I1895">
        <v>106</v>
      </c>
      <c r="J1895">
        <v>2215</v>
      </c>
      <c r="K1895">
        <v>784</v>
      </c>
      <c r="L1895">
        <v>241</v>
      </c>
      <c r="M1895">
        <v>0</v>
      </c>
      <c r="N1895">
        <v>0</v>
      </c>
      <c r="O1895">
        <v>0</v>
      </c>
      <c r="P1895">
        <v>810</v>
      </c>
      <c r="Q1895">
        <v>395</v>
      </c>
      <c r="R1895">
        <v>90</v>
      </c>
      <c r="S1895" s="18">
        <f t="shared" si="296"/>
        <v>9</v>
      </c>
      <c r="T1895" s="17">
        <f t="shared" si="297"/>
        <v>0</v>
      </c>
      <c r="U1895" s="17">
        <f t="shared" si="298"/>
        <v>0</v>
      </c>
      <c r="V1895" s="17">
        <f t="shared" si="299"/>
        <v>0</v>
      </c>
      <c r="W1895" s="17">
        <f t="shared" si="300"/>
        <v>90</v>
      </c>
      <c r="X1895" s="17">
        <f t="shared" si="301"/>
        <v>305</v>
      </c>
      <c r="Y1895" s="19">
        <f t="shared" si="302"/>
        <v>0</v>
      </c>
      <c r="Z1895">
        <v>298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106</v>
      </c>
      <c r="AH1895">
        <v>106</v>
      </c>
      <c r="AI1895">
        <v>0</v>
      </c>
      <c r="AJ1895">
        <v>0</v>
      </c>
      <c r="AK1895">
        <v>2215</v>
      </c>
      <c r="AL1895">
        <v>2215</v>
      </c>
      <c r="AM1895">
        <v>0</v>
      </c>
      <c r="AN1895">
        <v>0</v>
      </c>
      <c r="AO1895">
        <v>784</v>
      </c>
      <c r="AP1895">
        <v>555</v>
      </c>
      <c r="AQ1895">
        <v>784</v>
      </c>
      <c r="AR1895">
        <v>229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241</v>
      </c>
      <c r="BA1895">
        <v>241</v>
      </c>
      <c r="BB1895">
        <v>0</v>
      </c>
      <c r="BC1895">
        <v>0</v>
      </c>
      <c r="BD1895">
        <v>0</v>
      </c>
      <c r="BE1895">
        <f t="shared" si="303"/>
        <v>7476</v>
      </c>
      <c r="BF1895">
        <v>3644</v>
      </c>
      <c r="BG1895">
        <v>3644</v>
      </c>
      <c r="BH1895" t="s">
        <v>190</v>
      </c>
      <c r="BI1895" t="s">
        <v>2262</v>
      </c>
      <c r="BJ1895">
        <v>0</v>
      </c>
      <c r="BK1895">
        <v>3346</v>
      </c>
      <c r="BL1895">
        <v>3644</v>
      </c>
      <c r="BM1895">
        <v>0</v>
      </c>
      <c r="BN1895">
        <v>0</v>
      </c>
      <c r="BO1895">
        <v>0</v>
      </c>
      <c r="BP1895">
        <v>4156</v>
      </c>
      <c r="BQ1895">
        <v>4156</v>
      </c>
      <c r="BR1895">
        <f t="shared" si="304"/>
        <v>-305</v>
      </c>
      <c r="BS1895">
        <f t="shared" si="305"/>
        <v>485</v>
      </c>
    </row>
    <row r="1896" spans="1:74" x14ac:dyDescent="0.25">
      <c r="A1896" s="5" t="s">
        <v>1661</v>
      </c>
      <c r="B1896" s="5" t="s">
        <v>61</v>
      </c>
      <c r="C1896" s="5" t="s">
        <v>359</v>
      </c>
      <c r="D1896" s="1" t="s">
        <v>75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5100</v>
      </c>
      <c r="K1896">
        <v>6</v>
      </c>
      <c r="L1896">
        <v>130</v>
      </c>
      <c r="M1896">
        <v>0</v>
      </c>
      <c r="N1896">
        <v>0</v>
      </c>
      <c r="O1896">
        <v>0</v>
      </c>
      <c r="P1896">
        <v>0</v>
      </c>
      <c r="Q1896">
        <v>258</v>
      </c>
      <c r="R1896">
        <v>0</v>
      </c>
      <c r="S1896" s="18" t="e">
        <f t="shared" si="296"/>
        <v>#DIV/0!</v>
      </c>
      <c r="T1896" s="17" t="e">
        <f t="shared" si="297"/>
        <v>#DIV/0!</v>
      </c>
      <c r="U1896" s="17" t="e">
        <f t="shared" si="298"/>
        <v>#DIV/0!</v>
      </c>
      <c r="V1896" s="17" t="e">
        <f t="shared" si="299"/>
        <v>#DIV/0!</v>
      </c>
      <c r="W1896" s="17" t="e">
        <f t="shared" si="300"/>
        <v>#DIV/0!</v>
      </c>
      <c r="X1896" s="17" t="e">
        <f t="shared" si="301"/>
        <v>#DIV/0!</v>
      </c>
      <c r="Y1896" s="19" t="e">
        <f t="shared" si="302"/>
        <v>#DIV/0!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5100</v>
      </c>
      <c r="AL1896">
        <v>5100</v>
      </c>
      <c r="AM1896">
        <v>0</v>
      </c>
      <c r="AN1896">
        <v>0</v>
      </c>
      <c r="AO1896">
        <v>6</v>
      </c>
      <c r="AP1896">
        <v>0</v>
      </c>
      <c r="AQ1896">
        <v>6</v>
      </c>
      <c r="AR1896">
        <v>6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130</v>
      </c>
      <c r="BA1896">
        <v>130</v>
      </c>
      <c r="BB1896">
        <v>0</v>
      </c>
      <c r="BC1896">
        <v>0</v>
      </c>
      <c r="BD1896">
        <v>0</v>
      </c>
      <c r="BE1896">
        <f t="shared" si="303"/>
        <v>10478</v>
      </c>
      <c r="BF1896">
        <v>5236</v>
      </c>
      <c r="BG1896">
        <v>5236</v>
      </c>
      <c r="BH1896" t="s">
        <v>63</v>
      </c>
      <c r="BI1896" t="s">
        <v>1718</v>
      </c>
      <c r="BJ1896">
        <v>0</v>
      </c>
      <c r="BK1896">
        <v>5236</v>
      </c>
      <c r="BL1896">
        <v>5236</v>
      </c>
      <c r="BM1896">
        <v>0</v>
      </c>
      <c r="BN1896">
        <v>0</v>
      </c>
      <c r="BO1896">
        <v>0</v>
      </c>
      <c r="BP1896">
        <v>5236</v>
      </c>
      <c r="BQ1896">
        <v>5236</v>
      </c>
      <c r="BR1896">
        <f t="shared" si="304"/>
        <v>-258</v>
      </c>
      <c r="BS1896">
        <f t="shared" si="305"/>
        <v>258</v>
      </c>
      <c r="BU1896">
        <f>R1896*9</f>
        <v>0</v>
      </c>
      <c r="BV1896">
        <f>IF(BU1896&gt;BG1896, 1, 0)</f>
        <v>0</v>
      </c>
    </row>
    <row r="1897" spans="1:74" x14ac:dyDescent="0.25">
      <c r="A1897" s="5" t="s">
        <v>1661</v>
      </c>
      <c r="B1897" s="5" t="s">
        <v>207</v>
      </c>
      <c r="C1897" s="5" t="s">
        <v>207</v>
      </c>
      <c r="D1897" s="1" t="s">
        <v>86</v>
      </c>
      <c r="E1897">
        <v>0</v>
      </c>
      <c r="F1897">
        <v>0</v>
      </c>
      <c r="G1897">
        <v>0</v>
      </c>
      <c r="H1897">
        <v>0</v>
      </c>
      <c r="I1897">
        <v>190</v>
      </c>
      <c r="J1897">
        <v>0</v>
      </c>
      <c r="K1897">
        <v>245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259</v>
      </c>
      <c r="R1897">
        <v>0</v>
      </c>
      <c r="S1897" s="18" t="e">
        <f t="shared" si="296"/>
        <v>#DIV/0!</v>
      </c>
      <c r="T1897" s="17" t="e">
        <f t="shared" si="297"/>
        <v>#DIV/0!</v>
      </c>
      <c r="U1897" s="17" t="e">
        <f t="shared" si="298"/>
        <v>#DIV/0!</v>
      </c>
      <c r="V1897" s="17" t="e">
        <f t="shared" si="299"/>
        <v>#DIV/0!</v>
      </c>
      <c r="W1897" s="17" t="e">
        <f t="shared" si="300"/>
        <v>#DIV/0!</v>
      </c>
      <c r="X1897" s="17" t="e">
        <f t="shared" si="301"/>
        <v>#DIV/0!</v>
      </c>
      <c r="Y1897" s="19" t="e">
        <f t="shared" si="302"/>
        <v>#DIV/0!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190</v>
      </c>
      <c r="AH1897">
        <v>190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245</v>
      </c>
      <c r="AP1897">
        <v>0</v>
      </c>
      <c r="AQ1897">
        <v>245</v>
      </c>
      <c r="AR1897">
        <v>245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f t="shared" si="303"/>
        <v>1115</v>
      </c>
      <c r="BF1897">
        <v>435</v>
      </c>
      <c r="BG1897">
        <v>435</v>
      </c>
      <c r="BH1897" t="s">
        <v>63</v>
      </c>
      <c r="BI1897" t="s">
        <v>1805</v>
      </c>
      <c r="BJ1897">
        <v>0</v>
      </c>
      <c r="BK1897">
        <v>435</v>
      </c>
      <c r="BL1897">
        <v>435</v>
      </c>
      <c r="BM1897">
        <v>0</v>
      </c>
      <c r="BN1897">
        <v>0</v>
      </c>
      <c r="BO1897">
        <v>0</v>
      </c>
      <c r="BP1897">
        <v>435</v>
      </c>
      <c r="BQ1897">
        <v>435</v>
      </c>
      <c r="BR1897">
        <f t="shared" si="304"/>
        <v>-259</v>
      </c>
      <c r="BS1897">
        <f t="shared" si="305"/>
        <v>259</v>
      </c>
      <c r="BU1897">
        <f>R1897*9</f>
        <v>0</v>
      </c>
      <c r="BV1897">
        <f>IF(BU1897&gt;BG1897, 1, 0)</f>
        <v>0</v>
      </c>
    </row>
    <row r="1898" spans="1:74" x14ac:dyDescent="0.25">
      <c r="A1898" s="5" t="s">
        <v>875</v>
      </c>
      <c r="B1898" s="5" t="s">
        <v>207</v>
      </c>
      <c r="C1898" s="5" t="s">
        <v>61</v>
      </c>
      <c r="D1898" s="1" t="s">
        <v>131</v>
      </c>
      <c r="E1898">
        <v>0</v>
      </c>
      <c r="F1898">
        <v>154</v>
      </c>
      <c r="G1898">
        <v>0</v>
      </c>
      <c r="H1898">
        <v>0</v>
      </c>
      <c r="I1898">
        <v>340</v>
      </c>
      <c r="J1898">
        <v>3110</v>
      </c>
      <c r="K1898">
        <v>460</v>
      </c>
      <c r="L1898">
        <v>0</v>
      </c>
      <c r="M1898">
        <v>0</v>
      </c>
      <c r="N1898">
        <v>0</v>
      </c>
      <c r="O1898">
        <v>0</v>
      </c>
      <c r="P1898">
        <v>594</v>
      </c>
      <c r="Q1898">
        <v>374</v>
      </c>
      <c r="R1898">
        <v>66</v>
      </c>
      <c r="S1898" s="18">
        <f t="shared" si="296"/>
        <v>9</v>
      </c>
      <c r="T1898" s="17">
        <f t="shared" si="297"/>
        <v>0</v>
      </c>
      <c r="U1898" s="17">
        <f t="shared" si="298"/>
        <v>0</v>
      </c>
      <c r="V1898" s="17">
        <f t="shared" si="299"/>
        <v>0</v>
      </c>
      <c r="W1898" s="17">
        <f t="shared" si="300"/>
        <v>66</v>
      </c>
      <c r="X1898" s="17">
        <f t="shared" si="301"/>
        <v>308</v>
      </c>
      <c r="Y1898" s="19">
        <f t="shared" si="302"/>
        <v>0</v>
      </c>
      <c r="Z1898">
        <v>154</v>
      </c>
      <c r="AA1898">
        <v>14</v>
      </c>
      <c r="AB1898">
        <v>117</v>
      </c>
      <c r="AC1898">
        <v>5364</v>
      </c>
      <c r="AD1898">
        <v>0</v>
      </c>
      <c r="AE1898">
        <v>0</v>
      </c>
      <c r="AF1898">
        <v>0</v>
      </c>
      <c r="AG1898">
        <v>340</v>
      </c>
      <c r="AH1898">
        <v>340</v>
      </c>
      <c r="AI1898">
        <v>0</v>
      </c>
      <c r="AJ1898">
        <v>0</v>
      </c>
      <c r="AK1898">
        <v>3110</v>
      </c>
      <c r="AL1898">
        <v>3110</v>
      </c>
      <c r="AM1898">
        <v>0</v>
      </c>
      <c r="AN1898">
        <v>0</v>
      </c>
      <c r="AO1898">
        <v>460</v>
      </c>
      <c r="AP1898">
        <v>310</v>
      </c>
      <c r="AQ1898">
        <v>460</v>
      </c>
      <c r="AR1898">
        <v>150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f t="shared" si="303"/>
        <v>13644</v>
      </c>
      <c r="BF1898">
        <v>9559</v>
      </c>
      <c r="BG1898">
        <v>9559</v>
      </c>
      <c r="BH1898" t="s">
        <v>82</v>
      </c>
      <c r="BI1898" t="s">
        <v>998</v>
      </c>
      <c r="BJ1898">
        <v>5495</v>
      </c>
      <c r="BK1898">
        <v>3910</v>
      </c>
      <c r="BL1898">
        <v>9559</v>
      </c>
      <c r="BM1898">
        <v>0</v>
      </c>
      <c r="BN1898">
        <v>0</v>
      </c>
      <c r="BO1898">
        <v>0</v>
      </c>
      <c r="BP1898">
        <v>4504</v>
      </c>
      <c r="BQ1898">
        <v>4504</v>
      </c>
      <c r="BR1898">
        <f t="shared" si="304"/>
        <v>-308</v>
      </c>
      <c r="BS1898">
        <f t="shared" si="305"/>
        <v>440</v>
      </c>
    </row>
    <row r="1899" spans="1:74" x14ac:dyDescent="0.25">
      <c r="A1899" s="5" t="s">
        <v>1135</v>
      </c>
      <c r="B1899" s="5" t="s">
        <v>207</v>
      </c>
      <c r="C1899" s="5" t="s">
        <v>207</v>
      </c>
      <c r="D1899" s="1" t="s">
        <v>86</v>
      </c>
      <c r="E1899">
        <v>0</v>
      </c>
      <c r="F1899">
        <v>1530</v>
      </c>
      <c r="G1899">
        <v>0</v>
      </c>
      <c r="H1899">
        <v>0</v>
      </c>
      <c r="I1899">
        <v>372</v>
      </c>
      <c r="J1899">
        <v>6395</v>
      </c>
      <c r="K1899">
        <v>669</v>
      </c>
      <c r="L1899">
        <v>0</v>
      </c>
      <c r="M1899">
        <v>0</v>
      </c>
      <c r="N1899">
        <v>0</v>
      </c>
      <c r="O1899">
        <v>0</v>
      </c>
      <c r="P1899">
        <v>1602</v>
      </c>
      <c r="Q1899">
        <v>486</v>
      </c>
      <c r="R1899">
        <v>178</v>
      </c>
      <c r="S1899" s="18">
        <f t="shared" si="296"/>
        <v>9</v>
      </c>
      <c r="T1899" s="17">
        <f t="shared" si="297"/>
        <v>0</v>
      </c>
      <c r="U1899" s="17">
        <f t="shared" si="298"/>
        <v>0</v>
      </c>
      <c r="V1899" s="17">
        <f t="shared" si="299"/>
        <v>0</v>
      </c>
      <c r="W1899" s="17">
        <f t="shared" si="300"/>
        <v>178</v>
      </c>
      <c r="X1899" s="17">
        <f t="shared" si="301"/>
        <v>308</v>
      </c>
      <c r="Y1899" s="19">
        <f t="shared" si="302"/>
        <v>0</v>
      </c>
      <c r="Z1899">
        <v>1530</v>
      </c>
      <c r="AA1899">
        <v>0</v>
      </c>
      <c r="AB1899">
        <v>0</v>
      </c>
      <c r="AC1899">
        <v>2984</v>
      </c>
      <c r="AD1899">
        <v>0</v>
      </c>
      <c r="AE1899">
        <v>0</v>
      </c>
      <c r="AF1899">
        <v>0</v>
      </c>
      <c r="AG1899">
        <v>372</v>
      </c>
      <c r="AH1899">
        <v>372</v>
      </c>
      <c r="AI1899">
        <v>0</v>
      </c>
      <c r="AJ1899">
        <v>0</v>
      </c>
      <c r="AK1899">
        <v>6395</v>
      </c>
      <c r="AL1899">
        <v>6395</v>
      </c>
      <c r="AM1899">
        <v>0</v>
      </c>
      <c r="AN1899">
        <v>0</v>
      </c>
      <c r="AO1899">
        <v>669</v>
      </c>
      <c r="AP1899">
        <v>542</v>
      </c>
      <c r="AQ1899">
        <v>669</v>
      </c>
      <c r="AR1899">
        <v>127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f t="shared" si="303"/>
        <v>18525</v>
      </c>
      <c r="BF1899">
        <v>11950</v>
      </c>
      <c r="BG1899">
        <v>11950</v>
      </c>
      <c r="BH1899" t="s">
        <v>82</v>
      </c>
      <c r="BI1899" t="s">
        <v>1266</v>
      </c>
      <c r="BJ1899">
        <v>2984</v>
      </c>
      <c r="BK1899">
        <v>7436</v>
      </c>
      <c r="BL1899">
        <v>11950</v>
      </c>
      <c r="BM1899">
        <v>0</v>
      </c>
      <c r="BN1899">
        <v>0</v>
      </c>
      <c r="BO1899">
        <v>0</v>
      </c>
      <c r="BP1899">
        <v>9038</v>
      </c>
      <c r="BQ1899">
        <v>9038</v>
      </c>
      <c r="BR1899">
        <f t="shared" si="304"/>
        <v>-308</v>
      </c>
      <c r="BS1899">
        <f t="shared" si="305"/>
        <v>664</v>
      </c>
    </row>
    <row r="1900" spans="1:74" x14ac:dyDescent="0.25">
      <c r="A1900" s="5" t="s">
        <v>1451</v>
      </c>
      <c r="B1900" s="5" t="s">
        <v>61</v>
      </c>
      <c r="C1900" s="5" t="s">
        <v>207</v>
      </c>
      <c r="D1900" s="1" t="s">
        <v>88</v>
      </c>
      <c r="E1900">
        <v>0</v>
      </c>
      <c r="F1900">
        <v>0</v>
      </c>
      <c r="G1900">
        <v>0</v>
      </c>
      <c r="H1900">
        <v>0</v>
      </c>
      <c r="I1900">
        <v>594</v>
      </c>
      <c r="J1900">
        <v>4350</v>
      </c>
      <c r="K1900">
        <v>435</v>
      </c>
      <c r="L1900">
        <v>100</v>
      </c>
      <c r="M1900">
        <v>0</v>
      </c>
      <c r="N1900">
        <v>0</v>
      </c>
      <c r="O1900">
        <v>0</v>
      </c>
      <c r="P1900">
        <v>0</v>
      </c>
      <c r="Q1900">
        <v>308</v>
      </c>
      <c r="R1900">
        <v>0</v>
      </c>
      <c r="S1900" s="18" t="e">
        <f t="shared" si="296"/>
        <v>#DIV/0!</v>
      </c>
      <c r="T1900" s="17" t="e">
        <f t="shared" si="297"/>
        <v>#DIV/0!</v>
      </c>
      <c r="U1900" s="17" t="e">
        <f t="shared" si="298"/>
        <v>#DIV/0!</v>
      </c>
      <c r="V1900" s="17" t="e">
        <f t="shared" si="299"/>
        <v>#DIV/0!</v>
      </c>
      <c r="W1900" s="17" t="e">
        <f t="shared" si="300"/>
        <v>#DIV/0!</v>
      </c>
      <c r="X1900" s="17" t="e">
        <f t="shared" si="301"/>
        <v>#DIV/0!</v>
      </c>
      <c r="Y1900" s="19" t="e">
        <f t="shared" si="302"/>
        <v>#DIV/0!</v>
      </c>
      <c r="Z1900">
        <v>0</v>
      </c>
      <c r="AA1900">
        <v>12</v>
      </c>
      <c r="AB1900">
        <v>200</v>
      </c>
      <c r="AC1900">
        <v>9641</v>
      </c>
      <c r="AD1900">
        <v>0</v>
      </c>
      <c r="AE1900">
        <v>0</v>
      </c>
      <c r="AF1900">
        <v>0</v>
      </c>
      <c r="AG1900">
        <v>594</v>
      </c>
      <c r="AH1900">
        <v>594</v>
      </c>
      <c r="AI1900">
        <v>0</v>
      </c>
      <c r="AJ1900">
        <v>0</v>
      </c>
      <c r="AK1900">
        <v>4350</v>
      </c>
      <c r="AL1900">
        <v>4350</v>
      </c>
      <c r="AM1900">
        <v>0</v>
      </c>
      <c r="AN1900">
        <v>0</v>
      </c>
      <c r="AO1900">
        <v>435</v>
      </c>
      <c r="AP1900">
        <v>245</v>
      </c>
      <c r="AQ1900">
        <v>435</v>
      </c>
      <c r="AR1900">
        <v>190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100</v>
      </c>
      <c r="BA1900">
        <v>100</v>
      </c>
      <c r="BB1900">
        <v>0</v>
      </c>
      <c r="BC1900">
        <v>0</v>
      </c>
      <c r="BD1900">
        <v>0</v>
      </c>
      <c r="BE1900">
        <f t="shared" si="303"/>
        <v>21034</v>
      </c>
      <c r="BF1900">
        <v>9441</v>
      </c>
      <c r="BG1900">
        <v>9441</v>
      </c>
      <c r="BH1900" t="s">
        <v>82</v>
      </c>
      <c r="BI1900" t="s">
        <v>1482</v>
      </c>
      <c r="BJ1900">
        <v>9853</v>
      </c>
      <c r="BK1900">
        <v>5479</v>
      </c>
      <c r="BL1900">
        <v>15332</v>
      </c>
      <c r="BM1900">
        <v>0</v>
      </c>
      <c r="BN1900">
        <v>0</v>
      </c>
      <c r="BO1900">
        <v>0</v>
      </c>
      <c r="BP1900">
        <v>5479</v>
      </c>
      <c r="BQ1900">
        <v>5479</v>
      </c>
      <c r="BR1900">
        <f t="shared" si="304"/>
        <v>-308</v>
      </c>
      <c r="BS1900">
        <f t="shared" si="305"/>
        <v>308</v>
      </c>
    </row>
    <row r="1901" spans="1:74" x14ac:dyDescent="0.25">
      <c r="A1901" s="5" t="s">
        <v>61</v>
      </c>
      <c r="B1901" s="5" t="s">
        <v>207</v>
      </c>
      <c r="C1901" s="5" t="s">
        <v>207</v>
      </c>
      <c r="D1901" s="1" t="s">
        <v>81</v>
      </c>
      <c r="E1901">
        <v>156</v>
      </c>
      <c r="F1901">
        <v>7</v>
      </c>
      <c r="G1901">
        <v>0</v>
      </c>
      <c r="H1901">
        <v>0</v>
      </c>
      <c r="I1901">
        <v>470</v>
      </c>
      <c r="J1901">
        <v>1600</v>
      </c>
      <c r="K1901">
        <v>1020</v>
      </c>
      <c r="L1901">
        <v>25</v>
      </c>
      <c r="M1901">
        <v>0</v>
      </c>
      <c r="N1901">
        <v>0</v>
      </c>
      <c r="O1901">
        <v>0</v>
      </c>
      <c r="P1901">
        <v>63</v>
      </c>
      <c r="Q1901">
        <v>317</v>
      </c>
      <c r="R1901">
        <v>7</v>
      </c>
      <c r="S1901" s="18">
        <f t="shared" si="296"/>
        <v>9</v>
      </c>
      <c r="T1901" s="17">
        <f t="shared" si="297"/>
        <v>0</v>
      </c>
      <c r="U1901" s="17">
        <f t="shared" si="298"/>
        <v>0</v>
      </c>
      <c r="V1901" s="17">
        <f t="shared" si="299"/>
        <v>0</v>
      </c>
      <c r="W1901" s="17">
        <f t="shared" si="300"/>
        <v>7</v>
      </c>
      <c r="X1901" s="17">
        <f t="shared" si="301"/>
        <v>310</v>
      </c>
      <c r="Y1901" s="19">
        <f t="shared" si="302"/>
        <v>0</v>
      </c>
      <c r="Z1901">
        <v>7</v>
      </c>
      <c r="AA1901">
        <v>40</v>
      </c>
      <c r="AB1901">
        <v>168</v>
      </c>
      <c r="AC1901">
        <v>1296</v>
      </c>
      <c r="AD1901">
        <v>0</v>
      </c>
      <c r="AE1901">
        <v>0</v>
      </c>
      <c r="AF1901">
        <v>0</v>
      </c>
      <c r="AG1901">
        <v>470</v>
      </c>
      <c r="AH1901">
        <v>470</v>
      </c>
      <c r="AI1901">
        <v>0</v>
      </c>
      <c r="AJ1901">
        <v>0</v>
      </c>
      <c r="AK1901">
        <v>1600</v>
      </c>
      <c r="AL1901">
        <v>1600</v>
      </c>
      <c r="AM1901">
        <v>0</v>
      </c>
      <c r="AN1901">
        <v>0</v>
      </c>
      <c r="AO1901">
        <v>1020</v>
      </c>
      <c r="AP1901">
        <v>960</v>
      </c>
      <c r="AQ1901">
        <v>1020</v>
      </c>
      <c r="AR1901">
        <v>60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25</v>
      </c>
      <c r="BA1901">
        <v>25</v>
      </c>
      <c r="BB1901">
        <v>0</v>
      </c>
      <c r="BC1901">
        <v>0</v>
      </c>
      <c r="BD1901">
        <v>0</v>
      </c>
      <c r="BE1901">
        <f t="shared" si="303"/>
        <v>8546</v>
      </c>
      <c r="BF1901">
        <v>4782</v>
      </c>
      <c r="BG1901">
        <v>4782</v>
      </c>
      <c r="BH1901" t="s">
        <v>82</v>
      </c>
      <c r="BI1901" t="s">
        <v>288</v>
      </c>
      <c r="BJ1901">
        <v>1660</v>
      </c>
      <c r="BK1901">
        <v>3115</v>
      </c>
      <c r="BL1901">
        <v>4782</v>
      </c>
      <c r="BM1901">
        <v>0</v>
      </c>
      <c r="BN1901">
        <v>0</v>
      </c>
      <c r="BO1901">
        <v>0</v>
      </c>
      <c r="BP1901">
        <v>3178</v>
      </c>
      <c r="BQ1901">
        <v>3178</v>
      </c>
      <c r="BR1901">
        <f t="shared" si="304"/>
        <v>-310</v>
      </c>
      <c r="BS1901">
        <f t="shared" si="305"/>
        <v>324</v>
      </c>
    </row>
    <row r="1902" spans="1:74" x14ac:dyDescent="0.25">
      <c r="A1902" s="5" t="s">
        <v>1337</v>
      </c>
      <c r="B1902" s="5" t="s">
        <v>207</v>
      </c>
      <c r="C1902" s="5" t="s">
        <v>61</v>
      </c>
      <c r="D1902" s="1" t="s">
        <v>67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260</v>
      </c>
      <c r="R1902">
        <v>0</v>
      </c>
      <c r="S1902" s="18" t="e">
        <f t="shared" si="296"/>
        <v>#DIV/0!</v>
      </c>
      <c r="T1902" s="17" t="e">
        <f t="shared" si="297"/>
        <v>#DIV/0!</v>
      </c>
      <c r="U1902" s="17" t="e">
        <f t="shared" si="298"/>
        <v>#DIV/0!</v>
      </c>
      <c r="V1902" s="17" t="e">
        <f t="shared" si="299"/>
        <v>#DIV/0!</v>
      </c>
      <c r="W1902" s="17" t="e">
        <f t="shared" si="300"/>
        <v>#DIV/0!</v>
      </c>
      <c r="X1902" s="17" t="e">
        <f t="shared" si="301"/>
        <v>#DIV/0!</v>
      </c>
      <c r="Y1902" s="19" t="e">
        <f t="shared" si="302"/>
        <v>#DIV/0!</v>
      </c>
      <c r="Z1902">
        <v>1150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f t="shared" si="303"/>
        <v>0</v>
      </c>
      <c r="BF1902">
        <v>0</v>
      </c>
      <c r="BG1902">
        <v>1150</v>
      </c>
      <c r="BH1902" t="s">
        <v>63</v>
      </c>
      <c r="BI1902" t="s">
        <v>1341</v>
      </c>
      <c r="BJ1902">
        <v>0</v>
      </c>
      <c r="BK1902">
        <v>0</v>
      </c>
      <c r="BL1902">
        <v>1150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f t="shared" si="304"/>
        <v>-260</v>
      </c>
      <c r="BS1902">
        <f t="shared" si="305"/>
        <v>260</v>
      </c>
      <c r="BU1902">
        <f>R1902*9</f>
        <v>0</v>
      </c>
      <c r="BV1902">
        <f>IF(BU1902&gt;BG1902, 1, 0)</f>
        <v>0</v>
      </c>
    </row>
    <row r="1903" spans="1:74" x14ac:dyDescent="0.25">
      <c r="A1903" s="5" t="s">
        <v>1946</v>
      </c>
      <c r="B1903" s="5" t="s">
        <v>207</v>
      </c>
      <c r="C1903" s="5" t="s">
        <v>61</v>
      </c>
      <c r="D1903" s="1" t="s">
        <v>62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15509</v>
      </c>
      <c r="K1903">
        <v>2098</v>
      </c>
      <c r="L1903">
        <v>1276</v>
      </c>
      <c r="M1903">
        <v>0</v>
      </c>
      <c r="N1903">
        <v>0</v>
      </c>
      <c r="O1903">
        <v>0</v>
      </c>
      <c r="P1903">
        <v>0</v>
      </c>
      <c r="Q1903">
        <v>260</v>
      </c>
      <c r="R1903">
        <v>0</v>
      </c>
      <c r="S1903" s="18" t="e">
        <f t="shared" si="296"/>
        <v>#DIV/0!</v>
      </c>
      <c r="T1903" s="17" t="e">
        <f t="shared" si="297"/>
        <v>#DIV/0!</v>
      </c>
      <c r="U1903" s="17" t="e">
        <f t="shared" si="298"/>
        <v>#DIV/0!</v>
      </c>
      <c r="V1903" s="17" t="e">
        <f t="shared" si="299"/>
        <v>#DIV/0!</v>
      </c>
      <c r="W1903" s="17" t="e">
        <f t="shared" si="300"/>
        <v>#DIV/0!</v>
      </c>
      <c r="X1903" s="17" t="e">
        <f t="shared" si="301"/>
        <v>#DIV/0!</v>
      </c>
      <c r="Y1903" s="19" t="e">
        <f t="shared" si="302"/>
        <v>#DIV/0!</v>
      </c>
      <c r="Z1903">
        <v>0</v>
      </c>
      <c r="AA1903">
        <v>0</v>
      </c>
      <c r="AB1903">
        <v>0</v>
      </c>
      <c r="AC1903">
        <v>1050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12000</v>
      </c>
      <c r="AK1903">
        <v>3509</v>
      </c>
      <c r="AL1903">
        <v>15509</v>
      </c>
      <c r="AM1903">
        <v>0</v>
      </c>
      <c r="AN1903">
        <v>2098</v>
      </c>
      <c r="AO1903">
        <v>0</v>
      </c>
      <c r="AP1903">
        <v>773</v>
      </c>
      <c r="AQ1903">
        <v>2098</v>
      </c>
      <c r="AR1903">
        <v>1325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1276</v>
      </c>
      <c r="AZ1903">
        <v>0</v>
      </c>
      <c r="BA1903">
        <v>1276</v>
      </c>
      <c r="BB1903">
        <v>0</v>
      </c>
      <c r="BC1903">
        <v>0</v>
      </c>
      <c r="BD1903">
        <v>0</v>
      </c>
      <c r="BE1903">
        <f t="shared" si="303"/>
        <v>40914</v>
      </c>
      <c r="BF1903">
        <v>19933</v>
      </c>
      <c r="BG1903">
        <v>19933</v>
      </c>
      <c r="BH1903" t="s">
        <v>63</v>
      </c>
      <c r="BI1903" t="s">
        <v>2009</v>
      </c>
      <c r="BJ1903">
        <v>1050</v>
      </c>
      <c r="BK1903">
        <v>18883</v>
      </c>
      <c r="BL1903">
        <v>19933</v>
      </c>
      <c r="BM1903">
        <v>0</v>
      </c>
      <c r="BN1903">
        <v>15374</v>
      </c>
      <c r="BO1903">
        <v>0</v>
      </c>
      <c r="BP1903">
        <v>3509</v>
      </c>
      <c r="BQ1903">
        <v>18883</v>
      </c>
      <c r="BR1903">
        <f t="shared" si="304"/>
        <v>-260</v>
      </c>
      <c r="BS1903">
        <f t="shared" si="305"/>
        <v>260</v>
      </c>
      <c r="BU1903">
        <f>R1903*9</f>
        <v>0</v>
      </c>
      <c r="BV1903">
        <f>IF(BU1903&gt;BG1903, 1, 0)</f>
        <v>0</v>
      </c>
    </row>
    <row r="1904" spans="1:74" x14ac:dyDescent="0.25">
      <c r="A1904" s="5" t="s">
        <v>61</v>
      </c>
      <c r="B1904" s="5" t="s">
        <v>359</v>
      </c>
      <c r="C1904" s="5" t="s">
        <v>61</v>
      </c>
      <c r="D1904" s="1" t="s">
        <v>153</v>
      </c>
      <c r="E1904">
        <v>0</v>
      </c>
      <c r="F1904">
        <v>90</v>
      </c>
      <c r="G1904">
        <v>0</v>
      </c>
      <c r="H1904">
        <v>0</v>
      </c>
      <c r="I1904">
        <v>940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774</v>
      </c>
      <c r="Q1904">
        <v>397</v>
      </c>
      <c r="R1904">
        <v>86</v>
      </c>
      <c r="S1904" s="18">
        <f t="shared" si="296"/>
        <v>9</v>
      </c>
      <c r="T1904" s="17">
        <f t="shared" si="297"/>
        <v>0</v>
      </c>
      <c r="U1904" s="17">
        <f t="shared" si="298"/>
        <v>0</v>
      </c>
      <c r="V1904" s="17">
        <f t="shared" si="299"/>
        <v>0</v>
      </c>
      <c r="W1904" s="17">
        <f t="shared" si="300"/>
        <v>86</v>
      </c>
      <c r="X1904" s="17">
        <f t="shared" si="301"/>
        <v>311</v>
      </c>
      <c r="Y1904" s="19">
        <f t="shared" si="302"/>
        <v>0</v>
      </c>
      <c r="Z1904">
        <v>90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940</v>
      </c>
      <c r="AH1904">
        <v>940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f t="shared" si="303"/>
        <v>1880</v>
      </c>
      <c r="BF1904">
        <v>1030</v>
      </c>
      <c r="BG1904">
        <v>1030</v>
      </c>
      <c r="BH1904" t="s">
        <v>109</v>
      </c>
      <c r="BI1904" t="s">
        <v>404</v>
      </c>
      <c r="BJ1904">
        <v>0</v>
      </c>
      <c r="BK1904">
        <v>940</v>
      </c>
      <c r="BL1904">
        <v>1030</v>
      </c>
      <c r="BM1904">
        <v>0</v>
      </c>
      <c r="BN1904">
        <v>0</v>
      </c>
      <c r="BO1904">
        <v>0</v>
      </c>
      <c r="BP1904">
        <v>1714</v>
      </c>
      <c r="BQ1904">
        <v>1714</v>
      </c>
      <c r="BR1904">
        <f t="shared" si="304"/>
        <v>-311</v>
      </c>
      <c r="BS1904">
        <f t="shared" si="305"/>
        <v>483</v>
      </c>
    </row>
    <row r="1905" spans="1:74" x14ac:dyDescent="0.25">
      <c r="A1905" s="5" t="s">
        <v>61</v>
      </c>
      <c r="B1905" s="5" t="s">
        <v>61</v>
      </c>
      <c r="C1905" s="5" t="s">
        <v>61</v>
      </c>
      <c r="D1905" s="1" t="s">
        <v>111</v>
      </c>
      <c r="E1905">
        <v>0</v>
      </c>
      <c r="F1905">
        <v>410</v>
      </c>
      <c r="G1905">
        <v>0</v>
      </c>
      <c r="H1905">
        <v>0</v>
      </c>
      <c r="I1905">
        <v>424</v>
      </c>
      <c r="J1905">
        <v>574</v>
      </c>
      <c r="K1905">
        <v>3004</v>
      </c>
      <c r="L1905">
        <v>100</v>
      </c>
      <c r="M1905">
        <v>0</v>
      </c>
      <c r="N1905">
        <v>0</v>
      </c>
      <c r="O1905">
        <v>0</v>
      </c>
      <c r="P1905">
        <v>2916</v>
      </c>
      <c r="Q1905">
        <v>636</v>
      </c>
      <c r="R1905">
        <v>324</v>
      </c>
      <c r="S1905" s="18">
        <f t="shared" si="296"/>
        <v>9</v>
      </c>
      <c r="T1905" s="17">
        <f t="shared" si="297"/>
        <v>0</v>
      </c>
      <c r="U1905" s="17">
        <f t="shared" si="298"/>
        <v>0</v>
      </c>
      <c r="V1905" s="17">
        <f t="shared" si="299"/>
        <v>0</v>
      </c>
      <c r="W1905" s="17">
        <f t="shared" si="300"/>
        <v>324</v>
      </c>
      <c r="X1905" s="17">
        <f t="shared" si="301"/>
        <v>312</v>
      </c>
      <c r="Y1905" s="19">
        <f t="shared" si="302"/>
        <v>0</v>
      </c>
      <c r="Z1905">
        <v>410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1463</v>
      </c>
      <c r="AH1905">
        <v>1463</v>
      </c>
      <c r="AI1905">
        <v>0</v>
      </c>
      <c r="AJ1905">
        <v>0</v>
      </c>
      <c r="AK1905">
        <v>574</v>
      </c>
      <c r="AL1905">
        <v>574</v>
      </c>
      <c r="AM1905">
        <v>0</v>
      </c>
      <c r="AN1905">
        <v>0</v>
      </c>
      <c r="AO1905">
        <v>1979</v>
      </c>
      <c r="AP1905">
        <v>770</v>
      </c>
      <c r="AQ1905">
        <v>1979</v>
      </c>
      <c r="AR1905">
        <v>1209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100</v>
      </c>
      <c r="BA1905">
        <v>100</v>
      </c>
      <c r="BB1905">
        <v>0</v>
      </c>
      <c r="BC1905">
        <v>0</v>
      </c>
      <c r="BD1905">
        <v>0</v>
      </c>
      <c r="BE1905">
        <f t="shared" si="303"/>
        <v>10211</v>
      </c>
      <c r="BF1905">
        <v>4526</v>
      </c>
      <c r="BG1905">
        <v>4526</v>
      </c>
      <c r="BH1905" t="s">
        <v>109</v>
      </c>
      <c r="BI1905" t="s">
        <v>112</v>
      </c>
      <c r="BJ1905">
        <v>0</v>
      </c>
      <c r="BK1905">
        <v>4116</v>
      </c>
      <c r="BL1905">
        <v>4526</v>
      </c>
      <c r="BM1905">
        <v>0</v>
      </c>
      <c r="BN1905">
        <v>0</v>
      </c>
      <c r="BO1905">
        <v>0</v>
      </c>
      <c r="BP1905">
        <v>7032</v>
      </c>
      <c r="BQ1905">
        <v>7032</v>
      </c>
      <c r="BR1905">
        <f t="shared" si="304"/>
        <v>-312</v>
      </c>
      <c r="BS1905">
        <f t="shared" si="305"/>
        <v>960</v>
      </c>
    </row>
    <row r="1906" spans="1:74" x14ac:dyDescent="0.25">
      <c r="A1906" s="5" t="s">
        <v>61</v>
      </c>
      <c r="B1906" s="5" t="s">
        <v>207</v>
      </c>
      <c r="C1906" s="5" t="s">
        <v>61</v>
      </c>
      <c r="D1906" s="1" t="s">
        <v>84</v>
      </c>
      <c r="E1906">
        <v>11</v>
      </c>
      <c r="F1906">
        <v>48</v>
      </c>
      <c r="G1906">
        <v>0</v>
      </c>
      <c r="H1906">
        <v>0</v>
      </c>
      <c r="I1906">
        <v>1680</v>
      </c>
      <c r="J1906">
        <v>0</v>
      </c>
      <c r="K1906">
        <v>0</v>
      </c>
      <c r="L1906">
        <v>21</v>
      </c>
      <c r="M1906">
        <v>0</v>
      </c>
      <c r="N1906">
        <v>0</v>
      </c>
      <c r="O1906">
        <v>0</v>
      </c>
      <c r="P1906">
        <v>432</v>
      </c>
      <c r="Q1906">
        <v>360</v>
      </c>
      <c r="R1906">
        <v>48</v>
      </c>
      <c r="S1906" s="18">
        <f t="shared" si="296"/>
        <v>9</v>
      </c>
      <c r="T1906" s="17">
        <f t="shared" si="297"/>
        <v>0</v>
      </c>
      <c r="U1906" s="17">
        <f t="shared" si="298"/>
        <v>0</v>
      </c>
      <c r="V1906" s="17">
        <f t="shared" si="299"/>
        <v>0</v>
      </c>
      <c r="W1906" s="17">
        <f t="shared" si="300"/>
        <v>48</v>
      </c>
      <c r="X1906" s="17">
        <f t="shared" si="301"/>
        <v>312</v>
      </c>
      <c r="Y1906" s="19">
        <f t="shared" si="302"/>
        <v>0</v>
      </c>
      <c r="Z1906">
        <v>48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1680</v>
      </c>
      <c r="AH1906">
        <v>1680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21</v>
      </c>
      <c r="BA1906">
        <v>21</v>
      </c>
      <c r="BB1906">
        <v>0</v>
      </c>
      <c r="BC1906">
        <v>0</v>
      </c>
      <c r="BD1906">
        <v>0</v>
      </c>
      <c r="BE1906">
        <f t="shared" si="303"/>
        <v>3402</v>
      </c>
      <c r="BF1906">
        <v>1760</v>
      </c>
      <c r="BG1906">
        <v>1760</v>
      </c>
      <c r="BH1906" t="s">
        <v>109</v>
      </c>
      <c r="BI1906" t="s">
        <v>218</v>
      </c>
      <c r="BJ1906">
        <v>11</v>
      </c>
      <c r="BK1906">
        <v>1701</v>
      </c>
      <c r="BL1906">
        <v>1760</v>
      </c>
      <c r="BM1906">
        <v>0</v>
      </c>
      <c r="BN1906">
        <v>0</v>
      </c>
      <c r="BO1906">
        <v>0</v>
      </c>
      <c r="BP1906">
        <v>2133</v>
      </c>
      <c r="BQ1906">
        <v>2133</v>
      </c>
      <c r="BR1906">
        <f t="shared" si="304"/>
        <v>-312</v>
      </c>
      <c r="BS1906">
        <f t="shared" si="305"/>
        <v>408</v>
      </c>
    </row>
    <row r="1907" spans="1:74" x14ac:dyDescent="0.25">
      <c r="A1907" s="5" t="s">
        <v>359</v>
      </c>
      <c r="B1907" s="5" t="s">
        <v>207</v>
      </c>
      <c r="C1907" s="5" t="s">
        <v>61</v>
      </c>
      <c r="D1907" s="1" t="s">
        <v>98</v>
      </c>
      <c r="E1907">
        <v>0</v>
      </c>
      <c r="F1907">
        <v>0</v>
      </c>
      <c r="G1907">
        <v>0</v>
      </c>
      <c r="H1907">
        <v>0</v>
      </c>
      <c r="I1907">
        <v>1350</v>
      </c>
      <c r="J1907">
        <v>0</v>
      </c>
      <c r="K1907">
        <v>3120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312</v>
      </c>
      <c r="R1907">
        <v>0</v>
      </c>
      <c r="S1907" s="18" t="e">
        <f t="shared" si="296"/>
        <v>#DIV/0!</v>
      </c>
      <c r="T1907" s="17" t="e">
        <f t="shared" si="297"/>
        <v>#DIV/0!</v>
      </c>
      <c r="U1907" s="17" t="e">
        <f t="shared" si="298"/>
        <v>#DIV/0!</v>
      </c>
      <c r="V1907" s="17" t="e">
        <f t="shared" si="299"/>
        <v>#DIV/0!</v>
      </c>
      <c r="W1907" s="17" t="e">
        <f t="shared" si="300"/>
        <v>#DIV/0!</v>
      </c>
      <c r="X1907" s="17" t="e">
        <f t="shared" si="301"/>
        <v>#DIV/0!</v>
      </c>
      <c r="Y1907" s="19" t="e">
        <f t="shared" si="302"/>
        <v>#DIV/0!</v>
      </c>
      <c r="Z1907">
        <v>0</v>
      </c>
      <c r="AA1907">
        <v>0</v>
      </c>
      <c r="AB1907">
        <v>0</v>
      </c>
      <c r="AC1907">
        <v>4550</v>
      </c>
      <c r="AD1907">
        <v>0</v>
      </c>
      <c r="AE1907">
        <v>0</v>
      </c>
      <c r="AF1907">
        <v>0</v>
      </c>
      <c r="AG1907">
        <v>1350</v>
      </c>
      <c r="AH1907">
        <v>1350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3120</v>
      </c>
      <c r="AP1907">
        <v>120</v>
      </c>
      <c r="AQ1907">
        <v>3120</v>
      </c>
      <c r="AR1907">
        <v>3000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f t="shared" si="303"/>
        <v>16610</v>
      </c>
      <c r="BF1907">
        <v>9020</v>
      </c>
      <c r="BG1907">
        <v>9020</v>
      </c>
      <c r="BH1907" t="s">
        <v>82</v>
      </c>
      <c r="BI1907" t="s">
        <v>747</v>
      </c>
      <c r="BJ1907">
        <v>4550</v>
      </c>
      <c r="BK1907">
        <v>4470</v>
      </c>
      <c r="BL1907">
        <v>9020</v>
      </c>
      <c r="BM1907">
        <v>0</v>
      </c>
      <c r="BN1907">
        <v>0</v>
      </c>
      <c r="BO1907">
        <v>0</v>
      </c>
      <c r="BP1907">
        <v>4470</v>
      </c>
      <c r="BQ1907">
        <v>4470</v>
      </c>
      <c r="BR1907">
        <f t="shared" si="304"/>
        <v>-312</v>
      </c>
      <c r="BS1907">
        <f t="shared" si="305"/>
        <v>312</v>
      </c>
    </row>
    <row r="1908" spans="1:74" x14ac:dyDescent="0.25">
      <c r="A1908" s="5" t="s">
        <v>61</v>
      </c>
      <c r="B1908" s="5" t="s">
        <v>359</v>
      </c>
      <c r="C1908" s="5" t="s">
        <v>61</v>
      </c>
      <c r="D1908" s="1" t="s">
        <v>102</v>
      </c>
      <c r="E1908">
        <v>0</v>
      </c>
      <c r="F1908">
        <v>30</v>
      </c>
      <c r="G1908">
        <v>0</v>
      </c>
      <c r="H1908">
        <v>0</v>
      </c>
      <c r="I1908">
        <v>1000</v>
      </c>
      <c r="J1908">
        <v>0</v>
      </c>
      <c r="K1908">
        <v>0</v>
      </c>
      <c r="L1908">
        <v>0</v>
      </c>
      <c r="M1908">
        <v>225</v>
      </c>
      <c r="N1908">
        <v>0</v>
      </c>
      <c r="O1908">
        <v>0</v>
      </c>
      <c r="P1908">
        <v>0</v>
      </c>
      <c r="Q1908">
        <v>338</v>
      </c>
      <c r="R1908">
        <v>25</v>
      </c>
      <c r="S1908" s="18">
        <f t="shared" si="296"/>
        <v>9</v>
      </c>
      <c r="T1908" s="17">
        <f t="shared" si="297"/>
        <v>25</v>
      </c>
      <c r="U1908" s="17">
        <f t="shared" si="298"/>
        <v>0</v>
      </c>
      <c r="V1908" s="17">
        <f t="shared" si="299"/>
        <v>0</v>
      </c>
      <c r="W1908" s="17">
        <f t="shared" si="300"/>
        <v>0</v>
      </c>
      <c r="X1908" s="17">
        <f t="shared" si="301"/>
        <v>313</v>
      </c>
      <c r="Y1908" s="19">
        <f t="shared" si="302"/>
        <v>0</v>
      </c>
      <c r="Z1908">
        <v>30</v>
      </c>
      <c r="AA1908">
        <v>0</v>
      </c>
      <c r="AB1908">
        <v>0</v>
      </c>
      <c r="AC1908">
        <v>0</v>
      </c>
      <c r="AD1908">
        <v>1000</v>
      </c>
      <c r="AE1908">
        <v>0</v>
      </c>
      <c r="AF1908">
        <v>0</v>
      </c>
      <c r="AG1908">
        <v>0</v>
      </c>
      <c r="AH1908">
        <v>1000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f t="shared" si="303"/>
        <v>2000</v>
      </c>
      <c r="BF1908">
        <v>1030</v>
      </c>
      <c r="BG1908">
        <v>1030</v>
      </c>
      <c r="BH1908" t="s">
        <v>109</v>
      </c>
      <c r="BI1908" t="s">
        <v>379</v>
      </c>
      <c r="BJ1908">
        <v>0</v>
      </c>
      <c r="BK1908">
        <v>1000</v>
      </c>
      <c r="BL1908">
        <v>1030</v>
      </c>
      <c r="BM1908">
        <v>1225</v>
      </c>
      <c r="BN1908">
        <v>0</v>
      </c>
      <c r="BO1908">
        <v>0</v>
      </c>
      <c r="BP1908">
        <v>0</v>
      </c>
      <c r="BQ1908">
        <v>1225</v>
      </c>
      <c r="BR1908">
        <f t="shared" si="304"/>
        <v>-313</v>
      </c>
      <c r="BS1908">
        <f t="shared" si="305"/>
        <v>363</v>
      </c>
    </row>
    <row r="1909" spans="1:74" x14ac:dyDescent="0.25">
      <c r="A1909" s="5" t="s">
        <v>1451</v>
      </c>
      <c r="B1909" s="5" t="s">
        <v>359</v>
      </c>
      <c r="C1909" s="5" t="s">
        <v>61</v>
      </c>
      <c r="D1909" s="1" t="s">
        <v>90</v>
      </c>
      <c r="E1909">
        <v>0</v>
      </c>
      <c r="F1909">
        <v>10890</v>
      </c>
      <c r="G1909">
        <v>0</v>
      </c>
      <c r="H1909">
        <v>0</v>
      </c>
      <c r="I1909">
        <v>5990</v>
      </c>
      <c r="J1909">
        <v>0</v>
      </c>
      <c r="K1909">
        <v>115</v>
      </c>
      <c r="L1909">
        <v>0</v>
      </c>
      <c r="M1909">
        <v>5346</v>
      </c>
      <c r="N1909">
        <v>43956</v>
      </c>
      <c r="O1909">
        <v>0</v>
      </c>
      <c r="P1909">
        <v>7623</v>
      </c>
      <c r="Q1909">
        <v>6638</v>
      </c>
      <c r="R1909">
        <v>6325</v>
      </c>
      <c r="S1909" s="18">
        <f t="shared" si="296"/>
        <v>9</v>
      </c>
      <c r="T1909" s="17">
        <f t="shared" si="297"/>
        <v>594</v>
      </c>
      <c r="U1909" s="17">
        <f t="shared" si="298"/>
        <v>4884</v>
      </c>
      <c r="V1909" s="17">
        <f t="shared" si="299"/>
        <v>0</v>
      </c>
      <c r="W1909" s="17">
        <f t="shared" si="300"/>
        <v>847</v>
      </c>
      <c r="X1909" s="17">
        <f t="shared" si="301"/>
        <v>313</v>
      </c>
      <c r="Y1909" s="19">
        <f t="shared" si="302"/>
        <v>0</v>
      </c>
      <c r="Z1909">
        <v>10890</v>
      </c>
      <c r="AA1909">
        <v>0</v>
      </c>
      <c r="AB1909">
        <v>0</v>
      </c>
      <c r="AC1909">
        <v>0</v>
      </c>
      <c r="AD1909">
        <v>1640</v>
      </c>
      <c r="AE1909">
        <v>3045</v>
      </c>
      <c r="AF1909">
        <v>0</v>
      </c>
      <c r="AG1909">
        <v>1305</v>
      </c>
      <c r="AH1909">
        <v>5990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115</v>
      </c>
      <c r="AP1909">
        <v>115</v>
      </c>
      <c r="AQ1909">
        <v>115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f t="shared" si="303"/>
        <v>12325</v>
      </c>
      <c r="BF1909">
        <v>16995</v>
      </c>
      <c r="BG1909">
        <v>16995</v>
      </c>
      <c r="BH1909" t="s">
        <v>109</v>
      </c>
      <c r="BI1909" t="s">
        <v>1613</v>
      </c>
      <c r="BJ1909">
        <v>0</v>
      </c>
      <c r="BK1909">
        <v>6105</v>
      </c>
      <c r="BL1909">
        <v>16995</v>
      </c>
      <c r="BM1909">
        <v>6986</v>
      </c>
      <c r="BN1909">
        <v>47001</v>
      </c>
      <c r="BO1909">
        <v>0</v>
      </c>
      <c r="BP1909">
        <v>9043</v>
      </c>
      <c r="BQ1909">
        <v>63030</v>
      </c>
      <c r="BR1909">
        <f t="shared" si="304"/>
        <v>-313</v>
      </c>
      <c r="BS1909">
        <f t="shared" si="305"/>
        <v>12963</v>
      </c>
    </row>
    <row r="1910" spans="1:74" x14ac:dyDescent="0.25">
      <c r="A1910" s="5" t="s">
        <v>207</v>
      </c>
      <c r="B1910" s="5" t="s">
        <v>627</v>
      </c>
      <c r="C1910" s="5" t="s">
        <v>61</v>
      </c>
      <c r="D1910" s="1" t="s">
        <v>96</v>
      </c>
      <c r="E1910">
        <v>0</v>
      </c>
      <c r="F1910">
        <v>0</v>
      </c>
      <c r="G1910">
        <v>0</v>
      </c>
      <c r="H1910">
        <v>0</v>
      </c>
      <c r="I1910">
        <v>200</v>
      </c>
      <c r="J1910">
        <v>2130</v>
      </c>
      <c r="K1910">
        <v>177</v>
      </c>
      <c r="L1910">
        <v>65</v>
      </c>
      <c r="M1910">
        <v>0</v>
      </c>
      <c r="N1910">
        <v>0</v>
      </c>
      <c r="O1910">
        <v>0</v>
      </c>
      <c r="P1910">
        <v>0</v>
      </c>
      <c r="Q1910">
        <v>315</v>
      </c>
      <c r="R1910">
        <v>0</v>
      </c>
      <c r="S1910" s="18" t="e">
        <f t="shared" si="296"/>
        <v>#DIV/0!</v>
      </c>
      <c r="T1910" s="17" t="e">
        <f t="shared" si="297"/>
        <v>#DIV/0!</v>
      </c>
      <c r="U1910" s="17" t="e">
        <f t="shared" si="298"/>
        <v>#DIV/0!</v>
      </c>
      <c r="V1910" s="17" t="e">
        <f t="shared" si="299"/>
        <v>#DIV/0!</v>
      </c>
      <c r="W1910" s="17" t="e">
        <f t="shared" si="300"/>
        <v>#DIV/0!</v>
      </c>
      <c r="X1910" s="17" t="e">
        <f t="shared" si="301"/>
        <v>#DIV/0!</v>
      </c>
      <c r="Y1910" s="19" t="e">
        <f t="shared" si="302"/>
        <v>#DIV/0!</v>
      </c>
      <c r="Z1910">
        <v>0</v>
      </c>
      <c r="AA1910">
        <v>2</v>
      </c>
      <c r="AB1910">
        <v>200</v>
      </c>
      <c r="AC1910">
        <v>1200</v>
      </c>
      <c r="AD1910">
        <v>0</v>
      </c>
      <c r="AE1910">
        <v>0</v>
      </c>
      <c r="AF1910">
        <v>0</v>
      </c>
      <c r="AG1910">
        <v>200</v>
      </c>
      <c r="AH1910">
        <v>200</v>
      </c>
      <c r="AI1910">
        <v>0</v>
      </c>
      <c r="AJ1910">
        <v>0</v>
      </c>
      <c r="AK1910">
        <v>2130</v>
      </c>
      <c r="AL1910">
        <v>2130</v>
      </c>
      <c r="AM1910">
        <v>0</v>
      </c>
      <c r="AN1910">
        <v>0</v>
      </c>
      <c r="AO1910">
        <v>177</v>
      </c>
      <c r="AP1910">
        <v>128</v>
      </c>
      <c r="AQ1910">
        <v>177</v>
      </c>
      <c r="AR1910">
        <v>49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65</v>
      </c>
      <c r="BA1910">
        <v>65</v>
      </c>
      <c r="BB1910">
        <v>0</v>
      </c>
      <c r="BC1910">
        <v>0</v>
      </c>
      <c r="BD1910">
        <v>0</v>
      </c>
      <c r="BE1910">
        <f t="shared" si="303"/>
        <v>6521</v>
      </c>
      <c r="BF1910">
        <v>3974</v>
      </c>
      <c r="BG1910">
        <v>3974</v>
      </c>
      <c r="BH1910" t="s">
        <v>82</v>
      </c>
      <c r="BI1910" t="s">
        <v>642</v>
      </c>
      <c r="BJ1910">
        <v>1402</v>
      </c>
      <c r="BK1910">
        <v>2572</v>
      </c>
      <c r="BL1910">
        <v>3974</v>
      </c>
      <c r="BM1910">
        <v>0</v>
      </c>
      <c r="BN1910">
        <v>0</v>
      </c>
      <c r="BO1910">
        <v>0</v>
      </c>
      <c r="BP1910">
        <v>2572</v>
      </c>
      <c r="BQ1910">
        <v>2572</v>
      </c>
      <c r="BR1910">
        <f t="shared" si="304"/>
        <v>-315</v>
      </c>
      <c r="BS1910">
        <f t="shared" si="305"/>
        <v>315</v>
      </c>
    </row>
    <row r="1911" spans="1:74" x14ac:dyDescent="0.25">
      <c r="A1911" s="5" t="s">
        <v>207</v>
      </c>
      <c r="B1911" s="5" t="s">
        <v>627</v>
      </c>
      <c r="C1911" s="5" t="s">
        <v>61</v>
      </c>
      <c r="D1911" s="1" t="s">
        <v>104</v>
      </c>
      <c r="E1911">
        <v>0</v>
      </c>
      <c r="F1911">
        <v>579</v>
      </c>
      <c r="G1911">
        <v>0</v>
      </c>
      <c r="H1911">
        <v>0</v>
      </c>
      <c r="I1911">
        <v>0</v>
      </c>
      <c r="J1911">
        <v>5167</v>
      </c>
      <c r="K1911">
        <v>116</v>
      </c>
      <c r="L1911">
        <v>6</v>
      </c>
      <c r="M1911">
        <v>0</v>
      </c>
      <c r="N1911">
        <v>0</v>
      </c>
      <c r="O1911">
        <v>0</v>
      </c>
      <c r="P1911">
        <v>1980</v>
      </c>
      <c r="Q1911">
        <v>535</v>
      </c>
      <c r="R1911">
        <v>220</v>
      </c>
      <c r="S1911" s="18">
        <f t="shared" si="296"/>
        <v>9</v>
      </c>
      <c r="T1911" s="17">
        <f t="shared" si="297"/>
        <v>0</v>
      </c>
      <c r="U1911" s="17">
        <f t="shared" si="298"/>
        <v>0</v>
      </c>
      <c r="V1911" s="17">
        <f t="shared" si="299"/>
        <v>0</v>
      </c>
      <c r="W1911" s="17">
        <f t="shared" si="300"/>
        <v>220</v>
      </c>
      <c r="X1911" s="17">
        <f t="shared" si="301"/>
        <v>315</v>
      </c>
      <c r="Y1911" s="19">
        <f t="shared" si="302"/>
        <v>0</v>
      </c>
      <c r="Z1911">
        <v>579</v>
      </c>
      <c r="AA1911">
        <v>0</v>
      </c>
      <c r="AB1911">
        <v>40</v>
      </c>
      <c r="AC1911">
        <v>2656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5167</v>
      </c>
      <c r="AL1911">
        <v>5167</v>
      </c>
      <c r="AM1911">
        <v>0</v>
      </c>
      <c r="AN1911">
        <v>0</v>
      </c>
      <c r="AO1911">
        <v>116</v>
      </c>
      <c r="AP1911">
        <v>0</v>
      </c>
      <c r="AQ1911">
        <v>116</v>
      </c>
      <c r="AR1911">
        <v>116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6</v>
      </c>
      <c r="BA1911">
        <v>6</v>
      </c>
      <c r="BB1911">
        <v>0</v>
      </c>
      <c r="BC1911">
        <v>0</v>
      </c>
      <c r="BD1911">
        <v>0</v>
      </c>
      <c r="BE1911">
        <f t="shared" si="303"/>
        <v>13350</v>
      </c>
      <c r="BF1911">
        <v>8564</v>
      </c>
      <c r="BG1911">
        <v>8564</v>
      </c>
      <c r="BH1911" t="s">
        <v>82</v>
      </c>
      <c r="BI1911" t="s">
        <v>646</v>
      </c>
      <c r="BJ1911">
        <v>2696</v>
      </c>
      <c r="BK1911">
        <v>5289</v>
      </c>
      <c r="BL1911">
        <v>8564</v>
      </c>
      <c r="BM1911">
        <v>0</v>
      </c>
      <c r="BN1911">
        <v>0</v>
      </c>
      <c r="BO1911">
        <v>0</v>
      </c>
      <c r="BP1911">
        <v>7269</v>
      </c>
      <c r="BQ1911">
        <v>7269</v>
      </c>
      <c r="BR1911">
        <f t="shared" si="304"/>
        <v>-315</v>
      </c>
      <c r="BS1911">
        <f t="shared" si="305"/>
        <v>755</v>
      </c>
    </row>
    <row r="1912" spans="1:74" x14ac:dyDescent="0.25">
      <c r="A1912" s="5" t="s">
        <v>1451</v>
      </c>
      <c r="B1912" s="5" t="s">
        <v>207</v>
      </c>
      <c r="C1912" s="5" t="s">
        <v>61</v>
      </c>
      <c r="D1912" s="1" t="s">
        <v>65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2800</v>
      </c>
      <c r="K1912">
        <v>920</v>
      </c>
      <c r="L1912">
        <v>120</v>
      </c>
      <c r="M1912">
        <v>0</v>
      </c>
      <c r="N1912">
        <v>0</v>
      </c>
      <c r="O1912">
        <v>0</v>
      </c>
      <c r="P1912">
        <v>0</v>
      </c>
      <c r="Q1912">
        <v>262</v>
      </c>
      <c r="R1912">
        <v>0</v>
      </c>
      <c r="S1912" s="18" t="e">
        <f t="shared" si="296"/>
        <v>#DIV/0!</v>
      </c>
      <c r="T1912" s="17" t="e">
        <f t="shared" si="297"/>
        <v>#DIV/0!</v>
      </c>
      <c r="U1912" s="17" t="e">
        <f t="shared" si="298"/>
        <v>#DIV/0!</v>
      </c>
      <c r="V1912" s="17" t="e">
        <f t="shared" si="299"/>
        <v>#DIV/0!</v>
      </c>
      <c r="W1912" s="17" t="e">
        <f t="shared" si="300"/>
        <v>#DIV/0!</v>
      </c>
      <c r="X1912" s="17" t="e">
        <f t="shared" si="301"/>
        <v>#DIV/0!</v>
      </c>
      <c r="Y1912" s="19" t="e">
        <f t="shared" si="302"/>
        <v>#DIV/0!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2800</v>
      </c>
      <c r="AL1912">
        <v>2800</v>
      </c>
      <c r="AM1912">
        <v>0</v>
      </c>
      <c r="AN1912">
        <v>0</v>
      </c>
      <c r="AO1912">
        <v>920</v>
      </c>
      <c r="AP1912">
        <v>0</v>
      </c>
      <c r="AQ1912">
        <v>920</v>
      </c>
      <c r="AR1912">
        <v>920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120</v>
      </c>
      <c r="BA1912">
        <v>120</v>
      </c>
      <c r="BB1912">
        <v>0</v>
      </c>
      <c r="BC1912">
        <v>0</v>
      </c>
      <c r="BD1912">
        <v>0</v>
      </c>
      <c r="BE1912">
        <f t="shared" si="303"/>
        <v>8600</v>
      </c>
      <c r="BF1912">
        <v>3840</v>
      </c>
      <c r="BG1912">
        <v>3840</v>
      </c>
      <c r="BH1912" t="s">
        <v>63</v>
      </c>
      <c r="BI1912" t="s">
        <v>1535</v>
      </c>
      <c r="BJ1912">
        <v>0</v>
      </c>
      <c r="BK1912">
        <v>3840</v>
      </c>
      <c r="BL1912">
        <v>3840</v>
      </c>
      <c r="BM1912">
        <v>0</v>
      </c>
      <c r="BN1912">
        <v>0</v>
      </c>
      <c r="BO1912">
        <v>0</v>
      </c>
      <c r="BP1912">
        <v>3840</v>
      </c>
      <c r="BQ1912">
        <v>3840</v>
      </c>
      <c r="BR1912">
        <f t="shared" si="304"/>
        <v>-262</v>
      </c>
      <c r="BS1912">
        <f t="shared" si="305"/>
        <v>262</v>
      </c>
      <c r="BU1912">
        <f>R1912*9</f>
        <v>0</v>
      </c>
      <c r="BV1912">
        <f>IF(BU1912&gt;BG1912, 1, 0)</f>
        <v>0</v>
      </c>
    </row>
    <row r="1913" spans="1:74" x14ac:dyDescent="0.25">
      <c r="A1913" s="5" t="s">
        <v>1946</v>
      </c>
      <c r="B1913" s="5" t="s">
        <v>207</v>
      </c>
      <c r="C1913" s="5" t="s">
        <v>207</v>
      </c>
      <c r="D1913" s="1" t="s">
        <v>123</v>
      </c>
      <c r="E1913">
        <v>0</v>
      </c>
      <c r="F1913">
        <v>545</v>
      </c>
      <c r="G1913">
        <v>0</v>
      </c>
      <c r="H1913">
        <v>0</v>
      </c>
      <c r="I1913">
        <v>923</v>
      </c>
      <c r="J1913">
        <v>0</v>
      </c>
      <c r="K1913">
        <v>5</v>
      </c>
      <c r="L1913">
        <v>0</v>
      </c>
      <c r="M1913">
        <v>774</v>
      </c>
      <c r="N1913">
        <v>0</v>
      </c>
      <c r="O1913">
        <v>0</v>
      </c>
      <c r="P1913">
        <v>0</v>
      </c>
      <c r="Q1913">
        <v>402</v>
      </c>
      <c r="R1913">
        <v>86</v>
      </c>
      <c r="S1913" s="18">
        <f t="shared" si="296"/>
        <v>9</v>
      </c>
      <c r="T1913" s="17">
        <f t="shared" si="297"/>
        <v>86</v>
      </c>
      <c r="U1913" s="17">
        <f t="shared" si="298"/>
        <v>0</v>
      </c>
      <c r="V1913" s="17">
        <f t="shared" si="299"/>
        <v>0</v>
      </c>
      <c r="W1913" s="17">
        <f t="shared" si="300"/>
        <v>0</v>
      </c>
      <c r="X1913" s="17">
        <f t="shared" si="301"/>
        <v>316</v>
      </c>
      <c r="Y1913" s="19">
        <f t="shared" si="302"/>
        <v>0</v>
      </c>
      <c r="Z1913">
        <v>545</v>
      </c>
      <c r="AA1913">
        <v>0</v>
      </c>
      <c r="AB1913">
        <v>0</v>
      </c>
      <c r="AC1913">
        <v>0</v>
      </c>
      <c r="AD1913">
        <v>923</v>
      </c>
      <c r="AE1913">
        <v>0</v>
      </c>
      <c r="AF1913">
        <v>0</v>
      </c>
      <c r="AG1913">
        <v>0</v>
      </c>
      <c r="AH1913">
        <v>923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5</v>
      </c>
      <c r="AP1913">
        <v>0</v>
      </c>
      <c r="AQ1913">
        <v>5</v>
      </c>
      <c r="AR1913">
        <v>5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f t="shared" si="303"/>
        <v>1861</v>
      </c>
      <c r="BF1913">
        <v>1473</v>
      </c>
      <c r="BG1913">
        <v>1473</v>
      </c>
      <c r="BH1913" t="s">
        <v>109</v>
      </c>
      <c r="BI1913" t="s">
        <v>2066</v>
      </c>
      <c r="BJ1913">
        <v>0</v>
      </c>
      <c r="BK1913">
        <v>928</v>
      </c>
      <c r="BL1913">
        <v>1473</v>
      </c>
      <c r="BM1913">
        <v>1697</v>
      </c>
      <c r="BN1913">
        <v>0</v>
      </c>
      <c r="BO1913">
        <v>0</v>
      </c>
      <c r="BP1913">
        <v>5</v>
      </c>
      <c r="BQ1913">
        <v>1702</v>
      </c>
      <c r="BR1913">
        <f t="shared" si="304"/>
        <v>-316</v>
      </c>
      <c r="BS1913">
        <f t="shared" si="305"/>
        <v>488</v>
      </c>
    </row>
    <row r="1914" spans="1:74" x14ac:dyDescent="0.25">
      <c r="A1914" s="5" t="s">
        <v>61</v>
      </c>
      <c r="B1914" s="5" t="s">
        <v>359</v>
      </c>
      <c r="C1914" s="5" t="s">
        <v>61</v>
      </c>
      <c r="D1914" s="1" t="s">
        <v>115</v>
      </c>
      <c r="E1914">
        <v>0</v>
      </c>
      <c r="F1914">
        <v>60</v>
      </c>
      <c r="G1914">
        <v>0</v>
      </c>
      <c r="H1914">
        <v>0</v>
      </c>
      <c r="I1914">
        <v>3900</v>
      </c>
      <c r="J1914">
        <v>0</v>
      </c>
      <c r="K1914">
        <v>30</v>
      </c>
      <c r="L1914">
        <v>0</v>
      </c>
      <c r="M1914">
        <v>0</v>
      </c>
      <c r="N1914">
        <v>0</v>
      </c>
      <c r="O1914">
        <v>0</v>
      </c>
      <c r="P1914">
        <v>504</v>
      </c>
      <c r="Q1914">
        <v>373</v>
      </c>
      <c r="R1914">
        <v>56</v>
      </c>
      <c r="S1914" s="18">
        <f t="shared" si="296"/>
        <v>9</v>
      </c>
      <c r="T1914" s="17">
        <f t="shared" si="297"/>
        <v>0</v>
      </c>
      <c r="U1914" s="17">
        <f t="shared" si="298"/>
        <v>0</v>
      </c>
      <c r="V1914" s="17">
        <f t="shared" si="299"/>
        <v>0</v>
      </c>
      <c r="W1914" s="17">
        <f t="shared" si="300"/>
        <v>56</v>
      </c>
      <c r="X1914" s="17">
        <f t="shared" si="301"/>
        <v>317</v>
      </c>
      <c r="Y1914" s="19">
        <f t="shared" si="302"/>
        <v>0</v>
      </c>
      <c r="Z1914">
        <v>60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3900</v>
      </c>
      <c r="AH1914">
        <v>3900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30</v>
      </c>
      <c r="AP1914">
        <v>30</v>
      </c>
      <c r="AQ1914">
        <v>30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f t="shared" si="303"/>
        <v>7890</v>
      </c>
      <c r="BF1914">
        <v>3990</v>
      </c>
      <c r="BG1914">
        <v>3990</v>
      </c>
      <c r="BH1914" t="s">
        <v>109</v>
      </c>
      <c r="BI1914" t="s">
        <v>385</v>
      </c>
      <c r="BJ1914">
        <v>0</v>
      </c>
      <c r="BK1914">
        <v>3930</v>
      </c>
      <c r="BL1914">
        <v>3990</v>
      </c>
      <c r="BM1914">
        <v>0</v>
      </c>
      <c r="BN1914">
        <v>0</v>
      </c>
      <c r="BO1914">
        <v>0</v>
      </c>
      <c r="BP1914">
        <v>4434</v>
      </c>
      <c r="BQ1914">
        <v>4434</v>
      </c>
      <c r="BR1914">
        <f t="shared" si="304"/>
        <v>-317</v>
      </c>
      <c r="BS1914">
        <f t="shared" si="305"/>
        <v>429</v>
      </c>
    </row>
    <row r="1915" spans="1:74" x14ac:dyDescent="0.25">
      <c r="A1915" s="5" t="s">
        <v>1661</v>
      </c>
      <c r="B1915" s="5" t="s">
        <v>359</v>
      </c>
      <c r="C1915" s="5" t="s">
        <v>207</v>
      </c>
      <c r="D1915" s="1" t="s">
        <v>115</v>
      </c>
      <c r="E1915">
        <v>0</v>
      </c>
      <c r="F1915">
        <v>6</v>
      </c>
      <c r="G1915">
        <v>0</v>
      </c>
      <c r="H1915">
        <v>0</v>
      </c>
      <c r="I1915">
        <v>14</v>
      </c>
      <c r="J1915">
        <v>0</v>
      </c>
      <c r="K1915">
        <v>1737</v>
      </c>
      <c r="L1915">
        <v>80</v>
      </c>
      <c r="M1915">
        <v>0</v>
      </c>
      <c r="N1915">
        <v>0</v>
      </c>
      <c r="O1915">
        <v>0</v>
      </c>
      <c r="P1915">
        <v>63</v>
      </c>
      <c r="Q1915">
        <v>324</v>
      </c>
      <c r="R1915">
        <v>7</v>
      </c>
      <c r="S1915" s="18">
        <f t="shared" si="296"/>
        <v>9</v>
      </c>
      <c r="T1915" s="17">
        <f t="shared" si="297"/>
        <v>0</v>
      </c>
      <c r="U1915" s="17">
        <f t="shared" si="298"/>
        <v>0</v>
      </c>
      <c r="V1915" s="17">
        <f t="shared" si="299"/>
        <v>0</v>
      </c>
      <c r="W1915" s="17">
        <f t="shared" si="300"/>
        <v>7</v>
      </c>
      <c r="X1915" s="17">
        <f t="shared" si="301"/>
        <v>317</v>
      </c>
      <c r="Y1915" s="19">
        <f t="shared" si="302"/>
        <v>0</v>
      </c>
      <c r="Z1915">
        <v>6</v>
      </c>
      <c r="AA1915">
        <v>125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14</v>
      </c>
      <c r="AH1915">
        <v>14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1737</v>
      </c>
      <c r="AP1915">
        <v>1670</v>
      </c>
      <c r="AQ1915">
        <v>1737</v>
      </c>
      <c r="AR1915">
        <v>67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80</v>
      </c>
      <c r="BA1915">
        <v>80</v>
      </c>
      <c r="BB1915">
        <v>0</v>
      </c>
      <c r="BC1915">
        <v>0</v>
      </c>
      <c r="BD1915">
        <v>0</v>
      </c>
      <c r="BE1915">
        <f t="shared" si="303"/>
        <v>5399</v>
      </c>
      <c r="BF1915">
        <v>3047</v>
      </c>
      <c r="BG1915">
        <v>3047</v>
      </c>
      <c r="BH1915" t="s">
        <v>82</v>
      </c>
      <c r="BI1915" t="s">
        <v>1907</v>
      </c>
      <c r="BJ1915">
        <v>125</v>
      </c>
      <c r="BK1915">
        <v>1831</v>
      </c>
      <c r="BL1915">
        <v>1962</v>
      </c>
      <c r="BM1915">
        <v>0</v>
      </c>
      <c r="BN1915">
        <v>0</v>
      </c>
      <c r="BO1915">
        <v>0</v>
      </c>
      <c r="BP1915">
        <v>1894</v>
      </c>
      <c r="BQ1915">
        <v>1894</v>
      </c>
      <c r="BR1915">
        <f t="shared" si="304"/>
        <v>-317</v>
      </c>
      <c r="BS1915">
        <f t="shared" si="305"/>
        <v>331</v>
      </c>
    </row>
    <row r="1916" spans="1:74" x14ac:dyDescent="0.25">
      <c r="A1916" s="6" t="s">
        <v>1337</v>
      </c>
      <c r="B1916" s="6" t="s">
        <v>61</v>
      </c>
      <c r="C1916" s="6" t="s">
        <v>61</v>
      </c>
      <c r="D1916" s="1" t="s">
        <v>139</v>
      </c>
      <c r="E1916">
        <v>0</v>
      </c>
      <c r="F1916">
        <v>282</v>
      </c>
      <c r="G1916">
        <v>0</v>
      </c>
      <c r="H1916">
        <v>0</v>
      </c>
      <c r="I1916">
        <v>177</v>
      </c>
      <c r="J1916">
        <v>2470</v>
      </c>
      <c r="K1916">
        <v>293</v>
      </c>
      <c r="L1916">
        <v>7</v>
      </c>
      <c r="M1916">
        <v>0</v>
      </c>
      <c r="N1916">
        <v>0</v>
      </c>
      <c r="O1916">
        <v>0</v>
      </c>
      <c r="P1916">
        <v>900</v>
      </c>
      <c r="Q1916">
        <v>418</v>
      </c>
      <c r="R1916">
        <v>100</v>
      </c>
      <c r="S1916" s="18">
        <f t="shared" si="296"/>
        <v>9</v>
      </c>
      <c r="T1916" s="17">
        <f t="shared" si="297"/>
        <v>0</v>
      </c>
      <c r="U1916" s="17">
        <f t="shared" si="298"/>
        <v>0</v>
      </c>
      <c r="V1916" s="17">
        <f t="shared" si="299"/>
        <v>0</v>
      </c>
      <c r="W1916" s="17">
        <f t="shared" si="300"/>
        <v>100</v>
      </c>
      <c r="X1916" s="17">
        <f t="shared" si="301"/>
        <v>318</v>
      </c>
      <c r="Y1916" s="19">
        <f t="shared" si="302"/>
        <v>0</v>
      </c>
      <c r="Z1916">
        <v>282</v>
      </c>
      <c r="AA1916">
        <v>4</v>
      </c>
      <c r="AB1916">
        <v>0</v>
      </c>
      <c r="AC1916">
        <v>1000</v>
      </c>
      <c r="AD1916">
        <v>0</v>
      </c>
      <c r="AE1916">
        <v>0</v>
      </c>
      <c r="AF1916">
        <v>0</v>
      </c>
      <c r="AG1916">
        <v>177</v>
      </c>
      <c r="AH1916">
        <v>177</v>
      </c>
      <c r="AI1916">
        <v>0</v>
      </c>
      <c r="AJ1916">
        <v>0</v>
      </c>
      <c r="AK1916">
        <v>2470</v>
      </c>
      <c r="AL1916">
        <v>2470</v>
      </c>
      <c r="AM1916">
        <v>0</v>
      </c>
      <c r="AN1916">
        <v>0</v>
      </c>
      <c r="AO1916">
        <v>293</v>
      </c>
      <c r="AP1916">
        <v>95</v>
      </c>
      <c r="AQ1916">
        <v>293</v>
      </c>
      <c r="AR1916">
        <v>198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7</v>
      </c>
      <c r="BA1916">
        <v>7</v>
      </c>
      <c r="BB1916">
        <v>0</v>
      </c>
      <c r="BC1916">
        <v>0</v>
      </c>
      <c r="BD1916">
        <v>0</v>
      </c>
      <c r="BE1916">
        <f t="shared" si="303"/>
        <v>7187</v>
      </c>
      <c r="BF1916">
        <v>4233</v>
      </c>
      <c r="BG1916">
        <v>4233</v>
      </c>
      <c r="BH1916" t="s">
        <v>82</v>
      </c>
      <c r="BI1916" t="s">
        <v>1370</v>
      </c>
      <c r="BJ1916">
        <v>1004</v>
      </c>
      <c r="BK1916">
        <v>2947</v>
      </c>
      <c r="BL1916">
        <v>4233</v>
      </c>
      <c r="BM1916">
        <v>0</v>
      </c>
      <c r="BN1916">
        <v>0</v>
      </c>
      <c r="BO1916">
        <v>0</v>
      </c>
      <c r="BP1916">
        <v>3847</v>
      </c>
      <c r="BQ1916">
        <v>3847</v>
      </c>
      <c r="BR1916">
        <f t="shared" si="304"/>
        <v>-318</v>
      </c>
      <c r="BS1916">
        <f t="shared" si="305"/>
        <v>518</v>
      </c>
    </row>
    <row r="1917" spans="1:74" x14ac:dyDescent="0.25">
      <c r="A1917" s="7" t="s">
        <v>1661</v>
      </c>
      <c r="B1917" s="7" t="s">
        <v>61</v>
      </c>
      <c r="C1917" s="7" t="s">
        <v>359</v>
      </c>
      <c r="D1917" s="1" t="s">
        <v>127</v>
      </c>
      <c r="E1917">
        <v>0</v>
      </c>
      <c r="F1917">
        <v>114</v>
      </c>
      <c r="G1917">
        <v>0</v>
      </c>
      <c r="H1917">
        <v>0</v>
      </c>
      <c r="I1917">
        <v>284</v>
      </c>
      <c r="J1917">
        <v>5367</v>
      </c>
      <c r="K1917">
        <v>64</v>
      </c>
      <c r="L1917">
        <v>42</v>
      </c>
      <c r="M1917">
        <v>0</v>
      </c>
      <c r="N1917">
        <v>0</v>
      </c>
      <c r="O1917">
        <v>0</v>
      </c>
      <c r="P1917">
        <v>630</v>
      </c>
      <c r="Q1917">
        <v>388</v>
      </c>
      <c r="R1917">
        <v>70</v>
      </c>
      <c r="S1917" s="18">
        <f t="shared" si="296"/>
        <v>9</v>
      </c>
      <c r="T1917" s="17">
        <f t="shared" si="297"/>
        <v>0</v>
      </c>
      <c r="U1917" s="17">
        <f t="shared" si="298"/>
        <v>0</v>
      </c>
      <c r="V1917" s="17">
        <f t="shared" si="299"/>
        <v>0</v>
      </c>
      <c r="W1917" s="17">
        <f t="shared" si="300"/>
        <v>70</v>
      </c>
      <c r="X1917" s="17">
        <f t="shared" si="301"/>
        <v>318</v>
      </c>
      <c r="Y1917" s="19">
        <f t="shared" si="302"/>
        <v>0</v>
      </c>
      <c r="Z1917">
        <v>114</v>
      </c>
      <c r="AA1917">
        <v>4</v>
      </c>
      <c r="AB1917">
        <v>353</v>
      </c>
      <c r="AC1917">
        <v>2544</v>
      </c>
      <c r="AD1917">
        <v>0</v>
      </c>
      <c r="AE1917">
        <v>0</v>
      </c>
      <c r="AF1917">
        <v>0</v>
      </c>
      <c r="AG1917">
        <v>284</v>
      </c>
      <c r="AH1917">
        <v>284</v>
      </c>
      <c r="AI1917">
        <v>0</v>
      </c>
      <c r="AJ1917">
        <v>0</v>
      </c>
      <c r="AK1917">
        <v>5367</v>
      </c>
      <c r="AL1917">
        <v>5367</v>
      </c>
      <c r="AM1917">
        <v>0</v>
      </c>
      <c r="AN1917">
        <v>0</v>
      </c>
      <c r="AO1917">
        <v>64</v>
      </c>
      <c r="AP1917">
        <v>10</v>
      </c>
      <c r="AQ1917">
        <v>64</v>
      </c>
      <c r="AR1917">
        <v>54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42</v>
      </c>
      <c r="BA1917">
        <v>42</v>
      </c>
      <c r="BB1917">
        <v>0</v>
      </c>
      <c r="BC1917">
        <v>0</v>
      </c>
      <c r="BD1917">
        <v>0</v>
      </c>
      <c r="BE1917">
        <f t="shared" si="303"/>
        <v>14122</v>
      </c>
      <c r="BF1917">
        <v>8772</v>
      </c>
      <c r="BG1917">
        <v>8772</v>
      </c>
      <c r="BH1917" t="s">
        <v>82</v>
      </c>
      <c r="BI1917" t="s">
        <v>1741</v>
      </c>
      <c r="BJ1917">
        <v>2901</v>
      </c>
      <c r="BK1917">
        <v>5757</v>
      </c>
      <c r="BL1917">
        <v>8772</v>
      </c>
      <c r="BM1917">
        <v>0</v>
      </c>
      <c r="BN1917">
        <v>0</v>
      </c>
      <c r="BO1917">
        <v>0</v>
      </c>
      <c r="BP1917">
        <v>6387</v>
      </c>
      <c r="BQ1917">
        <v>6387</v>
      </c>
      <c r="BR1917">
        <f t="shared" si="304"/>
        <v>-318</v>
      </c>
      <c r="BS1917">
        <f t="shared" si="305"/>
        <v>458</v>
      </c>
    </row>
    <row r="1918" spans="1:74" x14ac:dyDescent="0.25">
      <c r="A1918" s="5" t="s">
        <v>207</v>
      </c>
      <c r="B1918" s="5" t="s">
        <v>61</v>
      </c>
      <c r="C1918" s="5" t="s">
        <v>61</v>
      </c>
      <c r="D1918" s="1" t="s">
        <v>121</v>
      </c>
      <c r="E1918">
        <v>133</v>
      </c>
      <c r="F1918">
        <v>9</v>
      </c>
      <c r="G1918">
        <v>0</v>
      </c>
      <c r="H1918">
        <v>0</v>
      </c>
      <c r="I1918">
        <v>7</v>
      </c>
      <c r="J1918">
        <v>6094</v>
      </c>
      <c r="K1918">
        <v>486</v>
      </c>
      <c r="L1918">
        <v>377</v>
      </c>
      <c r="M1918">
        <v>0</v>
      </c>
      <c r="N1918">
        <v>81</v>
      </c>
      <c r="O1918">
        <v>0</v>
      </c>
      <c r="P1918">
        <v>0</v>
      </c>
      <c r="Q1918">
        <v>328</v>
      </c>
      <c r="R1918">
        <v>9</v>
      </c>
      <c r="S1918" s="18">
        <f t="shared" si="296"/>
        <v>9</v>
      </c>
      <c r="T1918" s="17">
        <f t="shared" si="297"/>
        <v>0</v>
      </c>
      <c r="U1918" s="17">
        <f t="shared" si="298"/>
        <v>9</v>
      </c>
      <c r="V1918" s="17">
        <f t="shared" si="299"/>
        <v>0</v>
      </c>
      <c r="W1918" s="17">
        <f t="shared" si="300"/>
        <v>0</v>
      </c>
      <c r="X1918" s="17">
        <f t="shared" si="301"/>
        <v>319</v>
      </c>
      <c r="Y1918" s="19">
        <f t="shared" si="302"/>
        <v>0</v>
      </c>
      <c r="Z1918">
        <v>9</v>
      </c>
      <c r="AA1918">
        <v>0</v>
      </c>
      <c r="AB1918">
        <v>195</v>
      </c>
      <c r="AC1918">
        <v>3998</v>
      </c>
      <c r="AD1918">
        <v>0</v>
      </c>
      <c r="AE1918">
        <v>7</v>
      </c>
      <c r="AF1918">
        <v>0</v>
      </c>
      <c r="AG1918">
        <v>0</v>
      </c>
      <c r="AH1918">
        <v>7</v>
      </c>
      <c r="AI1918">
        <v>0</v>
      </c>
      <c r="AJ1918">
        <v>4794</v>
      </c>
      <c r="AK1918">
        <v>1300</v>
      </c>
      <c r="AL1918">
        <v>6094</v>
      </c>
      <c r="AM1918">
        <v>0</v>
      </c>
      <c r="AN1918">
        <v>486</v>
      </c>
      <c r="AO1918">
        <v>0</v>
      </c>
      <c r="AP1918">
        <v>146</v>
      </c>
      <c r="AQ1918">
        <v>486</v>
      </c>
      <c r="AR1918">
        <v>340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377</v>
      </c>
      <c r="AZ1918">
        <v>0</v>
      </c>
      <c r="BA1918">
        <v>377</v>
      </c>
      <c r="BB1918">
        <v>0</v>
      </c>
      <c r="BC1918">
        <v>0</v>
      </c>
      <c r="BD1918">
        <v>0</v>
      </c>
      <c r="BE1918">
        <f t="shared" si="303"/>
        <v>18412</v>
      </c>
      <c r="BF1918">
        <v>11299</v>
      </c>
      <c r="BG1918">
        <v>11299</v>
      </c>
      <c r="BH1918" t="s">
        <v>82</v>
      </c>
      <c r="BI1918" t="s">
        <v>454</v>
      </c>
      <c r="BJ1918">
        <v>4326</v>
      </c>
      <c r="BK1918">
        <v>6964</v>
      </c>
      <c r="BL1918">
        <v>11299</v>
      </c>
      <c r="BM1918">
        <v>0</v>
      </c>
      <c r="BN1918">
        <v>5745</v>
      </c>
      <c r="BO1918">
        <v>0</v>
      </c>
      <c r="BP1918">
        <v>1300</v>
      </c>
      <c r="BQ1918">
        <v>7045</v>
      </c>
      <c r="BR1918">
        <f t="shared" si="304"/>
        <v>-319</v>
      </c>
      <c r="BS1918">
        <f t="shared" si="305"/>
        <v>337</v>
      </c>
    </row>
    <row r="1919" spans="1:74" x14ac:dyDescent="0.25">
      <c r="A1919" s="5" t="s">
        <v>207</v>
      </c>
      <c r="B1919" s="5" t="s">
        <v>61</v>
      </c>
      <c r="C1919" s="5" t="s">
        <v>61</v>
      </c>
      <c r="D1919" s="1" t="s">
        <v>90</v>
      </c>
      <c r="E1919">
        <v>0</v>
      </c>
      <c r="F1919">
        <v>21</v>
      </c>
      <c r="G1919">
        <v>0</v>
      </c>
      <c r="H1919">
        <v>0</v>
      </c>
      <c r="I1919">
        <v>1500</v>
      </c>
      <c r="J1919">
        <v>0</v>
      </c>
      <c r="K1919">
        <v>0</v>
      </c>
      <c r="L1919">
        <v>0</v>
      </c>
      <c r="M1919">
        <v>189</v>
      </c>
      <c r="N1919">
        <v>0</v>
      </c>
      <c r="O1919">
        <v>0</v>
      </c>
      <c r="P1919">
        <v>0</v>
      </c>
      <c r="Q1919">
        <v>341</v>
      </c>
      <c r="R1919">
        <v>21</v>
      </c>
      <c r="S1919" s="18">
        <f t="shared" si="296"/>
        <v>9</v>
      </c>
      <c r="T1919" s="17">
        <f t="shared" si="297"/>
        <v>21</v>
      </c>
      <c r="U1919" s="17">
        <f t="shared" si="298"/>
        <v>0</v>
      </c>
      <c r="V1919" s="17">
        <f t="shared" si="299"/>
        <v>0</v>
      </c>
      <c r="W1919" s="17">
        <f t="shared" si="300"/>
        <v>0</v>
      </c>
      <c r="X1919" s="17">
        <f t="shared" si="301"/>
        <v>320</v>
      </c>
      <c r="Y1919" s="19">
        <f t="shared" si="302"/>
        <v>0</v>
      </c>
      <c r="Z1919">
        <v>21</v>
      </c>
      <c r="AA1919">
        <v>0</v>
      </c>
      <c r="AB1919">
        <v>0</v>
      </c>
      <c r="AC1919">
        <v>0</v>
      </c>
      <c r="AD1919">
        <v>1500</v>
      </c>
      <c r="AE1919">
        <v>0</v>
      </c>
      <c r="AF1919">
        <v>0</v>
      </c>
      <c r="AG1919">
        <v>0</v>
      </c>
      <c r="AH1919">
        <v>1500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f t="shared" si="303"/>
        <v>3000</v>
      </c>
      <c r="BF1919">
        <v>1521</v>
      </c>
      <c r="BG1919">
        <v>1521</v>
      </c>
      <c r="BH1919" t="s">
        <v>109</v>
      </c>
      <c r="BI1919" t="s">
        <v>439</v>
      </c>
      <c r="BJ1919">
        <v>0</v>
      </c>
      <c r="BK1919">
        <v>1500</v>
      </c>
      <c r="BL1919">
        <v>1521</v>
      </c>
      <c r="BM1919">
        <v>1689</v>
      </c>
      <c r="BN1919">
        <v>0</v>
      </c>
      <c r="BO1919">
        <v>0</v>
      </c>
      <c r="BP1919">
        <v>0</v>
      </c>
      <c r="BQ1919">
        <v>1689</v>
      </c>
      <c r="BR1919">
        <f t="shared" si="304"/>
        <v>-320</v>
      </c>
      <c r="BS1919">
        <f t="shared" si="305"/>
        <v>362</v>
      </c>
    </row>
    <row r="1920" spans="1:74" x14ac:dyDescent="0.25">
      <c r="A1920" s="5" t="s">
        <v>1337</v>
      </c>
      <c r="B1920" s="5" t="s">
        <v>61</v>
      </c>
      <c r="C1920" s="5" t="s">
        <v>61</v>
      </c>
      <c r="D1920" s="1" t="s">
        <v>113</v>
      </c>
      <c r="E1920">
        <v>0</v>
      </c>
      <c r="F1920">
        <v>45</v>
      </c>
      <c r="G1920">
        <v>0</v>
      </c>
      <c r="H1920">
        <v>0</v>
      </c>
      <c r="I1920">
        <v>2500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405</v>
      </c>
      <c r="Q1920">
        <v>365</v>
      </c>
      <c r="R1920">
        <v>45</v>
      </c>
      <c r="S1920" s="18">
        <f t="shared" si="296"/>
        <v>9</v>
      </c>
      <c r="T1920" s="17">
        <f t="shared" si="297"/>
        <v>0</v>
      </c>
      <c r="U1920" s="17">
        <f t="shared" si="298"/>
        <v>0</v>
      </c>
      <c r="V1920" s="17">
        <f t="shared" si="299"/>
        <v>0</v>
      </c>
      <c r="W1920" s="17">
        <f t="shared" si="300"/>
        <v>45</v>
      </c>
      <c r="X1920" s="17">
        <f t="shared" si="301"/>
        <v>320</v>
      </c>
      <c r="Y1920" s="19">
        <f t="shared" si="302"/>
        <v>0</v>
      </c>
      <c r="Z1920">
        <v>45</v>
      </c>
      <c r="AA1920">
        <v>0</v>
      </c>
      <c r="AB1920">
        <v>0</v>
      </c>
      <c r="AC1920">
        <v>0</v>
      </c>
      <c r="AD1920">
        <v>900</v>
      </c>
      <c r="AE1920">
        <v>0</v>
      </c>
      <c r="AF1920">
        <v>0</v>
      </c>
      <c r="AG1920">
        <v>1600</v>
      </c>
      <c r="AH1920">
        <v>2500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f t="shared" si="303"/>
        <v>5000</v>
      </c>
      <c r="BF1920">
        <v>2545</v>
      </c>
      <c r="BG1920">
        <v>2545</v>
      </c>
      <c r="BH1920" t="s">
        <v>109</v>
      </c>
      <c r="BI1920" t="s">
        <v>1360</v>
      </c>
      <c r="BJ1920">
        <v>0</v>
      </c>
      <c r="BK1920">
        <v>2500</v>
      </c>
      <c r="BL1920">
        <v>2545</v>
      </c>
      <c r="BM1920">
        <v>900</v>
      </c>
      <c r="BN1920">
        <v>0</v>
      </c>
      <c r="BO1920">
        <v>0</v>
      </c>
      <c r="BP1920">
        <v>2005</v>
      </c>
      <c r="BQ1920">
        <v>2905</v>
      </c>
      <c r="BR1920">
        <f t="shared" si="304"/>
        <v>-320</v>
      </c>
      <c r="BS1920">
        <f t="shared" si="305"/>
        <v>410</v>
      </c>
    </row>
    <row r="1921" spans="1:74" x14ac:dyDescent="0.25">
      <c r="A1921" s="5" t="s">
        <v>207</v>
      </c>
      <c r="B1921" s="5" t="s">
        <v>61</v>
      </c>
      <c r="C1921" s="5" t="s">
        <v>359</v>
      </c>
      <c r="D1921" s="1" t="s">
        <v>67</v>
      </c>
      <c r="E1921">
        <v>10</v>
      </c>
      <c r="F1921">
        <v>0</v>
      </c>
      <c r="G1921">
        <v>0</v>
      </c>
      <c r="H1921">
        <v>0</v>
      </c>
      <c r="I1921">
        <v>86</v>
      </c>
      <c r="J1921">
        <v>1300</v>
      </c>
      <c r="K1921">
        <v>85</v>
      </c>
      <c r="L1921">
        <v>50</v>
      </c>
      <c r="M1921">
        <v>0</v>
      </c>
      <c r="N1921">
        <v>0</v>
      </c>
      <c r="O1921">
        <v>0</v>
      </c>
      <c r="P1921">
        <v>0</v>
      </c>
      <c r="Q1921">
        <v>269</v>
      </c>
      <c r="R1921">
        <v>0</v>
      </c>
      <c r="S1921" s="18" t="e">
        <f t="shared" si="296"/>
        <v>#DIV/0!</v>
      </c>
      <c r="T1921" s="17" t="e">
        <f t="shared" si="297"/>
        <v>#DIV/0!</v>
      </c>
      <c r="U1921" s="17" t="e">
        <f t="shared" si="298"/>
        <v>#DIV/0!</v>
      </c>
      <c r="V1921" s="17" t="e">
        <f t="shared" si="299"/>
        <v>#DIV/0!</v>
      </c>
      <c r="W1921" s="17" t="e">
        <f t="shared" si="300"/>
        <v>#DIV/0!</v>
      </c>
      <c r="X1921" s="17" t="e">
        <f t="shared" si="301"/>
        <v>#DIV/0!</v>
      </c>
      <c r="Y1921" s="19" t="e">
        <f t="shared" si="302"/>
        <v>#DIV/0!</v>
      </c>
      <c r="Z1921">
        <v>0</v>
      </c>
      <c r="AA1921">
        <v>0</v>
      </c>
      <c r="AB1921">
        <v>0</v>
      </c>
      <c r="AC1921">
        <v>278</v>
      </c>
      <c r="AD1921">
        <v>0</v>
      </c>
      <c r="AE1921">
        <v>0</v>
      </c>
      <c r="AF1921">
        <v>0</v>
      </c>
      <c r="AG1921">
        <v>86</v>
      </c>
      <c r="AH1921">
        <v>86</v>
      </c>
      <c r="AI1921">
        <v>0</v>
      </c>
      <c r="AJ1921">
        <v>0</v>
      </c>
      <c r="AK1921">
        <v>1300</v>
      </c>
      <c r="AL1921">
        <v>1300</v>
      </c>
      <c r="AM1921">
        <v>0</v>
      </c>
      <c r="AN1921">
        <v>0</v>
      </c>
      <c r="AO1921">
        <v>85</v>
      </c>
      <c r="AP1921">
        <v>30</v>
      </c>
      <c r="AQ1921">
        <v>85</v>
      </c>
      <c r="AR1921">
        <v>55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50</v>
      </c>
      <c r="BA1921">
        <v>50</v>
      </c>
      <c r="BB1921">
        <v>0</v>
      </c>
      <c r="BC1921">
        <v>0</v>
      </c>
      <c r="BD1921">
        <v>0</v>
      </c>
      <c r="BE1921">
        <f t="shared" si="303"/>
        <v>3405</v>
      </c>
      <c r="BF1921">
        <v>1809</v>
      </c>
      <c r="BG1921">
        <v>1809</v>
      </c>
      <c r="BH1921" t="s">
        <v>63</v>
      </c>
      <c r="BI1921" t="s">
        <v>504</v>
      </c>
      <c r="BJ1921">
        <v>288</v>
      </c>
      <c r="BK1921">
        <v>1521</v>
      </c>
      <c r="BL1921">
        <v>1809</v>
      </c>
      <c r="BM1921">
        <v>0</v>
      </c>
      <c r="BN1921">
        <v>0</v>
      </c>
      <c r="BO1921">
        <v>0</v>
      </c>
      <c r="BP1921">
        <v>1521</v>
      </c>
      <c r="BQ1921">
        <v>1521</v>
      </c>
      <c r="BR1921">
        <f t="shared" si="304"/>
        <v>-269</v>
      </c>
      <c r="BS1921">
        <f t="shared" si="305"/>
        <v>269</v>
      </c>
      <c r="BU1921">
        <f>R1921*9</f>
        <v>0</v>
      </c>
      <c r="BV1921">
        <f>IF(BU1921&gt;BG1921, 1, 0)</f>
        <v>0</v>
      </c>
    </row>
    <row r="1922" spans="1:74" x14ac:dyDescent="0.25">
      <c r="A1922" s="5" t="s">
        <v>1451</v>
      </c>
      <c r="B1922" s="5" t="s">
        <v>61</v>
      </c>
      <c r="C1922" s="5" t="s">
        <v>207</v>
      </c>
      <c r="D1922" s="1" t="s">
        <v>131</v>
      </c>
      <c r="E1922">
        <v>0</v>
      </c>
      <c r="F1922">
        <v>120</v>
      </c>
      <c r="G1922">
        <v>0</v>
      </c>
      <c r="H1922">
        <v>0</v>
      </c>
      <c r="I1922">
        <v>1458</v>
      </c>
      <c r="J1922">
        <v>6673</v>
      </c>
      <c r="K1922">
        <v>717</v>
      </c>
      <c r="L1922">
        <v>50</v>
      </c>
      <c r="M1922">
        <v>0</v>
      </c>
      <c r="N1922">
        <v>0</v>
      </c>
      <c r="O1922">
        <v>0</v>
      </c>
      <c r="P1922">
        <v>486</v>
      </c>
      <c r="Q1922">
        <v>374</v>
      </c>
      <c r="R1922">
        <v>54</v>
      </c>
      <c r="S1922" s="18">
        <f t="shared" ref="S1922:S1985" si="306">(M1922+N1922+O1922+P1922)/R1922</f>
        <v>9</v>
      </c>
      <c r="T1922" s="17">
        <f t="shared" ref="T1922:T1985" si="307">M1922/$S1922</f>
        <v>0</v>
      </c>
      <c r="U1922" s="17">
        <f t="shared" ref="U1922:U1985" si="308">N1922/$S1922</f>
        <v>0</v>
      </c>
      <c r="V1922" s="17">
        <f t="shared" ref="V1922:V1985" si="309">O1922/$S1922</f>
        <v>0</v>
      </c>
      <c r="W1922" s="17">
        <f t="shared" ref="W1922:W1985" si="310">P1922/$S1922</f>
        <v>54</v>
      </c>
      <c r="X1922" s="17">
        <f t="shared" ref="X1922:X1985" si="311">Q1922-T1922-U1922-W1922</f>
        <v>320</v>
      </c>
      <c r="Y1922" s="19">
        <f t="shared" ref="Y1922:Y1985" si="312">V1922/X1922</f>
        <v>0</v>
      </c>
      <c r="Z1922">
        <v>120</v>
      </c>
      <c r="AA1922">
        <v>0</v>
      </c>
      <c r="AB1922">
        <v>0</v>
      </c>
      <c r="AC1922">
        <v>3569</v>
      </c>
      <c r="AD1922">
        <v>0</v>
      </c>
      <c r="AE1922">
        <v>0</v>
      </c>
      <c r="AF1922">
        <v>0</v>
      </c>
      <c r="AG1922">
        <v>1458</v>
      </c>
      <c r="AH1922">
        <v>1458</v>
      </c>
      <c r="AI1922">
        <v>0</v>
      </c>
      <c r="AJ1922">
        <v>0</v>
      </c>
      <c r="AK1922">
        <v>6673</v>
      </c>
      <c r="AL1922">
        <v>6673</v>
      </c>
      <c r="AM1922">
        <v>0</v>
      </c>
      <c r="AN1922">
        <v>0</v>
      </c>
      <c r="AO1922">
        <v>717</v>
      </c>
      <c r="AP1922">
        <v>421</v>
      </c>
      <c r="AQ1922">
        <v>717</v>
      </c>
      <c r="AR1922">
        <v>296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50</v>
      </c>
      <c r="BA1922">
        <v>50</v>
      </c>
      <c r="BB1922">
        <v>0</v>
      </c>
      <c r="BC1922">
        <v>0</v>
      </c>
      <c r="BD1922">
        <v>0</v>
      </c>
      <c r="BE1922">
        <f t="shared" ref="BE1922:BE1985" si="313">SUM(AC1922:BD1922)</f>
        <v>22082</v>
      </c>
      <c r="BF1922">
        <v>12587</v>
      </c>
      <c r="BG1922">
        <v>12587</v>
      </c>
      <c r="BH1922" t="s">
        <v>82</v>
      </c>
      <c r="BI1922" t="s">
        <v>1503</v>
      </c>
      <c r="BJ1922">
        <v>3569</v>
      </c>
      <c r="BK1922">
        <v>8898</v>
      </c>
      <c r="BL1922">
        <v>12587</v>
      </c>
      <c r="BM1922">
        <v>0</v>
      </c>
      <c r="BN1922">
        <v>0</v>
      </c>
      <c r="BO1922">
        <v>0</v>
      </c>
      <c r="BP1922">
        <v>9384</v>
      </c>
      <c r="BQ1922">
        <v>9384</v>
      </c>
      <c r="BR1922">
        <f t="shared" ref="BR1922:BR1985" si="314">R1922-Q1922</f>
        <v>-320</v>
      </c>
      <c r="BS1922">
        <f t="shared" ref="BS1922:BS1985" si="315">R1922+Q1922</f>
        <v>428</v>
      </c>
    </row>
    <row r="1923" spans="1:74" x14ac:dyDescent="0.25">
      <c r="A1923" s="5" t="s">
        <v>359</v>
      </c>
      <c r="B1923" s="5" t="s">
        <v>207</v>
      </c>
      <c r="C1923" s="5" t="s">
        <v>61</v>
      </c>
      <c r="D1923" s="1" t="s">
        <v>75</v>
      </c>
      <c r="E1923">
        <v>0</v>
      </c>
      <c r="F1923">
        <v>0</v>
      </c>
      <c r="G1923">
        <v>0</v>
      </c>
      <c r="H1923">
        <v>0</v>
      </c>
      <c r="I1923">
        <v>1246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323</v>
      </c>
      <c r="R1923">
        <v>0</v>
      </c>
      <c r="S1923" s="18" t="e">
        <f t="shared" si="306"/>
        <v>#DIV/0!</v>
      </c>
      <c r="T1923" s="17" t="e">
        <f t="shared" si="307"/>
        <v>#DIV/0!</v>
      </c>
      <c r="U1923" s="17" t="e">
        <f t="shared" si="308"/>
        <v>#DIV/0!</v>
      </c>
      <c r="V1923" s="17" t="e">
        <f t="shared" si="309"/>
        <v>#DIV/0!</v>
      </c>
      <c r="W1923" s="17" t="e">
        <f t="shared" si="310"/>
        <v>#DIV/0!</v>
      </c>
      <c r="X1923" s="17" t="e">
        <f t="shared" si="311"/>
        <v>#DIV/0!</v>
      </c>
      <c r="Y1923" s="19" t="e">
        <f t="shared" si="312"/>
        <v>#DIV/0!</v>
      </c>
      <c r="Z1923">
        <v>0</v>
      </c>
      <c r="AA1923">
        <v>0</v>
      </c>
      <c r="AB1923">
        <v>0</v>
      </c>
      <c r="AC1923">
        <v>0</v>
      </c>
      <c r="AD1923">
        <v>946</v>
      </c>
      <c r="AE1923">
        <v>0</v>
      </c>
      <c r="AF1923">
        <v>0</v>
      </c>
      <c r="AG1923">
        <v>300</v>
      </c>
      <c r="AH1923">
        <v>1246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190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f t="shared" si="313"/>
        <v>2682</v>
      </c>
      <c r="BF1923">
        <v>1436</v>
      </c>
      <c r="BG1923">
        <v>1436</v>
      </c>
      <c r="BH1923" t="s">
        <v>109</v>
      </c>
      <c r="BI1923" t="s">
        <v>737</v>
      </c>
      <c r="BJ1923">
        <v>0</v>
      </c>
      <c r="BK1923">
        <v>1436</v>
      </c>
      <c r="BL1923">
        <v>1436</v>
      </c>
      <c r="BM1923">
        <v>946</v>
      </c>
      <c r="BN1923">
        <v>0</v>
      </c>
      <c r="BO1923">
        <v>0</v>
      </c>
      <c r="BP1923">
        <v>300</v>
      </c>
      <c r="BQ1923">
        <v>1246</v>
      </c>
      <c r="BR1923">
        <f t="shared" si="314"/>
        <v>-323</v>
      </c>
      <c r="BS1923">
        <f t="shared" si="315"/>
        <v>323</v>
      </c>
    </row>
    <row r="1924" spans="1:74" x14ac:dyDescent="0.25">
      <c r="A1924" s="5" t="s">
        <v>207</v>
      </c>
      <c r="B1924" s="5" t="s">
        <v>627</v>
      </c>
      <c r="C1924" s="5" t="s">
        <v>207</v>
      </c>
      <c r="D1924" s="1" t="s">
        <v>92</v>
      </c>
      <c r="E1924">
        <v>0</v>
      </c>
      <c r="F1924">
        <v>3</v>
      </c>
      <c r="G1924">
        <v>0</v>
      </c>
      <c r="H1924">
        <v>0</v>
      </c>
      <c r="I1924">
        <v>57</v>
      </c>
      <c r="J1924">
        <v>2973</v>
      </c>
      <c r="K1924">
        <v>411</v>
      </c>
      <c r="L1924">
        <v>45</v>
      </c>
      <c r="M1924">
        <v>0</v>
      </c>
      <c r="N1924">
        <v>0</v>
      </c>
      <c r="O1924">
        <v>0</v>
      </c>
      <c r="P1924">
        <v>27</v>
      </c>
      <c r="Q1924">
        <v>327</v>
      </c>
      <c r="R1924">
        <v>3</v>
      </c>
      <c r="S1924" s="18">
        <f t="shared" si="306"/>
        <v>9</v>
      </c>
      <c r="T1924" s="17">
        <f t="shared" si="307"/>
        <v>0</v>
      </c>
      <c r="U1924" s="17">
        <f t="shared" si="308"/>
        <v>0</v>
      </c>
      <c r="V1924" s="17">
        <f t="shared" si="309"/>
        <v>0</v>
      </c>
      <c r="W1924" s="17">
        <f t="shared" si="310"/>
        <v>3</v>
      </c>
      <c r="X1924" s="17">
        <f t="shared" si="311"/>
        <v>324</v>
      </c>
      <c r="Y1924" s="19">
        <f t="shared" si="312"/>
        <v>0</v>
      </c>
      <c r="Z1924">
        <v>3</v>
      </c>
      <c r="AA1924">
        <v>5</v>
      </c>
      <c r="AB1924">
        <v>320</v>
      </c>
      <c r="AC1924">
        <v>1868</v>
      </c>
      <c r="AD1924">
        <v>0</v>
      </c>
      <c r="AE1924">
        <v>0</v>
      </c>
      <c r="AF1924">
        <v>0</v>
      </c>
      <c r="AG1924">
        <v>57</v>
      </c>
      <c r="AH1924">
        <v>57</v>
      </c>
      <c r="AI1924">
        <v>0</v>
      </c>
      <c r="AJ1924">
        <v>0</v>
      </c>
      <c r="AK1924">
        <v>2973</v>
      </c>
      <c r="AL1924">
        <v>2973</v>
      </c>
      <c r="AM1924">
        <v>0</v>
      </c>
      <c r="AN1924">
        <v>0</v>
      </c>
      <c r="AO1924">
        <v>411</v>
      </c>
      <c r="AP1924">
        <v>0</v>
      </c>
      <c r="AQ1924">
        <v>411</v>
      </c>
      <c r="AR1924">
        <v>411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45</v>
      </c>
      <c r="BA1924">
        <v>45</v>
      </c>
      <c r="BB1924">
        <v>0</v>
      </c>
      <c r="BC1924">
        <v>0</v>
      </c>
      <c r="BD1924">
        <v>0</v>
      </c>
      <c r="BE1924">
        <f t="shared" si="313"/>
        <v>9251</v>
      </c>
      <c r="BF1924">
        <v>5682</v>
      </c>
      <c r="BG1924">
        <v>5682</v>
      </c>
      <c r="BH1924" t="s">
        <v>82</v>
      </c>
      <c r="BI1924" t="s">
        <v>673</v>
      </c>
      <c r="BJ1924">
        <v>2193</v>
      </c>
      <c r="BK1924">
        <v>3486</v>
      </c>
      <c r="BL1924">
        <v>5682</v>
      </c>
      <c r="BM1924">
        <v>0</v>
      </c>
      <c r="BN1924">
        <v>0</v>
      </c>
      <c r="BO1924">
        <v>0</v>
      </c>
      <c r="BP1924">
        <v>3513</v>
      </c>
      <c r="BQ1924">
        <v>3513</v>
      </c>
      <c r="BR1924">
        <f t="shared" si="314"/>
        <v>-324</v>
      </c>
      <c r="BS1924">
        <f t="shared" si="315"/>
        <v>330</v>
      </c>
    </row>
    <row r="1925" spans="1:74" x14ac:dyDescent="0.25">
      <c r="A1925" s="5" t="s">
        <v>359</v>
      </c>
      <c r="B1925" s="5" t="s">
        <v>61</v>
      </c>
      <c r="C1925" s="5" t="s">
        <v>61</v>
      </c>
      <c r="D1925" s="1" t="s">
        <v>108</v>
      </c>
      <c r="E1925">
        <v>75</v>
      </c>
      <c r="F1925">
        <v>0</v>
      </c>
      <c r="G1925">
        <v>0</v>
      </c>
      <c r="H1925">
        <v>0</v>
      </c>
      <c r="I1925">
        <v>1680</v>
      </c>
      <c r="J1925">
        <v>0</v>
      </c>
      <c r="K1925">
        <v>60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325</v>
      </c>
      <c r="R1925">
        <v>0</v>
      </c>
      <c r="S1925" s="18" t="e">
        <f t="shared" si="306"/>
        <v>#DIV/0!</v>
      </c>
      <c r="T1925" s="17" t="e">
        <f t="shared" si="307"/>
        <v>#DIV/0!</v>
      </c>
      <c r="U1925" s="17" t="e">
        <f t="shared" si="308"/>
        <v>#DIV/0!</v>
      </c>
      <c r="V1925" s="17" t="e">
        <f t="shared" si="309"/>
        <v>#DIV/0!</v>
      </c>
      <c r="W1925" s="17" t="e">
        <f t="shared" si="310"/>
        <v>#DIV/0!</v>
      </c>
      <c r="X1925" s="17" t="e">
        <f t="shared" si="311"/>
        <v>#DIV/0!</v>
      </c>
      <c r="Y1925" s="19" t="e">
        <f t="shared" si="312"/>
        <v>#DIV/0!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1680</v>
      </c>
      <c r="AH1925">
        <v>1680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60</v>
      </c>
      <c r="AP1925">
        <v>10</v>
      </c>
      <c r="AQ1925">
        <v>60</v>
      </c>
      <c r="AR1925">
        <v>50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f t="shared" si="313"/>
        <v>3540</v>
      </c>
      <c r="BF1925">
        <v>1815</v>
      </c>
      <c r="BG1925">
        <v>1815</v>
      </c>
      <c r="BH1925" t="s">
        <v>109</v>
      </c>
      <c r="BI1925" t="s">
        <v>717</v>
      </c>
      <c r="BJ1925">
        <v>75</v>
      </c>
      <c r="BK1925">
        <v>1740</v>
      </c>
      <c r="BL1925">
        <v>1815</v>
      </c>
      <c r="BM1925">
        <v>0</v>
      </c>
      <c r="BN1925">
        <v>0</v>
      </c>
      <c r="BO1925">
        <v>0</v>
      </c>
      <c r="BP1925">
        <v>1740</v>
      </c>
      <c r="BQ1925">
        <v>1740</v>
      </c>
      <c r="BR1925">
        <f t="shared" si="314"/>
        <v>-325</v>
      </c>
      <c r="BS1925">
        <f t="shared" si="315"/>
        <v>325</v>
      </c>
    </row>
    <row r="1926" spans="1:74" x14ac:dyDescent="0.25">
      <c r="A1926" s="5" t="s">
        <v>1661</v>
      </c>
      <c r="B1926" s="5" t="s">
        <v>207</v>
      </c>
      <c r="C1926" s="5" t="s">
        <v>61</v>
      </c>
      <c r="D1926" s="1" t="s">
        <v>108</v>
      </c>
      <c r="E1926">
        <v>0</v>
      </c>
      <c r="F1926">
        <v>3231</v>
      </c>
      <c r="G1926">
        <v>0</v>
      </c>
      <c r="H1926">
        <v>0</v>
      </c>
      <c r="I1926">
        <v>248</v>
      </c>
      <c r="J1926">
        <v>1975</v>
      </c>
      <c r="K1926">
        <v>113</v>
      </c>
      <c r="L1926">
        <v>0</v>
      </c>
      <c r="M1926">
        <v>0</v>
      </c>
      <c r="N1926">
        <v>0</v>
      </c>
      <c r="O1926">
        <v>0</v>
      </c>
      <c r="P1926">
        <v>4545</v>
      </c>
      <c r="Q1926">
        <v>830</v>
      </c>
      <c r="R1926">
        <v>505</v>
      </c>
      <c r="S1926" s="18">
        <f t="shared" si="306"/>
        <v>9</v>
      </c>
      <c r="T1926" s="17">
        <f t="shared" si="307"/>
        <v>0</v>
      </c>
      <c r="U1926" s="17">
        <f t="shared" si="308"/>
        <v>0</v>
      </c>
      <c r="V1926" s="17">
        <f t="shared" si="309"/>
        <v>0</v>
      </c>
      <c r="W1926" s="17">
        <f t="shared" si="310"/>
        <v>505</v>
      </c>
      <c r="X1926" s="17">
        <f t="shared" si="311"/>
        <v>325</v>
      </c>
      <c r="Y1926" s="19">
        <f t="shared" si="312"/>
        <v>0</v>
      </c>
      <c r="Z1926">
        <v>3231</v>
      </c>
      <c r="AA1926">
        <v>0</v>
      </c>
      <c r="AB1926">
        <v>0</v>
      </c>
      <c r="AC1926">
        <v>922</v>
      </c>
      <c r="AD1926">
        <v>0</v>
      </c>
      <c r="AE1926">
        <v>0</v>
      </c>
      <c r="AF1926">
        <v>0</v>
      </c>
      <c r="AG1926">
        <v>248</v>
      </c>
      <c r="AH1926">
        <v>248</v>
      </c>
      <c r="AI1926">
        <v>0</v>
      </c>
      <c r="AJ1926">
        <v>0</v>
      </c>
      <c r="AK1926">
        <v>1975</v>
      </c>
      <c r="AL1926">
        <v>1975</v>
      </c>
      <c r="AM1926">
        <v>0</v>
      </c>
      <c r="AN1926">
        <v>0</v>
      </c>
      <c r="AO1926">
        <v>113</v>
      </c>
      <c r="AP1926">
        <v>88</v>
      </c>
      <c r="AQ1926">
        <v>113</v>
      </c>
      <c r="AR1926">
        <v>25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f t="shared" si="313"/>
        <v>5707</v>
      </c>
      <c r="BF1926">
        <v>6489</v>
      </c>
      <c r="BG1926">
        <v>6489</v>
      </c>
      <c r="BH1926" t="s">
        <v>190</v>
      </c>
      <c r="BI1926" t="s">
        <v>1778</v>
      </c>
      <c r="BJ1926">
        <v>922</v>
      </c>
      <c r="BK1926">
        <v>2336</v>
      </c>
      <c r="BL1926">
        <v>6489</v>
      </c>
      <c r="BM1926">
        <v>0</v>
      </c>
      <c r="BN1926">
        <v>0</v>
      </c>
      <c r="BO1926">
        <v>0</v>
      </c>
      <c r="BP1926">
        <v>6881</v>
      </c>
      <c r="BQ1926">
        <v>6881</v>
      </c>
      <c r="BR1926">
        <f t="shared" si="314"/>
        <v>-325</v>
      </c>
      <c r="BS1926">
        <f t="shared" si="315"/>
        <v>1335</v>
      </c>
    </row>
    <row r="1927" spans="1:74" x14ac:dyDescent="0.25">
      <c r="A1927" s="5" t="s">
        <v>61</v>
      </c>
      <c r="B1927" s="5" t="s">
        <v>61</v>
      </c>
      <c r="C1927" s="5" t="s">
        <v>61</v>
      </c>
      <c r="D1927" s="1" t="s">
        <v>71</v>
      </c>
      <c r="E1927">
        <v>0</v>
      </c>
      <c r="F1927">
        <v>0</v>
      </c>
      <c r="G1927">
        <v>0</v>
      </c>
      <c r="H1927">
        <v>0</v>
      </c>
      <c r="I1927">
        <v>162</v>
      </c>
      <c r="J1927">
        <v>3570</v>
      </c>
      <c r="K1927">
        <v>326</v>
      </c>
      <c r="L1927">
        <v>100</v>
      </c>
      <c r="M1927">
        <v>0</v>
      </c>
      <c r="N1927">
        <v>0</v>
      </c>
      <c r="O1927">
        <v>0</v>
      </c>
      <c r="P1927">
        <v>0</v>
      </c>
      <c r="Q1927">
        <v>273</v>
      </c>
      <c r="R1927">
        <v>0</v>
      </c>
      <c r="S1927" s="18" t="e">
        <f t="shared" si="306"/>
        <v>#DIV/0!</v>
      </c>
      <c r="T1927" s="17" t="e">
        <f t="shared" si="307"/>
        <v>#DIV/0!</v>
      </c>
      <c r="U1927" s="17" t="e">
        <f t="shared" si="308"/>
        <v>#DIV/0!</v>
      </c>
      <c r="V1927" s="17" t="e">
        <f t="shared" si="309"/>
        <v>#DIV/0!</v>
      </c>
      <c r="W1927" s="17" t="e">
        <f t="shared" si="310"/>
        <v>#DIV/0!</v>
      </c>
      <c r="X1927" s="17" t="e">
        <f t="shared" si="311"/>
        <v>#DIV/0!</v>
      </c>
      <c r="Y1927" s="19" t="e">
        <f t="shared" si="312"/>
        <v>#DIV/0!</v>
      </c>
      <c r="Z1927">
        <v>0</v>
      </c>
      <c r="AA1927">
        <v>0</v>
      </c>
      <c r="AB1927">
        <v>0</v>
      </c>
      <c r="AC1927">
        <v>214</v>
      </c>
      <c r="AD1927">
        <v>0</v>
      </c>
      <c r="AE1927">
        <v>0</v>
      </c>
      <c r="AF1927">
        <v>0</v>
      </c>
      <c r="AG1927">
        <v>162</v>
      </c>
      <c r="AH1927">
        <v>162</v>
      </c>
      <c r="AI1927">
        <v>0</v>
      </c>
      <c r="AJ1927">
        <v>0</v>
      </c>
      <c r="AK1927">
        <v>3810</v>
      </c>
      <c r="AL1927">
        <v>3810</v>
      </c>
      <c r="AM1927">
        <v>0</v>
      </c>
      <c r="AN1927">
        <v>0</v>
      </c>
      <c r="AO1927">
        <v>391</v>
      </c>
      <c r="AP1927">
        <v>5</v>
      </c>
      <c r="AQ1927">
        <v>391</v>
      </c>
      <c r="AR1927">
        <v>386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100</v>
      </c>
      <c r="BA1927">
        <v>100</v>
      </c>
      <c r="BB1927">
        <v>0</v>
      </c>
      <c r="BC1927">
        <v>0</v>
      </c>
      <c r="BD1927">
        <v>0</v>
      </c>
      <c r="BE1927">
        <f t="shared" si="313"/>
        <v>9531</v>
      </c>
      <c r="BF1927">
        <v>4677</v>
      </c>
      <c r="BG1927">
        <v>4677</v>
      </c>
      <c r="BH1927" t="s">
        <v>63</v>
      </c>
      <c r="BI1927" t="s">
        <v>72</v>
      </c>
      <c r="BJ1927">
        <v>214</v>
      </c>
      <c r="BK1927">
        <v>4463</v>
      </c>
      <c r="BL1927">
        <v>4677</v>
      </c>
      <c r="BM1927">
        <v>0</v>
      </c>
      <c r="BN1927">
        <v>0</v>
      </c>
      <c r="BO1927">
        <v>0</v>
      </c>
      <c r="BP1927">
        <v>4463</v>
      </c>
      <c r="BQ1927">
        <v>4463</v>
      </c>
      <c r="BR1927">
        <f t="shared" si="314"/>
        <v>-273</v>
      </c>
      <c r="BS1927">
        <f t="shared" si="315"/>
        <v>273</v>
      </c>
      <c r="BU1927">
        <f>R1927*9</f>
        <v>0</v>
      </c>
      <c r="BV1927">
        <f>IF(BU1927&gt;BG1927, 1, 0)</f>
        <v>0</v>
      </c>
    </row>
    <row r="1928" spans="1:74" x14ac:dyDescent="0.25">
      <c r="A1928" s="5" t="s">
        <v>875</v>
      </c>
      <c r="B1928" s="5" t="s">
        <v>61</v>
      </c>
      <c r="C1928" s="5" t="s">
        <v>207</v>
      </c>
      <c r="D1928" s="1" t="s">
        <v>79</v>
      </c>
      <c r="E1928">
        <v>0</v>
      </c>
      <c r="F1928">
        <v>0</v>
      </c>
      <c r="G1928">
        <v>0</v>
      </c>
      <c r="H1928">
        <v>0</v>
      </c>
      <c r="I1928">
        <v>965</v>
      </c>
      <c r="J1928">
        <v>3427</v>
      </c>
      <c r="K1928">
        <v>165</v>
      </c>
      <c r="L1928">
        <v>150</v>
      </c>
      <c r="M1928">
        <v>0</v>
      </c>
      <c r="N1928">
        <v>0</v>
      </c>
      <c r="O1928">
        <v>0</v>
      </c>
      <c r="P1928">
        <v>0</v>
      </c>
      <c r="Q1928">
        <v>273</v>
      </c>
      <c r="R1928">
        <v>0</v>
      </c>
      <c r="S1928" s="18" t="e">
        <f t="shared" si="306"/>
        <v>#DIV/0!</v>
      </c>
      <c r="T1928" s="17" t="e">
        <f t="shared" si="307"/>
        <v>#DIV/0!</v>
      </c>
      <c r="U1928" s="17" t="e">
        <f t="shared" si="308"/>
        <v>#DIV/0!</v>
      </c>
      <c r="V1928" s="17" t="e">
        <f t="shared" si="309"/>
        <v>#DIV/0!</v>
      </c>
      <c r="W1928" s="17" t="e">
        <f t="shared" si="310"/>
        <v>#DIV/0!</v>
      </c>
      <c r="X1928" s="17" t="e">
        <f t="shared" si="311"/>
        <v>#DIV/0!</v>
      </c>
      <c r="Y1928" s="19" t="e">
        <f t="shared" si="312"/>
        <v>#DIV/0!</v>
      </c>
      <c r="Z1928">
        <v>0</v>
      </c>
      <c r="AA1928">
        <v>0</v>
      </c>
      <c r="AB1928">
        <v>0</v>
      </c>
      <c r="AC1928">
        <v>145</v>
      </c>
      <c r="AD1928">
        <v>400</v>
      </c>
      <c r="AE1928">
        <v>85</v>
      </c>
      <c r="AF1928">
        <v>0</v>
      </c>
      <c r="AG1928">
        <v>480</v>
      </c>
      <c r="AH1928">
        <v>965</v>
      </c>
      <c r="AI1928">
        <v>0</v>
      </c>
      <c r="AJ1928">
        <v>1740</v>
      </c>
      <c r="AK1928">
        <v>1687</v>
      </c>
      <c r="AL1928">
        <v>3427</v>
      </c>
      <c r="AM1928">
        <v>0</v>
      </c>
      <c r="AN1928">
        <v>50</v>
      </c>
      <c r="AO1928">
        <v>115</v>
      </c>
      <c r="AP1928">
        <v>20</v>
      </c>
      <c r="AQ1928">
        <v>165</v>
      </c>
      <c r="AR1928">
        <v>145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115</v>
      </c>
      <c r="AZ1928">
        <v>35</v>
      </c>
      <c r="BA1928">
        <v>150</v>
      </c>
      <c r="BB1928">
        <v>0</v>
      </c>
      <c r="BC1928">
        <v>0</v>
      </c>
      <c r="BD1928">
        <v>0</v>
      </c>
      <c r="BE1928">
        <f t="shared" si="313"/>
        <v>9724</v>
      </c>
      <c r="BF1928">
        <v>4852</v>
      </c>
      <c r="BG1928">
        <v>4852</v>
      </c>
      <c r="BH1928" t="s">
        <v>63</v>
      </c>
      <c r="BI1928" t="s">
        <v>883</v>
      </c>
      <c r="BJ1928">
        <v>145</v>
      </c>
      <c r="BK1928">
        <v>4707</v>
      </c>
      <c r="BL1928">
        <v>4852</v>
      </c>
      <c r="BM1928">
        <v>400</v>
      </c>
      <c r="BN1928">
        <v>1990</v>
      </c>
      <c r="BO1928">
        <v>0</v>
      </c>
      <c r="BP1928">
        <v>2317</v>
      </c>
      <c r="BQ1928">
        <v>4707</v>
      </c>
      <c r="BR1928">
        <f t="shared" si="314"/>
        <v>-273</v>
      </c>
      <c r="BS1928">
        <f t="shared" si="315"/>
        <v>273</v>
      </c>
      <c r="BU1928">
        <f>R1928*9</f>
        <v>0</v>
      </c>
      <c r="BV1928">
        <f>IF(BU1928&gt;BG1928, 1, 0)</f>
        <v>0</v>
      </c>
    </row>
    <row r="1929" spans="1:74" x14ac:dyDescent="0.25">
      <c r="A1929" s="5" t="s">
        <v>61</v>
      </c>
      <c r="B1929" s="5" t="s">
        <v>61</v>
      </c>
      <c r="C1929" s="5" t="s">
        <v>61</v>
      </c>
      <c r="D1929" s="1" t="s">
        <v>143</v>
      </c>
      <c r="E1929">
        <v>0</v>
      </c>
      <c r="F1929">
        <v>84</v>
      </c>
      <c r="G1929">
        <v>0</v>
      </c>
      <c r="H1929">
        <v>0</v>
      </c>
      <c r="I1929">
        <v>477</v>
      </c>
      <c r="J1929">
        <v>0</v>
      </c>
      <c r="K1929">
        <v>0</v>
      </c>
      <c r="L1929">
        <v>0</v>
      </c>
      <c r="M1929">
        <v>504</v>
      </c>
      <c r="N1929">
        <v>0</v>
      </c>
      <c r="O1929">
        <v>0</v>
      </c>
      <c r="P1929">
        <v>0</v>
      </c>
      <c r="Q1929">
        <v>383</v>
      </c>
      <c r="R1929">
        <v>56</v>
      </c>
      <c r="S1929" s="18">
        <f t="shared" si="306"/>
        <v>9</v>
      </c>
      <c r="T1929" s="17">
        <f t="shared" si="307"/>
        <v>56</v>
      </c>
      <c r="U1929" s="17">
        <f t="shared" si="308"/>
        <v>0</v>
      </c>
      <c r="V1929" s="17">
        <f t="shared" si="309"/>
        <v>0</v>
      </c>
      <c r="W1929" s="17">
        <f t="shared" si="310"/>
        <v>0</v>
      </c>
      <c r="X1929" s="17">
        <f t="shared" si="311"/>
        <v>327</v>
      </c>
      <c r="Y1929" s="19">
        <f t="shared" si="312"/>
        <v>0</v>
      </c>
      <c r="Z1929">
        <v>84</v>
      </c>
      <c r="AA1929">
        <v>0</v>
      </c>
      <c r="AB1929">
        <v>0</v>
      </c>
      <c r="AC1929">
        <v>0</v>
      </c>
      <c r="AD1929">
        <v>477</v>
      </c>
      <c r="AE1929">
        <v>0</v>
      </c>
      <c r="AF1929">
        <v>0</v>
      </c>
      <c r="AG1929">
        <v>0</v>
      </c>
      <c r="AH1929">
        <v>477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f t="shared" si="313"/>
        <v>954</v>
      </c>
      <c r="BF1929">
        <v>561</v>
      </c>
      <c r="BG1929">
        <v>561</v>
      </c>
      <c r="BH1929" t="s">
        <v>109</v>
      </c>
      <c r="BI1929" t="s">
        <v>144</v>
      </c>
      <c r="BJ1929">
        <v>0</v>
      </c>
      <c r="BK1929">
        <v>477</v>
      </c>
      <c r="BL1929">
        <v>561</v>
      </c>
      <c r="BM1929">
        <v>981</v>
      </c>
      <c r="BN1929">
        <v>0</v>
      </c>
      <c r="BO1929">
        <v>0</v>
      </c>
      <c r="BP1929">
        <v>0</v>
      </c>
      <c r="BQ1929">
        <v>981</v>
      </c>
      <c r="BR1929">
        <f t="shared" si="314"/>
        <v>-327</v>
      </c>
      <c r="BS1929">
        <f t="shared" si="315"/>
        <v>439</v>
      </c>
    </row>
    <row r="1930" spans="1:74" x14ac:dyDescent="0.25">
      <c r="A1930" s="5" t="s">
        <v>1135</v>
      </c>
      <c r="B1930" s="5" t="s">
        <v>207</v>
      </c>
      <c r="C1930" s="5" t="s">
        <v>207</v>
      </c>
      <c r="D1930" s="1" t="s">
        <v>88</v>
      </c>
      <c r="E1930">
        <v>0</v>
      </c>
      <c r="F1930">
        <v>0</v>
      </c>
      <c r="G1930">
        <v>0</v>
      </c>
      <c r="H1930">
        <v>0</v>
      </c>
      <c r="I1930">
        <v>293</v>
      </c>
      <c r="J1930">
        <v>2743</v>
      </c>
      <c r="K1930">
        <v>705</v>
      </c>
      <c r="L1930">
        <v>166</v>
      </c>
      <c r="M1930">
        <v>0</v>
      </c>
      <c r="N1930">
        <v>0</v>
      </c>
      <c r="O1930">
        <v>0</v>
      </c>
      <c r="P1930">
        <v>0</v>
      </c>
      <c r="Q1930">
        <v>330</v>
      </c>
      <c r="R1930">
        <v>0</v>
      </c>
      <c r="S1930" s="18" t="e">
        <f t="shared" si="306"/>
        <v>#DIV/0!</v>
      </c>
      <c r="T1930" s="17" t="e">
        <f t="shared" si="307"/>
        <v>#DIV/0!</v>
      </c>
      <c r="U1930" s="17" t="e">
        <f t="shared" si="308"/>
        <v>#DIV/0!</v>
      </c>
      <c r="V1930" s="17" t="e">
        <f t="shared" si="309"/>
        <v>#DIV/0!</v>
      </c>
      <c r="W1930" s="17" t="e">
        <f t="shared" si="310"/>
        <v>#DIV/0!</v>
      </c>
      <c r="X1930" s="17" t="e">
        <f t="shared" si="311"/>
        <v>#DIV/0!</v>
      </c>
      <c r="Y1930" s="19" t="e">
        <f t="shared" si="312"/>
        <v>#DIV/0!</v>
      </c>
      <c r="Z1930">
        <v>0</v>
      </c>
      <c r="AA1930">
        <v>6</v>
      </c>
      <c r="AB1930">
        <v>215</v>
      </c>
      <c r="AC1930">
        <v>2825</v>
      </c>
      <c r="AD1930">
        <v>0</v>
      </c>
      <c r="AE1930">
        <v>0</v>
      </c>
      <c r="AF1930">
        <v>0</v>
      </c>
      <c r="AG1930">
        <v>293</v>
      </c>
      <c r="AH1930">
        <v>293</v>
      </c>
      <c r="AI1930">
        <v>0</v>
      </c>
      <c r="AJ1930">
        <v>0</v>
      </c>
      <c r="AK1930">
        <v>2743</v>
      </c>
      <c r="AL1930">
        <v>2743</v>
      </c>
      <c r="AM1930">
        <v>0</v>
      </c>
      <c r="AN1930">
        <v>0</v>
      </c>
      <c r="AO1930">
        <v>705</v>
      </c>
      <c r="AP1930">
        <v>220</v>
      </c>
      <c r="AQ1930">
        <v>705</v>
      </c>
      <c r="AR1930">
        <v>485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166</v>
      </c>
      <c r="BA1930">
        <v>166</v>
      </c>
      <c r="BB1930">
        <v>0</v>
      </c>
      <c r="BC1930">
        <v>0</v>
      </c>
      <c r="BD1930">
        <v>0</v>
      </c>
      <c r="BE1930">
        <f t="shared" si="313"/>
        <v>11344</v>
      </c>
      <c r="BF1930">
        <v>6953</v>
      </c>
      <c r="BG1930">
        <v>6953</v>
      </c>
      <c r="BH1930" t="s">
        <v>82</v>
      </c>
      <c r="BI1930" t="s">
        <v>1267</v>
      </c>
      <c r="BJ1930">
        <v>3046</v>
      </c>
      <c r="BK1930">
        <v>3907</v>
      </c>
      <c r="BL1930">
        <v>6953</v>
      </c>
      <c r="BM1930">
        <v>0</v>
      </c>
      <c r="BN1930">
        <v>0</v>
      </c>
      <c r="BO1930">
        <v>0</v>
      </c>
      <c r="BP1930">
        <v>3907</v>
      </c>
      <c r="BQ1930">
        <v>3907</v>
      </c>
      <c r="BR1930">
        <f t="shared" si="314"/>
        <v>-330</v>
      </c>
      <c r="BS1930">
        <f t="shared" si="315"/>
        <v>330</v>
      </c>
    </row>
    <row r="1931" spans="1:74" x14ac:dyDescent="0.25">
      <c r="A1931" s="5" t="s">
        <v>1946</v>
      </c>
      <c r="B1931" s="5" t="s">
        <v>207</v>
      </c>
      <c r="C1931" s="5" t="s">
        <v>207</v>
      </c>
      <c r="D1931" s="1" t="s">
        <v>88</v>
      </c>
      <c r="E1931">
        <v>0</v>
      </c>
      <c r="F1931">
        <v>650</v>
      </c>
      <c r="G1931">
        <v>0</v>
      </c>
      <c r="H1931">
        <v>0</v>
      </c>
      <c r="I1931">
        <v>340</v>
      </c>
      <c r="J1931">
        <v>0</v>
      </c>
      <c r="K1931">
        <v>0</v>
      </c>
      <c r="L1931">
        <v>0</v>
      </c>
      <c r="M1931">
        <v>711</v>
      </c>
      <c r="N1931">
        <v>0</v>
      </c>
      <c r="O1931">
        <v>0</v>
      </c>
      <c r="P1931">
        <v>0</v>
      </c>
      <c r="Q1931">
        <v>411</v>
      </c>
      <c r="R1931">
        <v>79</v>
      </c>
      <c r="S1931" s="18">
        <f t="shared" si="306"/>
        <v>9</v>
      </c>
      <c r="T1931" s="17">
        <f t="shared" si="307"/>
        <v>79</v>
      </c>
      <c r="U1931" s="17">
        <f t="shared" si="308"/>
        <v>0</v>
      </c>
      <c r="V1931" s="17">
        <f t="shared" si="309"/>
        <v>0</v>
      </c>
      <c r="W1931" s="17">
        <f t="shared" si="310"/>
        <v>0</v>
      </c>
      <c r="X1931" s="17">
        <f t="shared" si="311"/>
        <v>332</v>
      </c>
      <c r="Y1931" s="19">
        <f t="shared" si="312"/>
        <v>0</v>
      </c>
      <c r="Z1931">
        <v>650</v>
      </c>
      <c r="AA1931">
        <v>0</v>
      </c>
      <c r="AB1931">
        <v>0</v>
      </c>
      <c r="AC1931">
        <v>0</v>
      </c>
      <c r="AD1931">
        <v>340</v>
      </c>
      <c r="AE1931">
        <v>0</v>
      </c>
      <c r="AF1931">
        <v>0</v>
      </c>
      <c r="AG1931">
        <v>0</v>
      </c>
      <c r="AH1931">
        <v>340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f t="shared" si="313"/>
        <v>680</v>
      </c>
      <c r="BF1931">
        <v>990</v>
      </c>
      <c r="BG1931">
        <v>990</v>
      </c>
      <c r="BH1931" t="s">
        <v>109</v>
      </c>
      <c r="BI1931" t="s">
        <v>2052</v>
      </c>
      <c r="BJ1931">
        <v>0</v>
      </c>
      <c r="BK1931">
        <v>340</v>
      </c>
      <c r="BL1931">
        <v>990</v>
      </c>
      <c r="BM1931">
        <v>1051</v>
      </c>
      <c r="BN1931">
        <v>0</v>
      </c>
      <c r="BO1931">
        <v>0</v>
      </c>
      <c r="BP1931">
        <v>0</v>
      </c>
      <c r="BQ1931">
        <v>1051</v>
      </c>
      <c r="BR1931">
        <f t="shared" si="314"/>
        <v>-332</v>
      </c>
      <c r="BS1931">
        <f t="shared" si="315"/>
        <v>490</v>
      </c>
    </row>
    <row r="1932" spans="1:74" x14ac:dyDescent="0.25">
      <c r="A1932" s="5" t="s">
        <v>1451</v>
      </c>
      <c r="B1932" s="5" t="s">
        <v>207</v>
      </c>
      <c r="C1932" s="5" t="s">
        <v>61</v>
      </c>
      <c r="D1932" s="1" t="s">
        <v>108</v>
      </c>
      <c r="E1932">
        <v>0</v>
      </c>
      <c r="F1932">
        <v>170</v>
      </c>
      <c r="G1932">
        <v>0</v>
      </c>
      <c r="H1932">
        <v>0</v>
      </c>
      <c r="I1932">
        <v>400</v>
      </c>
      <c r="J1932">
        <v>5185</v>
      </c>
      <c r="K1932">
        <v>1442</v>
      </c>
      <c r="L1932">
        <v>150</v>
      </c>
      <c r="M1932">
        <v>0</v>
      </c>
      <c r="N1932">
        <v>0</v>
      </c>
      <c r="O1932">
        <v>0</v>
      </c>
      <c r="P1932">
        <v>1800</v>
      </c>
      <c r="Q1932">
        <v>534</v>
      </c>
      <c r="R1932">
        <v>200</v>
      </c>
      <c r="S1932" s="18">
        <f t="shared" si="306"/>
        <v>9</v>
      </c>
      <c r="T1932" s="17">
        <f t="shared" si="307"/>
        <v>0</v>
      </c>
      <c r="U1932" s="17">
        <f t="shared" si="308"/>
        <v>0</v>
      </c>
      <c r="V1932" s="17">
        <f t="shared" si="309"/>
        <v>0</v>
      </c>
      <c r="W1932" s="17">
        <f t="shared" si="310"/>
        <v>200</v>
      </c>
      <c r="X1932" s="17">
        <f t="shared" si="311"/>
        <v>334</v>
      </c>
      <c r="Y1932" s="19">
        <f t="shared" si="312"/>
        <v>0</v>
      </c>
      <c r="Z1932">
        <v>170</v>
      </c>
      <c r="AA1932">
        <v>4</v>
      </c>
      <c r="AB1932">
        <v>140</v>
      </c>
      <c r="AC1932">
        <v>9900</v>
      </c>
      <c r="AD1932">
        <v>0</v>
      </c>
      <c r="AE1932">
        <v>0</v>
      </c>
      <c r="AF1932">
        <v>0</v>
      </c>
      <c r="AG1932">
        <v>400</v>
      </c>
      <c r="AH1932">
        <v>400</v>
      </c>
      <c r="AI1932">
        <v>0</v>
      </c>
      <c r="AJ1932">
        <v>0</v>
      </c>
      <c r="AK1932">
        <v>5185</v>
      </c>
      <c r="AL1932">
        <v>5185</v>
      </c>
      <c r="AM1932">
        <v>0</v>
      </c>
      <c r="AN1932">
        <v>0</v>
      </c>
      <c r="AO1932">
        <v>1442</v>
      </c>
      <c r="AP1932">
        <v>692</v>
      </c>
      <c r="AQ1932">
        <v>1442</v>
      </c>
      <c r="AR1932">
        <v>750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150</v>
      </c>
      <c r="BA1932">
        <v>150</v>
      </c>
      <c r="BB1932">
        <v>0</v>
      </c>
      <c r="BC1932">
        <v>0</v>
      </c>
      <c r="BD1932">
        <v>0</v>
      </c>
      <c r="BE1932">
        <f t="shared" si="313"/>
        <v>25696</v>
      </c>
      <c r="BF1932">
        <v>17391</v>
      </c>
      <c r="BG1932">
        <v>17391</v>
      </c>
      <c r="BH1932" t="s">
        <v>82</v>
      </c>
      <c r="BI1932" t="s">
        <v>1551</v>
      </c>
      <c r="BJ1932">
        <v>10044</v>
      </c>
      <c r="BK1932">
        <v>7177</v>
      </c>
      <c r="BL1932">
        <v>17391</v>
      </c>
      <c r="BM1932">
        <v>0</v>
      </c>
      <c r="BN1932">
        <v>0</v>
      </c>
      <c r="BO1932">
        <v>0</v>
      </c>
      <c r="BP1932">
        <v>8977</v>
      </c>
      <c r="BQ1932">
        <v>8977</v>
      </c>
      <c r="BR1932">
        <f t="shared" si="314"/>
        <v>-334</v>
      </c>
      <c r="BS1932">
        <f t="shared" si="315"/>
        <v>734</v>
      </c>
    </row>
    <row r="1933" spans="1:74" x14ac:dyDescent="0.25">
      <c r="A1933" s="5" t="s">
        <v>207</v>
      </c>
      <c r="B1933" s="5" t="s">
        <v>359</v>
      </c>
      <c r="C1933" s="5" t="s">
        <v>61</v>
      </c>
      <c r="D1933" s="1" t="s">
        <v>62</v>
      </c>
      <c r="E1933">
        <v>0</v>
      </c>
      <c r="F1933">
        <v>0</v>
      </c>
      <c r="G1933">
        <v>0</v>
      </c>
      <c r="H1933">
        <v>0</v>
      </c>
      <c r="I1933">
        <v>1025</v>
      </c>
      <c r="J1933">
        <v>0</v>
      </c>
      <c r="K1933">
        <v>1025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280</v>
      </c>
      <c r="R1933">
        <v>0</v>
      </c>
      <c r="S1933" s="18" t="e">
        <f t="shared" si="306"/>
        <v>#DIV/0!</v>
      </c>
      <c r="T1933" s="17" t="e">
        <f t="shared" si="307"/>
        <v>#DIV/0!</v>
      </c>
      <c r="U1933" s="17" t="e">
        <f t="shared" si="308"/>
        <v>#DIV/0!</v>
      </c>
      <c r="V1933" s="17" t="e">
        <f t="shared" si="309"/>
        <v>#DIV/0!</v>
      </c>
      <c r="W1933" s="17" t="e">
        <f t="shared" si="310"/>
        <v>#DIV/0!</v>
      </c>
      <c r="X1933" s="17" t="e">
        <f t="shared" si="311"/>
        <v>#DIV/0!</v>
      </c>
      <c r="Y1933" s="19" t="e">
        <f t="shared" si="312"/>
        <v>#DIV/0!</v>
      </c>
      <c r="Z1933">
        <v>0</v>
      </c>
      <c r="AA1933">
        <v>0</v>
      </c>
      <c r="AB1933">
        <v>0</v>
      </c>
      <c r="AC1933">
        <v>0</v>
      </c>
      <c r="AD1933">
        <v>2100</v>
      </c>
      <c r="AE1933">
        <v>0</v>
      </c>
      <c r="AF1933">
        <v>0</v>
      </c>
      <c r="AG1933">
        <v>0</v>
      </c>
      <c r="AH1933">
        <v>2100</v>
      </c>
      <c r="AI1933">
        <v>0</v>
      </c>
      <c r="AJ1933">
        <v>0</v>
      </c>
      <c r="AK1933">
        <v>0</v>
      </c>
      <c r="AL1933">
        <v>0</v>
      </c>
      <c r="AM1933">
        <v>1025</v>
      </c>
      <c r="AN1933">
        <v>0</v>
      </c>
      <c r="AO1933">
        <v>0</v>
      </c>
      <c r="AP1933">
        <v>1025</v>
      </c>
      <c r="AQ1933">
        <v>1025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f t="shared" si="313"/>
        <v>7275</v>
      </c>
      <c r="BF1933">
        <v>3125</v>
      </c>
      <c r="BG1933">
        <v>3125</v>
      </c>
      <c r="BH1933" t="s">
        <v>63</v>
      </c>
      <c r="BI1933" t="s">
        <v>594</v>
      </c>
      <c r="BJ1933">
        <v>0</v>
      </c>
      <c r="BK1933">
        <v>3125</v>
      </c>
      <c r="BL1933">
        <v>3125</v>
      </c>
      <c r="BM1933">
        <v>3125</v>
      </c>
      <c r="BN1933">
        <v>0</v>
      </c>
      <c r="BO1933">
        <v>0</v>
      </c>
      <c r="BP1933">
        <v>0</v>
      </c>
      <c r="BQ1933">
        <v>3125</v>
      </c>
      <c r="BR1933">
        <f t="shared" si="314"/>
        <v>-280</v>
      </c>
      <c r="BS1933">
        <f t="shared" si="315"/>
        <v>280</v>
      </c>
      <c r="BU1933">
        <f>R1933*9</f>
        <v>0</v>
      </c>
      <c r="BV1933">
        <f>IF(BU1933&gt;BG1933, 1, 0)</f>
        <v>0</v>
      </c>
    </row>
    <row r="1934" spans="1:74" x14ac:dyDescent="0.25">
      <c r="A1934" s="5" t="s">
        <v>61</v>
      </c>
      <c r="B1934" s="5" t="s">
        <v>359</v>
      </c>
      <c r="C1934" s="5" t="s">
        <v>61</v>
      </c>
      <c r="D1934" s="1" t="s">
        <v>79</v>
      </c>
      <c r="E1934">
        <v>0</v>
      </c>
      <c r="F1934">
        <v>125</v>
      </c>
      <c r="G1934">
        <v>0</v>
      </c>
      <c r="H1934">
        <v>0</v>
      </c>
      <c r="I1934">
        <v>2200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1125</v>
      </c>
      <c r="Q1934">
        <v>461</v>
      </c>
      <c r="R1934">
        <v>125</v>
      </c>
      <c r="S1934" s="18">
        <f t="shared" si="306"/>
        <v>9</v>
      </c>
      <c r="T1934" s="17">
        <f t="shared" si="307"/>
        <v>0</v>
      </c>
      <c r="U1934" s="17">
        <f t="shared" si="308"/>
        <v>0</v>
      </c>
      <c r="V1934" s="17">
        <f t="shared" si="309"/>
        <v>0</v>
      </c>
      <c r="W1934" s="17">
        <f t="shared" si="310"/>
        <v>125</v>
      </c>
      <c r="X1934" s="17">
        <f t="shared" si="311"/>
        <v>336</v>
      </c>
      <c r="Y1934" s="19">
        <f t="shared" si="312"/>
        <v>0</v>
      </c>
      <c r="Z1934">
        <v>125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2200</v>
      </c>
      <c r="AH1934">
        <v>2200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f t="shared" si="313"/>
        <v>4400</v>
      </c>
      <c r="BF1934">
        <v>2325</v>
      </c>
      <c r="BG1934">
        <v>2325</v>
      </c>
      <c r="BH1934" t="s">
        <v>109</v>
      </c>
      <c r="BI1934" t="s">
        <v>368</v>
      </c>
      <c r="BJ1934">
        <v>0</v>
      </c>
      <c r="BK1934">
        <v>2200</v>
      </c>
      <c r="BL1934">
        <v>2325</v>
      </c>
      <c r="BM1934">
        <v>0</v>
      </c>
      <c r="BN1934">
        <v>0</v>
      </c>
      <c r="BO1934">
        <v>0</v>
      </c>
      <c r="BP1934">
        <v>3325</v>
      </c>
      <c r="BQ1934">
        <v>3325</v>
      </c>
      <c r="BR1934">
        <f t="shared" si="314"/>
        <v>-336</v>
      </c>
      <c r="BS1934">
        <f t="shared" si="315"/>
        <v>586</v>
      </c>
    </row>
    <row r="1935" spans="1:74" x14ac:dyDescent="0.25">
      <c r="A1935" s="5" t="s">
        <v>61</v>
      </c>
      <c r="B1935" s="5" t="s">
        <v>61</v>
      </c>
      <c r="C1935" s="5" t="s">
        <v>61</v>
      </c>
      <c r="D1935" s="1" t="s">
        <v>121</v>
      </c>
      <c r="E1935">
        <v>0</v>
      </c>
      <c r="F1935">
        <v>20</v>
      </c>
      <c r="G1935">
        <v>0</v>
      </c>
      <c r="H1935">
        <v>0</v>
      </c>
      <c r="I1935">
        <v>1700</v>
      </c>
      <c r="J1935">
        <v>0</v>
      </c>
      <c r="K1935">
        <v>0</v>
      </c>
      <c r="L1935">
        <v>0</v>
      </c>
      <c r="M1935">
        <v>144</v>
      </c>
      <c r="N1935">
        <v>0</v>
      </c>
      <c r="O1935">
        <v>0</v>
      </c>
      <c r="P1935">
        <v>0</v>
      </c>
      <c r="Q1935">
        <v>353</v>
      </c>
      <c r="R1935">
        <v>16</v>
      </c>
      <c r="S1935" s="18">
        <f t="shared" si="306"/>
        <v>9</v>
      </c>
      <c r="T1935" s="17">
        <f t="shared" si="307"/>
        <v>16</v>
      </c>
      <c r="U1935" s="17">
        <f t="shared" si="308"/>
        <v>0</v>
      </c>
      <c r="V1935" s="17">
        <f t="shared" si="309"/>
        <v>0</v>
      </c>
      <c r="W1935" s="17">
        <f t="shared" si="310"/>
        <v>0</v>
      </c>
      <c r="X1935" s="17">
        <f t="shared" si="311"/>
        <v>337</v>
      </c>
      <c r="Y1935" s="19">
        <f t="shared" si="312"/>
        <v>0</v>
      </c>
      <c r="Z1935">
        <v>20</v>
      </c>
      <c r="AA1935">
        <v>0</v>
      </c>
      <c r="AB1935">
        <v>0</v>
      </c>
      <c r="AC1935">
        <v>0</v>
      </c>
      <c r="AD1935">
        <v>200</v>
      </c>
      <c r="AE1935">
        <v>0</v>
      </c>
      <c r="AF1935">
        <v>0</v>
      </c>
      <c r="AG1935">
        <v>1500</v>
      </c>
      <c r="AH1935">
        <v>1700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f t="shared" si="313"/>
        <v>3400</v>
      </c>
      <c r="BF1935">
        <v>1720</v>
      </c>
      <c r="BG1935">
        <v>1720</v>
      </c>
      <c r="BH1935" t="s">
        <v>109</v>
      </c>
      <c r="BI1935" t="s">
        <v>122</v>
      </c>
      <c r="BJ1935">
        <v>0</v>
      </c>
      <c r="BK1935">
        <v>1700</v>
      </c>
      <c r="BL1935">
        <v>1720</v>
      </c>
      <c r="BM1935">
        <v>344</v>
      </c>
      <c r="BN1935">
        <v>0</v>
      </c>
      <c r="BO1935">
        <v>0</v>
      </c>
      <c r="BP1935">
        <v>1500</v>
      </c>
      <c r="BQ1935">
        <v>1844</v>
      </c>
      <c r="BR1935">
        <f t="shared" si="314"/>
        <v>-337</v>
      </c>
      <c r="BS1935">
        <f t="shared" si="315"/>
        <v>369</v>
      </c>
    </row>
    <row r="1936" spans="1:74" x14ac:dyDescent="0.25">
      <c r="A1936" s="5" t="s">
        <v>1451</v>
      </c>
      <c r="B1936" s="5" t="s">
        <v>61</v>
      </c>
      <c r="C1936" s="5" t="s">
        <v>627</v>
      </c>
      <c r="D1936" s="1" t="s">
        <v>84</v>
      </c>
      <c r="E1936">
        <v>0</v>
      </c>
      <c r="F1936">
        <v>2300</v>
      </c>
      <c r="G1936">
        <v>0</v>
      </c>
      <c r="H1936">
        <v>0</v>
      </c>
      <c r="I1936">
        <v>1615</v>
      </c>
      <c r="J1936">
        <v>0</v>
      </c>
      <c r="K1936">
        <v>510</v>
      </c>
      <c r="L1936">
        <v>0</v>
      </c>
      <c r="M1936">
        <v>0</v>
      </c>
      <c r="N1936">
        <v>0</v>
      </c>
      <c r="O1936">
        <v>0</v>
      </c>
      <c r="P1936">
        <v>5130</v>
      </c>
      <c r="Q1936">
        <v>908</v>
      </c>
      <c r="R1936">
        <v>570</v>
      </c>
      <c r="S1936" s="18">
        <f t="shared" si="306"/>
        <v>9</v>
      </c>
      <c r="T1936" s="17">
        <f t="shared" si="307"/>
        <v>0</v>
      </c>
      <c r="U1936" s="17">
        <f t="shared" si="308"/>
        <v>0</v>
      </c>
      <c r="V1936" s="17">
        <f t="shared" si="309"/>
        <v>0</v>
      </c>
      <c r="W1936" s="17">
        <f t="shared" si="310"/>
        <v>570</v>
      </c>
      <c r="X1936" s="17">
        <f t="shared" si="311"/>
        <v>338</v>
      </c>
      <c r="Y1936" s="19">
        <f t="shared" si="312"/>
        <v>0</v>
      </c>
      <c r="Z1936">
        <v>2300</v>
      </c>
      <c r="AA1936">
        <v>0</v>
      </c>
      <c r="AB1936">
        <v>0</v>
      </c>
      <c r="AC1936">
        <v>0</v>
      </c>
      <c r="AD1936">
        <v>625</v>
      </c>
      <c r="AE1936">
        <v>0</v>
      </c>
      <c r="AF1936">
        <v>0</v>
      </c>
      <c r="AG1936">
        <v>902</v>
      </c>
      <c r="AH1936">
        <v>1527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510</v>
      </c>
      <c r="AP1936">
        <v>510</v>
      </c>
      <c r="AQ1936">
        <v>510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f t="shared" si="313"/>
        <v>4584</v>
      </c>
      <c r="BF1936">
        <v>4337</v>
      </c>
      <c r="BG1936">
        <v>4337</v>
      </c>
      <c r="BH1936" t="s">
        <v>109</v>
      </c>
      <c r="BI1936" t="s">
        <v>1518</v>
      </c>
      <c r="BJ1936">
        <v>0</v>
      </c>
      <c r="BK1936">
        <v>2037</v>
      </c>
      <c r="BL1936">
        <v>4337</v>
      </c>
      <c r="BM1936">
        <v>625</v>
      </c>
      <c r="BN1936">
        <v>0</v>
      </c>
      <c r="BO1936">
        <v>0</v>
      </c>
      <c r="BP1936">
        <v>6542</v>
      </c>
      <c r="BQ1936">
        <v>7167</v>
      </c>
      <c r="BR1936">
        <f t="shared" si="314"/>
        <v>-338</v>
      </c>
      <c r="BS1936">
        <f t="shared" si="315"/>
        <v>1478</v>
      </c>
    </row>
    <row r="1937" spans="1:74" x14ac:dyDescent="0.25">
      <c r="A1937" s="5" t="s">
        <v>359</v>
      </c>
      <c r="B1937" s="5" t="s">
        <v>359</v>
      </c>
      <c r="C1937" s="5" t="s">
        <v>61</v>
      </c>
      <c r="D1937" s="1" t="s">
        <v>125</v>
      </c>
      <c r="E1937">
        <v>0</v>
      </c>
      <c r="F1937">
        <v>656</v>
      </c>
      <c r="G1937">
        <v>0</v>
      </c>
      <c r="H1937">
        <v>0</v>
      </c>
      <c r="I1937">
        <v>793</v>
      </c>
      <c r="J1937">
        <v>5830</v>
      </c>
      <c r="K1937">
        <v>350</v>
      </c>
      <c r="L1937">
        <v>0</v>
      </c>
      <c r="M1937">
        <v>0</v>
      </c>
      <c r="N1937">
        <v>0</v>
      </c>
      <c r="O1937">
        <v>0</v>
      </c>
      <c r="P1937">
        <v>2844</v>
      </c>
      <c r="Q1937">
        <v>655</v>
      </c>
      <c r="R1937">
        <v>316</v>
      </c>
      <c r="S1937" s="18">
        <f t="shared" si="306"/>
        <v>9</v>
      </c>
      <c r="T1937" s="17">
        <f t="shared" si="307"/>
        <v>0</v>
      </c>
      <c r="U1937" s="17">
        <f t="shared" si="308"/>
        <v>0</v>
      </c>
      <c r="V1937" s="17">
        <f t="shared" si="309"/>
        <v>0</v>
      </c>
      <c r="W1937" s="17">
        <f t="shared" si="310"/>
        <v>316</v>
      </c>
      <c r="X1937" s="17">
        <f t="shared" si="311"/>
        <v>339</v>
      </c>
      <c r="Y1937" s="19">
        <f t="shared" si="312"/>
        <v>0</v>
      </c>
      <c r="Z1937">
        <v>656</v>
      </c>
      <c r="AA1937">
        <v>4</v>
      </c>
      <c r="AB1937">
        <v>232</v>
      </c>
      <c r="AC1937">
        <v>4100</v>
      </c>
      <c r="AD1937">
        <v>0</v>
      </c>
      <c r="AE1937">
        <v>0</v>
      </c>
      <c r="AF1937">
        <v>0</v>
      </c>
      <c r="AG1937">
        <v>793</v>
      </c>
      <c r="AH1937">
        <v>793</v>
      </c>
      <c r="AI1937">
        <v>0</v>
      </c>
      <c r="AJ1937">
        <v>0</v>
      </c>
      <c r="AK1937">
        <v>5830</v>
      </c>
      <c r="AL1937">
        <v>5830</v>
      </c>
      <c r="AM1937">
        <v>0</v>
      </c>
      <c r="AN1937">
        <v>0</v>
      </c>
      <c r="AO1937">
        <v>350</v>
      </c>
      <c r="AP1937">
        <v>88</v>
      </c>
      <c r="AQ1937">
        <v>350</v>
      </c>
      <c r="AR1937">
        <v>262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f t="shared" si="313"/>
        <v>18396</v>
      </c>
      <c r="BF1937">
        <v>11965</v>
      </c>
      <c r="BG1937">
        <v>11965</v>
      </c>
      <c r="BH1937" t="s">
        <v>82</v>
      </c>
      <c r="BI1937" t="s">
        <v>786</v>
      </c>
      <c r="BJ1937">
        <v>4336</v>
      </c>
      <c r="BK1937">
        <v>6973</v>
      </c>
      <c r="BL1937">
        <v>11965</v>
      </c>
      <c r="BM1937">
        <v>0</v>
      </c>
      <c r="BN1937">
        <v>0</v>
      </c>
      <c r="BO1937">
        <v>0</v>
      </c>
      <c r="BP1937">
        <v>9817</v>
      </c>
      <c r="BQ1937">
        <v>9817</v>
      </c>
      <c r="BR1937">
        <f t="shared" si="314"/>
        <v>-339</v>
      </c>
      <c r="BS1937">
        <f t="shared" si="315"/>
        <v>971</v>
      </c>
    </row>
    <row r="1938" spans="1:74" x14ac:dyDescent="0.25">
      <c r="A1938" s="5" t="s">
        <v>1017</v>
      </c>
      <c r="B1938" s="5" t="s">
        <v>61</v>
      </c>
      <c r="C1938" s="5" t="s">
        <v>207</v>
      </c>
      <c r="D1938" s="1" t="s">
        <v>119</v>
      </c>
      <c r="E1938">
        <v>0</v>
      </c>
      <c r="F1938">
        <v>220</v>
      </c>
      <c r="G1938">
        <v>0</v>
      </c>
      <c r="H1938">
        <v>0</v>
      </c>
      <c r="I1938">
        <v>421</v>
      </c>
      <c r="J1938">
        <v>1027</v>
      </c>
      <c r="K1938">
        <v>515</v>
      </c>
      <c r="L1938">
        <v>0</v>
      </c>
      <c r="M1938">
        <v>504</v>
      </c>
      <c r="N1938">
        <v>0</v>
      </c>
      <c r="O1938">
        <v>0</v>
      </c>
      <c r="P1938">
        <v>0</v>
      </c>
      <c r="Q1938">
        <v>398</v>
      </c>
      <c r="R1938">
        <v>56</v>
      </c>
      <c r="S1938" s="18">
        <f t="shared" si="306"/>
        <v>9</v>
      </c>
      <c r="T1938" s="17">
        <f t="shared" si="307"/>
        <v>56</v>
      </c>
      <c r="U1938" s="17">
        <f t="shared" si="308"/>
        <v>0</v>
      </c>
      <c r="V1938" s="17">
        <f t="shared" si="309"/>
        <v>0</v>
      </c>
      <c r="W1938" s="17">
        <f t="shared" si="310"/>
        <v>0</v>
      </c>
      <c r="X1938" s="17">
        <f t="shared" si="311"/>
        <v>342</v>
      </c>
      <c r="Y1938" s="19">
        <f t="shared" si="312"/>
        <v>0</v>
      </c>
      <c r="Z1938">
        <v>220</v>
      </c>
      <c r="AA1938">
        <v>0</v>
      </c>
      <c r="AB1938">
        <v>0</v>
      </c>
      <c r="AC1938">
        <v>1500</v>
      </c>
      <c r="AD1938">
        <v>421</v>
      </c>
      <c r="AE1938">
        <v>0</v>
      </c>
      <c r="AF1938">
        <v>0</v>
      </c>
      <c r="AG1938">
        <v>0</v>
      </c>
      <c r="AH1938">
        <v>421</v>
      </c>
      <c r="AI1938">
        <v>0</v>
      </c>
      <c r="AJ1938">
        <v>0</v>
      </c>
      <c r="AK1938">
        <v>1027</v>
      </c>
      <c r="AL1938">
        <v>1027</v>
      </c>
      <c r="AM1938">
        <v>0</v>
      </c>
      <c r="AN1938">
        <v>0</v>
      </c>
      <c r="AO1938">
        <v>515</v>
      </c>
      <c r="AP1938">
        <v>261</v>
      </c>
      <c r="AQ1938">
        <v>515</v>
      </c>
      <c r="AR1938">
        <v>254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f t="shared" si="313"/>
        <v>5941</v>
      </c>
      <c r="BF1938">
        <v>3683</v>
      </c>
      <c r="BG1938">
        <v>3683</v>
      </c>
      <c r="BH1938" t="s">
        <v>82</v>
      </c>
      <c r="BI1938" t="s">
        <v>1071</v>
      </c>
      <c r="BJ1938">
        <v>1500</v>
      </c>
      <c r="BK1938">
        <v>1963</v>
      </c>
      <c r="BL1938">
        <v>3683</v>
      </c>
      <c r="BM1938">
        <v>925</v>
      </c>
      <c r="BN1938">
        <v>0</v>
      </c>
      <c r="BO1938">
        <v>0</v>
      </c>
      <c r="BP1938">
        <v>1542</v>
      </c>
      <c r="BQ1938">
        <v>2467</v>
      </c>
      <c r="BR1938">
        <f t="shared" si="314"/>
        <v>-342</v>
      </c>
      <c r="BS1938">
        <f t="shared" si="315"/>
        <v>454</v>
      </c>
    </row>
    <row r="1939" spans="1:74" x14ac:dyDescent="0.25">
      <c r="A1939" s="5" t="s">
        <v>1946</v>
      </c>
      <c r="B1939" s="5" t="s">
        <v>61</v>
      </c>
      <c r="C1939" s="5" t="s">
        <v>61</v>
      </c>
      <c r="D1939" s="1" t="s">
        <v>192</v>
      </c>
      <c r="E1939">
        <v>50</v>
      </c>
      <c r="F1939">
        <v>0</v>
      </c>
      <c r="G1939">
        <v>0</v>
      </c>
      <c r="H1939">
        <v>0</v>
      </c>
      <c r="I1939">
        <v>148</v>
      </c>
      <c r="J1939">
        <v>2650</v>
      </c>
      <c r="K1939">
        <v>1158</v>
      </c>
      <c r="L1939">
        <v>216</v>
      </c>
      <c r="M1939">
        <v>0</v>
      </c>
      <c r="N1939">
        <v>0</v>
      </c>
      <c r="O1939">
        <v>0</v>
      </c>
      <c r="P1939">
        <v>0</v>
      </c>
      <c r="Q1939">
        <v>342</v>
      </c>
      <c r="R1939">
        <v>0</v>
      </c>
      <c r="S1939" s="18" t="e">
        <f t="shared" si="306"/>
        <v>#DIV/0!</v>
      </c>
      <c r="T1939" s="17" t="e">
        <f t="shared" si="307"/>
        <v>#DIV/0!</v>
      </c>
      <c r="U1939" s="17" t="e">
        <f t="shared" si="308"/>
        <v>#DIV/0!</v>
      </c>
      <c r="V1939" s="17" t="e">
        <f t="shared" si="309"/>
        <v>#DIV/0!</v>
      </c>
      <c r="W1939" s="17" t="e">
        <f t="shared" si="310"/>
        <v>#DIV/0!</v>
      </c>
      <c r="X1939" s="17" t="e">
        <f t="shared" si="311"/>
        <v>#DIV/0!</v>
      </c>
      <c r="Y1939" s="19" t="e">
        <f t="shared" si="312"/>
        <v>#DIV/0!</v>
      </c>
      <c r="Z1939">
        <v>0</v>
      </c>
      <c r="AA1939">
        <v>10</v>
      </c>
      <c r="AB1939">
        <v>0</v>
      </c>
      <c r="AC1939">
        <v>4200</v>
      </c>
      <c r="AD1939">
        <v>0</v>
      </c>
      <c r="AE1939">
        <v>0</v>
      </c>
      <c r="AF1939">
        <v>0</v>
      </c>
      <c r="AG1939">
        <v>148</v>
      </c>
      <c r="AH1939">
        <v>148</v>
      </c>
      <c r="AI1939">
        <v>0</v>
      </c>
      <c r="AJ1939">
        <v>0</v>
      </c>
      <c r="AK1939">
        <v>2650</v>
      </c>
      <c r="AL1939">
        <v>2650</v>
      </c>
      <c r="AM1939">
        <v>0</v>
      </c>
      <c r="AN1939">
        <v>0</v>
      </c>
      <c r="AO1939">
        <v>1158</v>
      </c>
      <c r="AP1939">
        <v>665</v>
      </c>
      <c r="AQ1939">
        <v>1158</v>
      </c>
      <c r="AR1939">
        <v>493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216</v>
      </c>
      <c r="BA1939">
        <v>216</v>
      </c>
      <c r="BB1939">
        <v>0</v>
      </c>
      <c r="BC1939">
        <v>0</v>
      </c>
      <c r="BD1939">
        <v>0</v>
      </c>
      <c r="BE1939">
        <f t="shared" si="313"/>
        <v>13702</v>
      </c>
      <c r="BF1939">
        <v>8432</v>
      </c>
      <c r="BG1939">
        <v>8432</v>
      </c>
      <c r="BH1939" t="s">
        <v>82</v>
      </c>
      <c r="BI1939" t="s">
        <v>2006</v>
      </c>
      <c r="BJ1939">
        <v>4260</v>
      </c>
      <c r="BK1939">
        <v>4172</v>
      </c>
      <c r="BL1939">
        <v>8432</v>
      </c>
      <c r="BM1939">
        <v>0</v>
      </c>
      <c r="BN1939">
        <v>0</v>
      </c>
      <c r="BO1939">
        <v>0</v>
      </c>
      <c r="BP1939">
        <v>4172</v>
      </c>
      <c r="BQ1939">
        <v>4172</v>
      </c>
      <c r="BR1939">
        <f t="shared" si="314"/>
        <v>-342</v>
      </c>
      <c r="BS1939">
        <f t="shared" si="315"/>
        <v>342</v>
      </c>
    </row>
    <row r="1940" spans="1:74" x14ac:dyDescent="0.25">
      <c r="A1940" s="5" t="s">
        <v>1946</v>
      </c>
      <c r="B1940" s="5" t="s">
        <v>207</v>
      </c>
      <c r="C1940" s="5" t="s">
        <v>61</v>
      </c>
      <c r="D1940" s="1" t="s">
        <v>67</v>
      </c>
      <c r="E1940">
        <v>0</v>
      </c>
      <c r="F1940">
        <v>0</v>
      </c>
      <c r="G1940">
        <v>0</v>
      </c>
      <c r="H1940">
        <v>0</v>
      </c>
      <c r="I1940">
        <v>500</v>
      </c>
      <c r="J1940">
        <v>1100</v>
      </c>
      <c r="K1940">
        <v>620</v>
      </c>
      <c r="L1940">
        <v>158</v>
      </c>
      <c r="M1940">
        <v>0</v>
      </c>
      <c r="N1940">
        <v>0</v>
      </c>
      <c r="O1940">
        <v>0</v>
      </c>
      <c r="P1940">
        <v>0</v>
      </c>
      <c r="Q1940">
        <v>283</v>
      </c>
      <c r="R1940">
        <v>0</v>
      </c>
      <c r="S1940" s="18" t="e">
        <f t="shared" si="306"/>
        <v>#DIV/0!</v>
      </c>
      <c r="T1940" s="17" t="e">
        <f t="shared" si="307"/>
        <v>#DIV/0!</v>
      </c>
      <c r="U1940" s="17" t="e">
        <f t="shared" si="308"/>
        <v>#DIV/0!</v>
      </c>
      <c r="V1940" s="17" t="e">
        <f t="shared" si="309"/>
        <v>#DIV/0!</v>
      </c>
      <c r="W1940" s="17" t="e">
        <f t="shared" si="310"/>
        <v>#DIV/0!</v>
      </c>
      <c r="X1940" s="17" t="e">
        <f t="shared" si="311"/>
        <v>#DIV/0!</v>
      </c>
      <c r="Y1940" s="19" t="e">
        <f t="shared" si="312"/>
        <v>#DIV/0!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500</v>
      </c>
      <c r="AH1940">
        <v>500</v>
      </c>
      <c r="AI1940">
        <v>0</v>
      </c>
      <c r="AJ1940">
        <v>0</v>
      </c>
      <c r="AK1940">
        <v>1100</v>
      </c>
      <c r="AL1940">
        <v>1100</v>
      </c>
      <c r="AM1940">
        <v>0</v>
      </c>
      <c r="AN1940">
        <v>0</v>
      </c>
      <c r="AO1940">
        <v>620</v>
      </c>
      <c r="AP1940">
        <v>0</v>
      </c>
      <c r="AQ1940">
        <v>620</v>
      </c>
      <c r="AR1940">
        <v>620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158</v>
      </c>
      <c r="BA1940">
        <v>158</v>
      </c>
      <c r="BB1940">
        <v>0</v>
      </c>
      <c r="BC1940">
        <v>0</v>
      </c>
      <c r="BD1940">
        <v>0</v>
      </c>
      <c r="BE1940">
        <f t="shared" si="313"/>
        <v>5376</v>
      </c>
      <c r="BF1940">
        <v>2378</v>
      </c>
      <c r="BG1940">
        <v>2378</v>
      </c>
      <c r="BH1940" t="s">
        <v>63</v>
      </c>
      <c r="BI1940" t="s">
        <v>2011</v>
      </c>
      <c r="BJ1940">
        <v>0</v>
      </c>
      <c r="BK1940">
        <v>2378</v>
      </c>
      <c r="BL1940">
        <v>2378</v>
      </c>
      <c r="BM1940">
        <v>0</v>
      </c>
      <c r="BN1940">
        <v>0</v>
      </c>
      <c r="BO1940">
        <v>0</v>
      </c>
      <c r="BP1940">
        <v>2378</v>
      </c>
      <c r="BQ1940">
        <v>2378</v>
      </c>
      <c r="BR1940">
        <f t="shared" si="314"/>
        <v>-283</v>
      </c>
      <c r="BS1940">
        <f t="shared" si="315"/>
        <v>283</v>
      </c>
      <c r="BU1940">
        <f>R1940*9</f>
        <v>0</v>
      </c>
      <c r="BV1940">
        <f>IF(BU1940&gt;BG1940, 1, 0)</f>
        <v>0</v>
      </c>
    </row>
    <row r="1941" spans="1:74" x14ac:dyDescent="0.25">
      <c r="A1941" s="5" t="s">
        <v>1017</v>
      </c>
      <c r="B1941" s="5" t="s">
        <v>61</v>
      </c>
      <c r="C1941" s="5" t="s">
        <v>207</v>
      </c>
      <c r="D1941" s="1" t="s">
        <v>73</v>
      </c>
      <c r="E1941">
        <v>0</v>
      </c>
      <c r="F1941">
        <v>6701</v>
      </c>
      <c r="G1941">
        <v>0</v>
      </c>
      <c r="H1941">
        <v>0</v>
      </c>
      <c r="I1941">
        <v>1975</v>
      </c>
      <c r="J1941">
        <v>0</v>
      </c>
      <c r="K1941">
        <v>560</v>
      </c>
      <c r="L1941">
        <v>0</v>
      </c>
      <c r="M1941">
        <v>4392</v>
      </c>
      <c r="N1941">
        <v>0</v>
      </c>
      <c r="O1941">
        <v>0</v>
      </c>
      <c r="P1941">
        <v>0</v>
      </c>
      <c r="Q1941">
        <v>831</v>
      </c>
      <c r="R1941">
        <v>488</v>
      </c>
      <c r="S1941" s="18">
        <f t="shared" si="306"/>
        <v>9</v>
      </c>
      <c r="T1941" s="17">
        <f t="shared" si="307"/>
        <v>488</v>
      </c>
      <c r="U1941" s="17">
        <f t="shared" si="308"/>
        <v>0</v>
      </c>
      <c r="V1941" s="17">
        <f t="shared" si="309"/>
        <v>0</v>
      </c>
      <c r="W1941" s="17">
        <f t="shared" si="310"/>
        <v>0</v>
      </c>
      <c r="X1941" s="17">
        <f t="shared" si="311"/>
        <v>343</v>
      </c>
      <c r="Y1941" s="19">
        <f t="shared" si="312"/>
        <v>0</v>
      </c>
      <c r="Z1941">
        <v>6701</v>
      </c>
      <c r="AA1941">
        <v>0</v>
      </c>
      <c r="AB1941">
        <v>0</v>
      </c>
      <c r="AC1941">
        <v>800</v>
      </c>
      <c r="AD1941">
        <v>1975</v>
      </c>
      <c r="AE1941">
        <v>0</v>
      </c>
      <c r="AF1941">
        <v>0</v>
      </c>
      <c r="AG1941">
        <v>0</v>
      </c>
      <c r="AH1941">
        <v>1975</v>
      </c>
      <c r="AI1941">
        <v>0</v>
      </c>
      <c r="AJ1941">
        <v>0</v>
      </c>
      <c r="AK1941">
        <v>0</v>
      </c>
      <c r="AL1941">
        <v>0</v>
      </c>
      <c r="AM1941">
        <v>560</v>
      </c>
      <c r="AN1941">
        <v>0</v>
      </c>
      <c r="AO1941">
        <v>0</v>
      </c>
      <c r="AP1941">
        <v>20</v>
      </c>
      <c r="AQ1941">
        <v>560</v>
      </c>
      <c r="AR1941">
        <v>540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f t="shared" si="313"/>
        <v>6430</v>
      </c>
      <c r="BF1941">
        <v>10036</v>
      </c>
      <c r="BG1941">
        <v>10036</v>
      </c>
      <c r="BH1941" t="s">
        <v>109</v>
      </c>
      <c r="BI1941" t="s">
        <v>1051</v>
      </c>
      <c r="BJ1941">
        <v>800</v>
      </c>
      <c r="BK1941">
        <v>2535</v>
      </c>
      <c r="BL1941">
        <v>10036</v>
      </c>
      <c r="BM1941">
        <v>6927</v>
      </c>
      <c r="BN1941">
        <v>0</v>
      </c>
      <c r="BO1941">
        <v>0</v>
      </c>
      <c r="BP1941">
        <v>0</v>
      </c>
      <c r="BQ1941">
        <v>6927</v>
      </c>
      <c r="BR1941">
        <f t="shared" si="314"/>
        <v>-343</v>
      </c>
      <c r="BS1941">
        <f t="shared" si="315"/>
        <v>1319</v>
      </c>
    </row>
    <row r="1942" spans="1:74" x14ac:dyDescent="0.25">
      <c r="A1942" s="5" t="s">
        <v>61</v>
      </c>
      <c r="B1942" s="5" t="s">
        <v>61</v>
      </c>
      <c r="C1942" s="5" t="s">
        <v>61</v>
      </c>
      <c r="D1942" s="1" t="s">
        <v>73</v>
      </c>
      <c r="E1942">
        <v>0</v>
      </c>
      <c r="F1942">
        <v>0</v>
      </c>
      <c r="G1942">
        <v>0</v>
      </c>
      <c r="H1942">
        <v>0</v>
      </c>
      <c r="I1942">
        <v>2142</v>
      </c>
      <c r="J1942">
        <v>3446</v>
      </c>
      <c r="K1942">
        <v>27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286</v>
      </c>
      <c r="R1942">
        <v>0</v>
      </c>
      <c r="S1942" s="18" t="e">
        <f t="shared" si="306"/>
        <v>#DIV/0!</v>
      </c>
      <c r="T1942" s="17" t="e">
        <f t="shared" si="307"/>
        <v>#DIV/0!</v>
      </c>
      <c r="U1942" s="17" t="e">
        <f t="shared" si="308"/>
        <v>#DIV/0!</v>
      </c>
      <c r="V1942" s="17" t="e">
        <f t="shared" si="309"/>
        <v>#DIV/0!</v>
      </c>
      <c r="W1942" s="17" t="e">
        <f t="shared" si="310"/>
        <v>#DIV/0!</v>
      </c>
      <c r="X1942" s="17" t="e">
        <f t="shared" si="311"/>
        <v>#DIV/0!</v>
      </c>
      <c r="Y1942" s="19" t="e">
        <f t="shared" si="312"/>
        <v>#DIV/0!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2142</v>
      </c>
      <c r="AF1942">
        <v>0</v>
      </c>
      <c r="AG1942">
        <v>0</v>
      </c>
      <c r="AH1942">
        <v>2142</v>
      </c>
      <c r="AI1942">
        <v>0</v>
      </c>
      <c r="AJ1942">
        <v>3446</v>
      </c>
      <c r="AK1942">
        <v>0</v>
      </c>
      <c r="AL1942">
        <v>3446</v>
      </c>
      <c r="AM1942">
        <v>0</v>
      </c>
      <c r="AN1942">
        <v>0</v>
      </c>
      <c r="AO1942">
        <v>27</v>
      </c>
      <c r="AP1942">
        <v>0</v>
      </c>
      <c r="AQ1942">
        <v>27</v>
      </c>
      <c r="AR1942">
        <v>27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f t="shared" si="313"/>
        <v>11257</v>
      </c>
      <c r="BF1942">
        <v>5615</v>
      </c>
      <c r="BG1942">
        <v>5615</v>
      </c>
      <c r="BH1942" t="s">
        <v>63</v>
      </c>
      <c r="BI1942" t="s">
        <v>74</v>
      </c>
      <c r="BJ1942">
        <v>0</v>
      </c>
      <c r="BK1942">
        <v>5615</v>
      </c>
      <c r="BL1942">
        <v>5615</v>
      </c>
      <c r="BM1942">
        <v>0</v>
      </c>
      <c r="BN1942">
        <v>5588</v>
      </c>
      <c r="BO1942">
        <v>0</v>
      </c>
      <c r="BP1942">
        <v>27</v>
      </c>
      <c r="BQ1942">
        <v>5615</v>
      </c>
      <c r="BR1942">
        <f t="shared" si="314"/>
        <v>-286</v>
      </c>
      <c r="BS1942">
        <f t="shared" si="315"/>
        <v>286</v>
      </c>
      <c r="BU1942">
        <f>R1942*9</f>
        <v>0</v>
      </c>
      <c r="BV1942">
        <f>IF(BU1942&gt;BG1942, 1, 0)</f>
        <v>0</v>
      </c>
    </row>
    <row r="1943" spans="1:74" x14ac:dyDescent="0.25">
      <c r="A1943" s="5" t="s">
        <v>1337</v>
      </c>
      <c r="B1943" s="5" t="s">
        <v>359</v>
      </c>
      <c r="C1943" s="5" t="s">
        <v>61</v>
      </c>
      <c r="D1943" s="1" t="s">
        <v>121</v>
      </c>
      <c r="E1943">
        <v>383</v>
      </c>
      <c r="F1943">
        <v>122</v>
      </c>
      <c r="G1943">
        <v>0</v>
      </c>
      <c r="H1943">
        <v>0</v>
      </c>
      <c r="I1943">
        <v>258</v>
      </c>
      <c r="J1943">
        <v>2048</v>
      </c>
      <c r="K1943">
        <v>575</v>
      </c>
      <c r="L1943">
        <v>173</v>
      </c>
      <c r="M1943">
        <v>0</v>
      </c>
      <c r="N1943">
        <v>0</v>
      </c>
      <c r="O1943">
        <v>0</v>
      </c>
      <c r="P1943">
        <v>1098</v>
      </c>
      <c r="Q1943">
        <v>467</v>
      </c>
      <c r="R1943">
        <v>122</v>
      </c>
      <c r="S1943" s="18">
        <f t="shared" si="306"/>
        <v>9</v>
      </c>
      <c r="T1943" s="17">
        <f t="shared" si="307"/>
        <v>0</v>
      </c>
      <c r="U1943" s="17">
        <f t="shared" si="308"/>
        <v>0</v>
      </c>
      <c r="V1943" s="17">
        <f t="shared" si="309"/>
        <v>0</v>
      </c>
      <c r="W1943" s="17">
        <f t="shared" si="310"/>
        <v>122</v>
      </c>
      <c r="X1943" s="17">
        <f t="shared" si="311"/>
        <v>345</v>
      </c>
      <c r="Y1943" s="19">
        <f t="shared" si="312"/>
        <v>0</v>
      </c>
      <c r="Z1943">
        <v>122</v>
      </c>
      <c r="AA1943">
        <v>4</v>
      </c>
      <c r="AB1943">
        <v>0</v>
      </c>
      <c r="AC1943">
        <v>5655</v>
      </c>
      <c r="AD1943">
        <v>0</v>
      </c>
      <c r="AE1943">
        <v>0</v>
      </c>
      <c r="AF1943">
        <v>0</v>
      </c>
      <c r="AG1943">
        <v>258</v>
      </c>
      <c r="AH1943">
        <v>258</v>
      </c>
      <c r="AI1943">
        <v>0</v>
      </c>
      <c r="AJ1943">
        <v>0</v>
      </c>
      <c r="AK1943">
        <v>2048</v>
      </c>
      <c r="AL1943">
        <v>2048</v>
      </c>
      <c r="AM1943">
        <v>0</v>
      </c>
      <c r="AN1943">
        <v>0</v>
      </c>
      <c r="AO1943">
        <v>575</v>
      </c>
      <c r="AP1943">
        <v>344</v>
      </c>
      <c r="AQ1943">
        <v>575</v>
      </c>
      <c r="AR1943">
        <v>231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173</v>
      </c>
      <c r="BA1943">
        <v>173</v>
      </c>
      <c r="BB1943">
        <v>0</v>
      </c>
      <c r="BC1943">
        <v>0</v>
      </c>
      <c r="BD1943">
        <v>0</v>
      </c>
      <c r="BE1943">
        <f t="shared" si="313"/>
        <v>12338</v>
      </c>
      <c r="BF1943">
        <v>9218</v>
      </c>
      <c r="BG1943">
        <v>9218</v>
      </c>
      <c r="BH1943" t="s">
        <v>190</v>
      </c>
      <c r="BI1943" t="s">
        <v>1439</v>
      </c>
      <c r="BJ1943">
        <v>6042</v>
      </c>
      <c r="BK1943">
        <v>3054</v>
      </c>
      <c r="BL1943">
        <v>9218</v>
      </c>
      <c r="BM1943">
        <v>0</v>
      </c>
      <c r="BN1943">
        <v>0</v>
      </c>
      <c r="BO1943">
        <v>0</v>
      </c>
      <c r="BP1943">
        <v>4152</v>
      </c>
      <c r="BQ1943">
        <v>4152</v>
      </c>
      <c r="BR1943">
        <f t="shared" si="314"/>
        <v>-345</v>
      </c>
      <c r="BS1943">
        <f t="shared" si="315"/>
        <v>589</v>
      </c>
    </row>
    <row r="1944" spans="1:74" x14ac:dyDescent="0.25">
      <c r="A1944" s="5" t="s">
        <v>61</v>
      </c>
      <c r="B1944" s="5" t="s">
        <v>359</v>
      </c>
      <c r="C1944" s="5" t="s">
        <v>61</v>
      </c>
      <c r="D1944" s="1" t="s">
        <v>183</v>
      </c>
      <c r="E1944">
        <v>0</v>
      </c>
      <c r="F1944">
        <v>25</v>
      </c>
      <c r="G1944">
        <v>0</v>
      </c>
      <c r="H1944">
        <v>0</v>
      </c>
      <c r="I1944">
        <v>2100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225</v>
      </c>
      <c r="Q1944">
        <v>372</v>
      </c>
      <c r="R1944">
        <v>25</v>
      </c>
      <c r="S1944" s="18">
        <f t="shared" si="306"/>
        <v>9</v>
      </c>
      <c r="T1944" s="17">
        <f t="shared" si="307"/>
        <v>0</v>
      </c>
      <c r="U1944" s="17">
        <f t="shared" si="308"/>
        <v>0</v>
      </c>
      <c r="V1944" s="17">
        <f t="shared" si="309"/>
        <v>0</v>
      </c>
      <c r="W1944" s="17">
        <f t="shared" si="310"/>
        <v>25</v>
      </c>
      <c r="X1944" s="17">
        <f t="shared" si="311"/>
        <v>347</v>
      </c>
      <c r="Y1944" s="19">
        <f t="shared" si="312"/>
        <v>0</v>
      </c>
      <c r="Z1944">
        <v>25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2100</v>
      </c>
      <c r="AH1944">
        <v>2100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f t="shared" si="313"/>
        <v>4200</v>
      </c>
      <c r="BF1944">
        <v>2125</v>
      </c>
      <c r="BG1944">
        <v>2125</v>
      </c>
      <c r="BH1944" t="s">
        <v>109</v>
      </c>
      <c r="BI1944" t="s">
        <v>419</v>
      </c>
      <c r="BJ1944">
        <v>0</v>
      </c>
      <c r="BK1944">
        <v>2100</v>
      </c>
      <c r="BL1944">
        <v>2125</v>
      </c>
      <c r="BM1944">
        <v>0</v>
      </c>
      <c r="BN1944">
        <v>0</v>
      </c>
      <c r="BO1944">
        <v>0</v>
      </c>
      <c r="BP1944">
        <v>2325</v>
      </c>
      <c r="BQ1944">
        <v>2325</v>
      </c>
      <c r="BR1944">
        <f t="shared" si="314"/>
        <v>-347</v>
      </c>
      <c r="BS1944">
        <f t="shared" si="315"/>
        <v>397</v>
      </c>
    </row>
    <row r="1945" spans="1:74" x14ac:dyDescent="0.25">
      <c r="A1945" s="5" t="s">
        <v>2090</v>
      </c>
      <c r="B1945" s="5" t="s">
        <v>61</v>
      </c>
      <c r="C1945" s="5" t="s">
        <v>61</v>
      </c>
      <c r="D1945" s="1" t="s">
        <v>2197</v>
      </c>
      <c r="E1945">
        <v>18</v>
      </c>
      <c r="F1945">
        <v>0</v>
      </c>
      <c r="G1945">
        <v>0</v>
      </c>
      <c r="H1945">
        <v>0</v>
      </c>
      <c r="I1945">
        <v>43</v>
      </c>
      <c r="J1945">
        <v>703</v>
      </c>
      <c r="K1945">
        <v>672</v>
      </c>
      <c r="L1945">
        <v>240</v>
      </c>
      <c r="M1945">
        <v>0</v>
      </c>
      <c r="N1945">
        <v>0</v>
      </c>
      <c r="O1945">
        <v>0</v>
      </c>
      <c r="P1945">
        <v>0</v>
      </c>
      <c r="Q1945">
        <v>347</v>
      </c>
      <c r="R1945">
        <v>0</v>
      </c>
      <c r="S1945" s="18" t="e">
        <f t="shared" si="306"/>
        <v>#DIV/0!</v>
      </c>
      <c r="T1945" s="17" t="e">
        <f t="shared" si="307"/>
        <v>#DIV/0!</v>
      </c>
      <c r="U1945" s="17" t="e">
        <f t="shared" si="308"/>
        <v>#DIV/0!</v>
      </c>
      <c r="V1945" s="17" t="e">
        <f t="shared" si="309"/>
        <v>#DIV/0!</v>
      </c>
      <c r="W1945" s="17" t="e">
        <f t="shared" si="310"/>
        <v>#DIV/0!</v>
      </c>
      <c r="X1945" s="17" t="e">
        <f t="shared" si="311"/>
        <v>#DIV/0!</v>
      </c>
      <c r="Y1945" s="19" t="e">
        <f t="shared" si="312"/>
        <v>#DIV/0!</v>
      </c>
      <c r="Z1945">
        <v>0</v>
      </c>
      <c r="AA1945">
        <v>0</v>
      </c>
      <c r="AB1945">
        <v>0</v>
      </c>
      <c r="AC1945">
        <v>996</v>
      </c>
      <c r="AD1945">
        <v>0</v>
      </c>
      <c r="AE1945">
        <v>0</v>
      </c>
      <c r="AF1945">
        <v>0</v>
      </c>
      <c r="AG1945">
        <v>43</v>
      </c>
      <c r="AH1945">
        <v>43</v>
      </c>
      <c r="AI1945">
        <v>0</v>
      </c>
      <c r="AJ1945">
        <v>0</v>
      </c>
      <c r="AK1945">
        <v>703</v>
      </c>
      <c r="AL1945">
        <v>703</v>
      </c>
      <c r="AM1945">
        <v>0</v>
      </c>
      <c r="AN1945">
        <v>0</v>
      </c>
      <c r="AO1945">
        <v>672</v>
      </c>
      <c r="AP1945">
        <v>52</v>
      </c>
      <c r="AQ1945">
        <v>672</v>
      </c>
      <c r="AR1945">
        <v>620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240</v>
      </c>
      <c r="BA1945">
        <v>240</v>
      </c>
      <c r="BB1945">
        <v>0</v>
      </c>
      <c r="BC1945">
        <v>0</v>
      </c>
      <c r="BD1945">
        <v>0</v>
      </c>
      <c r="BE1945">
        <f t="shared" si="313"/>
        <v>4984</v>
      </c>
      <c r="BF1945">
        <v>2672</v>
      </c>
      <c r="BG1945">
        <v>2672</v>
      </c>
      <c r="BH1945" t="s">
        <v>82</v>
      </c>
      <c r="BI1945" t="s">
        <v>2198</v>
      </c>
      <c r="BJ1945">
        <v>1014</v>
      </c>
      <c r="BK1945">
        <v>1658</v>
      </c>
      <c r="BL1945">
        <v>2672</v>
      </c>
      <c r="BM1945">
        <v>0</v>
      </c>
      <c r="BN1945">
        <v>0</v>
      </c>
      <c r="BO1945">
        <v>0</v>
      </c>
      <c r="BP1945">
        <v>1658</v>
      </c>
      <c r="BQ1945">
        <v>1658</v>
      </c>
      <c r="BR1945">
        <f t="shared" si="314"/>
        <v>-347</v>
      </c>
      <c r="BS1945">
        <f t="shared" si="315"/>
        <v>347</v>
      </c>
    </row>
    <row r="1946" spans="1:74" x14ac:dyDescent="0.25">
      <c r="A1946" s="5" t="s">
        <v>61</v>
      </c>
      <c r="B1946" s="5" t="s">
        <v>207</v>
      </c>
      <c r="C1946" s="5" t="s">
        <v>207</v>
      </c>
      <c r="D1946" s="1" t="s">
        <v>133</v>
      </c>
      <c r="E1946">
        <v>0</v>
      </c>
      <c r="F1946">
        <v>165</v>
      </c>
      <c r="G1946">
        <v>0</v>
      </c>
      <c r="H1946">
        <v>0</v>
      </c>
      <c r="I1946">
        <v>673</v>
      </c>
      <c r="J1946">
        <v>0</v>
      </c>
      <c r="K1946">
        <v>0</v>
      </c>
      <c r="L1946">
        <v>0</v>
      </c>
      <c r="M1946">
        <v>342</v>
      </c>
      <c r="N1946">
        <v>0</v>
      </c>
      <c r="O1946">
        <v>0</v>
      </c>
      <c r="P1946">
        <v>1143</v>
      </c>
      <c r="Q1946">
        <v>516</v>
      </c>
      <c r="R1946">
        <v>165</v>
      </c>
      <c r="S1946" s="18">
        <f t="shared" si="306"/>
        <v>9</v>
      </c>
      <c r="T1946" s="17">
        <f t="shared" si="307"/>
        <v>38</v>
      </c>
      <c r="U1946" s="17">
        <f t="shared" si="308"/>
        <v>0</v>
      </c>
      <c r="V1946" s="17">
        <f t="shared" si="309"/>
        <v>0</v>
      </c>
      <c r="W1946" s="17">
        <f t="shared" si="310"/>
        <v>127</v>
      </c>
      <c r="X1946" s="17">
        <f t="shared" si="311"/>
        <v>351</v>
      </c>
      <c r="Y1946" s="19">
        <f t="shared" si="312"/>
        <v>0</v>
      </c>
      <c r="Z1946">
        <v>165</v>
      </c>
      <c r="AA1946">
        <v>0</v>
      </c>
      <c r="AB1946">
        <v>0</v>
      </c>
      <c r="AC1946">
        <v>0</v>
      </c>
      <c r="AD1946">
        <v>673</v>
      </c>
      <c r="AE1946">
        <v>0</v>
      </c>
      <c r="AF1946">
        <v>0</v>
      </c>
      <c r="AG1946">
        <v>0</v>
      </c>
      <c r="AH1946">
        <v>673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f t="shared" si="313"/>
        <v>1346</v>
      </c>
      <c r="BF1946">
        <v>838</v>
      </c>
      <c r="BG1946">
        <v>838</v>
      </c>
      <c r="BH1946" t="s">
        <v>109</v>
      </c>
      <c r="BI1946" t="s">
        <v>313</v>
      </c>
      <c r="BJ1946">
        <v>0</v>
      </c>
      <c r="BK1946">
        <v>673</v>
      </c>
      <c r="BL1946">
        <v>838</v>
      </c>
      <c r="BM1946">
        <v>1015</v>
      </c>
      <c r="BN1946">
        <v>0</v>
      </c>
      <c r="BO1946">
        <v>0</v>
      </c>
      <c r="BP1946">
        <v>1143</v>
      </c>
      <c r="BQ1946">
        <v>2158</v>
      </c>
      <c r="BR1946">
        <f t="shared" si="314"/>
        <v>-351</v>
      </c>
      <c r="BS1946">
        <f t="shared" si="315"/>
        <v>681</v>
      </c>
    </row>
    <row r="1947" spans="1:74" x14ac:dyDescent="0.25">
      <c r="A1947" s="5" t="s">
        <v>875</v>
      </c>
      <c r="B1947" s="5" t="s">
        <v>207</v>
      </c>
      <c r="C1947" s="5" t="s">
        <v>61</v>
      </c>
      <c r="D1947" s="1" t="s">
        <v>135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3700</v>
      </c>
      <c r="K1947">
        <v>483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352</v>
      </c>
      <c r="R1947">
        <v>0</v>
      </c>
      <c r="S1947" s="18" t="e">
        <f t="shared" si="306"/>
        <v>#DIV/0!</v>
      </c>
      <c r="T1947" s="17" t="e">
        <f t="shared" si="307"/>
        <v>#DIV/0!</v>
      </c>
      <c r="U1947" s="17" t="e">
        <f t="shared" si="308"/>
        <v>#DIV/0!</v>
      </c>
      <c r="V1947" s="17" t="e">
        <f t="shared" si="309"/>
        <v>#DIV/0!</v>
      </c>
      <c r="W1947" s="17" t="e">
        <f t="shared" si="310"/>
        <v>#DIV/0!</v>
      </c>
      <c r="X1947" s="17" t="e">
        <f t="shared" si="311"/>
        <v>#DIV/0!</v>
      </c>
      <c r="Y1947" s="19" t="e">
        <f t="shared" si="312"/>
        <v>#DIV/0!</v>
      </c>
      <c r="Z1947">
        <v>0</v>
      </c>
      <c r="AA1947">
        <v>10</v>
      </c>
      <c r="AB1947">
        <v>280</v>
      </c>
      <c r="AC1947">
        <v>2400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3700</v>
      </c>
      <c r="AK1947">
        <v>0</v>
      </c>
      <c r="AL1947">
        <v>3700</v>
      </c>
      <c r="AM1947">
        <v>0</v>
      </c>
      <c r="AN1947">
        <v>483</v>
      </c>
      <c r="AO1947">
        <v>0</v>
      </c>
      <c r="AP1947">
        <v>43</v>
      </c>
      <c r="AQ1947">
        <v>483</v>
      </c>
      <c r="AR1947">
        <v>440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f t="shared" si="313"/>
        <v>11249</v>
      </c>
      <c r="BF1947">
        <v>6873</v>
      </c>
      <c r="BG1947">
        <v>6873</v>
      </c>
      <c r="BH1947" t="s">
        <v>82</v>
      </c>
      <c r="BI1947" t="s">
        <v>1000</v>
      </c>
      <c r="BJ1947">
        <v>2690</v>
      </c>
      <c r="BK1947">
        <v>4183</v>
      </c>
      <c r="BL1947">
        <v>6873</v>
      </c>
      <c r="BM1947">
        <v>0</v>
      </c>
      <c r="BN1947">
        <v>4183</v>
      </c>
      <c r="BO1947">
        <v>0</v>
      </c>
      <c r="BP1947">
        <v>0</v>
      </c>
      <c r="BQ1947">
        <v>4183</v>
      </c>
      <c r="BR1947">
        <f t="shared" si="314"/>
        <v>-352</v>
      </c>
      <c r="BS1947">
        <f t="shared" si="315"/>
        <v>352</v>
      </c>
    </row>
    <row r="1948" spans="1:74" x14ac:dyDescent="0.25">
      <c r="A1948" s="5" t="s">
        <v>1135</v>
      </c>
      <c r="B1948" s="5" t="s">
        <v>61</v>
      </c>
      <c r="C1948" s="5" t="s">
        <v>61</v>
      </c>
      <c r="D1948" s="1" t="s">
        <v>77</v>
      </c>
      <c r="E1948">
        <v>0</v>
      </c>
      <c r="F1948">
        <v>0</v>
      </c>
      <c r="G1948">
        <v>0</v>
      </c>
      <c r="H1948">
        <v>0</v>
      </c>
      <c r="I1948">
        <v>270</v>
      </c>
      <c r="J1948">
        <v>2350</v>
      </c>
      <c r="K1948">
        <v>330</v>
      </c>
      <c r="L1948">
        <v>165</v>
      </c>
      <c r="M1948">
        <v>0</v>
      </c>
      <c r="N1948">
        <v>0</v>
      </c>
      <c r="O1948">
        <v>0</v>
      </c>
      <c r="P1948">
        <v>0</v>
      </c>
      <c r="Q1948">
        <v>290</v>
      </c>
      <c r="R1948">
        <v>0</v>
      </c>
      <c r="S1948" s="18" t="e">
        <f t="shared" si="306"/>
        <v>#DIV/0!</v>
      </c>
      <c r="T1948" s="17" t="e">
        <f t="shared" si="307"/>
        <v>#DIV/0!</v>
      </c>
      <c r="U1948" s="17" t="e">
        <f t="shared" si="308"/>
        <v>#DIV/0!</v>
      </c>
      <c r="V1948" s="17" t="e">
        <f t="shared" si="309"/>
        <v>#DIV/0!</v>
      </c>
      <c r="W1948" s="17" t="e">
        <f t="shared" si="310"/>
        <v>#DIV/0!</v>
      </c>
      <c r="X1948" s="17" t="e">
        <f t="shared" si="311"/>
        <v>#DIV/0!</v>
      </c>
      <c r="Y1948" s="19" t="e">
        <f t="shared" si="312"/>
        <v>#DIV/0!</v>
      </c>
      <c r="Z1948">
        <v>0</v>
      </c>
      <c r="AA1948">
        <v>0</v>
      </c>
      <c r="AB1948">
        <v>0</v>
      </c>
      <c r="AC1948">
        <v>813</v>
      </c>
      <c r="AD1948">
        <v>0</v>
      </c>
      <c r="AE1948">
        <v>0</v>
      </c>
      <c r="AF1948">
        <v>0</v>
      </c>
      <c r="AG1948">
        <v>270</v>
      </c>
      <c r="AH1948">
        <v>270</v>
      </c>
      <c r="AI1948">
        <v>0</v>
      </c>
      <c r="AJ1948">
        <v>0</v>
      </c>
      <c r="AK1948">
        <v>2350</v>
      </c>
      <c r="AL1948">
        <v>2350</v>
      </c>
      <c r="AM1948">
        <v>0</v>
      </c>
      <c r="AN1948">
        <v>0</v>
      </c>
      <c r="AO1948">
        <v>330</v>
      </c>
      <c r="AP1948">
        <v>230</v>
      </c>
      <c r="AQ1948">
        <v>330</v>
      </c>
      <c r="AR1948">
        <v>100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165</v>
      </c>
      <c r="BA1948">
        <v>165</v>
      </c>
      <c r="BB1948">
        <v>0</v>
      </c>
      <c r="BC1948">
        <v>0</v>
      </c>
      <c r="BD1948">
        <v>0</v>
      </c>
      <c r="BE1948">
        <f t="shared" si="313"/>
        <v>7373</v>
      </c>
      <c r="BF1948">
        <v>3928</v>
      </c>
      <c r="BG1948">
        <v>3928</v>
      </c>
      <c r="BH1948" t="s">
        <v>63</v>
      </c>
      <c r="BI1948" t="s">
        <v>887</v>
      </c>
      <c r="BJ1948">
        <v>813</v>
      </c>
      <c r="BK1948">
        <v>3115</v>
      </c>
      <c r="BL1948">
        <v>3928</v>
      </c>
      <c r="BM1948">
        <v>0</v>
      </c>
      <c r="BN1948">
        <v>0</v>
      </c>
      <c r="BO1948">
        <v>0</v>
      </c>
      <c r="BP1948">
        <v>3115</v>
      </c>
      <c r="BQ1948">
        <v>3115</v>
      </c>
      <c r="BR1948">
        <f t="shared" si="314"/>
        <v>-290</v>
      </c>
      <c r="BS1948">
        <f t="shared" si="315"/>
        <v>290</v>
      </c>
      <c r="BU1948">
        <f>R1948*9</f>
        <v>0</v>
      </c>
      <c r="BV1948">
        <f>IF(BU1948&gt;BG1948, 1, 0)</f>
        <v>0</v>
      </c>
    </row>
    <row r="1949" spans="1:74" x14ac:dyDescent="0.25">
      <c r="A1949" s="5" t="s">
        <v>627</v>
      </c>
      <c r="B1949" s="5" t="s">
        <v>61</v>
      </c>
      <c r="C1949" s="5" t="s">
        <v>61</v>
      </c>
      <c r="D1949" s="1" t="s">
        <v>69</v>
      </c>
      <c r="E1949">
        <v>0</v>
      </c>
      <c r="F1949">
        <v>0</v>
      </c>
      <c r="G1949">
        <v>0</v>
      </c>
      <c r="H1949">
        <v>0</v>
      </c>
      <c r="I1949">
        <v>266</v>
      </c>
      <c r="J1949">
        <v>0</v>
      </c>
      <c r="K1949">
        <v>0</v>
      </c>
      <c r="L1949">
        <v>640</v>
      </c>
      <c r="M1949">
        <v>0</v>
      </c>
      <c r="N1949">
        <v>0</v>
      </c>
      <c r="O1949">
        <v>0</v>
      </c>
      <c r="P1949">
        <v>0</v>
      </c>
      <c r="Q1949">
        <v>300</v>
      </c>
      <c r="R1949">
        <v>0</v>
      </c>
      <c r="S1949" s="18" t="e">
        <f t="shared" si="306"/>
        <v>#DIV/0!</v>
      </c>
      <c r="T1949" s="17" t="e">
        <f t="shared" si="307"/>
        <v>#DIV/0!</v>
      </c>
      <c r="U1949" s="17" t="e">
        <f t="shared" si="308"/>
        <v>#DIV/0!</v>
      </c>
      <c r="V1949" s="17" t="e">
        <f t="shared" si="309"/>
        <v>#DIV/0!</v>
      </c>
      <c r="W1949" s="17" t="e">
        <f t="shared" si="310"/>
        <v>#DIV/0!</v>
      </c>
      <c r="X1949" s="17" t="e">
        <f t="shared" si="311"/>
        <v>#DIV/0!</v>
      </c>
      <c r="Y1949" s="19" t="e">
        <f t="shared" si="312"/>
        <v>#DIV/0!</v>
      </c>
      <c r="Z1949">
        <v>0</v>
      </c>
      <c r="AA1949">
        <v>0</v>
      </c>
      <c r="AB1949">
        <v>0</v>
      </c>
      <c r="AC1949">
        <v>411</v>
      </c>
      <c r="AD1949">
        <v>0</v>
      </c>
      <c r="AE1949">
        <v>0</v>
      </c>
      <c r="AF1949">
        <v>0</v>
      </c>
      <c r="AG1949">
        <v>266</v>
      </c>
      <c r="AH1949">
        <v>266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640</v>
      </c>
      <c r="BA1949">
        <v>640</v>
      </c>
      <c r="BB1949">
        <v>0</v>
      </c>
      <c r="BC1949">
        <v>0</v>
      </c>
      <c r="BD1949">
        <v>0</v>
      </c>
      <c r="BE1949">
        <f t="shared" si="313"/>
        <v>2223</v>
      </c>
      <c r="BF1949">
        <v>1317</v>
      </c>
      <c r="BG1949">
        <v>1317</v>
      </c>
      <c r="BH1949" t="s">
        <v>63</v>
      </c>
      <c r="BI1949" t="s">
        <v>812</v>
      </c>
      <c r="BJ1949">
        <v>411</v>
      </c>
      <c r="BK1949">
        <v>906</v>
      </c>
      <c r="BL1949">
        <v>1317</v>
      </c>
      <c r="BM1949">
        <v>0</v>
      </c>
      <c r="BN1949">
        <v>0</v>
      </c>
      <c r="BO1949">
        <v>0</v>
      </c>
      <c r="BP1949">
        <v>906</v>
      </c>
      <c r="BQ1949">
        <v>906</v>
      </c>
      <c r="BR1949">
        <f t="shared" si="314"/>
        <v>-300</v>
      </c>
      <c r="BS1949">
        <f t="shared" si="315"/>
        <v>300</v>
      </c>
      <c r="BU1949">
        <f>R1949*9</f>
        <v>0</v>
      </c>
      <c r="BV1949">
        <f>IF(BU1949&gt;BG1949, 1, 0)</f>
        <v>0</v>
      </c>
    </row>
    <row r="1950" spans="1:74" x14ac:dyDescent="0.25">
      <c r="A1950" s="5" t="s">
        <v>61</v>
      </c>
      <c r="B1950" s="5" t="s">
        <v>61</v>
      </c>
      <c r="C1950" s="5" t="s">
        <v>61</v>
      </c>
      <c r="D1950" s="1" t="s">
        <v>125</v>
      </c>
      <c r="E1950">
        <v>0</v>
      </c>
      <c r="F1950">
        <v>30</v>
      </c>
      <c r="G1950">
        <v>0</v>
      </c>
      <c r="H1950">
        <v>0</v>
      </c>
      <c r="I1950">
        <v>1556</v>
      </c>
      <c r="J1950">
        <v>0</v>
      </c>
      <c r="K1950">
        <v>355</v>
      </c>
      <c r="L1950">
        <v>0</v>
      </c>
      <c r="M1950">
        <v>0</v>
      </c>
      <c r="N1950">
        <v>0</v>
      </c>
      <c r="O1950">
        <v>0</v>
      </c>
      <c r="P1950">
        <v>126</v>
      </c>
      <c r="Q1950">
        <v>367</v>
      </c>
      <c r="R1950">
        <v>14</v>
      </c>
      <c r="S1950" s="18">
        <f t="shared" si="306"/>
        <v>9</v>
      </c>
      <c r="T1950" s="17">
        <f t="shared" si="307"/>
        <v>0</v>
      </c>
      <c r="U1950" s="17">
        <f t="shared" si="308"/>
        <v>0</v>
      </c>
      <c r="V1950" s="17">
        <f t="shared" si="309"/>
        <v>0</v>
      </c>
      <c r="W1950" s="17">
        <f t="shared" si="310"/>
        <v>14</v>
      </c>
      <c r="X1950" s="17">
        <f t="shared" si="311"/>
        <v>353</v>
      </c>
      <c r="Y1950" s="19">
        <f t="shared" si="312"/>
        <v>0</v>
      </c>
      <c r="Z1950">
        <v>30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1556</v>
      </c>
      <c r="AH1950">
        <v>1556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355</v>
      </c>
      <c r="AP1950">
        <v>49</v>
      </c>
      <c r="AQ1950">
        <v>355</v>
      </c>
      <c r="AR1950">
        <v>306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f t="shared" si="313"/>
        <v>4177</v>
      </c>
      <c r="BF1950">
        <v>1941</v>
      </c>
      <c r="BG1950">
        <v>1941</v>
      </c>
      <c r="BH1950" t="s">
        <v>109</v>
      </c>
      <c r="BI1950" t="s">
        <v>126</v>
      </c>
      <c r="BJ1950">
        <v>0</v>
      </c>
      <c r="BK1950">
        <v>1911</v>
      </c>
      <c r="BL1950">
        <v>1941</v>
      </c>
      <c r="BM1950">
        <v>0</v>
      </c>
      <c r="BN1950">
        <v>0</v>
      </c>
      <c r="BO1950">
        <v>0</v>
      </c>
      <c r="BP1950">
        <v>2037</v>
      </c>
      <c r="BQ1950">
        <v>2037</v>
      </c>
      <c r="BR1950">
        <f t="shared" si="314"/>
        <v>-353</v>
      </c>
      <c r="BS1950">
        <f t="shared" si="315"/>
        <v>381</v>
      </c>
    </row>
    <row r="1951" spans="1:74" x14ac:dyDescent="0.25">
      <c r="A1951" s="5" t="s">
        <v>61</v>
      </c>
      <c r="B1951" s="5" t="s">
        <v>207</v>
      </c>
      <c r="C1951" s="5" t="s">
        <v>207</v>
      </c>
      <c r="D1951" s="1" t="s">
        <v>98</v>
      </c>
      <c r="E1951">
        <v>36</v>
      </c>
      <c r="F1951">
        <v>2</v>
      </c>
      <c r="G1951">
        <v>0</v>
      </c>
      <c r="H1951">
        <v>0</v>
      </c>
      <c r="I1951">
        <v>270</v>
      </c>
      <c r="J1951">
        <v>2164</v>
      </c>
      <c r="K1951">
        <v>407</v>
      </c>
      <c r="L1951">
        <v>150</v>
      </c>
      <c r="M1951">
        <v>0</v>
      </c>
      <c r="N1951">
        <v>0</v>
      </c>
      <c r="O1951">
        <v>0</v>
      </c>
      <c r="P1951">
        <v>18</v>
      </c>
      <c r="Q1951">
        <v>355</v>
      </c>
      <c r="R1951">
        <v>2</v>
      </c>
      <c r="S1951" s="18">
        <f t="shared" si="306"/>
        <v>9</v>
      </c>
      <c r="T1951" s="17">
        <f t="shared" si="307"/>
        <v>0</v>
      </c>
      <c r="U1951" s="17">
        <f t="shared" si="308"/>
        <v>0</v>
      </c>
      <c r="V1951" s="17">
        <f t="shared" si="309"/>
        <v>0</v>
      </c>
      <c r="W1951" s="17">
        <f t="shared" si="310"/>
        <v>2</v>
      </c>
      <c r="X1951" s="17">
        <f t="shared" si="311"/>
        <v>353</v>
      </c>
      <c r="Y1951" s="19">
        <f t="shared" si="312"/>
        <v>0</v>
      </c>
      <c r="Z1951">
        <v>2</v>
      </c>
      <c r="AA1951">
        <v>25</v>
      </c>
      <c r="AB1951">
        <v>121</v>
      </c>
      <c r="AC1951">
        <v>2618</v>
      </c>
      <c r="AD1951">
        <v>0</v>
      </c>
      <c r="AE1951">
        <v>0</v>
      </c>
      <c r="AF1951">
        <v>0</v>
      </c>
      <c r="AG1951">
        <v>270</v>
      </c>
      <c r="AH1951">
        <v>270</v>
      </c>
      <c r="AI1951">
        <v>0</v>
      </c>
      <c r="AJ1951">
        <v>0</v>
      </c>
      <c r="AK1951">
        <v>2164</v>
      </c>
      <c r="AL1951">
        <v>2164</v>
      </c>
      <c r="AM1951">
        <v>0</v>
      </c>
      <c r="AN1951">
        <v>0</v>
      </c>
      <c r="AO1951">
        <v>407</v>
      </c>
      <c r="AP1951">
        <v>55</v>
      </c>
      <c r="AQ1951">
        <v>407</v>
      </c>
      <c r="AR1951">
        <v>352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150</v>
      </c>
      <c r="BA1951">
        <v>150</v>
      </c>
      <c r="BB1951">
        <v>0</v>
      </c>
      <c r="BC1951">
        <v>0</v>
      </c>
      <c r="BD1951">
        <v>0</v>
      </c>
      <c r="BE1951">
        <f t="shared" si="313"/>
        <v>9007</v>
      </c>
      <c r="BF1951">
        <v>5793</v>
      </c>
      <c r="BG1951">
        <v>5793</v>
      </c>
      <c r="BH1951" t="s">
        <v>82</v>
      </c>
      <c r="BI1951" t="s">
        <v>296</v>
      </c>
      <c r="BJ1951">
        <v>2800</v>
      </c>
      <c r="BK1951">
        <v>2991</v>
      </c>
      <c r="BL1951">
        <v>5793</v>
      </c>
      <c r="BM1951">
        <v>0</v>
      </c>
      <c r="BN1951">
        <v>0</v>
      </c>
      <c r="BO1951">
        <v>0</v>
      </c>
      <c r="BP1951">
        <v>3009</v>
      </c>
      <c r="BQ1951">
        <v>3009</v>
      </c>
      <c r="BR1951">
        <f t="shared" si="314"/>
        <v>-353</v>
      </c>
      <c r="BS1951">
        <f t="shared" si="315"/>
        <v>357</v>
      </c>
    </row>
    <row r="1952" spans="1:74" x14ac:dyDescent="0.25">
      <c r="A1952" s="5" t="s">
        <v>1135</v>
      </c>
      <c r="B1952" s="5" t="s">
        <v>61</v>
      </c>
      <c r="C1952" s="5" t="s">
        <v>61</v>
      </c>
      <c r="D1952" s="1" t="s">
        <v>119</v>
      </c>
      <c r="E1952">
        <v>50</v>
      </c>
      <c r="F1952">
        <v>3900</v>
      </c>
      <c r="G1952">
        <v>0</v>
      </c>
      <c r="H1952">
        <v>0</v>
      </c>
      <c r="I1952">
        <v>770</v>
      </c>
      <c r="J1952">
        <v>8900</v>
      </c>
      <c r="K1952">
        <v>770</v>
      </c>
      <c r="L1952">
        <v>80</v>
      </c>
      <c r="M1952">
        <v>0</v>
      </c>
      <c r="N1952">
        <v>0</v>
      </c>
      <c r="O1952">
        <v>0</v>
      </c>
      <c r="P1952">
        <v>4014</v>
      </c>
      <c r="Q1952">
        <v>800</v>
      </c>
      <c r="R1952">
        <v>446</v>
      </c>
      <c r="S1952" s="18">
        <f t="shared" si="306"/>
        <v>9</v>
      </c>
      <c r="T1952" s="17">
        <f t="shared" si="307"/>
        <v>0</v>
      </c>
      <c r="U1952" s="17">
        <f t="shared" si="308"/>
        <v>0</v>
      </c>
      <c r="V1952" s="17">
        <f t="shared" si="309"/>
        <v>0</v>
      </c>
      <c r="W1952" s="17">
        <f t="shared" si="310"/>
        <v>446</v>
      </c>
      <c r="X1952" s="17">
        <f t="shared" si="311"/>
        <v>354</v>
      </c>
      <c r="Y1952" s="19">
        <f t="shared" si="312"/>
        <v>0</v>
      </c>
      <c r="Z1952">
        <v>3900</v>
      </c>
      <c r="AA1952">
        <v>8</v>
      </c>
      <c r="AB1952">
        <v>380</v>
      </c>
      <c r="AC1952">
        <v>8470</v>
      </c>
      <c r="AD1952">
        <v>0</v>
      </c>
      <c r="AE1952">
        <v>0</v>
      </c>
      <c r="AF1952">
        <v>0</v>
      </c>
      <c r="AG1952">
        <v>770</v>
      </c>
      <c r="AH1952">
        <v>770</v>
      </c>
      <c r="AI1952">
        <v>0</v>
      </c>
      <c r="AJ1952">
        <v>0</v>
      </c>
      <c r="AK1952">
        <v>8900</v>
      </c>
      <c r="AL1952">
        <v>8900</v>
      </c>
      <c r="AM1952">
        <v>0</v>
      </c>
      <c r="AN1952">
        <v>0</v>
      </c>
      <c r="AO1952">
        <v>770</v>
      </c>
      <c r="AP1952">
        <v>470</v>
      </c>
      <c r="AQ1952">
        <v>770</v>
      </c>
      <c r="AR1952">
        <v>300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80</v>
      </c>
      <c r="BA1952">
        <v>80</v>
      </c>
      <c r="BB1952">
        <v>0</v>
      </c>
      <c r="BC1952">
        <v>0</v>
      </c>
      <c r="BD1952">
        <v>0</v>
      </c>
      <c r="BE1952">
        <f t="shared" si="313"/>
        <v>30280</v>
      </c>
      <c r="BF1952">
        <v>23328</v>
      </c>
      <c r="BG1952">
        <v>23328</v>
      </c>
      <c r="BH1952" t="s">
        <v>82</v>
      </c>
      <c r="BI1952" t="s">
        <v>1158</v>
      </c>
      <c r="BJ1952">
        <v>8908</v>
      </c>
      <c r="BK1952">
        <v>10520</v>
      </c>
      <c r="BL1952">
        <v>23328</v>
      </c>
      <c r="BM1952">
        <v>0</v>
      </c>
      <c r="BN1952">
        <v>0</v>
      </c>
      <c r="BO1952">
        <v>0</v>
      </c>
      <c r="BP1952">
        <v>14534</v>
      </c>
      <c r="BQ1952">
        <v>14534</v>
      </c>
      <c r="BR1952">
        <f t="shared" si="314"/>
        <v>-354</v>
      </c>
      <c r="BS1952">
        <f t="shared" si="315"/>
        <v>1246</v>
      </c>
    </row>
    <row r="1953" spans="1:74" x14ac:dyDescent="0.25">
      <c r="A1953" s="5" t="s">
        <v>207</v>
      </c>
      <c r="B1953" s="5" t="s">
        <v>359</v>
      </c>
      <c r="C1953" s="5" t="s">
        <v>61</v>
      </c>
      <c r="D1953" s="1" t="s">
        <v>75</v>
      </c>
      <c r="E1953">
        <v>23</v>
      </c>
      <c r="F1953">
        <v>0</v>
      </c>
      <c r="G1953">
        <v>0</v>
      </c>
      <c r="H1953">
        <v>0</v>
      </c>
      <c r="I1953">
        <v>185</v>
      </c>
      <c r="J1953">
        <v>2050</v>
      </c>
      <c r="K1953">
        <v>2350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355</v>
      </c>
      <c r="R1953">
        <v>0</v>
      </c>
      <c r="S1953" s="18" t="e">
        <f t="shared" si="306"/>
        <v>#DIV/0!</v>
      </c>
      <c r="T1953" s="17" t="e">
        <f t="shared" si="307"/>
        <v>#DIV/0!</v>
      </c>
      <c r="U1953" s="17" t="e">
        <f t="shared" si="308"/>
        <v>#DIV/0!</v>
      </c>
      <c r="V1953" s="17" t="e">
        <f t="shared" si="309"/>
        <v>#DIV/0!</v>
      </c>
      <c r="W1953" s="17" t="e">
        <f t="shared" si="310"/>
        <v>#DIV/0!</v>
      </c>
      <c r="X1953" s="17" t="e">
        <f t="shared" si="311"/>
        <v>#DIV/0!</v>
      </c>
      <c r="Y1953" s="19" t="e">
        <f t="shared" si="312"/>
        <v>#DIV/0!</v>
      </c>
      <c r="Z1953">
        <v>0</v>
      </c>
      <c r="AA1953">
        <v>0</v>
      </c>
      <c r="AB1953">
        <v>269</v>
      </c>
      <c r="AC1953">
        <v>2900</v>
      </c>
      <c r="AD1953">
        <v>0</v>
      </c>
      <c r="AE1953">
        <v>0</v>
      </c>
      <c r="AF1953">
        <v>0</v>
      </c>
      <c r="AG1953">
        <v>185</v>
      </c>
      <c r="AH1953">
        <v>185</v>
      </c>
      <c r="AI1953">
        <v>0</v>
      </c>
      <c r="AJ1953">
        <v>0</v>
      </c>
      <c r="AK1953">
        <v>2050</v>
      </c>
      <c r="AL1953">
        <v>2050</v>
      </c>
      <c r="AM1953">
        <v>0</v>
      </c>
      <c r="AN1953">
        <v>0</v>
      </c>
      <c r="AO1953">
        <v>2350</v>
      </c>
      <c r="AP1953">
        <v>2060</v>
      </c>
      <c r="AQ1953">
        <v>2350</v>
      </c>
      <c r="AR1953">
        <v>290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f t="shared" si="313"/>
        <v>14420</v>
      </c>
      <c r="BF1953">
        <v>7845</v>
      </c>
      <c r="BG1953">
        <v>7845</v>
      </c>
      <c r="BH1953" t="s">
        <v>82</v>
      </c>
      <c r="BI1953" t="s">
        <v>600</v>
      </c>
      <c r="BJ1953">
        <v>3192</v>
      </c>
      <c r="BK1953">
        <v>4585</v>
      </c>
      <c r="BL1953">
        <v>7777</v>
      </c>
      <c r="BM1953">
        <v>0</v>
      </c>
      <c r="BN1953">
        <v>0</v>
      </c>
      <c r="BO1953">
        <v>0</v>
      </c>
      <c r="BP1953">
        <v>4585</v>
      </c>
      <c r="BQ1953">
        <v>4585</v>
      </c>
      <c r="BR1953">
        <f t="shared" si="314"/>
        <v>-355</v>
      </c>
      <c r="BS1953">
        <f t="shared" si="315"/>
        <v>355</v>
      </c>
    </row>
    <row r="1954" spans="1:74" x14ac:dyDescent="0.25">
      <c r="A1954" s="5" t="s">
        <v>207</v>
      </c>
      <c r="B1954" s="5" t="s">
        <v>61</v>
      </c>
      <c r="C1954" s="5" t="s">
        <v>359</v>
      </c>
      <c r="D1954" s="1" t="s">
        <v>73</v>
      </c>
      <c r="E1954">
        <v>0</v>
      </c>
      <c r="F1954">
        <v>0</v>
      </c>
      <c r="G1954">
        <v>0</v>
      </c>
      <c r="H1954">
        <v>0</v>
      </c>
      <c r="I1954">
        <v>150</v>
      </c>
      <c r="J1954">
        <v>0</v>
      </c>
      <c r="K1954">
        <v>850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305</v>
      </c>
      <c r="R1954">
        <v>0</v>
      </c>
      <c r="S1954" s="18" t="e">
        <f t="shared" si="306"/>
        <v>#DIV/0!</v>
      </c>
      <c r="T1954" s="17" t="e">
        <f t="shared" si="307"/>
        <v>#DIV/0!</v>
      </c>
      <c r="U1954" s="17" t="e">
        <f t="shared" si="308"/>
        <v>#DIV/0!</v>
      </c>
      <c r="V1954" s="17" t="e">
        <f t="shared" si="309"/>
        <v>#DIV/0!</v>
      </c>
      <c r="W1954" s="17" t="e">
        <f t="shared" si="310"/>
        <v>#DIV/0!</v>
      </c>
      <c r="X1954" s="17" t="e">
        <f t="shared" si="311"/>
        <v>#DIV/0!</v>
      </c>
      <c r="Y1954" s="19" t="e">
        <f t="shared" si="312"/>
        <v>#DIV/0!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150</v>
      </c>
      <c r="AH1954">
        <v>150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850</v>
      </c>
      <c r="AP1954">
        <v>400</v>
      </c>
      <c r="AQ1954">
        <v>850</v>
      </c>
      <c r="AR1954">
        <v>450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f t="shared" si="313"/>
        <v>2850</v>
      </c>
      <c r="BF1954">
        <v>1000</v>
      </c>
      <c r="BG1954">
        <v>1000</v>
      </c>
      <c r="BH1954" t="s">
        <v>63</v>
      </c>
      <c r="BI1954" t="s">
        <v>465</v>
      </c>
      <c r="BJ1954">
        <v>0</v>
      </c>
      <c r="BK1954">
        <v>1000</v>
      </c>
      <c r="BL1954">
        <v>1000</v>
      </c>
      <c r="BM1954">
        <v>0</v>
      </c>
      <c r="BN1954">
        <v>0</v>
      </c>
      <c r="BO1954">
        <v>0</v>
      </c>
      <c r="BP1954">
        <v>1000</v>
      </c>
      <c r="BQ1954">
        <v>1000</v>
      </c>
      <c r="BR1954">
        <f t="shared" si="314"/>
        <v>-305</v>
      </c>
      <c r="BS1954">
        <f t="shared" si="315"/>
        <v>305</v>
      </c>
      <c r="BU1954">
        <f>R1954*9</f>
        <v>0</v>
      </c>
      <c r="BV1954">
        <f>IF(BU1954&gt;BG1954, 1, 0)</f>
        <v>0</v>
      </c>
    </row>
    <row r="1955" spans="1:74" x14ac:dyDescent="0.25">
      <c r="A1955" s="5" t="s">
        <v>875</v>
      </c>
      <c r="B1955" s="5" t="s">
        <v>61</v>
      </c>
      <c r="C1955" s="5" t="s">
        <v>207</v>
      </c>
      <c r="D1955" s="1" t="s">
        <v>139</v>
      </c>
      <c r="E1955">
        <v>0</v>
      </c>
      <c r="F1955">
        <v>132</v>
      </c>
      <c r="G1955">
        <v>0</v>
      </c>
      <c r="H1955">
        <v>0</v>
      </c>
      <c r="I1955">
        <v>1545</v>
      </c>
      <c r="J1955">
        <v>0</v>
      </c>
      <c r="K1955">
        <v>1840</v>
      </c>
      <c r="L1955">
        <v>0</v>
      </c>
      <c r="M1955">
        <v>0</v>
      </c>
      <c r="N1955">
        <v>0</v>
      </c>
      <c r="O1955">
        <v>0</v>
      </c>
      <c r="P1955">
        <v>297</v>
      </c>
      <c r="Q1955">
        <v>389</v>
      </c>
      <c r="R1955">
        <v>33</v>
      </c>
      <c r="S1955" s="18">
        <f t="shared" si="306"/>
        <v>9</v>
      </c>
      <c r="T1955" s="17">
        <f t="shared" si="307"/>
        <v>0</v>
      </c>
      <c r="U1955" s="17">
        <f t="shared" si="308"/>
        <v>0</v>
      </c>
      <c r="V1955" s="17">
        <f t="shared" si="309"/>
        <v>0</v>
      </c>
      <c r="W1955" s="17">
        <f t="shared" si="310"/>
        <v>33</v>
      </c>
      <c r="X1955" s="17">
        <f t="shared" si="311"/>
        <v>356</v>
      </c>
      <c r="Y1955" s="19">
        <f t="shared" si="312"/>
        <v>0</v>
      </c>
      <c r="Z1955">
        <v>132</v>
      </c>
      <c r="AA1955">
        <v>0</v>
      </c>
      <c r="AB1955">
        <v>0</v>
      </c>
      <c r="AC1955">
        <v>0</v>
      </c>
      <c r="AD1955">
        <v>630</v>
      </c>
      <c r="AE1955">
        <v>0</v>
      </c>
      <c r="AF1955">
        <v>0</v>
      </c>
      <c r="AG1955">
        <v>915</v>
      </c>
      <c r="AH1955">
        <v>1545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1840</v>
      </c>
      <c r="AP1955">
        <v>720</v>
      </c>
      <c r="AQ1955">
        <v>1840</v>
      </c>
      <c r="AR1955">
        <v>1120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f t="shared" si="313"/>
        <v>8610</v>
      </c>
      <c r="BF1955">
        <v>3517</v>
      </c>
      <c r="BG1955">
        <v>3517</v>
      </c>
      <c r="BH1955" t="s">
        <v>109</v>
      </c>
      <c r="BI1955" t="s">
        <v>909</v>
      </c>
      <c r="BJ1955">
        <v>0</v>
      </c>
      <c r="BK1955">
        <v>3385</v>
      </c>
      <c r="BL1955">
        <v>3517</v>
      </c>
      <c r="BM1955">
        <v>630</v>
      </c>
      <c r="BN1955">
        <v>0</v>
      </c>
      <c r="BO1955">
        <v>0</v>
      </c>
      <c r="BP1955">
        <v>3052</v>
      </c>
      <c r="BQ1955">
        <v>3682</v>
      </c>
      <c r="BR1955">
        <f t="shared" si="314"/>
        <v>-356</v>
      </c>
      <c r="BS1955">
        <f t="shared" si="315"/>
        <v>422</v>
      </c>
    </row>
    <row r="1956" spans="1:74" x14ac:dyDescent="0.25">
      <c r="A1956" s="5" t="s">
        <v>207</v>
      </c>
      <c r="B1956" s="5" t="s">
        <v>627</v>
      </c>
      <c r="C1956" s="5" t="s">
        <v>207</v>
      </c>
      <c r="D1956" s="1" t="s">
        <v>104</v>
      </c>
      <c r="E1956">
        <v>0</v>
      </c>
      <c r="F1956">
        <v>30</v>
      </c>
      <c r="G1956">
        <v>0</v>
      </c>
      <c r="H1956">
        <v>0</v>
      </c>
      <c r="I1956">
        <v>1280</v>
      </c>
      <c r="J1956">
        <v>0</v>
      </c>
      <c r="K1956">
        <v>0</v>
      </c>
      <c r="L1956">
        <v>0</v>
      </c>
      <c r="M1956">
        <v>270</v>
      </c>
      <c r="N1956">
        <v>0</v>
      </c>
      <c r="O1956">
        <v>0</v>
      </c>
      <c r="P1956">
        <v>0</v>
      </c>
      <c r="Q1956">
        <v>388</v>
      </c>
      <c r="R1956">
        <v>30</v>
      </c>
      <c r="S1956" s="18">
        <f t="shared" si="306"/>
        <v>9</v>
      </c>
      <c r="T1956" s="17">
        <f t="shared" si="307"/>
        <v>30</v>
      </c>
      <c r="U1956" s="17">
        <f t="shared" si="308"/>
        <v>0</v>
      </c>
      <c r="V1956" s="17">
        <f t="shared" si="309"/>
        <v>0</v>
      </c>
      <c r="W1956" s="17">
        <f t="shared" si="310"/>
        <v>0</v>
      </c>
      <c r="X1956" s="17">
        <f t="shared" si="311"/>
        <v>358</v>
      </c>
      <c r="Y1956" s="19">
        <f t="shared" si="312"/>
        <v>0</v>
      </c>
      <c r="Z1956">
        <v>30</v>
      </c>
      <c r="AA1956">
        <v>0</v>
      </c>
      <c r="AB1956">
        <v>0</v>
      </c>
      <c r="AC1956">
        <v>0</v>
      </c>
      <c r="AD1956">
        <v>1280</v>
      </c>
      <c r="AE1956">
        <v>0</v>
      </c>
      <c r="AF1956">
        <v>0</v>
      </c>
      <c r="AG1956">
        <v>0</v>
      </c>
      <c r="AH1956">
        <v>1280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f t="shared" si="313"/>
        <v>2560</v>
      </c>
      <c r="BF1956">
        <v>1310</v>
      </c>
      <c r="BG1956">
        <v>1310</v>
      </c>
      <c r="BH1956" t="s">
        <v>109</v>
      </c>
      <c r="BI1956" t="s">
        <v>678</v>
      </c>
      <c r="BJ1956">
        <v>0</v>
      </c>
      <c r="BK1956">
        <v>1280</v>
      </c>
      <c r="BL1956">
        <v>1310</v>
      </c>
      <c r="BM1956">
        <v>1550</v>
      </c>
      <c r="BN1956">
        <v>0</v>
      </c>
      <c r="BO1956">
        <v>0</v>
      </c>
      <c r="BP1956">
        <v>0</v>
      </c>
      <c r="BQ1956">
        <v>1550</v>
      </c>
      <c r="BR1956">
        <f t="shared" si="314"/>
        <v>-358</v>
      </c>
      <c r="BS1956">
        <f t="shared" si="315"/>
        <v>418</v>
      </c>
    </row>
    <row r="1957" spans="1:74" x14ac:dyDescent="0.25">
      <c r="A1957" s="5" t="s">
        <v>1135</v>
      </c>
      <c r="B1957" s="5" t="s">
        <v>207</v>
      </c>
      <c r="C1957" s="5" t="s">
        <v>61</v>
      </c>
      <c r="D1957" s="1" t="s">
        <v>129</v>
      </c>
      <c r="E1957">
        <v>25</v>
      </c>
      <c r="F1957">
        <v>386</v>
      </c>
      <c r="G1957">
        <v>0</v>
      </c>
      <c r="H1957">
        <v>0</v>
      </c>
      <c r="I1957">
        <v>1255</v>
      </c>
      <c r="J1957">
        <v>5640</v>
      </c>
      <c r="K1957">
        <v>942</v>
      </c>
      <c r="L1957">
        <v>190</v>
      </c>
      <c r="M1957">
        <v>0</v>
      </c>
      <c r="N1957">
        <v>0</v>
      </c>
      <c r="O1957">
        <v>0</v>
      </c>
      <c r="P1957">
        <v>1323</v>
      </c>
      <c r="Q1957">
        <v>505</v>
      </c>
      <c r="R1957">
        <v>147</v>
      </c>
      <c r="S1957" s="18">
        <f t="shared" si="306"/>
        <v>9</v>
      </c>
      <c r="T1957" s="17">
        <f t="shared" si="307"/>
        <v>0</v>
      </c>
      <c r="U1957" s="17">
        <f t="shared" si="308"/>
        <v>0</v>
      </c>
      <c r="V1957" s="17">
        <f t="shared" si="309"/>
        <v>0</v>
      </c>
      <c r="W1957" s="17">
        <f t="shared" si="310"/>
        <v>147</v>
      </c>
      <c r="X1957" s="17">
        <f t="shared" si="311"/>
        <v>358</v>
      </c>
      <c r="Y1957" s="19">
        <f t="shared" si="312"/>
        <v>0</v>
      </c>
      <c r="Z1957">
        <v>386</v>
      </c>
      <c r="AA1957">
        <v>5</v>
      </c>
      <c r="AB1957">
        <v>960</v>
      </c>
      <c r="AC1957">
        <v>5124</v>
      </c>
      <c r="AD1957">
        <v>0</v>
      </c>
      <c r="AE1957">
        <v>0</v>
      </c>
      <c r="AF1957">
        <v>0</v>
      </c>
      <c r="AG1957">
        <v>1255</v>
      </c>
      <c r="AH1957">
        <v>1255</v>
      </c>
      <c r="AI1957">
        <v>0</v>
      </c>
      <c r="AJ1957">
        <v>0</v>
      </c>
      <c r="AK1957">
        <v>5640</v>
      </c>
      <c r="AL1957">
        <v>5640</v>
      </c>
      <c r="AM1957">
        <v>0</v>
      </c>
      <c r="AN1957">
        <v>0</v>
      </c>
      <c r="AO1957">
        <v>942</v>
      </c>
      <c r="AP1957">
        <v>682</v>
      </c>
      <c r="AQ1957">
        <v>942</v>
      </c>
      <c r="AR1957">
        <v>260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190</v>
      </c>
      <c r="BA1957">
        <v>190</v>
      </c>
      <c r="BB1957">
        <v>0</v>
      </c>
      <c r="BC1957">
        <v>0</v>
      </c>
      <c r="BD1957">
        <v>0</v>
      </c>
      <c r="BE1957">
        <f t="shared" si="313"/>
        <v>22120</v>
      </c>
      <c r="BF1957">
        <v>14527</v>
      </c>
      <c r="BG1957">
        <v>14527</v>
      </c>
      <c r="BH1957" t="s">
        <v>82</v>
      </c>
      <c r="BI1957" t="s">
        <v>1228</v>
      </c>
      <c r="BJ1957">
        <v>6114</v>
      </c>
      <c r="BK1957">
        <v>8027</v>
      </c>
      <c r="BL1957">
        <v>14527</v>
      </c>
      <c r="BM1957">
        <v>0</v>
      </c>
      <c r="BN1957">
        <v>0</v>
      </c>
      <c r="BO1957">
        <v>0</v>
      </c>
      <c r="BP1957">
        <v>9350</v>
      </c>
      <c r="BQ1957">
        <v>9350</v>
      </c>
      <c r="BR1957">
        <f t="shared" si="314"/>
        <v>-358</v>
      </c>
      <c r="BS1957">
        <f t="shared" si="315"/>
        <v>652</v>
      </c>
    </row>
    <row r="1958" spans="1:74" x14ac:dyDescent="0.25">
      <c r="A1958" s="5" t="s">
        <v>1661</v>
      </c>
      <c r="B1958" s="5" t="s">
        <v>207</v>
      </c>
      <c r="C1958" s="5" t="s">
        <v>207</v>
      </c>
      <c r="D1958" s="1" t="s">
        <v>125</v>
      </c>
      <c r="E1958">
        <v>0</v>
      </c>
      <c r="F1958">
        <v>854</v>
      </c>
      <c r="G1958">
        <v>0</v>
      </c>
      <c r="H1958">
        <v>0</v>
      </c>
      <c r="I1958">
        <v>9</v>
      </c>
      <c r="J1958">
        <v>0</v>
      </c>
      <c r="K1958">
        <v>2563</v>
      </c>
      <c r="L1958">
        <v>19</v>
      </c>
      <c r="M1958">
        <v>0</v>
      </c>
      <c r="N1958">
        <v>0</v>
      </c>
      <c r="O1958">
        <v>0</v>
      </c>
      <c r="P1958">
        <v>6561</v>
      </c>
      <c r="Q1958">
        <v>1087</v>
      </c>
      <c r="R1958">
        <v>729</v>
      </c>
      <c r="S1958" s="18">
        <f t="shared" si="306"/>
        <v>9</v>
      </c>
      <c r="T1958" s="17">
        <f t="shared" si="307"/>
        <v>0</v>
      </c>
      <c r="U1958" s="17">
        <f t="shared" si="308"/>
        <v>0</v>
      </c>
      <c r="V1958" s="17">
        <f t="shared" si="309"/>
        <v>0</v>
      </c>
      <c r="W1958" s="17">
        <f t="shared" si="310"/>
        <v>729</v>
      </c>
      <c r="X1958" s="17">
        <f t="shared" si="311"/>
        <v>358</v>
      </c>
      <c r="Y1958" s="19">
        <f t="shared" si="312"/>
        <v>0</v>
      </c>
      <c r="Z1958">
        <v>854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9</v>
      </c>
      <c r="AH1958">
        <v>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2563</v>
      </c>
      <c r="AP1958">
        <v>2160</v>
      </c>
      <c r="AQ1958">
        <v>2563</v>
      </c>
      <c r="AR1958">
        <v>403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19</v>
      </c>
      <c r="BA1958">
        <v>19</v>
      </c>
      <c r="BB1958">
        <v>0</v>
      </c>
      <c r="BC1958">
        <v>0</v>
      </c>
      <c r="BD1958">
        <v>0</v>
      </c>
      <c r="BE1958">
        <f t="shared" si="313"/>
        <v>7745</v>
      </c>
      <c r="BF1958">
        <v>6395</v>
      </c>
      <c r="BG1958">
        <v>6395</v>
      </c>
      <c r="BH1958" t="s">
        <v>109</v>
      </c>
      <c r="BI1958" t="s">
        <v>1820</v>
      </c>
      <c r="BJ1958">
        <v>0</v>
      </c>
      <c r="BK1958">
        <v>2591</v>
      </c>
      <c r="BL1958">
        <v>3445</v>
      </c>
      <c r="BM1958">
        <v>0</v>
      </c>
      <c r="BN1958">
        <v>0</v>
      </c>
      <c r="BO1958">
        <v>0</v>
      </c>
      <c r="BP1958">
        <v>9152</v>
      </c>
      <c r="BQ1958">
        <v>9152</v>
      </c>
      <c r="BR1958">
        <f t="shared" si="314"/>
        <v>-358</v>
      </c>
      <c r="BS1958">
        <f t="shared" si="315"/>
        <v>1816</v>
      </c>
    </row>
    <row r="1959" spans="1:74" x14ac:dyDescent="0.25">
      <c r="A1959" s="5" t="s">
        <v>1017</v>
      </c>
      <c r="B1959" s="5" t="s">
        <v>359</v>
      </c>
      <c r="C1959" s="5" t="s">
        <v>61</v>
      </c>
      <c r="D1959" s="1" t="s">
        <v>88</v>
      </c>
      <c r="E1959">
        <v>0</v>
      </c>
      <c r="F1959">
        <v>897</v>
      </c>
      <c r="G1959">
        <v>0</v>
      </c>
      <c r="H1959">
        <v>0</v>
      </c>
      <c r="I1959">
        <v>519</v>
      </c>
      <c r="J1959">
        <v>2119</v>
      </c>
      <c r="K1959">
        <v>117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359</v>
      </c>
      <c r="R1959">
        <v>0</v>
      </c>
      <c r="S1959" s="18" t="e">
        <f t="shared" si="306"/>
        <v>#DIV/0!</v>
      </c>
      <c r="T1959" s="17" t="e">
        <f t="shared" si="307"/>
        <v>#DIV/0!</v>
      </c>
      <c r="U1959" s="17" t="e">
        <f t="shared" si="308"/>
        <v>#DIV/0!</v>
      </c>
      <c r="V1959" s="17" t="e">
        <f t="shared" si="309"/>
        <v>#DIV/0!</v>
      </c>
      <c r="W1959" s="17" t="e">
        <f t="shared" si="310"/>
        <v>#DIV/0!</v>
      </c>
      <c r="X1959" s="17" t="e">
        <f t="shared" si="311"/>
        <v>#DIV/0!</v>
      </c>
      <c r="Y1959" s="19" t="e">
        <f t="shared" si="312"/>
        <v>#DIV/0!</v>
      </c>
      <c r="Z1959">
        <v>897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519</v>
      </c>
      <c r="AH1959">
        <v>519</v>
      </c>
      <c r="AI1959">
        <v>0</v>
      </c>
      <c r="AJ1959">
        <v>0</v>
      </c>
      <c r="AK1959">
        <v>2119</v>
      </c>
      <c r="AL1959">
        <v>2119</v>
      </c>
      <c r="AM1959">
        <v>0</v>
      </c>
      <c r="AN1959">
        <v>0</v>
      </c>
      <c r="AO1959">
        <v>117</v>
      </c>
      <c r="AP1959">
        <v>0</v>
      </c>
      <c r="AQ1959">
        <v>117</v>
      </c>
      <c r="AR1959">
        <v>117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f t="shared" si="313"/>
        <v>5627</v>
      </c>
      <c r="BF1959">
        <v>5504</v>
      </c>
      <c r="BG1959">
        <v>5504</v>
      </c>
      <c r="BH1959" t="s">
        <v>82</v>
      </c>
      <c r="BI1959" t="s">
        <v>1130</v>
      </c>
      <c r="BJ1959">
        <v>0</v>
      </c>
      <c r="BK1959">
        <v>2755</v>
      </c>
      <c r="BL1959">
        <v>3652</v>
      </c>
      <c r="BM1959">
        <v>0</v>
      </c>
      <c r="BN1959">
        <v>0</v>
      </c>
      <c r="BO1959">
        <v>0</v>
      </c>
      <c r="BP1959">
        <v>2755</v>
      </c>
      <c r="BQ1959">
        <v>2755</v>
      </c>
      <c r="BR1959">
        <f t="shared" si="314"/>
        <v>-359</v>
      </c>
      <c r="BS1959">
        <f t="shared" si="315"/>
        <v>359</v>
      </c>
    </row>
    <row r="1960" spans="1:74" x14ac:dyDescent="0.25">
      <c r="A1960" s="5" t="s">
        <v>1135</v>
      </c>
      <c r="B1960" s="5" t="s">
        <v>207</v>
      </c>
      <c r="C1960" s="5" t="s">
        <v>207</v>
      </c>
      <c r="D1960" s="1" t="s">
        <v>92</v>
      </c>
      <c r="E1960">
        <v>69</v>
      </c>
      <c r="F1960">
        <v>340</v>
      </c>
      <c r="G1960">
        <v>0</v>
      </c>
      <c r="H1960">
        <v>0</v>
      </c>
      <c r="I1960">
        <v>710</v>
      </c>
      <c r="J1960">
        <v>6920</v>
      </c>
      <c r="K1960">
        <v>535</v>
      </c>
      <c r="L1960">
        <v>150</v>
      </c>
      <c r="M1960">
        <v>0</v>
      </c>
      <c r="N1960">
        <v>0</v>
      </c>
      <c r="O1960">
        <v>0</v>
      </c>
      <c r="P1960">
        <v>765</v>
      </c>
      <c r="Q1960">
        <v>448</v>
      </c>
      <c r="R1960">
        <v>85</v>
      </c>
      <c r="S1960" s="18">
        <f t="shared" si="306"/>
        <v>9</v>
      </c>
      <c r="T1960" s="17">
        <f t="shared" si="307"/>
        <v>0</v>
      </c>
      <c r="U1960" s="17">
        <f t="shared" si="308"/>
        <v>0</v>
      </c>
      <c r="V1960" s="17">
        <f t="shared" si="309"/>
        <v>0</v>
      </c>
      <c r="W1960" s="17">
        <f t="shared" si="310"/>
        <v>85</v>
      </c>
      <c r="X1960" s="17">
        <f t="shared" si="311"/>
        <v>363</v>
      </c>
      <c r="Y1960" s="19">
        <f t="shared" si="312"/>
        <v>0</v>
      </c>
      <c r="Z1960">
        <v>340</v>
      </c>
      <c r="AA1960">
        <v>0</v>
      </c>
      <c r="AB1960">
        <v>0</v>
      </c>
      <c r="AC1960">
        <v>2624</v>
      </c>
      <c r="AD1960">
        <v>0</v>
      </c>
      <c r="AE1960">
        <v>0</v>
      </c>
      <c r="AF1960">
        <v>0</v>
      </c>
      <c r="AG1960">
        <v>710</v>
      </c>
      <c r="AH1960">
        <v>710</v>
      </c>
      <c r="AI1960">
        <v>0</v>
      </c>
      <c r="AJ1960">
        <v>0</v>
      </c>
      <c r="AK1960">
        <v>6920</v>
      </c>
      <c r="AL1960">
        <v>6920</v>
      </c>
      <c r="AM1960">
        <v>0</v>
      </c>
      <c r="AN1960">
        <v>0</v>
      </c>
      <c r="AO1960">
        <v>535</v>
      </c>
      <c r="AP1960">
        <v>300</v>
      </c>
      <c r="AQ1960">
        <v>535</v>
      </c>
      <c r="AR1960">
        <v>235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150</v>
      </c>
      <c r="BA1960">
        <v>150</v>
      </c>
      <c r="BB1960">
        <v>0</v>
      </c>
      <c r="BC1960">
        <v>0</v>
      </c>
      <c r="BD1960">
        <v>0</v>
      </c>
      <c r="BE1960">
        <f t="shared" si="313"/>
        <v>19789</v>
      </c>
      <c r="BF1960">
        <v>11348</v>
      </c>
      <c r="BG1960">
        <v>11348</v>
      </c>
      <c r="BH1960" t="s">
        <v>82</v>
      </c>
      <c r="BI1960" t="s">
        <v>1269</v>
      </c>
      <c r="BJ1960">
        <v>2693</v>
      </c>
      <c r="BK1960">
        <v>8315</v>
      </c>
      <c r="BL1960">
        <v>11348</v>
      </c>
      <c r="BM1960">
        <v>0</v>
      </c>
      <c r="BN1960">
        <v>0</v>
      </c>
      <c r="BO1960">
        <v>0</v>
      </c>
      <c r="BP1960">
        <v>9080</v>
      </c>
      <c r="BQ1960">
        <v>9080</v>
      </c>
      <c r="BR1960">
        <f t="shared" si="314"/>
        <v>-363</v>
      </c>
      <c r="BS1960">
        <f t="shared" si="315"/>
        <v>533</v>
      </c>
    </row>
    <row r="1961" spans="1:74" x14ac:dyDescent="0.25">
      <c r="A1961" s="5" t="s">
        <v>1946</v>
      </c>
      <c r="B1961" s="5" t="s">
        <v>207</v>
      </c>
      <c r="C1961" s="5" t="s">
        <v>207</v>
      </c>
      <c r="D1961" s="1" t="s">
        <v>115</v>
      </c>
      <c r="E1961">
        <v>70</v>
      </c>
      <c r="F1961">
        <v>0</v>
      </c>
      <c r="G1961">
        <v>0</v>
      </c>
      <c r="H1961">
        <v>0</v>
      </c>
      <c r="I1961">
        <v>277</v>
      </c>
      <c r="J1961">
        <v>3700</v>
      </c>
      <c r="K1961">
        <v>460</v>
      </c>
      <c r="L1961">
        <v>320</v>
      </c>
      <c r="M1961">
        <v>0</v>
      </c>
      <c r="N1961">
        <v>0</v>
      </c>
      <c r="O1961">
        <v>0</v>
      </c>
      <c r="P1961">
        <v>0</v>
      </c>
      <c r="Q1961">
        <v>363</v>
      </c>
      <c r="R1961">
        <v>0</v>
      </c>
      <c r="S1961" s="18" t="e">
        <f t="shared" si="306"/>
        <v>#DIV/0!</v>
      </c>
      <c r="T1961" s="17" t="e">
        <f t="shared" si="307"/>
        <v>#DIV/0!</v>
      </c>
      <c r="U1961" s="17" t="e">
        <f t="shared" si="308"/>
        <v>#DIV/0!</v>
      </c>
      <c r="V1961" s="17" t="e">
        <f t="shared" si="309"/>
        <v>#DIV/0!</v>
      </c>
      <c r="W1961" s="17" t="e">
        <f t="shared" si="310"/>
        <v>#DIV/0!</v>
      </c>
      <c r="X1961" s="17" t="e">
        <f t="shared" si="311"/>
        <v>#DIV/0!</v>
      </c>
      <c r="Y1961" s="19" t="e">
        <f t="shared" si="312"/>
        <v>#DIV/0!</v>
      </c>
      <c r="Z1961">
        <v>0</v>
      </c>
      <c r="AA1961">
        <v>6</v>
      </c>
      <c r="AB1961">
        <v>63</v>
      </c>
      <c r="AC1961">
        <v>3838</v>
      </c>
      <c r="AD1961">
        <v>0</v>
      </c>
      <c r="AE1961">
        <v>0</v>
      </c>
      <c r="AF1961">
        <v>0</v>
      </c>
      <c r="AG1961">
        <v>277</v>
      </c>
      <c r="AH1961">
        <v>277</v>
      </c>
      <c r="AI1961">
        <v>0</v>
      </c>
      <c r="AJ1961">
        <v>3700</v>
      </c>
      <c r="AK1961">
        <v>0</v>
      </c>
      <c r="AL1961">
        <v>3700</v>
      </c>
      <c r="AM1961">
        <v>0</v>
      </c>
      <c r="AN1961">
        <v>0</v>
      </c>
      <c r="AO1961">
        <v>460</v>
      </c>
      <c r="AP1961">
        <v>135</v>
      </c>
      <c r="AQ1961">
        <v>460</v>
      </c>
      <c r="AR1961">
        <v>325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320</v>
      </c>
      <c r="BA1961">
        <v>320</v>
      </c>
      <c r="BB1961">
        <v>0</v>
      </c>
      <c r="BC1961">
        <v>0</v>
      </c>
      <c r="BD1961">
        <v>0</v>
      </c>
      <c r="BE1961">
        <f t="shared" si="313"/>
        <v>13812</v>
      </c>
      <c r="BF1961">
        <v>8734</v>
      </c>
      <c r="BG1961">
        <v>8734</v>
      </c>
      <c r="BH1961" t="s">
        <v>82</v>
      </c>
      <c r="BI1961" t="s">
        <v>2062</v>
      </c>
      <c r="BJ1961">
        <v>3977</v>
      </c>
      <c r="BK1961">
        <v>4757</v>
      </c>
      <c r="BL1961">
        <v>8734</v>
      </c>
      <c r="BM1961">
        <v>0</v>
      </c>
      <c r="BN1961">
        <v>3700</v>
      </c>
      <c r="BO1961">
        <v>0</v>
      </c>
      <c r="BP1961">
        <v>1057</v>
      </c>
      <c r="BQ1961">
        <v>4757</v>
      </c>
      <c r="BR1961">
        <f t="shared" si="314"/>
        <v>-363</v>
      </c>
      <c r="BS1961">
        <f t="shared" si="315"/>
        <v>363</v>
      </c>
    </row>
    <row r="1962" spans="1:74" x14ac:dyDescent="0.25">
      <c r="A1962" s="5" t="s">
        <v>207</v>
      </c>
      <c r="B1962" s="5" t="s">
        <v>207</v>
      </c>
      <c r="C1962" s="5" t="s">
        <v>61</v>
      </c>
      <c r="D1962" s="1" t="s">
        <v>143</v>
      </c>
      <c r="E1962">
        <v>0</v>
      </c>
      <c r="F1962">
        <v>2180</v>
      </c>
      <c r="G1962">
        <v>0</v>
      </c>
      <c r="H1962">
        <v>0</v>
      </c>
      <c r="I1962">
        <v>392</v>
      </c>
      <c r="J1962">
        <v>2267</v>
      </c>
      <c r="K1962">
        <v>1882</v>
      </c>
      <c r="L1962">
        <v>89</v>
      </c>
      <c r="M1962">
        <v>0</v>
      </c>
      <c r="N1962">
        <v>0</v>
      </c>
      <c r="O1962">
        <v>0</v>
      </c>
      <c r="P1962">
        <v>1377</v>
      </c>
      <c r="Q1962">
        <v>517</v>
      </c>
      <c r="R1962">
        <v>153</v>
      </c>
      <c r="S1962" s="18">
        <f t="shared" si="306"/>
        <v>9</v>
      </c>
      <c r="T1962" s="17">
        <f t="shared" si="307"/>
        <v>0</v>
      </c>
      <c r="U1962" s="17">
        <f t="shared" si="308"/>
        <v>0</v>
      </c>
      <c r="V1962" s="17">
        <f t="shared" si="309"/>
        <v>0</v>
      </c>
      <c r="W1962" s="17">
        <f t="shared" si="310"/>
        <v>153</v>
      </c>
      <c r="X1962" s="17">
        <f t="shared" si="311"/>
        <v>364</v>
      </c>
      <c r="Y1962" s="19">
        <f t="shared" si="312"/>
        <v>0</v>
      </c>
      <c r="Z1962">
        <v>2180</v>
      </c>
      <c r="AA1962">
        <v>24</v>
      </c>
      <c r="AB1962">
        <v>188</v>
      </c>
      <c r="AC1962">
        <v>3272</v>
      </c>
      <c r="AD1962">
        <v>0</v>
      </c>
      <c r="AE1962">
        <v>0</v>
      </c>
      <c r="AF1962">
        <v>0</v>
      </c>
      <c r="AG1962">
        <v>392</v>
      </c>
      <c r="AH1962">
        <v>392</v>
      </c>
      <c r="AI1962">
        <v>0</v>
      </c>
      <c r="AJ1962">
        <v>0</v>
      </c>
      <c r="AK1962">
        <v>2267</v>
      </c>
      <c r="AL1962">
        <v>2267</v>
      </c>
      <c r="AM1962">
        <v>0</v>
      </c>
      <c r="AN1962">
        <v>0</v>
      </c>
      <c r="AO1962">
        <v>1882</v>
      </c>
      <c r="AP1962">
        <v>1587</v>
      </c>
      <c r="AQ1962">
        <v>1882</v>
      </c>
      <c r="AR1962">
        <v>295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89</v>
      </c>
      <c r="BA1962">
        <v>89</v>
      </c>
      <c r="BB1962">
        <v>0</v>
      </c>
      <c r="BC1962">
        <v>0</v>
      </c>
      <c r="BD1962">
        <v>0</v>
      </c>
      <c r="BE1962">
        <f t="shared" si="313"/>
        <v>14414</v>
      </c>
      <c r="BF1962">
        <v>10294</v>
      </c>
      <c r="BG1962">
        <v>10294</v>
      </c>
      <c r="BH1962" t="s">
        <v>581</v>
      </c>
      <c r="BI1962" t="s">
        <v>582</v>
      </c>
      <c r="BJ1962">
        <v>3484</v>
      </c>
      <c r="BK1962">
        <v>4630</v>
      </c>
      <c r="BL1962">
        <v>10294</v>
      </c>
      <c r="BM1962">
        <v>0</v>
      </c>
      <c r="BN1962">
        <v>0</v>
      </c>
      <c r="BO1962">
        <v>0</v>
      </c>
      <c r="BP1962">
        <v>6007</v>
      </c>
      <c r="BQ1962">
        <v>6007</v>
      </c>
      <c r="BR1962">
        <f t="shared" si="314"/>
        <v>-364</v>
      </c>
      <c r="BS1962">
        <f t="shared" si="315"/>
        <v>670</v>
      </c>
    </row>
    <row r="1963" spans="1:74" x14ac:dyDescent="0.25">
      <c r="A1963" s="5" t="s">
        <v>2090</v>
      </c>
      <c r="B1963" s="5" t="s">
        <v>207</v>
      </c>
      <c r="C1963" s="5" t="s">
        <v>61</v>
      </c>
      <c r="D1963" s="1" t="s">
        <v>94</v>
      </c>
      <c r="E1963">
        <v>0</v>
      </c>
      <c r="F1963">
        <v>1590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s="16">
        <v>1590</v>
      </c>
      <c r="P1963">
        <v>0</v>
      </c>
      <c r="Q1963">
        <v>133</v>
      </c>
      <c r="R1963">
        <v>293</v>
      </c>
      <c r="S1963" s="18">
        <f t="shared" si="306"/>
        <v>5.4266211604095567</v>
      </c>
      <c r="T1963" s="17">
        <f t="shared" si="307"/>
        <v>0</v>
      </c>
      <c r="U1963" s="17">
        <f t="shared" si="308"/>
        <v>0</v>
      </c>
      <c r="V1963" s="17">
        <f t="shared" si="309"/>
        <v>293</v>
      </c>
      <c r="W1963" s="17">
        <f t="shared" si="310"/>
        <v>0</v>
      </c>
      <c r="X1963" s="17">
        <f t="shared" si="311"/>
        <v>133</v>
      </c>
      <c r="Y1963" s="19">
        <f t="shared" si="312"/>
        <v>2.2030075187969924</v>
      </c>
      <c r="Z1963">
        <v>1590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f t="shared" si="313"/>
        <v>0</v>
      </c>
      <c r="BF1963">
        <v>1590</v>
      </c>
      <c r="BG1963">
        <v>1590</v>
      </c>
      <c r="BH1963" t="s">
        <v>546</v>
      </c>
      <c r="BI1963" t="s">
        <v>2226</v>
      </c>
      <c r="BJ1963">
        <v>0</v>
      </c>
      <c r="BK1963">
        <v>0</v>
      </c>
      <c r="BL1963">
        <v>1590</v>
      </c>
      <c r="BM1963">
        <v>0</v>
      </c>
      <c r="BN1963">
        <v>0</v>
      </c>
      <c r="BO1963">
        <v>1590</v>
      </c>
      <c r="BP1963">
        <v>0</v>
      </c>
      <c r="BQ1963">
        <v>1590</v>
      </c>
      <c r="BR1963">
        <f t="shared" si="314"/>
        <v>160</v>
      </c>
      <c r="BS1963">
        <f t="shared" si="315"/>
        <v>426</v>
      </c>
    </row>
    <row r="1964" spans="1:74" x14ac:dyDescent="0.25">
      <c r="A1964" s="5" t="s">
        <v>207</v>
      </c>
      <c r="B1964" s="5" t="s">
        <v>359</v>
      </c>
      <c r="C1964" s="5" t="s">
        <v>61</v>
      </c>
      <c r="D1964" s="1" t="s">
        <v>65</v>
      </c>
      <c r="E1964">
        <v>0</v>
      </c>
      <c r="F1964">
        <v>0</v>
      </c>
      <c r="G1964">
        <v>0</v>
      </c>
      <c r="H1964">
        <v>0</v>
      </c>
      <c r="I1964">
        <v>2200</v>
      </c>
      <c r="J1964">
        <v>0</v>
      </c>
      <c r="K1964">
        <v>2100</v>
      </c>
      <c r="L1964">
        <v>150</v>
      </c>
      <c r="M1964">
        <v>0</v>
      </c>
      <c r="N1964">
        <v>0</v>
      </c>
      <c r="O1964">
        <v>0</v>
      </c>
      <c r="P1964">
        <v>0</v>
      </c>
      <c r="Q1964">
        <v>305</v>
      </c>
      <c r="R1964">
        <v>0</v>
      </c>
      <c r="S1964" s="18" t="e">
        <f t="shared" si="306"/>
        <v>#DIV/0!</v>
      </c>
      <c r="T1964" s="17" t="e">
        <f t="shared" si="307"/>
        <v>#DIV/0!</v>
      </c>
      <c r="U1964" s="17" t="e">
        <f t="shared" si="308"/>
        <v>#DIV/0!</v>
      </c>
      <c r="V1964" s="17" t="e">
        <f t="shared" si="309"/>
        <v>#DIV/0!</v>
      </c>
      <c r="W1964" s="17" t="e">
        <f t="shared" si="310"/>
        <v>#DIV/0!</v>
      </c>
      <c r="X1964" s="17" t="e">
        <f t="shared" si="311"/>
        <v>#DIV/0!</v>
      </c>
      <c r="Y1964" s="19" t="e">
        <f t="shared" si="312"/>
        <v>#DIV/0!</v>
      </c>
      <c r="Z1964">
        <v>0</v>
      </c>
      <c r="AA1964">
        <v>0</v>
      </c>
      <c r="AB1964">
        <v>0</v>
      </c>
      <c r="AC1964">
        <v>2000</v>
      </c>
      <c r="AD1964">
        <v>2200</v>
      </c>
      <c r="AE1964">
        <v>0</v>
      </c>
      <c r="AF1964">
        <v>0</v>
      </c>
      <c r="AG1964">
        <v>0</v>
      </c>
      <c r="AH1964">
        <v>2200</v>
      </c>
      <c r="AI1964">
        <v>0</v>
      </c>
      <c r="AJ1964">
        <v>0</v>
      </c>
      <c r="AK1964">
        <v>0</v>
      </c>
      <c r="AL1964">
        <v>0</v>
      </c>
      <c r="AM1964">
        <v>2100</v>
      </c>
      <c r="AN1964">
        <v>0</v>
      </c>
      <c r="AO1964">
        <v>0</v>
      </c>
      <c r="AP1964">
        <v>2100</v>
      </c>
      <c r="AQ1964">
        <v>2100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150</v>
      </c>
      <c r="AY1964">
        <v>0</v>
      </c>
      <c r="AZ1964">
        <v>0</v>
      </c>
      <c r="BA1964">
        <v>150</v>
      </c>
      <c r="BB1964">
        <v>0</v>
      </c>
      <c r="BC1964">
        <v>0</v>
      </c>
      <c r="BD1964">
        <v>0</v>
      </c>
      <c r="BE1964">
        <f t="shared" si="313"/>
        <v>13000</v>
      </c>
      <c r="BF1964">
        <v>6450</v>
      </c>
      <c r="BG1964">
        <v>6450</v>
      </c>
      <c r="BH1964" t="s">
        <v>63</v>
      </c>
      <c r="BI1964" t="s">
        <v>595</v>
      </c>
      <c r="BJ1964">
        <v>2000</v>
      </c>
      <c r="BK1964">
        <v>4450</v>
      </c>
      <c r="BL1964">
        <v>6450</v>
      </c>
      <c r="BM1964">
        <v>4450</v>
      </c>
      <c r="BN1964">
        <v>0</v>
      </c>
      <c r="BO1964">
        <v>0</v>
      </c>
      <c r="BP1964">
        <v>0</v>
      </c>
      <c r="BQ1964">
        <v>4450</v>
      </c>
      <c r="BR1964">
        <f t="shared" si="314"/>
        <v>-305</v>
      </c>
      <c r="BS1964">
        <f t="shared" si="315"/>
        <v>305</v>
      </c>
      <c r="BU1964">
        <f>R1964*9</f>
        <v>0</v>
      </c>
      <c r="BV1964">
        <f>IF(BU1964&gt;BG1964, 1, 0)</f>
        <v>0</v>
      </c>
    </row>
    <row r="1965" spans="1:74" x14ac:dyDescent="0.25">
      <c r="A1965" s="5" t="s">
        <v>2090</v>
      </c>
      <c r="B1965" s="5" t="s">
        <v>61</v>
      </c>
      <c r="C1965" s="5" t="s">
        <v>61</v>
      </c>
      <c r="D1965" s="1" t="s">
        <v>113</v>
      </c>
      <c r="E1965">
        <v>100</v>
      </c>
      <c r="F1965">
        <v>0</v>
      </c>
      <c r="G1965">
        <v>0</v>
      </c>
      <c r="H1965">
        <v>0</v>
      </c>
      <c r="I1965">
        <v>0</v>
      </c>
      <c r="J1965">
        <v>3200</v>
      </c>
      <c r="K1965">
        <v>850</v>
      </c>
      <c r="L1965">
        <v>120</v>
      </c>
      <c r="M1965">
        <v>0</v>
      </c>
      <c r="N1965">
        <v>0</v>
      </c>
      <c r="O1965">
        <v>0</v>
      </c>
      <c r="P1965">
        <v>0</v>
      </c>
      <c r="Q1965">
        <v>365</v>
      </c>
      <c r="R1965">
        <v>0</v>
      </c>
      <c r="S1965" s="18" t="e">
        <f t="shared" si="306"/>
        <v>#DIV/0!</v>
      </c>
      <c r="T1965" s="17" t="e">
        <f t="shared" si="307"/>
        <v>#DIV/0!</v>
      </c>
      <c r="U1965" s="17" t="e">
        <f t="shared" si="308"/>
        <v>#DIV/0!</v>
      </c>
      <c r="V1965" s="17" t="e">
        <f t="shared" si="309"/>
        <v>#DIV/0!</v>
      </c>
      <c r="W1965" s="17" t="e">
        <f t="shared" si="310"/>
        <v>#DIV/0!</v>
      </c>
      <c r="X1965" s="17" t="e">
        <f t="shared" si="311"/>
        <v>#DIV/0!</v>
      </c>
      <c r="Y1965" s="19" t="e">
        <f t="shared" si="312"/>
        <v>#DIV/0!</v>
      </c>
      <c r="Z1965">
        <v>0</v>
      </c>
      <c r="AA1965">
        <v>6</v>
      </c>
      <c r="AB1965">
        <v>248</v>
      </c>
      <c r="AC1965">
        <v>3000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3200</v>
      </c>
      <c r="AL1965">
        <v>3200</v>
      </c>
      <c r="AM1965">
        <v>0</v>
      </c>
      <c r="AN1965">
        <v>0</v>
      </c>
      <c r="AO1965">
        <v>850</v>
      </c>
      <c r="AP1965">
        <v>790</v>
      </c>
      <c r="AQ1965">
        <v>850</v>
      </c>
      <c r="AR1965">
        <v>60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120</v>
      </c>
      <c r="BA1965">
        <v>120</v>
      </c>
      <c r="BB1965">
        <v>0</v>
      </c>
      <c r="BC1965">
        <v>0</v>
      </c>
      <c r="BD1965">
        <v>0</v>
      </c>
      <c r="BE1965">
        <f t="shared" si="313"/>
        <v>12190</v>
      </c>
      <c r="BF1965">
        <v>7524</v>
      </c>
      <c r="BG1965">
        <v>7524</v>
      </c>
      <c r="BH1965" t="s">
        <v>82</v>
      </c>
      <c r="BI1965" t="s">
        <v>857</v>
      </c>
      <c r="BJ1965">
        <v>3354</v>
      </c>
      <c r="BK1965">
        <v>4170</v>
      </c>
      <c r="BL1965">
        <v>7524</v>
      </c>
      <c r="BM1965">
        <v>0</v>
      </c>
      <c r="BN1965">
        <v>0</v>
      </c>
      <c r="BO1965">
        <v>0</v>
      </c>
      <c r="BP1965">
        <v>4170</v>
      </c>
      <c r="BQ1965">
        <v>4170</v>
      </c>
      <c r="BR1965">
        <f t="shared" si="314"/>
        <v>-365</v>
      </c>
      <c r="BS1965">
        <f t="shared" si="315"/>
        <v>365</v>
      </c>
    </row>
    <row r="1966" spans="1:74" x14ac:dyDescent="0.25">
      <c r="A1966" s="5" t="s">
        <v>627</v>
      </c>
      <c r="B1966" s="5" t="s">
        <v>61</v>
      </c>
      <c r="C1966" s="5" t="s">
        <v>61</v>
      </c>
      <c r="D1966" s="1" t="s">
        <v>86</v>
      </c>
      <c r="E1966">
        <v>0</v>
      </c>
      <c r="F1966">
        <v>146</v>
      </c>
      <c r="G1966">
        <v>0</v>
      </c>
      <c r="H1966">
        <v>0</v>
      </c>
      <c r="I1966">
        <v>2300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1314</v>
      </c>
      <c r="Q1966">
        <v>512</v>
      </c>
      <c r="R1966">
        <v>146</v>
      </c>
      <c r="S1966" s="18">
        <f t="shared" si="306"/>
        <v>9</v>
      </c>
      <c r="T1966" s="17">
        <f t="shared" si="307"/>
        <v>0</v>
      </c>
      <c r="U1966" s="17">
        <f t="shared" si="308"/>
        <v>0</v>
      </c>
      <c r="V1966" s="17">
        <f t="shared" si="309"/>
        <v>0</v>
      </c>
      <c r="W1966" s="17">
        <f t="shared" si="310"/>
        <v>146</v>
      </c>
      <c r="X1966" s="17">
        <f t="shared" si="311"/>
        <v>366</v>
      </c>
      <c r="Y1966" s="19">
        <f t="shared" si="312"/>
        <v>0</v>
      </c>
      <c r="Z1966">
        <v>146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2300</v>
      </c>
      <c r="AH1966">
        <v>2300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f t="shared" si="313"/>
        <v>4600</v>
      </c>
      <c r="BF1966">
        <v>2446</v>
      </c>
      <c r="BG1966">
        <v>2446</v>
      </c>
      <c r="BH1966" t="s">
        <v>109</v>
      </c>
      <c r="BI1966" t="s">
        <v>820</v>
      </c>
      <c r="BJ1966">
        <v>0</v>
      </c>
      <c r="BK1966">
        <v>2300</v>
      </c>
      <c r="BL1966">
        <v>2446</v>
      </c>
      <c r="BM1966">
        <v>0</v>
      </c>
      <c r="BN1966">
        <v>0</v>
      </c>
      <c r="BO1966">
        <v>0</v>
      </c>
      <c r="BP1966">
        <v>3614</v>
      </c>
      <c r="BQ1966">
        <v>3614</v>
      </c>
      <c r="BR1966">
        <f t="shared" si="314"/>
        <v>-366</v>
      </c>
      <c r="BS1966">
        <f t="shared" si="315"/>
        <v>658</v>
      </c>
    </row>
    <row r="1967" spans="1:74" x14ac:dyDescent="0.25">
      <c r="A1967" s="5" t="s">
        <v>2294</v>
      </c>
      <c r="B1967" s="5" t="s">
        <v>207</v>
      </c>
      <c r="C1967" s="5" t="s">
        <v>61</v>
      </c>
      <c r="D1967" s="1" t="s">
        <v>86</v>
      </c>
      <c r="E1967">
        <v>0</v>
      </c>
      <c r="F1967">
        <v>0</v>
      </c>
      <c r="G1967">
        <v>0</v>
      </c>
      <c r="H1967">
        <v>0</v>
      </c>
      <c r="I1967">
        <v>1370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366</v>
      </c>
      <c r="R1967">
        <v>0</v>
      </c>
      <c r="S1967" s="18" t="e">
        <f t="shared" si="306"/>
        <v>#DIV/0!</v>
      </c>
      <c r="T1967" s="17" t="e">
        <f t="shared" si="307"/>
        <v>#DIV/0!</v>
      </c>
      <c r="U1967" s="17" t="e">
        <f t="shared" si="308"/>
        <v>#DIV/0!</v>
      </c>
      <c r="V1967" s="17" t="e">
        <f t="shared" si="309"/>
        <v>#DIV/0!</v>
      </c>
      <c r="W1967" s="17" t="e">
        <f t="shared" si="310"/>
        <v>#DIV/0!</v>
      </c>
      <c r="X1967" s="17" t="e">
        <f t="shared" si="311"/>
        <v>#DIV/0!</v>
      </c>
      <c r="Y1967" s="19" t="e">
        <f t="shared" si="312"/>
        <v>#DIV/0!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1370</v>
      </c>
      <c r="AH1967">
        <v>1370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f t="shared" si="313"/>
        <v>2740</v>
      </c>
      <c r="BF1967">
        <v>1370</v>
      </c>
      <c r="BG1967">
        <v>1370</v>
      </c>
      <c r="BH1967" t="s">
        <v>109</v>
      </c>
      <c r="BI1967" t="s">
        <v>265</v>
      </c>
      <c r="BJ1967">
        <v>0</v>
      </c>
      <c r="BK1967">
        <v>1370</v>
      </c>
      <c r="BL1967">
        <v>1370</v>
      </c>
      <c r="BM1967">
        <v>0</v>
      </c>
      <c r="BN1967">
        <v>0</v>
      </c>
      <c r="BO1967">
        <v>0</v>
      </c>
      <c r="BP1967">
        <v>1370</v>
      </c>
      <c r="BQ1967">
        <v>1370</v>
      </c>
      <c r="BR1967">
        <f t="shared" si="314"/>
        <v>-366</v>
      </c>
      <c r="BS1967">
        <f t="shared" si="315"/>
        <v>366</v>
      </c>
    </row>
    <row r="1968" spans="1:74" x14ac:dyDescent="0.25">
      <c r="A1968" s="5" t="s">
        <v>207</v>
      </c>
      <c r="B1968" s="5" t="s">
        <v>61</v>
      </c>
      <c r="C1968" s="5" t="s">
        <v>359</v>
      </c>
      <c r="D1968" s="1" t="s">
        <v>137</v>
      </c>
      <c r="E1968">
        <v>0</v>
      </c>
      <c r="F1968">
        <v>0</v>
      </c>
      <c r="G1968">
        <v>0</v>
      </c>
      <c r="H1968">
        <v>0</v>
      </c>
      <c r="I1968">
        <v>316</v>
      </c>
      <c r="J1968">
        <v>4150</v>
      </c>
      <c r="K1968">
        <v>366</v>
      </c>
      <c r="L1968">
        <v>35</v>
      </c>
      <c r="M1968">
        <v>0</v>
      </c>
      <c r="N1968">
        <v>0</v>
      </c>
      <c r="O1968">
        <v>0</v>
      </c>
      <c r="P1968">
        <v>0</v>
      </c>
      <c r="Q1968">
        <v>367</v>
      </c>
      <c r="R1968">
        <v>0</v>
      </c>
      <c r="S1968" s="18" t="e">
        <f t="shared" si="306"/>
        <v>#DIV/0!</v>
      </c>
      <c r="T1968" s="17" t="e">
        <f t="shared" si="307"/>
        <v>#DIV/0!</v>
      </c>
      <c r="U1968" s="17" t="e">
        <f t="shared" si="308"/>
        <v>#DIV/0!</v>
      </c>
      <c r="V1968" s="17" t="e">
        <f t="shared" si="309"/>
        <v>#DIV/0!</v>
      </c>
      <c r="W1968" s="17" t="e">
        <f t="shared" si="310"/>
        <v>#DIV/0!</v>
      </c>
      <c r="X1968" s="17" t="e">
        <f t="shared" si="311"/>
        <v>#DIV/0!</v>
      </c>
      <c r="Y1968" s="19" t="e">
        <f t="shared" si="312"/>
        <v>#DIV/0!</v>
      </c>
      <c r="Z1968">
        <v>0</v>
      </c>
      <c r="AA1968">
        <v>4</v>
      </c>
      <c r="AB1968">
        <v>200</v>
      </c>
      <c r="AC1968">
        <v>1520</v>
      </c>
      <c r="AD1968">
        <v>0</v>
      </c>
      <c r="AE1968">
        <v>0</v>
      </c>
      <c r="AF1968">
        <v>0</v>
      </c>
      <c r="AG1968">
        <v>316</v>
      </c>
      <c r="AH1968">
        <v>316</v>
      </c>
      <c r="AI1968">
        <v>0</v>
      </c>
      <c r="AJ1968">
        <v>0</v>
      </c>
      <c r="AK1968">
        <v>4150</v>
      </c>
      <c r="AL1968">
        <v>4150</v>
      </c>
      <c r="AM1968">
        <v>0</v>
      </c>
      <c r="AN1968">
        <v>0</v>
      </c>
      <c r="AO1968">
        <v>366</v>
      </c>
      <c r="AP1968">
        <v>186</v>
      </c>
      <c r="AQ1968">
        <v>366</v>
      </c>
      <c r="AR1968">
        <v>180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35</v>
      </c>
      <c r="BA1968">
        <v>35</v>
      </c>
      <c r="BB1968">
        <v>0</v>
      </c>
      <c r="BC1968">
        <v>0</v>
      </c>
      <c r="BD1968">
        <v>0</v>
      </c>
      <c r="BE1968">
        <f t="shared" si="313"/>
        <v>11620</v>
      </c>
      <c r="BF1968">
        <v>6441</v>
      </c>
      <c r="BG1968">
        <v>6441</v>
      </c>
      <c r="BH1968" t="s">
        <v>82</v>
      </c>
      <c r="BI1968" t="s">
        <v>533</v>
      </c>
      <c r="BJ1968">
        <v>1724</v>
      </c>
      <c r="BK1968">
        <v>4867</v>
      </c>
      <c r="BL1968">
        <v>6591</v>
      </c>
      <c r="BM1968">
        <v>0</v>
      </c>
      <c r="BN1968">
        <v>0</v>
      </c>
      <c r="BO1968">
        <v>0</v>
      </c>
      <c r="BP1968">
        <v>4867</v>
      </c>
      <c r="BQ1968">
        <v>4867</v>
      </c>
      <c r="BR1968">
        <f t="shared" si="314"/>
        <v>-367</v>
      </c>
      <c r="BS1968">
        <f t="shared" si="315"/>
        <v>367</v>
      </c>
    </row>
    <row r="1969" spans="1:71" x14ac:dyDescent="0.25">
      <c r="A1969" s="5" t="s">
        <v>1017</v>
      </c>
      <c r="B1969" s="5" t="s">
        <v>61</v>
      </c>
      <c r="C1969" s="5" t="s">
        <v>61</v>
      </c>
      <c r="D1969" s="1" t="s">
        <v>84</v>
      </c>
      <c r="E1969">
        <v>0</v>
      </c>
      <c r="F1969">
        <v>570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3888</v>
      </c>
      <c r="Q1969">
        <v>799</v>
      </c>
      <c r="R1969">
        <v>432</v>
      </c>
      <c r="S1969" s="18">
        <f t="shared" si="306"/>
        <v>9</v>
      </c>
      <c r="T1969" s="17">
        <f t="shared" si="307"/>
        <v>0</v>
      </c>
      <c r="U1969" s="17">
        <f t="shared" si="308"/>
        <v>0</v>
      </c>
      <c r="V1969" s="17">
        <f t="shared" si="309"/>
        <v>0</v>
      </c>
      <c r="W1969" s="17">
        <f t="shared" si="310"/>
        <v>432</v>
      </c>
      <c r="X1969" s="17">
        <f t="shared" si="311"/>
        <v>367</v>
      </c>
      <c r="Y1969" s="19">
        <f t="shared" si="312"/>
        <v>0</v>
      </c>
      <c r="Z1969">
        <v>570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f t="shared" si="313"/>
        <v>0</v>
      </c>
      <c r="BF1969">
        <v>570</v>
      </c>
      <c r="BG1969">
        <v>570</v>
      </c>
      <c r="BH1969" t="s">
        <v>109</v>
      </c>
      <c r="BI1969" t="s">
        <v>1027</v>
      </c>
      <c r="BJ1969">
        <v>0</v>
      </c>
      <c r="BK1969">
        <v>0</v>
      </c>
      <c r="BL1969">
        <v>570</v>
      </c>
      <c r="BM1969">
        <v>0</v>
      </c>
      <c r="BN1969">
        <v>0</v>
      </c>
      <c r="BO1969">
        <v>0</v>
      </c>
      <c r="BP1969">
        <v>3888</v>
      </c>
      <c r="BQ1969">
        <v>3888</v>
      </c>
      <c r="BR1969">
        <f t="shared" si="314"/>
        <v>-367</v>
      </c>
      <c r="BS1969">
        <f t="shared" si="315"/>
        <v>1231</v>
      </c>
    </row>
    <row r="1970" spans="1:71" x14ac:dyDescent="0.25">
      <c r="A1970" s="5" t="s">
        <v>207</v>
      </c>
      <c r="B1970" s="5" t="s">
        <v>61</v>
      </c>
      <c r="C1970" s="5" t="s">
        <v>207</v>
      </c>
      <c r="D1970" s="1" t="s">
        <v>119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2500</v>
      </c>
      <c r="K1970">
        <v>450</v>
      </c>
      <c r="L1970">
        <v>160</v>
      </c>
      <c r="M1970">
        <v>0</v>
      </c>
      <c r="N1970">
        <v>0</v>
      </c>
      <c r="O1970">
        <v>0</v>
      </c>
      <c r="P1970">
        <v>0</v>
      </c>
      <c r="Q1970">
        <v>368</v>
      </c>
      <c r="R1970">
        <v>0</v>
      </c>
      <c r="S1970" s="18" t="e">
        <f t="shared" si="306"/>
        <v>#DIV/0!</v>
      </c>
      <c r="T1970" s="17" t="e">
        <f t="shared" si="307"/>
        <v>#DIV/0!</v>
      </c>
      <c r="U1970" s="17" t="e">
        <f t="shared" si="308"/>
        <v>#DIV/0!</v>
      </c>
      <c r="V1970" s="17" t="e">
        <f t="shared" si="309"/>
        <v>#DIV/0!</v>
      </c>
      <c r="W1970" s="17" t="e">
        <f t="shared" si="310"/>
        <v>#DIV/0!</v>
      </c>
      <c r="X1970" s="17" t="e">
        <f t="shared" si="311"/>
        <v>#DIV/0!</v>
      </c>
      <c r="Y1970" s="19" t="e">
        <f t="shared" si="312"/>
        <v>#DIV/0!</v>
      </c>
      <c r="Z1970">
        <v>0</v>
      </c>
      <c r="AA1970">
        <v>10</v>
      </c>
      <c r="AB1970">
        <v>0</v>
      </c>
      <c r="AC1970">
        <v>1700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2500</v>
      </c>
      <c r="AL1970">
        <v>2500</v>
      </c>
      <c r="AM1970">
        <v>0</v>
      </c>
      <c r="AN1970">
        <v>0</v>
      </c>
      <c r="AO1970">
        <v>450</v>
      </c>
      <c r="AP1970">
        <v>260</v>
      </c>
      <c r="AQ1970">
        <v>450</v>
      </c>
      <c r="AR1970">
        <v>190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160</v>
      </c>
      <c r="BA1970">
        <v>160</v>
      </c>
      <c r="BB1970">
        <v>0</v>
      </c>
      <c r="BC1970">
        <v>0</v>
      </c>
      <c r="BD1970">
        <v>0</v>
      </c>
      <c r="BE1970">
        <f t="shared" si="313"/>
        <v>8370</v>
      </c>
      <c r="BF1970">
        <v>4820</v>
      </c>
      <c r="BG1970">
        <v>4820</v>
      </c>
      <c r="BH1970" t="s">
        <v>82</v>
      </c>
      <c r="BI1970" t="s">
        <v>489</v>
      </c>
      <c r="BJ1970">
        <v>1710</v>
      </c>
      <c r="BK1970">
        <v>3110</v>
      </c>
      <c r="BL1970">
        <v>4820</v>
      </c>
      <c r="BM1970">
        <v>0</v>
      </c>
      <c r="BN1970">
        <v>0</v>
      </c>
      <c r="BO1970">
        <v>0</v>
      </c>
      <c r="BP1970">
        <v>3110</v>
      </c>
      <c r="BQ1970">
        <v>3110</v>
      </c>
      <c r="BR1970">
        <f t="shared" si="314"/>
        <v>-368</v>
      </c>
      <c r="BS1970">
        <f t="shared" si="315"/>
        <v>368</v>
      </c>
    </row>
    <row r="1971" spans="1:71" x14ac:dyDescent="0.25">
      <c r="A1971" s="5" t="s">
        <v>1946</v>
      </c>
      <c r="B1971" s="5" t="s">
        <v>61</v>
      </c>
      <c r="C1971" s="5" t="s">
        <v>61</v>
      </c>
      <c r="D1971" s="1" t="s">
        <v>121</v>
      </c>
      <c r="E1971">
        <v>0</v>
      </c>
      <c r="F1971">
        <v>1337</v>
      </c>
      <c r="G1971">
        <v>0</v>
      </c>
      <c r="H1971">
        <v>0</v>
      </c>
      <c r="I1971">
        <v>1181</v>
      </c>
      <c r="J1971">
        <v>0</v>
      </c>
      <c r="K1971">
        <v>101</v>
      </c>
      <c r="L1971">
        <v>0</v>
      </c>
      <c r="M1971">
        <v>4815</v>
      </c>
      <c r="N1971">
        <v>0</v>
      </c>
      <c r="O1971">
        <v>0</v>
      </c>
      <c r="P1971">
        <v>0</v>
      </c>
      <c r="Q1971">
        <v>903</v>
      </c>
      <c r="R1971">
        <v>535</v>
      </c>
      <c r="S1971" s="18">
        <f t="shared" si="306"/>
        <v>9</v>
      </c>
      <c r="T1971" s="17">
        <f t="shared" si="307"/>
        <v>535</v>
      </c>
      <c r="U1971" s="17">
        <f t="shared" si="308"/>
        <v>0</v>
      </c>
      <c r="V1971" s="17">
        <f t="shared" si="309"/>
        <v>0</v>
      </c>
      <c r="W1971" s="17">
        <f t="shared" si="310"/>
        <v>0</v>
      </c>
      <c r="X1971" s="17">
        <f t="shared" si="311"/>
        <v>368</v>
      </c>
      <c r="Y1971" s="19">
        <f t="shared" si="312"/>
        <v>0</v>
      </c>
      <c r="Z1971">
        <v>1337</v>
      </c>
      <c r="AA1971">
        <v>0</v>
      </c>
      <c r="AB1971">
        <v>0</v>
      </c>
      <c r="AC1971">
        <v>0</v>
      </c>
      <c r="AD1971">
        <v>1181</v>
      </c>
      <c r="AE1971">
        <v>0</v>
      </c>
      <c r="AF1971">
        <v>0</v>
      </c>
      <c r="AG1971">
        <v>0</v>
      </c>
      <c r="AH1971">
        <v>1181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101</v>
      </c>
      <c r="AP1971">
        <v>0</v>
      </c>
      <c r="AQ1971">
        <v>101</v>
      </c>
      <c r="AR1971">
        <v>101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f t="shared" si="313"/>
        <v>2665</v>
      </c>
      <c r="BF1971">
        <v>2619</v>
      </c>
      <c r="BG1971">
        <v>2619</v>
      </c>
      <c r="BH1971" t="s">
        <v>109</v>
      </c>
      <c r="BI1971" t="s">
        <v>1973</v>
      </c>
      <c r="BJ1971">
        <v>0</v>
      </c>
      <c r="BK1971">
        <v>1282</v>
      </c>
      <c r="BL1971">
        <v>2619</v>
      </c>
      <c r="BM1971">
        <v>5996</v>
      </c>
      <c r="BN1971">
        <v>0</v>
      </c>
      <c r="BO1971">
        <v>0</v>
      </c>
      <c r="BP1971">
        <v>101</v>
      </c>
      <c r="BQ1971">
        <v>6097</v>
      </c>
      <c r="BR1971">
        <f t="shared" si="314"/>
        <v>-368</v>
      </c>
      <c r="BS1971">
        <f t="shared" si="315"/>
        <v>1438</v>
      </c>
    </row>
    <row r="1972" spans="1:71" x14ac:dyDescent="0.25">
      <c r="A1972" s="5" t="s">
        <v>1451</v>
      </c>
      <c r="B1972" s="5" t="s">
        <v>61</v>
      </c>
      <c r="C1972" s="5" t="s">
        <v>207</v>
      </c>
      <c r="D1972" s="1" t="s">
        <v>102</v>
      </c>
      <c r="E1972">
        <v>40</v>
      </c>
      <c r="F1972">
        <v>40</v>
      </c>
      <c r="G1972">
        <v>0</v>
      </c>
      <c r="H1972">
        <v>0</v>
      </c>
      <c r="I1972">
        <v>650</v>
      </c>
      <c r="J1972">
        <v>3400</v>
      </c>
      <c r="K1972">
        <v>1669</v>
      </c>
      <c r="L1972">
        <v>30</v>
      </c>
      <c r="M1972">
        <v>0</v>
      </c>
      <c r="N1972">
        <v>0</v>
      </c>
      <c r="O1972">
        <v>0</v>
      </c>
      <c r="P1972">
        <v>90</v>
      </c>
      <c r="Q1972">
        <v>380</v>
      </c>
      <c r="R1972">
        <v>10</v>
      </c>
      <c r="S1972" s="18">
        <f t="shared" si="306"/>
        <v>9</v>
      </c>
      <c r="T1972" s="17">
        <f t="shared" si="307"/>
        <v>0</v>
      </c>
      <c r="U1972" s="17">
        <f t="shared" si="308"/>
        <v>0</v>
      </c>
      <c r="V1972" s="17">
        <f t="shared" si="309"/>
        <v>0</v>
      </c>
      <c r="W1972" s="17">
        <f t="shared" si="310"/>
        <v>10</v>
      </c>
      <c r="X1972" s="17">
        <f t="shared" si="311"/>
        <v>370</v>
      </c>
      <c r="Y1972" s="19">
        <f t="shared" si="312"/>
        <v>0</v>
      </c>
      <c r="Z1972">
        <v>40</v>
      </c>
      <c r="AA1972">
        <v>6</v>
      </c>
      <c r="AB1972">
        <v>121</v>
      </c>
      <c r="AC1972">
        <v>3116</v>
      </c>
      <c r="AD1972">
        <v>0</v>
      </c>
      <c r="AE1972">
        <v>0</v>
      </c>
      <c r="AF1972">
        <v>0</v>
      </c>
      <c r="AG1972">
        <v>650</v>
      </c>
      <c r="AH1972">
        <v>650</v>
      </c>
      <c r="AI1972">
        <v>0</v>
      </c>
      <c r="AJ1972">
        <v>0</v>
      </c>
      <c r="AK1972">
        <v>3400</v>
      </c>
      <c r="AL1972">
        <v>3400</v>
      </c>
      <c r="AM1972">
        <v>0</v>
      </c>
      <c r="AN1972">
        <v>0</v>
      </c>
      <c r="AO1972">
        <v>1669</v>
      </c>
      <c r="AP1972">
        <v>1438</v>
      </c>
      <c r="AQ1972">
        <v>1669</v>
      </c>
      <c r="AR1972">
        <v>231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30</v>
      </c>
      <c r="BA1972">
        <v>30</v>
      </c>
      <c r="BB1972">
        <v>0</v>
      </c>
      <c r="BC1972">
        <v>0</v>
      </c>
      <c r="BD1972">
        <v>0</v>
      </c>
      <c r="BE1972">
        <f t="shared" si="313"/>
        <v>16283</v>
      </c>
      <c r="BF1972">
        <v>9072</v>
      </c>
      <c r="BG1972">
        <v>9072</v>
      </c>
      <c r="BH1972" t="s">
        <v>82</v>
      </c>
      <c r="BI1972" t="s">
        <v>1489</v>
      </c>
      <c r="BJ1972">
        <v>3283</v>
      </c>
      <c r="BK1972">
        <v>5749</v>
      </c>
      <c r="BL1972">
        <v>9072</v>
      </c>
      <c r="BM1972">
        <v>0</v>
      </c>
      <c r="BN1972">
        <v>0</v>
      </c>
      <c r="BO1972">
        <v>0</v>
      </c>
      <c r="BP1972">
        <v>5839</v>
      </c>
      <c r="BQ1972">
        <v>5839</v>
      </c>
      <c r="BR1972">
        <f t="shared" si="314"/>
        <v>-370</v>
      </c>
      <c r="BS1972">
        <f t="shared" si="315"/>
        <v>390</v>
      </c>
    </row>
    <row r="1973" spans="1:71" x14ac:dyDescent="0.25">
      <c r="A1973" s="5" t="s">
        <v>1946</v>
      </c>
      <c r="B1973" s="5" t="s">
        <v>61</v>
      </c>
      <c r="C1973" s="5" t="s">
        <v>61</v>
      </c>
      <c r="D1973" s="1" t="s">
        <v>100</v>
      </c>
      <c r="E1973">
        <v>0</v>
      </c>
      <c r="F1973">
        <v>170</v>
      </c>
      <c r="G1973">
        <v>0</v>
      </c>
      <c r="H1973">
        <v>0</v>
      </c>
      <c r="I1973">
        <v>0</v>
      </c>
      <c r="J1973">
        <v>2440</v>
      </c>
      <c r="K1973">
        <v>744</v>
      </c>
      <c r="L1973">
        <v>62</v>
      </c>
      <c r="M1973">
        <v>0</v>
      </c>
      <c r="N1973">
        <v>0</v>
      </c>
      <c r="O1973">
        <v>0</v>
      </c>
      <c r="P1973">
        <v>0</v>
      </c>
      <c r="Q1973">
        <v>370</v>
      </c>
      <c r="R1973">
        <v>0</v>
      </c>
      <c r="S1973" s="18" t="e">
        <f t="shared" si="306"/>
        <v>#DIV/0!</v>
      </c>
      <c r="T1973" s="17" t="e">
        <f t="shared" si="307"/>
        <v>#DIV/0!</v>
      </c>
      <c r="U1973" s="17" t="e">
        <f t="shared" si="308"/>
        <v>#DIV/0!</v>
      </c>
      <c r="V1973" s="17" t="e">
        <f t="shared" si="309"/>
        <v>#DIV/0!</v>
      </c>
      <c r="W1973" s="17" t="e">
        <f t="shared" si="310"/>
        <v>#DIV/0!</v>
      </c>
      <c r="X1973" s="17" t="e">
        <f t="shared" si="311"/>
        <v>#DIV/0!</v>
      </c>
      <c r="Y1973" s="19" t="e">
        <f t="shared" si="312"/>
        <v>#DIV/0!</v>
      </c>
      <c r="Z1973">
        <v>170</v>
      </c>
      <c r="AA1973">
        <v>0</v>
      </c>
      <c r="AB1973">
        <v>0</v>
      </c>
      <c r="AC1973">
        <v>2688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2440</v>
      </c>
      <c r="AK1973">
        <v>0</v>
      </c>
      <c r="AL1973">
        <v>2440</v>
      </c>
      <c r="AM1973">
        <v>0</v>
      </c>
      <c r="AN1973">
        <v>0</v>
      </c>
      <c r="AO1973">
        <v>744</v>
      </c>
      <c r="AP1973">
        <v>484</v>
      </c>
      <c r="AQ1973">
        <v>325</v>
      </c>
      <c r="AR1973">
        <v>260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62</v>
      </c>
      <c r="BA1973">
        <v>62</v>
      </c>
      <c r="BB1973">
        <v>0</v>
      </c>
      <c r="BC1973">
        <v>0</v>
      </c>
      <c r="BD1973">
        <v>0</v>
      </c>
      <c r="BE1973">
        <f t="shared" si="313"/>
        <v>9505</v>
      </c>
      <c r="BF1973">
        <v>5685</v>
      </c>
      <c r="BG1973">
        <v>5685</v>
      </c>
      <c r="BH1973" t="s">
        <v>82</v>
      </c>
      <c r="BI1973" t="s">
        <v>1965</v>
      </c>
      <c r="BJ1973">
        <v>2688</v>
      </c>
      <c r="BK1973">
        <v>2827</v>
      </c>
      <c r="BL1973">
        <v>5685</v>
      </c>
      <c r="BM1973">
        <v>0</v>
      </c>
      <c r="BN1973">
        <v>2440</v>
      </c>
      <c r="BO1973">
        <v>0</v>
      </c>
      <c r="BP1973">
        <v>806</v>
      </c>
      <c r="BQ1973">
        <v>3246</v>
      </c>
      <c r="BR1973">
        <f t="shared" si="314"/>
        <v>-370</v>
      </c>
      <c r="BS1973">
        <f t="shared" si="315"/>
        <v>370</v>
      </c>
    </row>
    <row r="1974" spans="1:71" x14ac:dyDescent="0.25">
      <c r="A1974" s="5" t="s">
        <v>1337</v>
      </c>
      <c r="B1974" s="5" t="s">
        <v>359</v>
      </c>
      <c r="C1974" s="5" t="s">
        <v>61</v>
      </c>
      <c r="D1974" s="1" t="s">
        <v>98</v>
      </c>
      <c r="E1974">
        <v>0</v>
      </c>
      <c r="F1974">
        <v>1100</v>
      </c>
      <c r="G1974">
        <v>0</v>
      </c>
      <c r="H1974">
        <v>0</v>
      </c>
      <c r="I1974">
        <v>190</v>
      </c>
      <c r="J1974">
        <v>0</v>
      </c>
      <c r="K1974">
        <v>16</v>
      </c>
      <c r="L1974">
        <v>0</v>
      </c>
      <c r="M1974">
        <v>387</v>
      </c>
      <c r="N1974">
        <v>0</v>
      </c>
      <c r="O1974">
        <v>0</v>
      </c>
      <c r="P1974">
        <v>0</v>
      </c>
      <c r="Q1974">
        <v>415</v>
      </c>
      <c r="R1974">
        <v>43</v>
      </c>
      <c r="S1974" s="18">
        <f t="shared" si="306"/>
        <v>9</v>
      </c>
      <c r="T1974" s="17">
        <f t="shared" si="307"/>
        <v>43</v>
      </c>
      <c r="U1974" s="17">
        <f t="shared" si="308"/>
        <v>0</v>
      </c>
      <c r="V1974" s="17">
        <f t="shared" si="309"/>
        <v>0</v>
      </c>
      <c r="W1974" s="17">
        <f t="shared" si="310"/>
        <v>0</v>
      </c>
      <c r="X1974" s="17">
        <f t="shared" si="311"/>
        <v>372</v>
      </c>
      <c r="Y1974" s="19">
        <f t="shared" si="312"/>
        <v>0</v>
      </c>
      <c r="Z1974">
        <v>1100</v>
      </c>
      <c r="AA1974">
        <v>0</v>
      </c>
      <c r="AB1974">
        <v>0</v>
      </c>
      <c r="AC1974">
        <v>0</v>
      </c>
      <c r="AD1974">
        <v>190</v>
      </c>
      <c r="AE1974">
        <v>0</v>
      </c>
      <c r="AF1974">
        <v>0</v>
      </c>
      <c r="AG1974">
        <v>0</v>
      </c>
      <c r="AH1974">
        <v>190</v>
      </c>
      <c r="AI1974">
        <v>0</v>
      </c>
      <c r="AJ1974">
        <v>0</v>
      </c>
      <c r="AK1974">
        <v>0</v>
      </c>
      <c r="AL1974">
        <v>0</v>
      </c>
      <c r="AM1974">
        <v>16</v>
      </c>
      <c r="AN1974">
        <v>0</v>
      </c>
      <c r="AO1974">
        <v>0</v>
      </c>
      <c r="AP1974">
        <v>0</v>
      </c>
      <c r="AQ1974">
        <v>16</v>
      </c>
      <c r="AR1974">
        <v>16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f t="shared" si="313"/>
        <v>428</v>
      </c>
      <c r="BF1974">
        <v>1306</v>
      </c>
      <c r="BG1974">
        <v>1306</v>
      </c>
      <c r="BH1974" t="s">
        <v>109</v>
      </c>
      <c r="BI1974" t="s">
        <v>1429</v>
      </c>
      <c r="BJ1974">
        <v>0</v>
      </c>
      <c r="BK1974">
        <v>206</v>
      </c>
      <c r="BL1974">
        <v>1306</v>
      </c>
      <c r="BM1974">
        <v>593</v>
      </c>
      <c r="BN1974">
        <v>0</v>
      </c>
      <c r="BO1974">
        <v>0</v>
      </c>
      <c r="BP1974">
        <v>0</v>
      </c>
      <c r="BQ1974">
        <v>593</v>
      </c>
      <c r="BR1974">
        <f t="shared" si="314"/>
        <v>-372</v>
      </c>
      <c r="BS1974">
        <f t="shared" si="315"/>
        <v>458</v>
      </c>
    </row>
    <row r="1975" spans="1:71" x14ac:dyDescent="0.25">
      <c r="A1975" s="5" t="s">
        <v>1451</v>
      </c>
      <c r="B1975" s="5" t="s">
        <v>359</v>
      </c>
      <c r="C1975" s="5" t="s">
        <v>359</v>
      </c>
      <c r="D1975" s="1" t="s">
        <v>67</v>
      </c>
      <c r="E1975">
        <v>0</v>
      </c>
      <c r="F1975">
        <v>155</v>
      </c>
      <c r="G1975">
        <v>0</v>
      </c>
      <c r="H1975">
        <v>0</v>
      </c>
      <c r="I1975">
        <v>695</v>
      </c>
      <c r="J1975">
        <v>7660</v>
      </c>
      <c r="K1975">
        <v>887</v>
      </c>
      <c r="L1975">
        <v>198</v>
      </c>
      <c r="M1975">
        <v>0</v>
      </c>
      <c r="N1975">
        <v>0</v>
      </c>
      <c r="O1975">
        <v>0</v>
      </c>
      <c r="P1975">
        <v>1170</v>
      </c>
      <c r="Q1975">
        <v>502</v>
      </c>
      <c r="R1975">
        <v>130</v>
      </c>
      <c r="S1975" s="18">
        <f t="shared" si="306"/>
        <v>9</v>
      </c>
      <c r="T1975" s="17">
        <f t="shared" si="307"/>
        <v>0</v>
      </c>
      <c r="U1975" s="17">
        <f t="shared" si="308"/>
        <v>0</v>
      </c>
      <c r="V1975" s="17">
        <f t="shared" si="309"/>
        <v>0</v>
      </c>
      <c r="W1975" s="17">
        <f t="shared" si="310"/>
        <v>130</v>
      </c>
      <c r="X1975" s="17">
        <f t="shared" si="311"/>
        <v>372</v>
      </c>
      <c r="Y1975" s="19">
        <f t="shared" si="312"/>
        <v>0</v>
      </c>
      <c r="Z1975">
        <v>155</v>
      </c>
      <c r="AA1975">
        <v>9</v>
      </c>
      <c r="AB1975">
        <v>0</v>
      </c>
      <c r="AC1975">
        <v>1050</v>
      </c>
      <c r="AD1975">
        <v>0</v>
      </c>
      <c r="AE1975">
        <v>0</v>
      </c>
      <c r="AF1975">
        <v>0</v>
      </c>
      <c r="AG1975">
        <v>695</v>
      </c>
      <c r="AH1975">
        <v>695</v>
      </c>
      <c r="AI1975">
        <v>0</v>
      </c>
      <c r="AJ1975">
        <v>0</v>
      </c>
      <c r="AK1975">
        <v>7660</v>
      </c>
      <c r="AL1975">
        <v>7660</v>
      </c>
      <c r="AM1975">
        <v>0</v>
      </c>
      <c r="AN1975">
        <v>0</v>
      </c>
      <c r="AO1975">
        <v>887</v>
      </c>
      <c r="AP1975">
        <v>402</v>
      </c>
      <c r="AQ1975">
        <v>887</v>
      </c>
      <c r="AR1975">
        <v>485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198</v>
      </c>
      <c r="BA1975">
        <v>198</v>
      </c>
      <c r="BB1975">
        <v>0</v>
      </c>
      <c r="BC1975">
        <v>0</v>
      </c>
      <c r="BD1975">
        <v>0</v>
      </c>
      <c r="BE1975">
        <f t="shared" si="313"/>
        <v>20817</v>
      </c>
      <c r="BF1975">
        <v>10654</v>
      </c>
      <c r="BG1975">
        <v>10654</v>
      </c>
      <c r="BH1975" t="s">
        <v>199</v>
      </c>
      <c r="BI1975" t="s">
        <v>1660</v>
      </c>
      <c r="BJ1975">
        <v>1059</v>
      </c>
      <c r="BK1975">
        <v>9440</v>
      </c>
      <c r="BL1975">
        <v>10654</v>
      </c>
      <c r="BM1975">
        <v>0</v>
      </c>
      <c r="BN1975">
        <v>0</v>
      </c>
      <c r="BO1975">
        <v>0</v>
      </c>
      <c r="BP1975">
        <v>10610</v>
      </c>
      <c r="BQ1975">
        <v>10610</v>
      </c>
      <c r="BR1975">
        <f t="shared" si="314"/>
        <v>-372</v>
      </c>
      <c r="BS1975">
        <f t="shared" si="315"/>
        <v>632</v>
      </c>
    </row>
    <row r="1976" spans="1:71" x14ac:dyDescent="0.25">
      <c r="A1976" s="5" t="s">
        <v>1135</v>
      </c>
      <c r="B1976" s="5" t="s">
        <v>61</v>
      </c>
      <c r="C1976" s="5" t="s">
        <v>61</v>
      </c>
      <c r="D1976" s="1" t="s">
        <v>189</v>
      </c>
      <c r="E1976">
        <v>0</v>
      </c>
      <c r="F1976">
        <v>750</v>
      </c>
      <c r="G1976">
        <v>0</v>
      </c>
      <c r="H1976">
        <v>0</v>
      </c>
      <c r="I1976">
        <v>253</v>
      </c>
      <c r="J1976">
        <v>9011</v>
      </c>
      <c r="K1976">
        <v>70</v>
      </c>
      <c r="L1976">
        <v>484</v>
      </c>
      <c r="M1976">
        <v>0</v>
      </c>
      <c r="N1976">
        <v>0</v>
      </c>
      <c r="O1976">
        <v>0</v>
      </c>
      <c r="P1976">
        <v>1953</v>
      </c>
      <c r="Q1976">
        <v>590</v>
      </c>
      <c r="R1976">
        <v>217</v>
      </c>
      <c r="S1976" s="18">
        <f t="shared" si="306"/>
        <v>9</v>
      </c>
      <c r="T1976" s="17">
        <f t="shared" si="307"/>
        <v>0</v>
      </c>
      <c r="U1976" s="17">
        <f t="shared" si="308"/>
        <v>0</v>
      </c>
      <c r="V1976" s="17">
        <f t="shared" si="309"/>
        <v>0</v>
      </c>
      <c r="W1976" s="17">
        <f t="shared" si="310"/>
        <v>217</v>
      </c>
      <c r="X1976" s="17">
        <f t="shared" si="311"/>
        <v>373</v>
      </c>
      <c r="Y1976" s="19">
        <f t="shared" si="312"/>
        <v>0</v>
      </c>
      <c r="Z1976">
        <v>750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253</v>
      </c>
      <c r="AH1976">
        <v>253</v>
      </c>
      <c r="AI1976">
        <v>1285</v>
      </c>
      <c r="AJ1976">
        <v>0</v>
      </c>
      <c r="AK1976">
        <v>7726</v>
      </c>
      <c r="AL1976">
        <v>9011</v>
      </c>
      <c r="AM1976">
        <v>0</v>
      </c>
      <c r="AN1976">
        <v>0</v>
      </c>
      <c r="AO1976">
        <v>70</v>
      </c>
      <c r="AP1976">
        <v>40</v>
      </c>
      <c r="AQ1976">
        <v>70</v>
      </c>
      <c r="AR1976">
        <v>30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484</v>
      </c>
      <c r="BA1976">
        <v>484</v>
      </c>
      <c r="BB1976">
        <v>0</v>
      </c>
      <c r="BC1976">
        <v>0</v>
      </c>
      <c r="BD1976">
        <v>0</v>
      </c>
      <c r="BE1976">
        <f t="shared" si="313"/>
        <v>19706</v>
      </c>
      <c r="BF1976">
        <v>10568</v>
      </c>
      <c r="BG1976">
        <v>10568</v>
      </c>
      <c r="BH1976" t="s">
        <v>199</v>
      </c>
      <c r="BI1976" t="s">
        <v>1193</v>
      </c>
      <c r="BJ1976">
        <v>0</v>
      </c>
      <c r="BK1976">
        <v>9818</v>
      </c>
      <c r="BL1976">
        <v>10568</v>
      </c>
      <c r="BM1976">
        <v>1285</v>
      </c>
      <c r="BN1976">
        <v>0</v>
      </c>
      <c r="BO1976">
        <v>0</v>
      </c>
      <c r="BP1976">
        <v>10486</v>
      </c>
      <c r="BQ1976">
        <v>11771</v>
      </c>
      <c r="BR1976">
        <f t="shared" si="314"/>
        <v>-373</v>
      </c>
      <c r="BS1976">
        <f t="shared" si="315"/>
        <v>807</v>
      </c>
    </row>
    <row r="1977" spans="1:71" x14ac:dyDescent="0.25">
      <c r="A1977" s="5" t="s">
        <v>61</v>
      </c>
      <c r="B1977" s="5" t="s">
        <v>61</v>
      </c>
      <c r="C1977" s="5" t="s">
        <v>61</v>
      </c>
      <c r="D1977" s="1" t="s">
        <v>86</v>
      </c>
      <c r="E1977">
        <v>47</v>
      </c>
      <c r="F1977">
        <v>40</v>
      </c>
      <c r="G1977">
        <v>0</v>
      </c>
      <c r="H1977">
        <v>0</v>
      </c>
      <c r="I1977">
        <v>246</v>
      </c>
      <c r="J1977">
        <v>6867</v>
      </c>
      <c r="K1977">
        <v>238</v>
      </c>
      <c r="L1977">
        <v>150</v>
      </c>
      <c r="M1977">
        <v>0</v>
      </c>
      <c r="N1977">
        <v>0</v>
      </c>
      <c r="O1977">
        <v>0</v>
      </c>
      <c r="P1977">
        <v>225</v>
      </c>
      <c r="Q1977">
        <v>399</v>
      </c>
      <c r="R1977">
        <v>25</v>
      </c>
      <c r="S1977" s="18">
        <f t="shared" si="306"/>
        <v>9</v>
      </c>
      <c r="T1977" s="17">
        <f t="shared" si="307"/>
        <v>0</v>
      </c>
      <c r="U1977" s="17">
        <f t="shared" si="308"/>
        <v>0</v>
      </c>
      <c r="V1977" s="17">
        <f t="shared" si="309"/>
        <v>0</v>
      </c>
      <c r="W1977" s="17">
        <f t="shared" si="310"/>
        <v>25</v>
      </c>
      <c r="X1977" s="17">
        <f t="shared" si="311"/>
        <v>374</v>
      </c>
      <c r="Y1977" s="19">
        <f t="shared" si="312"/>
        <v>0</v>
      </c>
      <c r="Z1977">
        <v>40</v>
      </c>
      <c r="AA1977">
        <v>45</v>
      </c>
      <c r="AB1977">
        <v>0</v>
      </c>
      <c r="AC1977">
        <v>4835</v>
      </c>
      <c r="AD1977">
        <v>0</v>
      </c>
      <c r="AE1977">
        <v>0</v>
      </c>
      <c r="AF1977">
        <v>0</v>
      </c>
      <c r="AG1977">
        <v>246</v>
      </c>
      <c r="AH1977">
        <v>246</v>
      </c>
      <c r="AI1977">
        <v>0</v>
      </c>
      <c r="AJ1977">
        <v>0</v>
      </c>
      <c r="AK1977">
        <v>6867</v>
      </c>
      <c r="AL1977">
        <v>6867</v>
      </c>
      <c r="AM1977">
        <v>0</v>
      </c>
      <c r="AN1977">
        <v>0</v>
      </c>
      <c r="AO1977">
        <v>238</v>
      </c>
      <c r="AP1977">
        <v>110</v>
      </c>
      <c r="AQ1977">
        <v>238</v>
      </c>
      <c r="AR1977">
        <v>128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150</v>
      </c>
      <c r="BA1977">
        <v>150</v>
      </c>
      <c r="BB1977">
        <v>0</v>
      </c>
      <c r="BC1977">
        <v>0</v>
      </c>
      <c r="BD1977">
        <v>0</v>
      </c>
      <c r="BE1977">
        <f t="shared" si="313"/>
        <v>20075</v>
      </c>
      <c r="BF1977">
        <v>12768</v>
      </c>
      <c r="BG1977">
        <v>12768</v>
      </c>
      <c r="BH1977" t="s">
        <v>82</v>
      </c>
      <c r="BI1977" t="s">
        <v>87</v>
      </c>
      <c r="BJ1977">
        <v>4927</v>
      </c>
      <c r="BK1977">
        <v>7501</v>
      </c>
      <c r="BL1977">
        <v>12468</v>
      </c>
      <c r="BM1977">
        <v>0</v>
      </c>
      <c r="BN1977">
        <v>0</v>
      </c>
      <c r="BO1977">
        <v>0</v>
      </c>
      <c r="BP1977">
        <v>7726</v>
      </c>
      <c r="BQ1977">
        <v>7726</v>
      </c>
      <c r="BR1977">
        <f t="shared" si="314"/>
        <v>-374</v>
      </c>
      <c r="BS1977">
        <f t="shared" si="315"/>
        <v>424</v>
      </c>
    </row>
    <row r="1978" spans="1:71" x14ac:dyDescent="0.25">
      <c r="A1978" s="5" t="s">
        <v>1661</v>
      </c>
      <c r="B1978" s="5" t="s">
        <v>359</v>
      </c>
      <c r="C1978" s="5" t="s">
        <v>359</v>
      </c>
      <c r="D1978" s="1" t="s">
        <v>77</v>
      </c>
      <c r="E1978">
        <v>0</v>
      </c>
      <c r="F1978">
        <v>122</v>
      </c>
      <c r="G1978">
        <v>0</v>
      </c>
      <c r="H1978">
        <v>0</v>
      </c>
      <c r="I1978">
        <v>1769</v>
      </c>
      <c r="J1978">
        <v>0</v>
      </c>
      <c r="K1978">
        <v>60</v>
      </c>
      <c r="L1978">
        <v>0</v>
      </c>
      <c r="M1978">
        <v>0</v>
      </c>
      <c r="N1978">
        <v>0</v>
      </c>
      <c r="O1978">
        <v>0</v>
      </c>
      <c r="P1978">
        <v>1134</v>
      </c>
      <c r="Q1978">
        <v>502</v>
      </c>
      <c r="R1978">
        <v>126</v>
      </c>
      <c r="S1978" s="18">
        <f t="shared" si="306"/>
        <v>9</v>
      </c>
      <c r="T1978" s="17">
        <f t="shared" si="307"/>
        <v>0</v>
      </c>
      <c r="U1978" s="17">
        <f t="shared" si="308"/>
        <v>0</v>
      </c>
      <c r="V1978" s="17">
        <f t="shared" si="309"/>
        <v>0</v>
      </c>
      <c r="W1978" s="17">
        <f t="shared" si="310"/>
        <v>126</v>
      </c>
      <c r="X1978" s="17">
        <f t="shared" si="311"/>
        <v>376</v>
      </c>
      <c r="Y1978" s="19">
        <f t="shared" si="312"/>
        <v>0</v>
      </c>
      <c r="Z1978">
        <v>122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1769</v>
      </c>
      <c r="AH1978">
        <v>1769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60</v>
      </c>
      <c r="AP1978">
        <v>50</v>
      </c>
      <c r="AQ1978">
        <v>60</v>
      </c>
      <c r="AR1978">
        <v>10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f t="shared" si="313"/>
        <v>3718</v>
      </c>
      <c r="BF1978">
        <v>1951</v>
      </c>
      <c r="BG1978">
        <v>1951</v>
      </c>
      <c r="BH1978" t="s">
        <v>109</v>
      </c>
      <c r="BI1978" t="s">
        <v>1680</v>
      </c>
      <c r="BJ1978">
        <v>0</v>
      </c>
      <c r="BK1978">
        <v>1829</v>
      </c>
      <c r="BL1978">
        <v>1951</v>
      </c>
      <c r="BM1978">
        <v>0</v>
      </c>
      <c r="BN1978">
        <v>0</v>
      </c>
      <c r="BO1978">
        <v>0</v>
      </c>
      <c r="BP1978">
        <v>2963</v>
      </c>
      <c r="BQ1978">
        <v>2963</v>
      </c>
      <c r="BR1978">
        <f t="shared" si="314"/>
        <v>-376</v>
      </c>
      <c r="BS1978">
        <f t="shared" si="315"/>
        <v>628</v>
      </c>
    </row>
    <row r="1979" spans="1:71" x14ac:dyDescent="0.25">
      <c r="A1979" s="5" t="s">
        <v>61</v>
      </c>
      <c r="B1979" s="5" t="s">
        <v>359</v>
      </c>
      <c r="C1979" s="5" t="s">
        <v>61</v>
      </c>
      <c r="D1979" s="1" t="s">
        <v>100</v>
      </c>
      <c r="E1979">
        <v>0</v>
      </c>
      <c r="F1979">
        <v>20</v>
      </c>
      <c r="G1979">
        <v>0</v>
      </c>
      <c r="H1979">
        <v>0</v>
      </c>
      <c r="I1979">
        <v>2310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180</v>
      </c>
      <c r="Q1979">
        <v>397</v>
      </c>
      <c r="R1979">
        <v>20</v>
      </c>
      <c r="S1979" s="18">
        <f t="shared" si="306"/>
        <v>9</v>
      </c>
      <c r="T1979" s="17">
        <f t="shared" si="307"/>
        <v>0</v>
      </c>
      <c r="U1979" s="17">
        <f t="shared" si="308"/>
        <v>0</v>
      </c>
      <c r="V1979" s="17">
        <f t="shared" si="309"/>
        <v>0</v>
      </c>
      <c r="W1979" s="17">
        <f t="shared" si="310"/>
        <v>20</v>
      </c>
      <c r="X1979" s="17">
        <f t="shared" si="311"/>
        <v>377</v>
      </c>
      <c r="Y1979" s="19">
        <f t="shared" si="312"/>
        <v>0</v>
      </c>
      <c r="Z1979">
        <v>20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2310</v>
      </c>
      <c r="AH1979">
        <v>2310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f t="shared" si="313"/>
        <v>4620</v>
      </c>
      <c r="BF1979">
        <v>2330</v>
      </c>
      <c r="BG1979">
        <v>2330</v>
      </c>
      <c r="BH1979" t="s">
        <v>109</v>
      </c>
      <c r="BI1979" t="s">
        <v>378</v>
      </c>
      <c r="BJ1979">
        <v>0</v>
      </c>
      <c r="BK1979">
        <v>2310</v>
      </c>
      <c r="BL1979">
        <v>2330</v>
      </c>
      <c r="BM1979">
        <v>0</v>
      </c>
      <c r="BN1979">
        <v>0</v>
      </c>
      <c r="BO1979">
        <v>0</v>
      </c>
      <c r="BP1979">
        <v>2490</v>
      </c>
      <c r="BQ1979">
        <v>2490</v>
      </c>
      <c r="BR1979">
        <f t="shared" si="314"/>
        <v>-377</v>
      </c>
      <c r="BS1979">
        <f t="shared" si="315"/>
        <v>417</v>
      </c>
    </row>
    <row r="1980" spans="1:71" x14ac:dyDescent="0.25">
      <c r="A1980" s="5" t="s">
        <v>1337</v>
      </c>
      <c r="B1980" s="5" t="s">
        <v>207</v>
      </c>
      <c r="C1980" s="5" t="s">
        <v>61</v>
      </c>
      <c r="D1980" s="1" t="s">
        <v>104</v>
      </c>
      <c r="E1980">
        <v>0</v>
      </c>
      <c r="F1980">
        <v>538</v>
      </c>
      <c r="G1980">
        <v>0</v>
      </c>
      <c r="H1980">
        <v>0</v>
      </c>
      <c r="I1980">
        <v>279</v>
      </c>
      <c r="J1980">
        <v>0</v>
      </c>
      <c r="K1980">
        <v>0</v>
      </c>
      <c r="L1980">
        <v>0</v>
      </c>
      <c r="M1980">
        <v>1962</v>
      </c>
      <c r="N1980">
        <v>0</v>
      </c>
      <c r="O1980">
        <v>0</v>
      </c>
      <c r="P1980">
        <v>0</v>
      </c>
      <c r="Q1980">
        <v>596</v>
      </c>
      <c r="R1980">
        <v>218</v>
      </c>
      <c r="S1980" s="18">
        <f t="shared" si="306"/>
        <v>9</v>
      </c>
      <c r="T1980" s="17">
        <f t="shared" si="307"/>
        <v>218</v>
      </c>
      <c r="U1980" s="17">
        <f t="shared" si="308"/>
        <v>0</v>
      </c>
      <c r="V1980" s="17">
        <f t="shared" si="309"/>
        <v>0</v>
      </c>
      <c r="W1980" s="17">
        <f t="shared" si="310"/>
        <v>0</v>
      </c>
      <c r="X1980" s="17">
        <f t="shared" si="311"/>
        <v>378</v>
      </c>
      <c r="Y1980" s="19">
        <f t="shared" si="312"/>
        <v>0</v>
      </c>
      <c r="Z1980">
        <v>538</v>
      </c>
      <c r="AA1980">
        <v>0</v>
      </c>
      <c r="AB1980">
        <v>0</v>
      </c>
      <c r="AC1980">
        <v>0</v>
      </c>
      <c r="AD1980">
        <v>279</v>
      </c>
      <c r="AE1980">
        <v>0</v>
      </c>
      <c r="AF1980">
        <v>0</v>
      </c>
      <c r="AG1980">
        <v>0</v>
      </c>
      <c r="AH1980">
        <v>279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f t="shared" si="313"/>
        <v>558</v>
      </c>
      <c r="BF1980">
        <v>817</v>
      </c>
      <c r="BG1980">
        <v>817</v>
      </c>
      <c r="BH1980" t="s">
        <v>109</v>
      </c>
      <c r="BI1980" t="s">
        <v>1390</v>
      </c>
      <c r="BJ1980">
        <v>0</v>
      </c>
      <c r="BK1980">
        <v>279</v>
      </c>
      <c r="BL1980">
        <v>817</v>
      </c>
      <c r="BM1980">
        <v>2241</v>
      </c>
      <c r="BN1980">
        <v>0</v>
      </c>
      <c r="BO1980">
        <v>0</v>
      </c>
      <c r="BP1980">
        <v>0</v>
      </c>
      <c r="BQ1980">
        <v>2241</v>
      </c>
      <c r="BR1980">
        <f t="shared" si="314"/>
        <v>-378</v>
      </c>
      <c r="BS1980">
        <f t="shared" si="315"/>
        <v>814</v>
      </c>
    </row>
    <row r="1981" spans="1:71" x14ac:dyDescent="0.25">
      <c r="A1981" s="5" t="s">
        <v>1017</v>
      </c>
      <c r="B1981" s="5" t="s">
        <v>207</v>
      </c>
      <c r="C1981" s="6" t="s">
        <v>61</v>
      </c>
      <c r="D1981" s="1" t="s">
        <v>106</v>
      </c>
      <c r="E1981">
        <v>0</v>
      </c>
      <c r="F1981">
        <v>2200</v>
      </c>
      <c r="G1981">
        <v>0</v>
      </c>
      <c r="H1981">
        <v>0</v>
      </c>
      <c r="I1981">
        <v>488</v>
      </c>
      <c r="J1981">
        <v>8190</v>
      </c>
      <c r="K1981">
        <v>250</v>
      </c>
      <c r="L1981">
        <v>106</v>
      </c>
      <c r="M1981">
        <v>0</v>
      </c>
      <c r="N1981">
        <v>0</v>
      </c>
      <c r="O1981">
        <v>0</v>
      </c>
      <c r="P1981">
        <v>918</v>
      </c>
      <c r="Q1981">
        <v>481</v>
      </c>
      <c r="R1981">
        <v>102</v>
      </c>
      <c r="S1981" s="18">
        <f t="shared" si="306"/>
        <v>9</v>
      </c>
      <c r="T1981" s="17">
        <f t="shared" si="307"/>
        <v>0</v>
      </c>
      <c r="U1981" s="17">
        <f t="shared" si="308"/>
        <v>0</v>
      </c>
      <c r="V1981" s="17">
        <f t="shared" si="309"/>
        <v>0</v>
      </c>
      <c r="W1981" s="17">
        <f t="shared" si="310"/>
        <v>102</v>
      </c>
      <c r="X1981" s="17">
        <f t="shared" si="311"/>
        <v>379</v>
      </c>
      <c r="Y1981" s="19">
        <f t="shared" si="312"/>
        <v>0</v>
      </c>
      <c r="Z1981">
        <v>2200</v>
      </c>
      <c r="AA1981">
        <v>6</v>
      </c>
      <c r="AB1981">
        <v>435</v>
      </c>
      <c r="AC1981">
        <v>4010</v>
      </c>
      <c r="AD1981">
        <v>0</v>
      </c>
      <c r="AE1981">
        <v>0</v>
      </c>
      <c r="AF1981">
        <v>0</v>
      </c>
      <c r="AG1981">
        <v>488</v>
      </c>
      <c r="AH1981">
        <v>488</v>
      </c>
      <c r="AI1981">
        <v>0</v>
      </c>
      <c r="AJ1981">
        <v>0</v>
      </c>
      <c r="AK1981">
        <v>8190</v>
      </c>
      <c r="AL1981">
        <v>8190</v>
      </c>
      <c r="AM1981">
        <v>0</v>
      </c>
      <c r="AN1981">
        <v>0</v>
      </c>
      <c r="AO1981">
        <v>250</v>
      </c>
      <c r="AP1981">
        <v>103</v>
      </c>
      <c r="AQ1981">
        <v>250</v>
      </c>
      <c r="AR1981">
        <v>147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106</v>
      </c>
      <c r="BA1981">
        <v>106</v>
      </c>
      <c r="BB1981">
        <v>0</v>
      </c>
      <c r="BC1981">
        <v>0</v>
      </c>
      <c r="BD1981">
        <v>0</v>
      </c>
      <c r="BE1981">
        <f t="shared" si="313"/>
        <v>22328</v>
      </c>
      <c r="BF1981">
        <v>15685</v>
      </c>
      <c r="BG1981">
        <v>15685</v>
      </c>
      <c r="BH1981" t="s">
        <v>82</v>
      </c>
      <c r="BI1981" t="s">
        <v>1105</v>
      </c>
      <c r="BJ1981">
        <v>4451</v>
      </c>
      <c r="BK1981">
        <v>9034</v>
      </c>
      <c r="BL1981">
        <v>15685</v>
      </c>
      <c r="BM1981">
        <v>0</v>
      </c>
      <c r="BN1981">
        <v>0</v>
      </c>
      <c r="BO1981">
        <v>0</v>
      </c>
      <c r="BP1981">
        <v>9952</v>
      </c>
      <c r="BQ1981">
        <v>9952</v>
      </c>
      <c r="BR1981">
        <f t="shared" si="314"/>
        <v>-379</v>
      </c>
      <c r="BS1981">
        <f t="shared" si="315"/>
        <v>583</v>
      </c>
    </row>
    <row r="1982" spans="1:71" x14ac:dyDescent="0.25">
      <c r="A1982" s="5" t="s">
        <v>1337</v>
      </c>
      <c r="B1982" s="6" t="s">
        <v>207</v>
      </c>
      <c r="C1982" s="1" t="s">
        <v>61</v>
      </c>
      <c r="D1982" s="1" t="s">
        <v>75</v>
      </c>
      <c r="E1982">
        <v>0</v>
      </c>
      <c r="F1982">
        <v>2652</v>
      </c>
      <c r="G1982">
        <v>0</v>
      </c>
      <c r="H1982">
        <v>0</v>
      </c>
      <c r="I1982">
        <v>2068</v>
      </c>
      <c r="J1982">
        <v>0</v>
      </c>
      <c r="K1982">
        <v>35</v>
      </c>
      <c r="L1982">
        <v>0</v>
      </c>
      <c r="M1982">
        <v>4995</v>
      </c>
      <c r="N1982">
        <v>8559</v>
      </c>
      <c r="O1982">
        <v>0</v>
      </c>
      <c r="P1982">
        <v>0</v>
      </c>
      <c r="Q1982">
        <v>1885</v>
      </c>
      <c r="R1982">
        <v>1506</v>
      </c>
      <c r="S1982" s="18">
        <f t="shared" si="306"/>
        <v>9</v>
      </c>
      <c r="T1982" s="17">
        <f t="shared" si="307"/>
        <v>555</v>
      </c>
      <c r="U1982" s="17">
        <f t="shared" si="308"/>
        <v>951</v>
      </c>
      <c r="V1982" s="17">
        <f t="shared" si="309"/>
        <v>0</v>
      </c>
      <c r="W1982" s="17">
        <f t="shared" si="310"/>
        <v>0</v>
      </c>
      <c r="X1982" s="17">
        <f t="shared" si="311"/>
        <v>379</v>
      </c>
      <c r="Y1982" s="19">
        <f t="shared" si="312"/>
        <v>0</v>
      </c>
      <c r="Z1982">
        <v>2652</v>
      </c>
      <c r="AA1982">
        <v>0</v>
      </c>
      <c r="AB1982">
        <v>0</v>
      </c>
      <c r="AC1982">
        <v>0</v>
      </c>
      <c r="AD1982">
        <v>60</v>
      </c>
      <c r="AE1982">
        <v>2008</v>
      </c>
      <c r="AF1982">
        <v>0</v>
      </c>
      <c r="AG1982">
        <v>0</v>
      </c>
      <c r="AH1982">
        <v>2068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35</v>
      </c>
      <c r="AO1982">
        <v>0</v>
      </c>
      <c r="AP1982">
        <v>35</v>
      </c>
      <c r="AQ1982">
        <v>35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f t="shared" si="313"/>
        <v>4241</v>
      </c>
      <c r="BF1982">
        <v>4755</v>
      </c>
      <c r="BG1982">
        <v>4755</v>
      </c>
      <c r="BH1982" t="s">
        <v>109</v>
      </c>
      <c r="BI1982" t="s">
        <v>1376</v>
      </c>
      <c r="BJ1982">
        <v>0</v>
      </c>
      <c r="BK1982">
        <v>2103</v>
      </c>
      <c r="BL1982">
        <v>4755</v>
      </c>
      <c r="BM1982">
        <v>5055</v>
      </c>
      <c r="BN1982">
        <v>10602</v>
      </c>
      <c r="BO1982">
        <v>0</v>
      </c>
      <c r="BP1982">
        <v>0</v>
      </c>
      <c r="BQ1982">
        <v>15657</v>
      </c>
      <c r="BR1982">
        <f t="shared" si="314"/>
        <v>-379</v>
      </c>
      <c r="BS1982">
        <f t="shared" si="315"/>
        <v>3391</v>
      </c>
    </row>
    <row r="1983" spans="1:71" x14ac:dyDescent="0.25">
      <c r="A1983" s="5" t="s">
        <v>1946</v>
      </c>
      <c r="B1983" s="7" t="s">
        <v>61</v>
      </c>
      <c r="C1983" s="7" t="s">
        <v>61</v>
      </c>
      <c r="D1983" s="1" t="s">
        <v>137</v>
      </c>
      <c r="E1983">
        <v>0</v>
      </c>
      <c r="F1983">
        <v>525</v>
      </c>
      <c r="G1983">
        <v>0</v>
      </c>
      <c r="H1983">
        <v>0</v>
      </c>
      <c r="I1983">
        <v>850</v>
      </c>
      <c r="J1983">
        <v>0</v>
      </c>
      <c r="K1983">
        <v>0</v>
      </c>
      <c r="L1983">
        <v>0</v>
      </c>
      <c r="M1983">
        <v>1890</v>
      </c>
      <c r="N1983">
        <v>0</v>
      </c>
      <c r="O1983">
        <v>0</v>
      </c>
      <c r="P1983">
        <v>0</v>
      </c>
      <c r="Q1983">
        <v>590</v>
      </c>
      <c r="R1983">
        <v>210</v>
      </c>
      <c r="S1983" s="18">
        <f t="shared" si="306"/>
        <v>9</v>
      </c>
      <c r="T1983" s="17">
        <f t="shared" si="307"/>
        <v>210</v>
      </c>
      <c r="U1983" s="17">
        <f t="shared" si="308"/>
        <v>0</v>
      </c>
      <c r="V1983" s="17">
        <f t="shared" si="309"/>
        <v>0</v>
      </c>
      <c r="W1983" s="17">
        <f t="shared" si="310"/>
        <v>0</v>
      </c>
      <c r="X1983" s="17">
        <f t="shared" si="311"/>
        <v>380</v>
      </c>
      <c r="Y1983" s="19">
        <f t="shared" si="312"/>
        <v>0</v>
      </c>
      <c r="Z1983">
        <v>525</v>
      </c>
      <c r="AA1983">
        <v>0</v>
      </c>
      <c r="AB1983">
        <v>0</v>
      </c>
      <c r="AC1983">
        <v>0</v>
      </c>
      <c r="AD1983">
        <v>850</v>
      </c>
      <c r="AE1983">
        <v>0</v>
      </c>
      <c r="AF1983">
        <v>0</v>
      </c>
      <c r="AG1983">
        <v>0</v>
      </c>
      <c r="AH1983">
        <v>850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f t="shared" si="313"/>
        <v>1700</v>
      </c>
      <c r="BF1983">
        <v>1375</v>
      </c>
      <c r="BG1983">
        <v>1375</v>
      </c>
      <c r="BH1983" t="s">
        <v>109</v>
      </c>
      <c r="BI1983" t="s">
        <v>1981</v>
      </c>
      <c r="BJ1983">
        <v>0</v>
      </c>
      <c r="BK1983">
        <v>850</v>
      </c>
      <c r="BL1983">
        <v>1375</v>
      </c>
      <c r="BM1983">
        <v>2740</v>
      </c>
      <c r="BN1983">
        <v>0</v>
      </c>
      <c r="BO1983">
        <v>0</v>
      </c>
      <c r="BP1983">
        <v>0</v>
      </c>
      <c r="BQ1983">
        <v>2740</v>
      </c>
      <c r="BR1983">
        <f t="shared" si="314"/>
        <v>-380</v>
      </c>
      <c r="BS1983">
        <f t="shared" si="315"/>
        <v>800</v>
      </c>
    </row>
    <row r="1984" spans="1:71" x14ac:dyDescent="0.25">
      <c r="A1984" s="5" t="s">
        <v>1017</v>
      </c>
      <c r="B1984" s="5" t="s">
        <v>207</v>
      </c>
      <c r="C1984" s="5" t="s">
        <v>61</v>
      </c>
      <c r="D1984" s="1" t="s">
        <v>81</v>
      </c>
      <c r="E1984">
        <v>0</v>
      </c>
      <c r="F1984">
        <v>850</v>
      </c>
      <c r="G1984">
        <v>0</v>
      </c>
      <c r="H1984">
        <v>0</v>
      </c>
      <c r="I1984">
        <v>3272</v>
      </c>
      <c r="J1984">
        <v>4700</v>
      </c>
      <c r="K1984">
        <v>4600</v>
      </c>
      <c r="L1984">
        <v>1680</v>
      </c>
      <c r="M1984">
        <v>0</v>
      </c>
      <c r="N1984">
        <v>0</v>
      </c>
      <c r="O1984">
        <v>0</v>
      </c>
      <c r="P1984">
        <v>1512</v>
      </c>
      <c r="Q1984">
        <v>549</v>
      </c>
      <c r="R1984">
        <v>168</v>
      </c>
      <c r="S1984" s="18">
        <f t="shared" si="306"/>
        <v>9</v>
      </c>
      <c r="T1984" s="17">
        <f t="shared" si="307"/>
        <v>0</v>
      </c>
      <c r="U1984" s="17">
        <f t="shared" si="308"/>
        <v>0</v>
      </c>
      <c r="V1984" s="17">
        <f t="shared" si="309"/>
        <v>0</v>
      </c>
      <c r="W1984" s="17">
        <f t="shared" si="310"/>
        <v>168</v>
      </c>
      <c r="X1984" s="17">
        <f t="shared" si="311"/>
        <v>381</v>
      </c>
      <c r="Y1984" s="19">
        <f t="shared" si="312"/>
        <v>0</v>
      </c>
      <c r="Z1984">
        <v>850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3272</v>
      </c>
      <c r="AH1984">
        <v>3272</v>
      </c>
      <c r="AI1984">
        <v>0</v>
      </c>
      <c r="AJ1984">
        <v>0</v>
      </c>
      <c r="AK1984">
        <v>4700</v>
      </c>
      <c r="AL1984">
        <v>4700</v>
      </c>
      <c r="AM1984">
        <v>0</v>
      </c>
      <c r="AN1984">
        <v>0</v>
      </c>
      <c r="AO1984">
        <v>4600</v>
      </c>
      <c r="AP1984">
        <v>900</v>
      </c>
      <c r="AQ1984">
        <v>4600</v>
      </c>
      <c r="AR1984">
        <v>3700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1680</v>
      </c>
      <c r="BA1984">
        <v>1680</v>
      </c>
      <c r="BB1984">
        <v>0</v>
      </c>
      <c r="BC1984">
        <v>0</v>
      </c>
      <c r="BD1984">
        <v>0</v>
      </c>
      <c r="BE1984">
        <f t="shared" si="313"/>
        <v>33104</v>
      </c>
      <c r="BF1984">
        <v>15102</v>
      </c>
      <c r="BG1984">
        <v>15102</v>
      </c>
      <c r="BH1984" t="s">
        <v>190</v>
      </c>
      <c r="BI1984" t="s">
        <v>1093</v>
      </c>
      <c r="BJ1984">
        <v>0</v>
      </c>
      <c r="BK1984">
        <v>14252</v>
      </c>
      <c r="BL1984">
        <v>15102</v>
      </c>
      <c r="BM1984">
        <v>0</v>
      </c>
      <c r="BN1984">
        <v>0</v>
      </c>
      <c r="BO1984">
        <v>0</v>
      </c>
      <c r="BP1984">
        <v>15764</v>
      </c>
      <c r="BQ1984">
        <v>15764</v>
      </c>
      <c r="BR1984">
        <f t="shared" si="314"/>
        <v>-381</v>
      </c>
      <c r="BS1984">
        <f t="shared" si="315"/>
        <v>717</v>
      </c>
    </row>
    <row r="1985" spans="1:74" x14ac:dyDescent="0.25">
      <c r="A1985" s="5" t="s">
        <v>1946</v>
      </c>
      <c r="B1985" s="5" t="s">
        <v>207</v>
      </c>
      <c r="C1985" s="5" t="s">
        <v>61</v>
      </c>
      <c r="D1985" s="1" t="s">
        <v>65</v>
      </c>
      <c r="E1985">
        <v>0</v>
      </c>
      <c r="F1985">
        <v>0</v>
      </c>
      <c r="G1985">
        <v>0</v>
      </c>
      <c r="H1985">
        <v>0</v>
      </c>
      <c r="I1985">
        <v>1180</v>
      </c>
      <c r="J1985">
        <v>3542</v>
      </c>
      <c r="K1985">
        <v>560</v>
      </c>
      <c r="L1985">
        <v>350</v>
      </c>
      <c r="M1985">
        <v>0</v>
      </c>
      <c r="N1985">
        <v>0</v>
      </c>
      <c r="O1985">
        <v>0</v>
      </c>
      <c r="P1985">
        <v>0</v>
      </c>
      <c r="Q1985">
        <v>305</v>
      </c>
      <c r="R1985">
        <v>0</v>
      </c>
      <c r="S1985" s="18" t="e">
        <f t="shared" si="306"/>
        <v>#DIV/0!</v>
      </c>
      <c r="T1985" s="17" t="e">
        <f t="shared" si="307"/>
        <v>#DIV/0!</v>
      </c>
      <c r="U1985" s="17" t="e">
        <f t="shared" si="308"/>
        <v>#DIV/0!</v>
      </c>
      <c r="V1985" s="17" t="e">
        <f t="shared" si="309"/>
        <v>#DIV/0!</v>
      </c>
      <c r="W1985" s="17" t="e">
        <f t="shared" si="310"/>
        <v>#DIV/0!</v>
      </c>
      <c r="X1985" s="17" t="e">
        <f t="shared" si="311"/>
        <v>#DIV/0!</v>
      </c>
      <c r="Y1985" s="19" t="e">
        <f t="shared" si="312"/>
        <v>#DIV/0!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1180</v>
      </c>
      <c r="AH1985">
        <v>1180</v>
      </c>
      <c r="AI1985">
        <v>0</v>
      </c>
      <c r="AJ1985">
        <v>0</v>
      </c>
      <c r="AK1985">
        <v>3542</v>
      </c>
      <c r="AL1985">
        <v>3542</v>
      </c>
      <c r="AM1985">
        <v>0</v>
      </c>
      <c r="AN1985">
        <v>0</v>
      </c>
      <c r="AO1985">
        <v>560</v>
      </c>
      <c r="AP1985">
        <v>150</v>
      </c>
      <c r="AQ1985">
        <v>560</v>
      </c>
      <c r="AR1985">
        <v>410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350</v>
      </c>
      <c r="BA1985">
        <v>350</v>
      </c>
      <c r="BB1985">
        <v>0</v>
      </c>
      <c r="BC1985">
        <v>0</v>
      </c>
      <c r="BD1985">
        <v>0</v>
      </c>
      <c r="BE1985">
        <f t="shared" si="313"/>
        <v>11824</v>
      </c>
      <c r="BF1985">
        <v>5632</v>
      </c>
      <c r="BG1985">
        <v>5632</v>
      </c>
      <c r="BH1985" t="s">
        <v>63</v>
      </c>
      <c r="BI1985" t="s">
        <v>2010</v>
      </c>
      <c r="BJ1985">
        <v>0</v>
      </c>
      <c r="BK1985">
        <v>5632</v>
      </c>
      <c r="BL1985">
        <v>5632</v>
      </c>
      <c r="BM1985">
        <v>0</v>
      </c>
      <c r="BN1985">
        <v>0</v>
      </c>
      <c r="BO1985">
        <v>0</v>
      </c>
      <c r="BP1985">
        <v>5632</v>
      </c>
      <c r="BQ1985">
        <v>5632</v>
      </c>
      <c r="BR1985">
        <f t="shared" si="314"/>
        <v>-305</v>
      </c>
      <c r="BS1985">
        <f t="shared" si="315"/>
        <v>305</v>
      </c>
      <c r="BU1985">
        <f>R1985*9</f>
        <v>0</v>
      </c>
      <c r="BV1985">
        <f>IF(BU1985&gt;BG1985, 1, 0)</f>
        <v>0</v>
      </c>
    </row>
    <row r="1986" spans="1:74" x14ac:dyDescent="0.25">
      <c r="A1986" s="5" t="s">
        <v>1451</v>
      </c>
      <c r="B1986" s="5" t="s">
        <v>61</v>
      </c>
      <c r="C1986" s="5" t="s">
        <v>61</v>
      </c>
      <c r="D1986" s="1" t="s">
        <v>84</v>
      </c>
      <c r="E1986">
        <v>160</v>
      </c>
      <c r="F1986">
        <v>275</v>
      </c>
      <c r="G1986">
        <v>0</v>
      </c>
      <c r="H1986">
        <v>0</v>
      </c>
      <c r="I1986">
        <v>463</v>
      </c>
      <c r="J1986">
        <v>4766</v>
      </c>
      <c r="K1986">
        <v>1539</v>
      </c>
      <c r="L1986">
        <v>106</v>
      </c>
      <c r="M1986">
        <v>0</v>
      </c>
      <c r="N1986">
        <v>0</v>
      </c>
      <c r="O1986">
        <v>0</v>
      </c>
      <c r="P1986">
        <v>1062</v>
      </c>
      <c r="Q1986">
        <v>506</v>
      </c>
      <c r="R1986">
        <v>118</v>
      </c>
      <c r="S1986" s="18">
        <f t="shared" ref="S1986:S2049" si="316">(M1986+N1986+O1986+P1986)/R1986</f>
        <v>9</v>
      </c>
      <c r="T1986" s="17">
        <f t="shared" ref="T1986:T2049" si="317">M1986/$S1986</f>
        <v>0</v>
      </c>
      <c r="U1986" s="17">
        <f t="shared" ref="U1986:U2049" si="318">N1986/$S1986</f>
        <v>0</v>
      </c>
      <c r="V1986" s="17">
        <f t="shared" ref="V1986:V2049" si="319">O1986/$S1986</f>
        <v>0</v>
      </c>
      <c r="W1986" s="17">
        <f t="shared" ref="W1986:W2049" si="320">P1986/$S1986</f>
        <v>118</v>
      </c>
      <c r="X1986" s="17">
        <f t="shared" ref="X1986:X2049" si="321">Q1986-T1986-U1986-W1986</f>
        <v>388</v>
      </c>
      <c r="Y1986" s="19">
        <f t="shared" ref="Y1986:Y2049" si="322">V1986/X1986</f>
        <v>0</v>
      </c>
      <c r="Z1986">
        <v>275</v>
      </c>
      <c r="AA1986">
        <v>32</v>
      </c>
      <c r="AB1986">
        <v>322</v>
      </c>
      <c r="AC1986">
        <v>5854</v>
      </c>
      <c r="AD1986">
        <v>0</v>
      </c>
      <c r="AE1986">
        <v>0</v>
      </c>
      <c r="AF1986">
        <v>0</v>
      </c>
      <c r="AG1986">
        <v>463</v>
      </c>
      <c r="AH1986">
        <v>463</v>
      </c>
      <c r="AI1986">
        <v>0</v>
      </c>
      <c r="AJ1986">
        <v>0</v>
      </c>
      <c r="AK1986">
        <v>4766</v>
      </c>
      <c r="AL1986">
        <v>4766</v>
      </c>
      <c r="AM1986">
        <v>0</v>
      </c>
      <c r="AN1986">
        <v>0</v>
      </c>
      <c r="AO1986">
        <v>1539</v>
      </c>
      <c r="AP1986">
        <v>1000</v>
      </c>
      <c r="AQ1986">
        <v>1539</v>
      </c>
      <c r="AR1986">
        <v>539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106</v>
      </c>
      <c r="BA1986">
        <v>106</v>
      </c>
      <c r="BB1986">
        <v>0</v>
      </c>
      <c r="BC1986">
        <v>0</v>
      </c>
      <c r="BD1986">
        <v>0</v>
      </c>
      <c r="BE1986">
        <f t="shared" ref="BE1986:BE2049" si="323">SUM(AC1986:BD1986)</f>
        <v>21141</v>
      </c>
      <c r="BF1986">
        <v>13517</v>
      </c>
      <c r="BG1986">
        <v>13517</v>
      </c>
      <c r="BH1986" t="s">
        <v>82</v>
      </c>
      <c r="BI1986" t="s">
        <v>1459</v>
      </c>
      <c r="BJ1986">
        <v>6368</v>
      </c>
      <c r="BK1986">
        <v>6874</v>
      </c>
      <c r="BL1986">
        <v>13517</v>
      </c>
      <c r="BM1986">
        <v>0</v>
      </c>
      <c r="BN1986">
        <v>0</v>
      </c>
      <c r="BO1986">
        <v>0</v>
      </c>
      <c r="BP1986">
        <v>7936</v>
      </c>
      <c r="BQ1986">
        <v>7936</v>
      </c>
      <c r="BR1986">
        <f t="shared" ref="BR1986:BR2049" si="324">R1986-Q1986</f>
        <v>-388</v>
      </c>
      <c r="BS1986">
        <f t="shared" ref="BS1986:BS2049" si="325">R1986+Q1986</f>
        <v>624</v>
      </c>
    </row>
    <row r="1987" spans="1:74" x14ac:dyDescent="0.25">
      <c r="A1987" s="5" t="s">
        <v>1337</v>
      </c>
      <c r="B1987" s="5" t="s">
        <v>61</v>
      </c>
      <c r="C1987" s="5" t="s">
        <v>61</v>
      </c>
      <c r="D1987" s="1" t="s">
        <v>111</v>
      </c>
      <c r="E1987">
        <v>0</v>
      </c>
      <c r="F1987">
        <v>18</v>
      </c>
      <c r="G1987">
        <v>0</v>
      </c>
      <c r="H1987">
        <v>0</v>
      </c>
      <c r="I1987">
        <v>1740</v>
      </c>
      <c r="J1987">
        <v>80</v>
      </c>
      <c r="K1987">
        <v>0</v>
      </c>
      <c r="L1987">
        <v>10</v>
      </c>
      <c r="M1987">
        <v>0</v>
      </c>
      <c r="N1987">
        <v>0</v>
      </c>
      <c r="O1987">
        <v>0</v>
      </c>
      <c r="P1987">
        <v>162</v>
      </c>
      <c r="Q1987">
        <v>407</v>
      </c>
      <c r="R1987">
        <v>18</v>
      </c>
      <c r="S1987" s="18">
        <f t="shared" si="316"/>
        <v>9</v>
      </c>
      <c r="T1987" s="17">
        <f t="shared" si="317"/>
        <v>0</v>
      </c>
      <c r="U1987" s="17">
        <f t="shared" si="318"/>
        <v>0</v>
      </c>
      <c r="V1987" s="17">
        <f t="shared" si="319"/>
        <v>0</v>
      </c>
      <c r="W1987" s="17">
        <f t="shared" si="320"/>
        <v>18</v>
      </c>
      <c r="X1987" s="17">
        <f t="shared" si="321"/>
        <v>389</v>
      </c>
      <c r="Y1987" s="19">
        <f t="shared" si="322"/>
        <v>0</v>
      </c>
      <c r="Z1987">
        <v>18</v>
      </c>
      <c r="AA1987">
        <v>0</v>
      </c>
      <c r="AB1987">
        <v>0</v>
      </c>
      <c r="AC1987">
        <v>0</v>
      </c>
      <c r="AD1987">
        <v>0</v>
      </c>
      <c r="AE1987">
        <v>1740</v>
      </c>
      <c r="AF1987">
        <v>0</v>
      </c>
      <c r="AG1987">
        <v>0</v>
      </c>
      <c r="AH1987">
        <v>1740</v>
      </c>
      <c r="AI1987">
        <v>0</v>
      </c>
      <c r="AJ1987">
        <v>0</v>
      </c>
      <c r="AK1987">
        <v>80</v>
      </c>
      <c r="AL1987">
        <v>80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10</v>
      </c>
      <c r="BA1987">
        <v>10</v>
      </c>
      <c r="BB1987">
        <v>0</v>
      </c>
      <c r="BC1987">
        <v>0</v>
      </c>
      <c r="BD1987">
        <v>0</v>
      </c>
      <c r="BE1987">
        <f t="shared" si="323"/>
        <v>3660</v>
      </c>
      <c r="BF1987">
        <v>1848</v>
      </c>
      <c r="BG1987">
        <v>1848</v>
      </c>
      <c r="BH1987" t="s">
        <v>109</v>
      </c>
      <c r="BI1987" t="s">
        <v>1359</v>
      </c>
      <c r="BJ1987">
        <v>0</v>
      </c>
      <c r="BK1987">
        <v>1830</v>
      </c>
      <c r="BL1987">
        <v>1848</v>
      </c>
      <c r="BM1987">
        <v>0</v>
      </c>
      <c r="BN1987">
        <v>1740</v>
      </c>
      <c r="BO1987">
        <v>0</v>
      </c>
      <c r="BP1987">
        <v>252</v>
      </c>
      <c r="BQ1987">
        <v>1992</v>
      </c>
      <c r="BR1987">
        <f t="shared" si="324"/>
        <v>-389</v>
      </c>
      <c r="BS1987">
        <f t="shared" si="325"/>
        <v>425</v>
      </c>
    </row>
    <row r="1988" spans="1:74" x14ac:dyDescent="0.25">
      <c r="A1988" s="5" t="s">
        <v>1661</v>
      </c>
      <c r="B1988" s="5" t="s">
        <v>61</v>
      </c>
      <c r="C1988" s="5" t="s">
        <v>61</v>
      </c>
      <c r="D1988" s="1" t="s">
        <v>113</v>
      </c>
      <c r="E1988">
        <v>0</v>
      </c>
      <c r="F1988">
        <v>2241</v>
      </c>
      <c r="G1988">
        <v>0</v>
      </c>
      <c r="H1988">
        <v>0</v>
      </c>
      <c r="I1988">
        <v>652</v>
      </c>
      <c r="J1988">
        <v>0</v>
      </c>
      <c r="K1988">
        <v>1094</v>
      </c>
      <c r="L1988">
        <v>0</v>
      </c>
      <c r="M1988">
        <v>0</v>
      </c>
      <c r="N1988">
        <v>0</v>
      </c>
      <c r="O1988">
        <v>0</v>
      </c>
      <c r="P1988">
        <v>3051</v>
      </c>
      <c r="Q1988">
        <v>729</v>
      </c>
      <c r="R1988">
        <v>339</v>
      </c>
      <c r="S1988" s="18">
        <f t="shared" si="316"/>
        <v>9</v>
      </c>
      <c r="T1988" s="17">
        <f t="shared" si="317"/>
        <v>0</v>
      </c>
      <c r="U1988" s="17">
        <f t="shared" si="318"/>
        <v>0</v>
      </c>
      <c r="V1988" s="17">
        <f t="shared" si="319"/>
        <v>0</v>
      </c>
      <c r="W1988" s="17">
        <f t="shared" si="320"/>
        <v>339</v>
      </c>
      <c r="X1988" s="17">
        <f t="shared" si="321"/>
        <v>390</v>
      </c>
      <c r="Y1988" s="19">
        <f t="shared" si="322"/>
        <v>0</v>
      </c>
      <c r="Z1988">
        <v>2241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652</v>
      </c>
      <c r="AH1988">
        <v>652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1094</v>
      </c>
      <c r="AP1988">
        <v>309</v>
      </c>
      <c r="AQ1988">
        <v>1094</v>
      </c>
      <c r="AR1988">
        <v>785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f t="shared" si="323"/>
        <v>4586</v>
      </c>
      <c r="BF1988">
        <v>3987</v>
      </c>
      <c r="BG1988">
        <v>3987</v>
      </c>
      <c r="BH1988" t="s">
        <v>109</v>
      </c>
      <c r="BI1988" t="s">
        <v>1682</v>
      </c>
      <c r="BJ1988">
        <v>0</v>
      </c>
      <c r="BK1988">
        <v>1746</v>
      </c>
      <c r="BL1988">
        <v>3987</v>
      </c>
      <c r="BM1988">
        <v>0</v>
      </c>
      <c r="BN1988">
        <v>0</v>
      </c>
      <c r="BO1988">
        <v>0</v>
      </c>
      <c r="BP1988">
        <v>4797</v>
      </c>
      <c r="BQ1988">
        <v>4797</v>
      </c>
      <c r="BR1988">
        <f t="shared" si="324"/>
        <v>-390</v>
      </c>
      <c r="BS1988">
        <f t="shared" si="325"/>
        <v>1068</v>
      </c>
    </row>
    <row r="1989" spans="1:74" x14ac:dyDescent="0.25">
      <c r="A1989" s="5" t="s">
        <v>207</v>
      </c>
      <c r="B1989" s="5" t="s">
        <v>61</v>
      </c>
      <c r="C1989" s="5" t="s">
        <v>359</v>
      </c>
      <c r="D1989" s="1" t="s">
        <v>100</v>
      </c>
      <c r="E1989">
        <v>36</v>
      </c>
      <c r="F1989">
        <v>0</v>
      </c>
      <c r="G1989">
        <v>0</v>
      </c>
      <c r="H1989">
        <v>0</v>
      </c>
      <c r="I1989">
        <v>190</v>
      </c>
      <c r="J1989">
        <v>3509</v>
      </c>
      <c r="K1989">
        <v>118</v>
      </c>
      <c r="L1989">
        <v>52</v>
      </c>
      <c r="M1989">
        <v>0</v>
      </c>
      <c r="N1989">
        <v>0</v>
      </c>
      <c r="O1989">
        <v>0</v>
      </c>
      <c r="P1989">
        <v>0</v>
      </c>
      <c r="Q1989">
        <v>392</v>
      </c>
      <c r="R1989">
        <v>0</v>
      </c>
      <c r="S1989" s="18" t="e">
        <f t="shared" si="316"/>
        <v>#DIV/0!</v>
      </c>
      <c r="T1989" s="17" t="e">
        <f t="shared" si="317"/>
        <v>#DIV/0!</v>
      </c>
      <c r="U1989" s="17" t="e">
        <f t="shared" si="318"/>
        <v>#DIV/0!</v>
      </c>
      <c r="V1989" s="17" t="e">
        <f t="shared" si="319"/>
        <v>#DIV/0!</v>
      </c>
      <c r="W1989" s="17" t="e">
        <f t="shared" si="320"/>
        <v>#DIV/0!</v>
      </c>
      <c r="X1989" s="17" t="e">
        <f t="shared" si="321"/>
        <v>#DIV/0!</v>
      </c>
      <c r="Y1989" s="19" t="e">
        <f t="shared" si="322"/>
        <v>#DIV/0!</v>
      </c>
      <c r="Z1989">
        <v>0</v>
      </c>
      <c r="AA1989">
        <v>4</v>
      </c>
      <c r="AB1989">
        <v>0</v>
      </c>
      <c r="AC1989">
        <v>3507</v>
      </c>
      <c r="AD1989">
        <v>0</v>
      </c>
      <c r="AE1989">
        <v>0</v>
      </c>
      <c r="AF1989">
        <v>0</v>
      </c>
      <c r="AG1989">
        <v>190</v>
      </c>
      <c r="AH1989">
        <v>190</v>
      </c>
      <c r="AI1989">
        <v>0</v>
      </c>
      <c r="AJ1989">
        <v>0</v>
      </c>
      <c r="AK1989">
        <v>3509</v>
      </c>
      <c r="AL1989">
        <v>3509</v>
      </c>
      <c r="AM1989">
        <v>0</v>
      </c>
      <c r="AN1989">
        <v>0</v>
      </c>
      <c r="AO1989">
        <v>118</v>
      </c>
      <c r="AP1989">
        <v>54</v>
      </c>
      <c r="AQ1989">
        <v>118</v>
      </c>
      <c r="AR1989">
        <v>64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52</v>
      </c>
      <c r="BA1989">
        <v>52</v>
      </c>
      <c r="BB1989">
        <v>0</v>
      </c>
      <c r="BC1989">
        <v>0</v>
      </c>
      <c r="BD1989">
        <v>0</v>
      </c>
      <c r="BE1989">
        <f t="shared" si="323"/>
        <v>11363</v>
      </c>
      <c r="BF1989">
        <v>7416</v>
      </c>
      <c r="BG1989">
        <v>7416</v>
      </c>
      <c r="BH1989" t="s">
        <v>82</v>
      </c>
      <c r="BI1989" t="s">
        <v>516</v>
      </c>
      <c r="BJ1989">
        <v>3547</v>
      </c>
      <c r="BK1989">
        <v>3869</v>
      </c>
      <c r="BL1989">
        <v>7416</v>
      </c>
      <c r="BM1989">
        <v>0</v>
      </c>
      <c r="BN1989">
        <v>0</v>
      </c>
      <c r="BO1989">
        <v>0</v>
      </c>
      <c r="BP1989">
        <v>3869</v>
      </c>
      <c r="BQ1989">
        <v>3869</v>
      </c>
      <c r="BR1989">
        <f t="shared" si="324"/>
        <v>-392</v>
      </c>
      <c r="BS1989">
        <f t="shared" si="325"/>
        <v>392</v>
      </c>
    </row>
    <row r="1990" spans="1:74" x14ac:dyDescent="0.25">
      <c r="A1990" s="5" t="s">
        <v>627</v>
      </c>
      <c r="B1990" s="5" t="s">
        <v>207</v>
      </c>
      <c r="C1990" s="5" t="s">
        <v>61</v>
      </c>
      <c r="D1990" s="1" t="s">
        <v>69</v>
      </c>
      <c r="E1990">
        <v>0</v>
      </c>
      <c r="F1990">
        <v>510</v>
      </c>
      <c r="G1990">
        <v>0</v>
      </c>
      <c r="H1990">
        <v>0</v>
      </c>
      <c r="I1990">
        <v>1057</v>
      </c>
      <c r="J1990">
        <v>0</v>
      </c>
      <c r="K1990">
        <v>368</v>
      </c>
      <c r="L1990">
        <v>181</v>
      </c>
      <c r="M1990">
        <v>540</v>
      </c>
      <c r="N1990">
        <v>0</v>
      </c>
      <c r="O1990">
        <v>0</v>
      </c>
      <c r="P1990">
        <v>810</v>
      </c>
      <c r="Q1990">
        <v>542</v>
      </c>
      <c r="R1990">
        <v>150</v>
      </c>
      <c r="S1990" s="18">
        <f t="shared" si="316"/>
        <v>9</v>
      </c>
      <c r="T1990" s="17">
        <f t="shared" si="317"/>
        <v>60</v>
      </c>
      <c r="U1990" s="17">
        <f t="shared" si="318"/>
        <v>0</v>
      </c>
      <c r="V1990" s="17">
        <f t="shared" si="319"/>
        <v>0</v>
      </c>
      <c r="W1990" s="17">
        <f t="shared" si="320"/>
        <v>90</v>
      </c>
      <c r="X1990" s="17">
        <f t="shared" si="321"/>
        <v>392</v>
      </c>
      <c r="Y1990" s="19">
        <f t="shared" si="322"/>
        <v>0</v>
      </c>
      <c r="Z1990">
        <v>510</v>
      </c>
      <c r="AA1990">
        <v>0</v>
      </c>
      <c r="AB1990">
        <v>0</v>
      </c>
      <c r="AC1990">
        <v>0</v>
      </c>
      <c r="AD1990">
        <v>657</v>
      </c>
      <c r="AE1990">
        <v>0</v>
      </c>
      <c r="AF1990">
        <v>0</v>
      </c>
      <c r="AG1990">
        <v>400</v>
      </c>
      <c r="AH1990">
        <v>1057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368</v>
      </c>
      <c r="AP1990">
        <v>0</v>
      </c>
      <c r="AQ1990">
        <v>368</v>
      </c>
      <c r="AR1990">
        <v>368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181</v>
      </c>
      <c r="BA1990">
        <v>181</v>
      </c>
      <c r="BB1990">
        <v>0</v>
      </c>
      <c r="BC1990">
        <v>0</v>
      </c>
      <c r="BD1990">
        <v>0</v>
      </c>
      <c r="BE1990">
        <f t="shared" si="323"/>
        <v>3580</v>
      </c>
      <c r="BF1990">
        <v>2116</v>
      </c>
      <c r="BG1990">
        <v>2116</v>
      </c>
      <c r="BH1990" t="s">
        <v>109</v>
      </c>
      <c r="BI1990" t="s">
        <v>835</v>
      </c>
      <c r="BJ1990">
        <v>0</v>
      </c>
      <c r="BK1990">
        <v>1606</v>
      </c>
      <c r="BL1990">
        <v>2116</v>
      </c>
      <c r="BM1990">
        <v>1197</v>
      </c>
      <c r="BN1990">
        <v>0</v>
      </c>
      <c r="BO1990">
        <v>0</v>
      </c>
      <c r="BP1990">
        <v>1759</v>
      </c>
      <c r="BQ1990">
        <v>2956</v>
      </c>
      <c r="BR1990">
        <f t="shared" si="324"/>
        <v>-392</v>
      </c>
      <c r="BS1990">
        <f t="shared" si="325"/>
        <v>692</v>
      </c>
    </row>
    <row r="1991" spans="1:74" x14ac:dyDescent="0.25">
      <c r="A1991" s="5" t="s">
        <v>207</v>
      </c>
      <c r="B1991" s="5" t="s">
        <v>627</v>
      </c>
      <c r="C1991" s="5" t="s">
        <v>207</v>
      </c>
      <c r="D1991" s="1" t="s">
        <v>65</v>
      </c>
      <c r="E1991">
        <v>5</v>
      </c>
      <c r="F1991">
        <v>0</v>
      </c>
      <c r="G1991">
        <v>0</v>
      </c>
      <c r="H1991">
        <v>0</v>
      </c>
      <c r="I1991">
        <v>1983</v>
      </c>
      <c r="J1991">
        <v>0</v>
      </c>
      <c r="K1991">
        <v>1213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307</v>
      </c>
      <c r="R1991">
        <v>0</v>
      </c>
      <c r="S1991" s="18" t="e">
        <f t="shared" si="316"/>
        <v>#DIV/0!</v>
      </c>
      <c r="T1991" s="17" t="e">
        <f t="shared" si="317"/>
        <v>#DIV/0!</v>
      </c>
      <c r="U1991" s="17" t="e">
        <f t="shared" si="318"/>
        <v>#DIV/0!</v>
      </c>
      <c r="V1991" s="17" t="e">
        <f t="shared" si="319"/>
        <v>#DIV/0!</v>
      </c>
      <c r="W1991" s="17" t="e">
        <f t="shared" si="320"/>
        <v>#DIV/0!</v>
      </c>
      <c r="X1991" s="17" t="e">
        <f t="shared" si="321"/>
        <v>#DIV/0!</v>
      </c>
      <c r="Y1991" s="19" t="e">
        <f t="shared" si="322"/>
        <v>#DIV/0!</v>
      </c>
      <c r="Z1991">
        <v>0</v>
      </c>
      <c r="AA1991">
        <v>0</v>
      </c>
      <c r="AB1991">
        <v>0</v>
      </c>
      <c r="AC1991">
        <v>1265</v>
      </c>
      <c r="AD1991">
        <v>310</v>
      </c>
      <c r="AE1991">
        <v>0</v>
      </c>
      <c r="AF1991">
        <v>0</v>
      </c>
      <c r="AG1991">
        <v>1673</v>
      </c>
      <c r="AH1991">
        <v>1983</v>
      </c>
      <c r="AI1991">
        <v>0</v>
      </c>
      <c r="AJ1991">
        <v>0</v>
      </c>
      <c r="AK1991">
        <v>0</v>
      </c>
      <c r="AL1991">
        <v>0</v>
      </c>
      <c r="AM1991">
        <v>340</v>
      </c>
      <c r="AN1991">
        <v>0</v>
      </c>
      <c r="AO1991">
        <v>873</v>
      </c>
      <c r="AP1991">
        <v>1213</v>
      </c>
      <c r="AQ1991">
        <v>1213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f t="shared" si="323"/>
        <v>8870</v>
      </c>
      <c r="BF1991">
        <v>4466</v>
      </c>
      <c r="BG1991">
        <v>4466</v>
      </c>
      <c r="BH1991" t="s">
        <v>63</v>
      </c>
      <c r="BI1991" t="s">
        <v>660</v>
      </c>
      <c r="BJ1991">
        <v>1270</v>
      </c>
      <c r="BK1991">
        <v>3196</v>
      </c>
      <c r="BL1991">
        <v>4466</v>
      </c>
      <c r="BM1991">
        <v>650</v>
      </c>
      <c r="BN1991">
        <v>0</v>
      </c>
      <c r="BO1991">
        <v>0</v>
      </c>
      <c r="BP1991">
        <v>2546</v>
      </c>
      <c r="BQ1991">
        <v>3196</v>
      </c>
      <c r="BR1991">
        <f t="shared" si="324"/>
        <v>-307</v>
      </c>
      <c r="BS1991">
        <f t="shared" si="325"/>
        <v>307</v>
      </c>
      <c r="BU1991">
        <f>R1991*9</f>
        <v>0</v>
      </c>
      <c r="BV1991">
        <f>IF(BU1991&gt;BG1991, 1, 0)</f>
        <v>0</v>
      </c>
    </row>
    <row r="1992" spans="1:74" x14ac:dyDescent="0.25">
      <c r="A1992" s="5" t="s">
        <v>1946</v>
      </c>
      <c r="B1992" s="5" t="s">
        <v>207</v>
      </c>
      <c r="C1992" s="5" t="s">
        <v>61</v>
      </c>
      <c r="D1992" s="1" t="s">
        <v>79</v>
      </c>
      <c r="E1992">
        <v>0</v>
      </c>
      <c r="F1992">
        <v>1125</v>
      </c>
      <c r="G1992">
        <v>0</v>
      </c>
      <c r="H1992">
        <v>0</v>
      </c>
      <c r="I1992">
        <v>3700</v>
      </c>
      <c r="J1992">
        <v>0</v>
      </c>
      <c r="K1992">
        <v>35</v>
      </c>
      <c r="L1992">
        <v>0</v>
      </c>
      <c r="M1992">
        <v>2025</v>
      </c>
      <c r="N1992">
        <v>0</v>
      </c>
      <c r="O1992">
        <v>0</v>
      </c>
      <c r="P1992">
        <v>0</v>
      </c>
      <c r="Q1992">
        <v>620</v>
      </c>
      <c r="R1992">
        <v>225</v>
      </c>
      <c r="S1992" s="18">
        <f t="shared" si="316"/>
        <v>9</v>
      </c>
      <c r="T1992" s="17">
        <f t="shared" si="317"/>
        <v>225</v>
      </c>
      <c r="U1992" s="17">
        <f t="shared" si="318"/>
        <v>0</v>
      </c>
      <c r="V1992" s="17">
        <f t="shared" si="319"/>
        <v>0</v>
      </c>
      <c r="W1992" s="17">
        <f t="shared" si="320"/>
        <v>0</v>
      </c>
      <c r="X1992" s="17">
        <f t="shared" si="321"/>
        <v>395</v>
      </c>
      <c r="Y1992" s="19">
        <f t="shared" si="322"/>
        <v>0</v>
      </c>
      <c r="Z1992">
        <v>1125</v>
      </c>
      <c r="AA1992">
        <v>0</v>
      </c>
      <c r="AB1992">
        <v>0</v>
      </c>
      <c r="AC1992">
        <v>0</v>
      </c>
      <c r="AD1992">
        <v>3700</v>
      </c>
      <c r="AE1992">
        <v>0</v>
      </c>
      <c r="AF1992">
        <v>0</v>
      </c>
      <c r="AG1992">
        <v>0</v>
      </c>
      <c r="AH1992">
        <v>3700</v>
      </c>
      <c r="AI1992">
        <v>0</v>
      </c>
      <c r="AJ1992">
        <v>0</v>
      </c>
      <c r="AK1992">
        <v>0</v>
      </c>
      <c r="AL1992">
        <v>0</v>
      </c>
      <c r="AM1992">
        <v>35</v>
      </c>
      <c r="AN1992">
        <v>0</v>
      </c>
      <c r="AO1992">
        <v>0</v>
      </c>
      <c r="AP1992">
        <v>0</v>
      </c>
      <c r="AQ1992">
        <v>35</v>
      </c>
      <c r="AR1992">
        <v>35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f t="shared" si="323"/>
        <v>7505</v>
      </c>
      <c r="BF1992">
        <v>4860</v>
      </c>
      <c r="BG1992">
        <v>4860</v>
      </c>
      <c r="BH1992" t="s">
        <v>109</v>
      </c>
      <c r="BI1992" t="s">
        <v>2017</v>
      </c>
      <c r="BJ1992">
        <v>0</v>
      </c>
      <c r="BK1992">
        <v>3735</v>
      </c>
      <c r="BL1992">
        <v>4860</v>
      </c>
      <c r="BM1992">
        <v>5760</v>
      </c>
      <c r="BN1992">
        <v>0</v>
      </c>
      <c r="BO1992">
        <v>0</v>
      </c>
      <c r="BP1992">
        <v>0</v>
      </c>
      <c r="BQ1992">
        <v>5760</v>
      </c>
      <c r="BR1992">
        <f t="shared" si="324"/>
        <v>-395</v>
      </c>
      <c r="BS1992">
        <f t="shared" si="325"/>
        <v>845</v>
      </c>
    </row>
    <row r="1993" spans="1:74" x14ac:dyDescent="0.25">
      <c r="A1993" s="5" t="s">
        <v>1946</v>
      </c>
      <c r="B1993" s="5" t="s">
        <v>207</v>
      </c>
      <c r="C1993" s="5" t="s">
        <v>61</v>
      </c>
      <c r="D1993" s="1" t="s">
        <v>94</v>
      </c>
      <c r="E1993">
        <v>85</v>
      </c>
      <c r="F1993">
        <v>85</v>
      </c>
      <c r="G1993">
        <v>0</v>
      </c>
      <c r="H1993">
        <v>0</v>
      </c>
      <c r="I1993">
        <v>365</v>
      </c>
      <c r="J1993">
        <v>3545</v>
      </c>
      <c r="K1993">
        <v>456</v>
      </c>
      <c r="L1993">
        <v>328</v>
      </c>
      <c r="M1993">
        <v>0</v>
      </c>
      <c r="N1993">
        <v>0</v>
      </c>
      <c r="O1993">
        <v>0</v>
      </c>
      <c r="P1993">
        <v>153</v>
      </c>
      <c r="Q1993">
        <v>412</v>
      </c>
      <c r="R1993">
        <v>17</v>
      </c>
      <c r="S1993" s="18">
        <f t="shared" si="316"/>
        <v>9</v>
      </c>
      <c r="T1993" s="17">
        <f t="shared" si="317"/>
        <v>0</v>
      </c>
      <c r="U1993" s="17">
        <f t="shared" si="318"/>
        <v>0</v>
      </c>
      <c r="V1993" s="17">
        <f t="shared" si="319"/>
        <v>0</v>
      </c>
      <c r="W1993" s="17">
        <f t="shared" si="320"/>
        <v>17</v>
      </c>
      <c r="X1993" s="17">
        <f t="shared" si="321"/>
        <v>395</v>
      </c>
      <c r="Y1993" s="19">
        <f t="shared" si="322"/>
        <v>0</v>
      </c>
      <c r="Z1993">
        <v>85</v>
      </c>
      <c r="AA1993">
        <v>6</v>
      </c>
      <c r="AB1993">
        <v>324</v>
      </c>
      <c r="AC1993">
        <v>4377</v>
      </c>
      <c r="AD1993">
        <v>0</v>
      </c>
      <c r="AE1993">
        <v>0</v>
      </c>
      <c r="AF1993">
        <v>0</v>
      </c>
      <c r="AG1993">
        <v>365</v>
      </c>
      <c r="AH1993">
        <v>365</v>
      </c>
      <c r="AI1993">
        <v>0</v>
      </c>
      <c r="AJ1993">
        <v>0</v>
      </c>
      <c r="AK1993">
        <v>3545</v>
      </c>
      <c r="AL1993">
        <v>3545</v>
      </c>
      <c r="AM1993">
        <v>0</v>
      </c>
      <c r="AN1993">
        <v>0</v>
      </c>
      <c r="AO1993">
        <v>456</v>
      </c>
      <c r="AP1993">
        <v>100</v>
      </c>
      <c r="AQ1993">
        <v>456</v>
      </c>
      <c r="AR1993">
        <v>356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328</v>
      </c>
      <c r="BA1993">
        <v>328</v>
      </c>
      <c r="BB1993">
        <v>0</v>
      </c>
      <c r="BC1993">
        <v>0</v>
      </c>
      <c r="BD1993">
        <v>0</v>
      </c>
      <c r="BE1993">
        <f t="shared" si="323"/>
        <v>14221</v>
      </c>
      <c r="BF1993">
        <v>9571</v>
      </c>
      <c r="BG1993">
        <v>9571</v>
      </c>
      <c r="BH1993" t="s">
        <v>82</v>
      </c>
      <c r="BI1993" t="s">
        <v>2023</v>
      </c>
      <c r="BJ1993">
        <v>4792</v>
      </c>
      <c r="BK1993">
        <v>4694</v>
      </c>
      <c r="BL1993">
        <v>9571</v>
      </c>
      <c r="BM1993">
        <v>0</v>
      </c>
      <c r="BN1993">
        <v>0</v>
      </c>
      <c r="BO1993">
        <v>0</v>
      </c>
      <c r="BP1993">
        <v>4847</v>
      </c>
      <c r="BQ1993">
        <v>4847</v>
      </c>
      <c r="BR1993">
        <f t="shared" si="324"/>
        <v>-395</v>
      </c>
      <c r="BS1993">
        <f t="shared" si="325"/>
        <v>429</v>
      </c>
    </row>
    <row r="1994" spans="1:74" x14ac:dyDescent="0.25">
      <c r="A1994" s="5" t="s">
        <v>1337</v>
      </c>
      <c r="B1994" s="5" t="s">
        <v>359</v>
      </c>
      <c r="C1994" s="5" t="s">
        <v>61</v>
      </c>
      <c r="D1994" s="1" t="s">
        <v>96</v>
      </c>
      <c r="E1994">
        <v>0</v>
      </c>
      <c r="F1994">
        <v>1300</v>
      </c>
      <c r="G1994">
        <v>0</v>
      </c>
      <c r="H1994">
        <v>0</v>
      </c>
      <c r="I1994">
        <v>314</v>
      </c>
      <c r="J1994">
        <v>0</v>
      </c>
      <c r="K1994">
        <v>92</v>
      </c>
      <c r="L1994">
        <v>0</v>
      </c>
      <c r="M1994">
        <v>387</v>
      </c>
      <c r="N1994">
        <v>0</v>
      </c>
      <c r="O1994">
        <v>0</v>
      </c>
      <c r="P1994">
        <v>0</v>
      </c>
      <c r="Q1994">
        <v>439</v>
      </c>
      <c r="R1994">
        <v>43</v>
      </c>
      <c r="S1994" s="18">
        <f t="shared" si="316"/>
        <v>9</v>
      </c>
      <c r="T1994" s="17">
        <f t="shared" si="317"/>
        <v>43</v>
      </c>
      <c r="U1994" s="17">
        <f t="shared" si="318"/>
        <v>0</v>
      </c>
      <c r="V1994" s="17">
        <f t="shared" si="319"/>
        <v>0</v>
      </c>
      <c r="W1994" s="17">
        <f t="shared" si="320"/>
        <v>0</v>
      </c>
      <c r="X1994" s="17">
        <f t="shared" si="321"/>
        <v>396</v>
      </c>
      <c r="Y1994" s="19">
        <f t="shared" si="322"/>
        <v>0</v>
      </c>
      <c r="Z1994">
        <v>1300</v>
      </c>
      <c r="AA1994">
        <v>0</v>
      </c>
      <c r="AB1994">
        <v>0</v>
      </c>
      <c r="AC1994">
        <v>0</v>
      </c>
      <c r="AD1994">
        <v>314</v>
      </c>
      <c r="AE1994">
        <v>0</v>
      </c>
      <c r="AF1994">
        <v>0</v>
      </c>
      <c r="AG1994">
        <v>0</v>
      </c>
      <c r="AH1994">
        <v>314</v>
      </c>
      <c r="AI1994">
        <v>0</v>
      </c>
      <c r="AJ1994">
        <v>0</v>
      </c>
      <c r="AK1994">
        <v>0</v>
      </c>
      <c r="AL1994">
        <v>0</v>
      </c>
      <c r="AM1994">
        <v>92</v>
      </c>
      <c r="AN1994">
        <v>0</v>
      </c>
      <c r="AO1994">
        <v>0</v>
      </c>
      <c r="AP1994">
        <v>39</v>
      </c>
      <c r="AQ1994">
        <v>92</v>
      </c>
      <c r="AR1994">
        <v>53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f t="shared" si="323"/>
        <v>904</v>
      </c>
      <c r="BF1994">
        <v>1706</v>
      </c>
      <c r="BG1994">
        <v>1706</v>
      </c>
      <c r="BH1994" t="s">
        <v>109</v>
      </c>
      <c r="BI1994" t="s">
        <v>1428</v>
      </c>
      <c r="BJ1994">
        <v>0</v>
      </c>
      <c r="BK1994">
        <v>406</v>
      </c>
      <c r="BL1994">
        <v>1706</v>
      </c>
      <c r="BM1994">
        <v>793</v>
      </c>
      <c r="BN1994">
        <v>0</v>
      </c>
      <c r="BO1994">
        <v>0</v>
      </c>
      <c r="BP1994">
        <v>0</v>
      </c>
      <c r="BQ1994">
        <v>793</v>
      </c>
      <c r="BR1994">
        <f t="shared" si="324"/>
        <v>-396</v>
      </c>
      <c r="BS1994">
        <f t="shared" si="325"/>
        <v>482</v>
      </c>
    </row>
    <row r="1995" spans="1:74" x14ac:dyDescent="0.25">
      <c r="A1995" s="5" t="s">
        <v>875</v>
      </c>
      <c r="B1995" s="5" t="s">
        <v>61</v>
      </c>
      <c r="C1995" s="5" t="s">
        <v>207</v>
      </c>
      <c r="D1995" s="1" t="s">
        <v>108</v>
      </c>
      <c r="E1995">
        <v>355</v>
      </c>
      <c r="F1995">
        <v>0</v>
      </c>
      <c r="G1995">
        <v>0</v>
      </c>
      <c r="H1995">
        <v>0</v>
      </c>
      <c r="I1995">
        <v>691</v>
      </c>
      <c r="J1995">
        <v>5119</v>
      </c>
      <c r="K1995">
        <v>265</v>
      </c>
      <c r="L1995">
        <v>246</v>
      </c>
      <c r="M1995">
        <v>0</v>
      </c>
      <c r="N1995">
        <v>0</v>
      </c>
      <c r="O1995">
        <v>0</v>
      </c>
      <c r="P1995">
        <v>0</v>
      </c>
      <c r="Q1995">
        <v>397</v>
      </c>
      <c r="R1995">
        <v>0</v>
      </c>
      <c r="S1995" s="18" t="e">
        <f t="shared" si="316"/>
        <v>#DIV/0!</v>
      </c>
      <c r="T1995" s="17" t="e">
        <f t="shared" si="317"/>
        <v>#DIV/0!</v>
      </c>
      <c r="U1995" s="17" t="e">
        <f t="shared" si="318"/>
        <v>#DIV/0!</v>
      </c>
      <c r="V1995" s="17" t="e">
        <f t="shared" si="319"/>
        <v>#DIV/0!</v>
      </c>
      <c r="W1995" s="17" t="e">
        <f t="shared" si="320"/>
        <v>#DIV/0!</v>
      </c>
      <c r="X1995" s="17" t="e">
        <f t="shared" si="321"/>
        <v>#DIV/0!</v>
      </c>
      <c r="Y1995" s="19" t="e">
        <f t="shared" si="322"/>
        <v>#DIV/0!</v>
      </c>
      <c r="Z1995">
        <v>0</v>
      </c>
      <c r="AA1995">
        <v>20</v>
      </c>
      <c r="AB1995">
        <v>78</v>
      </c>
      <c r="AC1995">
        <v>5255</v>
      </c>
      <c r="AD1995">
        <v>0</v>
      </c>
      <c r="AE1995">
        <v>0</v>
      </c>
      <c r="AF1995">
        <v>0</v>
      </c>
      <c r="AG1995">
        <v>691</v>
      </c>
      <c r="AH1995">
        <v>691</v>
      </c>
      <c r="AI1995">
        <v>0</v>
      </c>
      <c r="AJ1995">
        <v>4719</v>
      </c>
      <c r="AK1995">
        <v>400</v>
      </c>
      <c r="AL1995">
        <v>5119</v>
      </c>
      <c r="AM1995">
        <v>0</v>
      </c>
      <c r="AN1995">
        <v>0</v>
      </c>
      <c r="AO1995">
        <v>265</v>
      </c>
      <c r="AP1995">
        <v>0</v>
      </c>
      <c r="AQ1995">
        <v>265</v>
      </c>
      <c r="AR1995">
        <v>265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246</v>
      </c>
      <c r="BA1995">
        <v>246</v>
      </c>
      <c r="BB1995">
        <v>0</v>
      </c>
      <c r="BC1995">
        <v>0</v>
      </c>
      <c r="BD1995">
        <v>0</v>
      </c>
      <c r="BE1995">
        <f t="shared" si="323"/>
        <v>18162</v>
      </c>
      <c r="BF1995">
        <v>12029</v>
      </c>
      <c r="BG1995">
        <v>12029</v>
      </c>
      <c r="BH1995" t="s">
        <v>82</v>
      </c>
      <c r="BI1995" t="s">
        <v>897</v>
      </c>
      <c r="BJ1995">
        <v>5708</v>
      </c>
      <c r="BK1995">
        <v>6321</v>
      </c>
      <c r="BL1995">
        <v>12029</v>
      </c>
      <c r="BM1995">
        <v>0</v>
      </c>
      <c r="BN1995">
        <v>4719</v>
      </c>
      <c r="BO1995">
        <v>0</v>
      </c>
      <c r="BP1995">
        <v>1602</v>
      </c>
      <c r="BQ1995">
        <v>6321</v>
      </c>
      <c r="BR1995">
        <f t="shared" si="324"/>
        <v>-397</v>
      </c>
      <c r="BS1995">
        <f t="shared" si="325"/>
        <v>397</v>
      </c>
    </row>
    <row r="1996" spans="1:74" x14ac:dyDescent="0.25">
      <c r="A1996" s="5" t="s">
        <v>61</v>
      </c>
      <c r="B1996" s="5" t="s">
        <v>207</v>
      </c>
      <c r="C1996" s="5" t="s">
        <v>207</v>
      </c>
      <c r="D1996" s="1" t="s">
        <v>121</v>
      </c>
      <c r="E1996">
        <v>0</v>
      </c>
      <c r="F1996">
        <v>0</v>
      </c>
      <c r="G1996">
        <v>0</v>
      </c>
      <c r="H1996">
        <v>0</v>
      </c>
      <c r="I1996">
        <v>413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402</v>
      </c>
      <c r="R1996">
        <v>0</v>
      </c>
      <c r="S1996" s="18" t="e">
        <f t="shared" si="316"/>
        <v>#DIV/0!</v>
      </c>
      <c r="T1996" s="17" t="e">
        <f t="shared" si="317"/>
        <v>#DIV/0!</v>
      </c>
      <c r="U1996" s="17" t="e">
        <f t="shared" si="318"/>
        <v>#DIV/0!</v>
      </c>
      <c r="V1996" s="17" t="e">
        <f t="shared" si="319"/>
        <v>#DIV/0!</v>
      </c>
      <c r="W1996" s="17" t="e">
        <f t="shared" si="320"/>
        <v>#DIV/0!</v>
      </c>
      <c r="X1996" s="17" t="e">
        <f t="shared" si="321"/>
        <v>#DIV/0!</v>
      </c>
      <c r="Y1996" s="19" t="e">
        <f t="shared" si="322"/>
        <v>#DIV/0!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413</v>
      </c>
      <c r="AH1996">
        <v>413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f t="shared" si="323"/>
        <v>826</v>
      </c>
      <c r="BF1996">
        <v>413</v>
      </c>
      <c r="BG1996">
        <v>413</v>
      </c>
      <c r="BH1996" t="s">
        <v>109</v>
      </c>
      <c r="BI1996" t="s">
        <v>307</v>
      </c>
      <c r="BJ1996">
        <v>0</v>
      </c>
      <c r="BK1996">
        <v>413</v>
      </c>
      <c r="BL1996">
        <v>413</v>
      </c>
      <c r="BM1996">
        <v>0</v>
      </c>
      <c r="BN1996">
        <v>0</v>
      </c>
      <c r="BO1996">
        <v>0</v>
      </c>
      <c r="BP1996">
        <v>413</v>
      </c>
      <c r="BQ1996">
        <v>413</v>
      </c>
      <c r="BR1996">
        <f t="shared" si="324"/>
        <v>-402</v>
      </c>
      <c r="BS1996">
        <f t="shared" si="325"/>
        <v>402</v>
      </c>
    </row>
    <row r="1997" spans="1:74" x14ac:dyDescent="0.25">
      <c r="A1997" s="5" t="s">
        <v>1451</v>
      </c>
      <c r="B1997" s="5" t="s">
        <v>61</v>
      </c>
      <c r="C1997" s="5" t="s">
        <v>207</v>
      </c>
      <c r="D1997" s="1" t="s">
        <v>129</v>
      </c>
      <c r="E1997">
        <v>0</v>
      </c>
      <c r="F1997">
        <v>1890</v>
      </c>
      <c r="G1997">
        <v>0</v>
      </c>
      <c r="H1997">
        <v>0</v>
      </c>
      <c r="I1997">
        <v>349</v>
      </c>
      <c r="J1997">
        <v>3360</v>
      </c>
      <c r="K1997">
        <v>706</v>
      </c>
      <c r="L1997">
        <v>0</v>
      </c>
      <c r="M1997">
        <v>0</v>
      </c>
      <c r="N1997">
        <v>0</v>
      </c>
      <c r="O1997">
        <v>0</v>
      </c>
      <c r="P1997">
        <v>4455</v>
      </c>
      <c r="Q1997">
        <v>897</v>
      </c>
      <c r="R1997">
        <v>495</v>
      </c>
      <c r="S1997" s="18">
        <f t="shared" si="316"/>
        <v>9</v>
      </c>
      <c r="T1997" s="17">
        <f t="shared" si="317"/>
        <v>0</v>
      </c>
      <c r="U1997" s="17">
        <f t="shared" si="318"/>
        <v>0</v>
      </c>
      <c r="V1997" s="17">
        <f t="shared" si="319"/>
        <v>0</v>
      </c>
      <c r="W1997" s="17">
        <f t="shared" si="320"/>
        <v>495</v>
      </c>
      <c r="X1997" s="17">
        <f t="shared" si="321"/>
        <v>402</v>
      </c>
      <c r="Y1997" s="19">
        <f t="shared" si="322"/>
        <v>0</v>
      </c>
      <c r="Z1997">
        <v>1890</v>
      </c>
      <c r="AA1997">
        <v>31</v>
      </c>
      <c r="AB1997">
        <v>330</v>
      </c>
      <c r="AC1997">
        <v>4000</v>
      </c>
      <c r="AD1997">
        <v>0</v>
      </c>
      <c r="AE1997">
        <v>0</v>
      </c>
      <c r="AF1997">
        <v>0</v>
      </c>
      <c r="AG1997">
        <v>349</v>
      </c>
      <c r="AH1997">
        <v>349</v>
      </c>
      <c r="AI1997">
        <v>0</v>
      </c>
      <c r="AJ1997">
        <v>0</v>
      </c>
      <c r="AK1997">
        <v>3360</v>
      </c>
      <c r="AL1997">
        <v>3360</v>
      </c>
      <c r="AM1997">
        <v>0</v>
      </c>
      <c r="AN1997">
        <v>0</v>
      </c>
      <c r="AO1997">
        <v>706</v>
      </c>
      <c r="AP1997">
        <v>256</v>
      </c>
      <c r="AQ1997">
        <v>706</v>
      </c>
      <c r="AR1997">
        <v>450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f t="shared" si="323"/>
        <v>13536</v>
      </c>
      <c r="BF1997">
        <v>11428</v>
      </c>
      <c r="BG1997">
        <v>11428</v>
      </c>
      <c r="BH1997" t="s">
        <v>82</v>
      </c>
      <c r="BI1997" t="s">
        <v>1502</v>
      </c>
      <c r="BJ1997">
        <v>4361</v>
      </c>
      <c r="BK1997">
        <v>4415</v>
      </c>
      <c r="BL1997">
        <v>10666</v>
      </c>
      <c r="BM1997">
        <v>0</v>
      </c>
      <c r="BN1997">
        <v>0</v>
      </c>
      <c r="BO1997">
        <v>0</v>
      </c>
      <c r="BP1997">
        <v>8870</v>
      </c>
      <c r="BQ1997">
        <v>8870</v>
      </c>
      <c r="BR1997">
        <f t="shared" si="324"/>
        <v>-402</v>
      </c>
      <c r="BS1997">
        <f t="shared" si="325"/>
        <v>1392</v>
      </c>
    </row>
    <row r="1998" spans="1:74" x14ac:dyDescent="0.25">
      <c r="A1998" s="5" t="s">
        <v>207</v>
      </c>
      <c r="B1998" s="5" t="s">
        <v>61</v>
      </c>
      <c r="C1998" s="5" t="s">
        <v>359</v>
      </c>
      <c r="D1998" s="1" t="s">
        <v>145</v>
      </c>
      <c r="E1998">
        <v>0</v>
      </c>
      <c r="F1998">
        <v>0</v>
      </c>
      <c r="G1998">
        <v>0</v>
      </c>
      <c r="H1998">
        <v>0</v>
      </c>
      <c r="I1998">
        <v>345</v>
      </c>
      <c r="J1998">
        <v>4823</v>
      </c>
      <c r="K1998">
        <v>335</v>
      </c>
      <c r="L1998">
        <v>102</v>
      </c>
      <c r="M1998">
        <v>0</v>
      </c>
      <c r="N1998">
        <v>0</v>
      </c>
      <c r="O1998">
        <v>0</v>
      </c>
      <c r="P1998">
        <v>0</v>
      </c>
      <c r="Q1998">
        <v>403</v>
      </c>
      <c r="R1998">
        <v>0</v>
      </c>
      <c r="S1998" s="18" t="e">
        <f t="shared" si="316"/>
        <v>#DIV/0!</v>
      </c>
      <c r="T1998" s="17" t="e">
        <f t="shared" si="317"/>
        <v>#DIV/0!</v>
      </c>
      <c r="U1998" s="17" t="e">
        <f t="shared" si="318"/>
        <v>#DIV/0!</v>
      </c>
      <c r="V1998" s="17" t="e">
        <f t="shared" si="319"/>
        <v>#DIV/0!</v>
      </c>
      <c r="W1998" s="17" t="e">
        <f t="shared" si="320"/>
        <v>#DIV/0!</v>
      </c>
      <c r="X1998" s="17" t="e">
        <f t="shared" si="321"/>
        <v>#DIV/0!</v>
      </c>
      <c r="Y1998" s="19" t="e">
        <f t="shared" si="322"/>
        <v>#DIV/0!</v>
      </c>
      <c r="Z1998">
        <v>0</v>
      </c>
      <c r="AA1998">
        <v>12</v>
      </c>
      <c r="AB1998">
        <v>170</v>
      </c>
      <c r="AC1998">
        <v>4095</v>
      </c>
      <c r="AD1998">
        <v>0</v>
      </c>
      <c r="AE1998">
        <v>0</v>
      </c>
      <c r="AF1998">
        <v>0</v>
      </c>
      <c r="AG1998">
        <v>345</v>
      </c>
      <c r="AH1998">
        <v>345</v>
      </c>
      <c r="AI1998">
        <v>0</v>
      </c>
      <c r="AJ1998">
        <v>0</v>
      </c>
      <c r="AK1998">
        <v>4823</v>
      </c>
      <c r="AL1998">
        <v>4823</v>
      </c>
      <c r="AM1998">
        <v>0</v>
      </c>
      <c r="AN1998">
        <v>0</v>
      </c>
      <c r="AO1998">
        <v>335</v>
      </c>
      <c r="AP1998">
        <v>222</v>
      </c>
      <c r="AQ1998">
        <v>335</v>
      </c>
      <c r="AR1998">
        <v>113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102</v>
      </c>
      <c r="BA1998">
        <v>102</v>
      </c>
      <c r="BB1998">
        <v>0</v>
      </c>
      <c r="BC1998">
        <v>0</v>
      </c>
      <c r="BD1998">
        <v>0</v>
      </c>
      <c r="BE1998">
        <f t="shared" si="323"/>
        <v>15640</v>
      </c>
      <c r="BF1998">
        <v>9882</v>
      </c>
      <c r="BG1998">
        <v>9882</v>
      </c>
      <c r="BH1998" t="s">
        <v>82</v>
      </c>
      <c r="BI1998" t="s">
        <v>537</v>
      </c>
      <c r="BJ1998">
        <v>4277</v>
      </c>
      <c r="BK1998">
        <v>5605</v>
      </c>
      <c r="BL1998">
        <v>9882</v>
      </c>
      <c r="BM1998">
        <v>0</v>
      </c>
      <c r="BN1998">
        <v>0</v>
      </c>
      <c r="BO1998">
        <v>0</v>
      </c>
      <c r="BP1998">
        <v>5605</v>
      </c>
      <c r="BQ1998">
        <v>5605</v>
      </c>
      <c r="BR1998">
        <f t="shared" si="324"/>
        <v>-403</v>
      </c>
      <c r="BS1998">
        <f t="shared" si="325"/>
        <v>403</v>
      </c>
    </row>
    <row r="1999" spans="1:74" x14ac:dyDescent="0.25">
      <c r="A1999" s="5" t="s">
        <v>207</v>
      </c>
      <c r="B1999" s="5" t="s">
        <v>61</v>
      </c>
      <c r="C1999" s="5" t="s">
        <v>207</v>
      </c>
      <c r="D1999" s="1" t="s">
        <v>69</v>
      </c>
      <c r="E1999">
        <v>0</v>
      </c>
      <c r="F1999">
        <v>0</v>
      </c>
      <c r="G1999">
        <v>0</v>
      </c>
      <c r="H1999">
        <v>0</v>
      </c>
      <c r="I1999">
        <v>2527</v>
      </c>
      <c r="J1999">
        <v>0</v>
      </c>
      <c r="K1999">
        <v>0</v>
      </c>
      <c r="L1999">
        <v>40</v>
      </c>
      <c r="M1999">
        <v>0</v>
      </c>
      <c r="N1999">
        <v>0</v>
      </c>
      <c r="O1999">
        <v>0</v>
      </c>
      <c r="P1999">
        <v>0</v>
      </c>
      <c r="Q1999">
        <v>310</v>
      </c>
      <c r="R1999">
        <v>0</v>
      </c>
      <c r="S1999" s="18" t="e">
        <f t="shared" si="316"/>
        <v>#DIV/0!</v>
      </c>
      <c r="T1999" s="17" t="e">
        <f t="shared" si="317"/>
        <v>#DIV/0!</v>
      </c>
      <c r="U1999" s="17" t="e">
        <f t="shared" si="318"/>
        <v>#DIV/0!</v>
      </c>
      <c r="V1999" s="17" t="e">
        <f t="shared" si="319"/>
        <v>#DIV/0!</v>
      </c>
      <c r="W1999" s="17" t="e">
        <f t="shared" si="320"/>
        <v>#DIV/0!</v>
      </c>
      <c r="X1999" s="17" t="e">
        <f t="shared" si="321"/>
        <v>#DIV/0!</v>
      </c>
      <c r="Y1999" s="19" t="e">
        <f t="shared" si="322"/>
        <v>#DIV/0!</v>
      </c>
      <c r="Z1999">
        <v>0</v>
      </c>
      <c r="AA1999">
        <v>0</v>
      </c>
      <c r="AB1999">
        <v>0</v>
      </c>
      <c r="AC1999">
        <v>150</v>
      </c>
      <c r="AD1999">
        <v>2527</v>
      </c>
      <c r="AE1999">
        <v>0</v>
      </c>
      <c r="AF1999">
        <v>0</v>
      </c>
      <c r="AG1999">
        <v>0</v>
      </c>
      <c r="AH1999">
        <v>2527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40</v>
      </c>
      <c r="AY1999">
        <v>0</v>
      </c>
      <c r="AZ1999">
        <v>0</v>
      </c>
      <c r="BA1999">
        <v>40</v>
      </c>
      <c r="BB1999">
        <v>0</v>
      </c>
      <c r="BC1999">
        <v>0</v>
      </c>
      <c r="BD1999">
        <v>0</v>
      </c>
      <c r="BE1999">
        <f t="shared" si="323"/>
        <v>5284</v>
      </c>
      <c r="BF1999">
        <v>2717</v>
      </c>
      <c r="BG1999">
        <v>2717</v>
      </c>
      <c r="BH1999" t="s">
        <v>63</v>
      </c>
      <c r="BI1999" t="s">
        <v>465</v>
      </c>
      <c r="BJ1999">
        <v>150</v>
      </c>
      <c r="BK1999">
        <v>2567</v>
      </c>
      <c r="BL1999">
        <v>2717</v>
      </c>
      <c r="BM1999">
        <v>2567</v>
      </c>
      <c r="BN1999">
        <v>0</v>
      </c>
      <c r="BO1999">
        <v>0</v>
      </c>
      <c r="BP1999">
        <v>0</v>
      </c>
      <c r="BQ1999">
        <v>2567</v>
      </c>
      <c r="BR1999">
        <f t="shared" si="324"/>
        <v>-310</v>
      </c>
      <c r="BS1999">
        <f t="shared" si="325"/>
        <v>310</v>
      </c>
      <c r="BU1999">
        <f>R1999*9</f>
        <v>0</v>
      </c>
      <c r="BV1999">
        <f>IF(BU1999&gt;BG1999, 1, 0)</f>
        <v>0</v>
      </c>
    </row>
    <row r="2000" spans="1:74" x14ac:dyDescent="0.25">
      <c r="A2000" s="5" t="s">
        <v>207</v>
      </c>
      <c r="B2000" s="5" t="s">
        <v>359</v>
      </c>
      <c r="C2000" s="5" t="s">
        <v>61</v>
      </c>
      <c r="D2000" s="1" t="s">
        <v>137</v>
      </c>
      <c r="E2000">
        <v>0</v>
      </c>
      <c r="F2000">
        <v>57</v>
      </c>
      <c r="G2000">
        <v>0</v>
      </c>
      <c r="H2000">
        <v>0</v>
      </c>
      <c r="I2000">
        <v>90</v>
      </c>
      <c r="J2000">
        <v>3929</v>
      </c>
      <c r="K2000">
        <v>761</v>
      </c>
      <c r="L2000">
        <v>60</v>
      </c>
      <c r="M2000">
        <v>0</v>
      </c>
      <c r="N2000">
        <v>0</v>
      </c>
      <c r="O2000">
        <v>0</v>
      </c>
      <c r="P2000">
        <v>513</v>
      </c>
      <c r="Q2000">
        <v>463</v>
      </c>
      <c r="R2000">
        <v>57</v>
      </c>
      <c r="S2000" s="18">
        <f t="shared" si="316"/>
        <v>9</v>
      </c>
      <c r="T2000" s="17">
        <f t="shared" si="317"/>
        <v>0</v>
      </c>
      <c r="U2000" s="17">
        <f t="shared" si="318"/>
        <v>0</v>
      </c>
      <c r="V2000" s="17">
        <f t="shared" si="319"/>
        <v>0</v>
      </c>
      <c r="W2000" s="17">
        <f t="shared" si="320"/>
        <v>57</v>
      </c>
      <c r="X2000" s="17">
        <f t="shared" si="321"/>
        <v>406</v>
      </c>
      <c r="Y2000" s="19">
        <f t="shared" si="322"/>
        <v>0</v>
      </c>
      <c r="Z2000">
        <v>57</v>
      </c>
      <c r="AA2000">
        <v>4</v>
      </c>
      <c r="AB2000">
        <v>180</v>
      </c>
      <c r="AC2000">
        <v>2400</v>
      </c>
      <c r="AD2000">
        <v>0</v>
      </c>
      <c r="AE2000">
        <v>0</v>
      </c>
      <c r="AF2000">
        <v>0</v>
      </c>
      <c r="AG2000">
        <v>90</v>
      </c>
      <c r="AH2000">
        <v>90</v>
      </c>
      <c r="AI2000">
        <v>0</v>
      </c>
      <c r="AJ2000">
        <v>0</v>
      </c>
      <c r="AK2000">
        <v>3929</v>
      </c>
      <c r="AL2000">
        <v>3929</v>
      </c>
      <c r="AM2000">
        <v>0</v>
      </c>
      <c r="AN2000">
        <v>0</v>
      </c>
      <c r="AO2000">
        <v>761</v>
      </c>
      <c r="AP2000">
        <v>0</v>
      </c>
      <c r="AQ2000">
        <v>761</v>
      </c>
      <c r="AR2000">
        <v>761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60</v>
      </c>
      <c r="BA2000">
        <v>60</v>
      </c>
      <c r="BB2000">
        <v>0</v>
      </c>
      <c r="BC2000">
        <v>0</v>
      </c>
      <c r="BD2000">
        <v>0</v>
      </c>
      <c r="BE2000">
        <f t="shared" si="323"/>
        <v>12841</v>
      </c>
      <c r="BF2000">
        <v>7481</v>
      </c>
      <c r="BG2000">
        <v>7481</v>
      </c>
      <c r="BH2000" t="s">
        <v>82</v>
      </c>
      <c r="BI2000" t="s">
        <v>624</v>
      </c>
      <c r="BJ2000">
        <v>2584</v>
      </c>
      <c r="BK2000">
        <v>4840</v>
      </c>
      <c r="BL2000">
        <v>7481</v>
      </c>
      <c r="BM2000">
        <v>0</v>
      </c>
      <c r="BN2000">
        <v>0</v>
      </c>
      <c r="BO2000">
        <v>0</v>
      </c>
      <c r="BP2000">
        <v>5353</v>
      </c>
      <c r="BQ2000">
        <v>5353</v>
      </c>
      <c r="BR2000">
        <f t="shared" si="324"/>
        <v>-406</v>
      </c>
      <c r="BS2000">
        <f t="shared" si="325"/>
        <v>520</v>
      </c>
    </row>
    <row r="2001" spans="1:74" x14ac:dyDescent="0.25">
      <c r="A2001" s="5" t="s">
        <v>207</v>
      </c>
      <c r="B2001" s="5" t="s">
        <v>61</v>
      </c>
      <c r="C2001" s="5" t="s">
        <v>359</v>
      </c>
      <c r="D2001" s="1" t="s">
        <v>69</v>
      </c>
      <c r="E2001">
        <v>0</v>
      </c>
      <c r="F2001">
        <v>0</v>
      </c>
      <c r="G2001">
        <v>0</v>
      </c>
      <c r="H2001">
        <v>0</v>
      </c>
      <c r="I2001">
        <v>1415</v>
      </c>
      <c r="J2001">
        <v>165</v>
      </c>
      <c r="K2001">
        <v>445</v>
      </c>
      <c r="L2001">
        <v>110</v>
      </c>
      <c r="M2001">
        <v>0</v>
      </c>
      <c r="N2001">
        <v>0</v>
      </c>
      <c r="O2001">
        <v>0</v>
      </c>
      <c r="P2001">
        <v>0</v>
      </c>
      <c r="Q2001">
        <v>310</v>
      </c>
      <c r="R2001">
        <v>0</v>
      </c>
      <c r="S2001" s="18" t="e">
        <f t="shared" si="316"/>
        <v>#DIV/0!</v>
      </c>
      <c r="T2001" s="17" t="e">
        <f t="shared" si="317"/>
        <v>#DIV/0!</v>
      </c>
      <c r="U2001" s="17" t="e">
        <f t="shared" si="318"/>
        <v>#DIV/0!</v>
      </c>
      <c r="V2001" s="17" t="e">
        <f t="shared" si="319"/>
        <v>#DIV/0!</v>
      </c>
      <c r="W2001" s="17" t="e">
        <f t="shared" si="320"/>
        <v>#DIV/0!</v>
      </c>
      <c r="X2001" s="17" t="e">
        <f t="shared" si="321"/>
        <v>#DIV/0!</v>
      </c>
      <c r="Y2001" s="19" t="e">
        <f t="shared" si="322"/>
        <v>#DIV/0!</v>
      </c>
      <c r="Z2001">
        <v>0</v>
      </c>
      <c r="AA2001">
        <v>0</v>
      </c>
      <c r="AB2001">
        <v>0</v>
      </c>
      <c r="AC2001">
        <v>928</v>
      </c>
      <c r="AD2001">
        <v>1000</v>
      </c>
      <c r="AE2001">
        <v>0</v>
      </c>
      <c r="AF2001">
        <v>0</v>
      </c>
      <c r="AG2001">
        <v>415</v>
      </c>
      <c r="AH2001">
        <v>1415</v>
      </c>
      <c r="AI2001">
        <v>0</v>
      </c>
      <c r="AJ2001">
        <v>0</v>
      </c>
      <c r="AK2001">
        <v>165</v>
      </c>
      <c r="AL2001">
        <v>165</v>
      </c>
      <c r="AM2001">
        <v>0</v>
      </c>
      <c r="AN2001">
        <v>0</v>
      </c>
      <c r="AO2001">
        <v>445</v>
      </c>
      <c r="AP2001">
        <v>415</v>
      </c>
      <c r="AQ2001">
        <v>445</v>
      </c>
      <c r="AR2001">
        <v>30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110</v>
      </c>
      <c r="BA2001">
        <v>110</v>
      </c>
      <c r="BB2001">
        <v>0</v>
      </c>
      <c r="BC2001">
        <v>0</v>
      </c>
      <c r="BD2001">
        <v>0</v>
      </c>
      <c r="BE2001">
        <f t="shared" si="323"/>
        <v>5643</v>
      </c>
      <c r="BF2001">
        <v>3063</v>
      </c>
      <c r="BG2001">
        <v>3063</v>
      </c>
      <c r="BH2001" t="s">
        <v>63</v>
      </c>
      <c r="BI2001" t="s">
        <v>505</v>
      </c>
      <c r="BJ2001">
        <v>928</v>
      </c>
      <c r="BK2001">
        <v>2135</v>
      </c>
      <c r="BL2001">
        <v>3063</v>
      </c>
      <c r="BM2001">
        <v>1000</v>
      </c>
      <c r="BN2001">
        <v>0</v>
      </c>
      <c r="BO2001">
        <v>0</v>
      </c>
      <c r="BP2001">
        <v>1135</v>
      </c>
      <c r="BQ2001">
        <v>2135</v>
      </c>
      <c r="BR2001">
        <f t="shared" si="324"/>
        <v>-310</v>
      </c>
      <c r="BS2001">
        <f t="shared" si="325"/>
        <v>310</v>
      </c>
      <c r="BU2001">
        <f>R2001*9</f>
        <v>0</v>
      </c>
      <c r="BV2001">
        <f>IF(BU2001&gt;BG2001, 1, 0)</f>
        <v>0</v>
      </c>
    </row>
    <row r="2002" spans="1:74" x14ac:dyDescent="0.25">
      <c r="A2002" s="5" t="s">
        <v>627</v>
      </c>
      <c r="B2002" s="5" t="s">
        <v>359</v>
      </c>
      <c r="C2002" s="5" t="s">
        <v>61</v>
      </c>
      <c r="D2002" s="1" t="s">
        <v>73</v>
      </c>
      <c r="E2002">
        <v>0</v>
      </c>
      <c r="F2002">
        <v>400</v>
      </c>
      <c r="G2002">
        <v>0</v>
      </c>
      <c r="H2002">
        <v>0</v>
      </c>
      <c r="I2002">
        <v>309</v>
      </c>
      <c r="J2002">
        <v>3851</v>
      </c>
      <c r="K2002">
        <v>54</v>
      </c>
      <c r="L2002">
        <v>229</v>
      </c>
      <c r="M2002">
        <v>0</v>
      </c>
      <c r="N2002">
        <v>0</v>
      </c>
      <c r="O2002">
        <v>0</v>
      </c>
      <c r="P2002">
        <v>1278</v>
      </c>
      <c r="Q2002">
        <v>549</v>
      </c>
      <c r="R2002">
        <v>142</v>
      </c>
      <c r="S2002" s="18">
        <f t="shared" si="316"/>
        <v>9</v>
      </c>
      <c r="T2002" s="17">
        <f t="shared" si="317"/>
        <v>0</v>
      </c>
      <c r="U2002" s="17">
        <f t="shared" si="318"/>
        <v>0</v>
      </c>
      <c r="V2002" s="17">
        <f t="shared" si="319"/>
        <v>0</v>
      </c>
      <c r="W2002" s="17">
        <f t="shared" si="320"/>
        <v>142</v>
      </c>
      <c r="X2002" s="17">
        <f t="shared" si="321"/>
        <v>407</v>
      </c>
      <c r="Y2002" s="19">
        <f t="shared" si="322"/>
        <v>0</v>
      </c>
      <c r="Z2002">
        <v>400</v>
      </c>
      <c r="AA2002">
        <v>24</v>
      </c>
      <c r="AB2002">
        <v>404</v>
      </c>
      <c r="AC2002">
        <v>4314</v>
      </c>
      <c r="AD2002">
        <v>0</v>
      </c>
      <c r="AE2002">
        <v>0</v>
      </c>
      <c r="AF2002">
        <v>0</v>
      </c>
      <c r="AG2002">
        <v>309</v>
      </c>
      <c r="AH2002">
        <v>309</v>
      </c>
      <c r="AI2002">
        <v>0</v>
      </c>
      <c r="AJ2002">
        <v>0</v>
      </c>
      <c r="AK2002">
        <v>3851</v>
      </c>
      <c r="AL2002">
        <v>3851</v>
      </c>
      <c r="AM2002">
        <v>0</v>
      </c>
      <c r="AN2002">
        <v>0</v>
      </c>
      <c r="AO2002">
        <v>54</v>
      </c>
      <c r="AP2002">
        <v>0</v>
      </c>
      <c r="AQ2002">
        <v>54</v>
      </c>
      <c r="AR2002">
        <v>54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229</v>
      </c>
      <c r="BA2002">
        <v>229</v>
      </c>
      <c r="BB2002">
        <v>0</v>
      </c>
      <c r="BC2002">
        <v>0</v>
      </c>
      <c r="BD2002">
        <v>0</v>
      </c>
      <c r="BE2002">
        <f t="shared" si="323"/>
        <v>13254</v>
      </c>
      <c r="BF2002">
        <v>9585</v>
      </c>
      <c r="BG2002">
        <v>9585</v>
      </c>
      <c r="BH2002" t="s">
        <v>82</v>
      </c>
      <c r="BI2002" t="s">
        <v>851</v>
      </c>
      <c r="BJ2002">
        <v>4742</v>
      </c>
      <c r="BK2002">
        <v>4443</v>
      </c>
      <c r="BL2002">
        <v>9585</v>
      </c>
      <c r="BM2002">
        <v>0</v>
      </c>
      <c r="BN2002">
        <v>0</v>
      </c>
      <c r="BO2002">
        <v>0</v>
      </c>
      <c r="BP2002">
        <v>5721</v>
      </c>
      <c r="BQ2002">
        <v>5721</v>
      </c>
      <c r="BR2002">
        <f t="shared" si="324"/>
        <v>-407</v>
      </c>
      <c r="BS2002">
        <f t="shared" si="325"/>
        <v>691</v>
      </c>
    </row>
    <row r="2003" spans="1:74" x14ac:dyDescent="0.25">
      <c r="A2003" s="5" t="s">
        <v>1946</v>
      </c>
      <c r="B2003" s="5" t="s">
        <v>207</v>
      </c>
      <c r="C2003" s="5" t="s">
        <v>207</v>
      </c>
      <c r="D2003" s="1" t="s">
        <v>94</v>
      </c>
      <c r="E2003">
        <v>0</v>
      </c>
      <c r="F2003">
        <v>175</v>
      </c>
      <c r="G2003">
        <v>0</v>
      </c>
      <c r="H2003">
        <v>0</v>
      </c>
      <c r="I2003">
        <v>507</v>
      </c>
      <c r="J2003">
        <v>2250</v>
      </c>
      <c r="K2003">
        <v>739</v>
      </c>
      <c r="L2003">
        <v>0</v>
      </c>
      <c r="M2003">
        <v>0</v>
      </c>
      <c r="N2003">
        <v>0</v>
      </c>
      <c r="O2003">
        <v>0</v>
      </c>
      <c r="P2003">
        <v>189</v>
      </c>
      <c r="Q2003">
        <v>429</v>
      </c>
      <c r="R2003">
        <v>21</v>
      </c>
      <c r="S2003" s="18">
        <f t="shared" si="316"/>
        <v>9</v>
      </c>
      <c r="T2003" s="17">
        <f t="shared" si="317"/>
        <v>0</v>
      </c>
      <c r="U2003" s="17">
        <f t="shared" si="318"/>
        <v>0</v>
      </c>
      <c r="V2003" s="17">
        <f t="shared" si="319"/>
        <v>0</v>
      </c>
      <c r="W2003" s="17">
        <f t="shared" si="320"/>
        <v>21</v>
      </c>
      <c r="X2003" s="17">
        <f t="shared" si="321"/>
        <v>408</v>
      </c>
      <c r="Y2003" s="19">
        <f t="shared" si="322"/>
        <v>0</v>
      </c>
      <c r="Z2003">
        <v>175</v>
      </c>
      <c r="AA2003">
        <v>0</v>
      </c>
      <c r="AB2003">
        <v>160</v>
      </c>
      <c r="AC2003">
        <v>2476</v>
      </c>
      <c r="AD2003">
        <v>0</v>
      </c>
      <c r="AE2003">
        <v>0</v>
      </c>
      <c r="AF2003">
        <v>0</v>
      </c>
      <c r="AG2003">
        <v>507</v>
      </c>
      <c r="AH2003">
        <v>507</v>
      </c>
      <c r="AI2003">
        <v>0</v>
      </c>
      <c r="AJ2003">
        <v>1250</v>
      </c>
      <c r="AK2003">
        <v>1000</v>
      </c>
      <c r="AL2003">
        <v>2250</v>
      </c>
      <c r="AM2003">
        <v>0</v>
      </c>
      <c r="AN2003">
        <v>0</v>
      </c>
      <c r="AO2003">
        <v>739</v>
      </c>
      <c r="AP2003">
        <v>289</v>
      </c>
      <c r="AQ2003">
        <v>739</v>
      </c>
      <c r="AR2003">
        <v>450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f t="shared" si="323"/>
        <v>10207</v>
      </c>
      <c r="BF2003">
        <v>6307</v>
      </c>
      <c r="BG2003">
        <v>6307</v>
      </c>
      <c r="BH2003" t="s">
        <v>82</v>
      </c>
      <c r="BI2003" t="s">
        <v>2054</v>
      </c>
      <c r="BJ2003">
        <v>2636</v>
      </c>
      <c r="BK2003">
        <v>3496</v>
      </c>
      <c r="BL2003">
        <v>6307</v>
      </c>
      <c r="BM2003">
        <v>0</v>
      </c>
      <c r="BN2003">
        <v>1250</v>
      </c>
      <c r="BO2003">
        <v>0</v>
      </c>
      <c r="BP2003">
        <v>2435</v>
      </c>
      <c r="BQ2003">
        <v>3685</v>
      </c>
      <c r="BR2003">
        <f t="shared" si="324"/>
        <v>-408</v>
      </c>
      <c r="BS2003">
        <f t="shared" si="325"/>
        <v>450</v>
      </c>
    </row>
    <row r="2004" spans="1:74" x14ac:dyDescent="0.25">
      <c r="A2004" s="5" t="s">
        <v>207</v>
      </c>
      <c r="B2004" s="5" t="s">
        <v>61</v>
      </c>
      <c r="C2004" s="5" t="s">
        <v>207</v>
      </c>
      <c r="D2004" s="1" t="s">
        <v>123</v>
      </c>
      <c r="E2004">
        <v>0</v>
      </c>
      <c r="F2004">
        <v>0</v>
      </c>
      <c r="G2004">
        <v>0</v>
      </c>
      <c r="H2004">
        <v>0</v>
      </c>
      <c r="I2004">
        <v>44</v>
      </c>
      <c r="J2004">
        <v>3274</v>
      </c>
      <c r="K2004">
        <v>550</v>
      </c>
      <c r="L2004">
        <v>80</v>
      </c>
      <c r="M2004">
        <v>0</v>
      </c>
      <c r="N2004">
        <v>0</v>
      </c>
      <c r="O2004">
        <v>0</v>
      </c>
      <c r="P2004">
        <v>0</v>
      </c>
      <c r="Q2004">
        <v>409</v>
      </c>
      <c r="R2004">
        <v>0</v>
      </c>
      <c r="S2004" s="18" t="e">
        <f t="shared" si="316"/>
        <v>#DIV/0!</v>
      </c>
      <c r="T2004" s="17" t="e">
        <f t="shared" si="317"/>
        <v>#DIV/0!</v>
      </c>
      <c r="U2004" s="17" t="e">
        <f t="shared" si="318"/>
        <v>#DIV/0!</v>
      </c>
      <c r="V2004" s="17" t="e">
        <f t="shared" si="319"/>
        <v>#DIV/0!</v>
      </c>
      <c r="W2004" s="17" t="e">
        <f t="shared" si="320"/>
        <v>#DIV/0!</v>
      </c>
      <c r="X2004" s="17" t="e">
        <f t="shared" si="321"/>
        <v>#DIV/0!</v>
      </c>
      <c r="Y2004" s="19" t="e">
        <f t="shared" si="322"/>
        <v>#DIV/0!</v>
      </c>
      <c r="Z2004">
        <v>0</v>
      </c>
      <c r="AA2004">
        <v>0</v>
      </c>
      <c r="AB2004">
        <v>70</v>
      </c>
      <c r="AC2004">
        <v>1430</v>
      </c>
      <c r="AD2004">
        <v>0</v>
      </c>
      <c r="AE2004">
        <v>0</v>
      </c>
      <c r="AF2004">
        <v>0</v>
      </c>
      <c r="AG2004">
        <v>44</v>
      </c>
      <c r="AH2004">
        <v>44</v>
      </c>
      <c r="AI2004">
        <v>0</v>
      </c>
      <c r="AJ2004">
        <v>0</v>
      </c>
      <c r="AK2004">
        <v>3274</v>
      </c>
      <c r="AL2004">
        <v>3274</v>
      </c>
      <c r="AM2004">
        <v>0</v>
      </c>
      <c r="AN2004">
        <v>0</v>
      </c>
      <c r="AO2004">
        <v>550</v>
      </c>
      <c r="AP2004">
        <v>50</v>
      </c>
      <c r="AQ2004">
        <v>550</v>
      </c>
      <c r="AR2004">
        <v>500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80</v>
      </c>
      <c r="BA2004">
        <v>80</v>
      </c>
      <c r="BB2004">
        <v>0</v>
      </c>
      <c r="BC2004">
        <v>0</v>
      </c>
      <c r="BD2004">
        <v>0</v>
      </c>
      <c r="BE2004">
        <f t="shared" si="323"/>
        <v>9876</v>
      </c>
      <c r="BF2004">
        <v>5448</v>
      </c>
      <c r="BG2004">
        <v>5448</v>
      </c>
      <c r="BH2004" t="s">
        <v>82</v>
      </c>
      <c r="BI2004" t="s">
        <v>491</v>
      </c>
      <c r="BJ2004">
        <v>1500</v>
      </c>
      <c r="BK2004">
        <v>3948</v>
      </c>
      <c r="BL2004">
        <v>5448</v>
      </c>
      <c r="BM2004">
        <v>0</v>
      </c>
      <c r="BN2004">
        <v>0</v>
      </c>
      <c r="BO2004">
        <v>0</v>
      </c>
      <c r="BP2004">
        <v>3948</v>
      </c>
      <c r="BQ2004">
        <v>3948</v>
      </c>
      <c r="BR2004">
        <f t="shared" si="324"/>
        <v>-409</v>
      </c>
      <c r="BS2004">
        <f t="shared" si="325"/>
        <v>409</v>
      </c>
    </row>
    <row r="2005" spans="1:74" x14ac:dyDescent="0.25">
      <c r="A2005" s="5" t="s">
        <v>1017</v>
      </c>
      <c r="B2005" s="5" t="s">
        <v>61</v>
      </c>
      <c r="C2005" s="5" t="s">
        <v>207</v>
      </c>
      <c r="D2005" s="1" t="s">
        <v>121</v>
      </c>
      <c r="E2005">
        <v>0</v>
      </c>
      <c r="F2005">
        <v>566</v>
      </c>
      <c r="G2005">
        <v>0</v>
      </c>
      <c r="H2005">
        <v>0</v>
      </c>
      <c r="I2005">
        <v>372</v>
      </c>
      <c r="J2005">
        <v>1899</v>
      </c>
      <c r="K2005">
        <v>1183</v>
      </c>
      <c r="L2005">
        <v>53</v>
      </c>
      <c r="M2005">
        <v>0</v>
      </c>
      <c r="N2005">
        <v>0</v>
      </c>
      <c r="O2005">
        <v>0</v>
      </c>
      <c r="P2005">
        <v>828</v>
      </c>
      <c r="Q2005">
        <v>501</v>
      </c>
      <c r="R2005">
        <v>92</v>
      </c>
      <c r="S2005" s="18">
        <f t="shared" si="316"/>
        <v>9</v>
      </c>
      <c r="T2005" s="17">
        <f t="shared" si="317"/>
        <v>0</v>
      </c>
      <c r="U2005" s="17">
        <f t="shared" si="318"/>
        <v>0</v>
      </c>
      <c r="V2005" s="17">
        <f t="shared" si="319"/>
        <v>0</v>
      </c>
      <c r="W2005" s="17">
        <f t="shared" si="320"/>
        <v>92</v>
      </c>
      <c r="X2005" s="17">
        <f t="shared" si="321"/>
        <v>409</v>
      </c>
      <c r="Y2005" s="19">
        <f t="shared" si="322"/>
        <v>0</v>
      </c>
      <c r="Z2005">
        <v>566</v>
      </c>
      <c r="AA2005">
        <v>0</v>
      </c>
      <c r="AB2005">
        <v>0</v>
      </c>
      <c r="AC2005">
        <v>2724</v>
      </c>
      <c r="AD2005">
        <v>0</v>
      </c>
      <c r="AE2005">
        <v>0</v>
      </c>
      <c r="AF2005">
        <v>0</v>
      </c>
      <c r="AG2005">
        <v>372</v>
      </c>
      <c r="AH2005">
        <v>372</v>
      </c>
      <c r="AI2005">
        <v>0</v>
      </c>
      <c r="AJ2005">
        <v>0</v>
      </c>
      <c r="AK2005">
        <v>1899</v>
      </c>
      <c r="AL2005">
        <v>1899</v>
      </c>
      <c r="AM2005">
        <v>0</v>
      </c>
      <c r="AN2005">
        <v>0</v>
      </c>
      <c r="AO2005">
        <v>1183</v>
      </c>
      <c r="AP2005">
        <v>871</v>
      </c>
      <c r="AQ2005">
        <v>1183</v>
      </c>
      <c r="AR2005">
        <v>312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53</v>
      </c>
      <c r="BA2005">
        <v>53</v>
      </c>
      <c r="BB2005">
        <v>0</v>
      </c>
      <c r="BC2005">
        <v>0</v>
      </c>
      <c r="BD2005">
        <v>0</v>
      </c>
      <c r="BE2005">
        <f t="shared" si="323"/>
        <v>10921</v>
      </c>
      <c r="BF2005">
        <v>6797</v>
      </c>
      <c r="BG2005">
        <v>6797</v>
      </c>
      <c r="BH2005" t="s">
        <v>82</v>
      </c>
      <c r="BI2005" t="s">
        <v>1072</v>
      </c>
      <c r="BJ2005">
        <v>2724</v>
      </c>
      <c r="BK2005">
        <v>3507</v>
      </c>
      <c r="BL2005">
        <v>6797</v>
      </c>
      <c r="BM2005">
        <v>0</v>
      </c>
      <c r="BN2005">
        <v>0</v>
      </c>
      <c r="BO2005">
        <v>0</v>
      </c>
      <c r="BP2005">
        <v>4335</v>
      </c>
      <c r="BQ2005">
        <v>4335</v>
      </c>
      <c r="BR2005">
        <f t="shared" si="324"/>
        <v>-409</v>
      </c>
      <c r="BS2005">
        <f t="shared" si="325"/>
        <v>593</v>
      </c>
    </row>
    <row r="2006" spans="1:74" x14ac:dyDescent="0.25">
      <c r="A2006" s="5" t="s">
        <v>1017</v>
      </c>
      <c r="B2006" s="5" t="s">
        <v>207</v>
      </c>
      <c r="C2006" s="5" t="s">
        <v>61</v>
      </c>
      <c r="D2006" s="1" t="s">
        <v>100</v>
      </c>
      <c r="E2006">
        <v>150</v>
      </c>
      <c r="F2006">
        <v>0</v>
      </c>
      <c r="G2006">
        <v>0</v>
      </c>
      <c r="H2006">
        <v>0</v>
      </c>
      <c r="I2006">
        <v>894</v>
      </c>
      <c r="J2006">
        <v>7955</v>
      </c>
      <c r="K2006">
        <v>1251</v>
      </c>
      <c r="L2006">
        <v>230</v>
      </c>
      <c r="M2006">
        <v>0</v>
      </c>
      <c r="N2006">
        <v>0</v>
      </c>
      <c r="O2006">
        <v>0</v>
      </c>
      <c r="P2006">
        <v>0</v>
      </c>
      <c r="Q2006">
        <v>409</v>
      </c>
      <c r="R2006">
        <v>0</v>
      </c>
      <c r="S2006" s="18" t="e">
        <f t="shared" si="316"/>
        <v>#DIV/0!</v>
      </c>
      <c r="T2006" s="17" t="e">
        <f t="shared" si="317"/>
        <v>#DIV/0!</v>
      </c>
      <c r="U2006" s="17" t="e">
        <f t="shared" si="318"/>
        <v>#DIV/0!</v>
      </c>
      <c r="V2006" s="17" t="e">
        <f t="shared" si="319"/>
        <v>#DIV/0!</v>
      </c>
      <c r="W2006" s="17" t="e">
        <f t="shared" si="320"/>
        <v>#DIV/0!</v>
      </c>
      <c r="X2006" s="17" t="e">
        <f t="shared" si="321"/>
        <v>#DIV/0!</v>
      </c>
      <c r="Y2006" s="19" t="e">
        <f t="shared" si="322"/>
        <v>#DIV/0!</v>
      </c>
      <c r="Z2006">
        <v>0</v>
      </c>
      <c r="AA2006">
        <v>0</v>
      </c>
      <c r="AB2006">
        <v>0</v>
      </c>
      <c r="AC2006">
        <v>2570</v>
      </c>
      <c r="AD2006">
        <v>0</v>
      </c>
      <c r="AE2006">
        <v>0</v>
      </c>
      <c r="AF2006">
        <v>0</v>
      </c>
      <c r="AG2006">
        <v>894</v>
      </c>
      <c r="AH2006">
        <v>894</v>
      </c>
      <c r="AI2006">
        <v>0</v>
      </c>
      <c r="AJ2006">
        <v>0</v>
      </c>
      <c r="AK2006">
        <v>7955</v>
      </c>
      <c r="AL2006">
        <v>7955</v>
      </c>
      <c r="AM2006">
        <v>0</v>
      </c>
      <c r="AN2006">
        <v>0</v>
      </c>
      <c r="AO2006">
        <v>1251</v>
      </c>
      <c r="AP2006">
        <v>686</v>
      </c>
      <c r="AQ2006">
        <v>1251</v>
      </c>
      <c r="AR2006">
        <v>565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230</v>
      </c>
      <c r="BA2006">
        <v>230</v>
      </c>
      <c r="BB2006">
        <v>0</v>
      </c>
      <c r="BC2006">
        <v>0</v>
      </c>
      <c r="BD2006">
        <v>0</v>
      </c>
      <c r="BE2006">
        <f t="shared" si="323"/>
        <v>24481</v>
      </c>
      <c r="BF2006">
        <v>13050</v>
      </c>
      <c r="BG2006">
        <v>13050</v>
      </c>
      <c r="BH2006" t="s">
        <v>82</v>
      </c>
      <c r="BI2006" t="s">
        <v>1102</v>
      </c>
      <c r="BJ2006">
        <v>2720</v>
      </c>
      <c r="BK2006">
        <v>10330</v>
      </c>
      <c r="BL2006">
        <v>13050</v>
      </c>
      <c r="BM2006">
        <v>0</v>
      </c>
      <c r="BN2006">
        <v>0</v>
      </c>
      <c r="BO2006">
        <v>0</v>
      </c>
      <c r="BP2006">
        <v>10330</v>
      </c>
      <c r="BQ2006">
        <v>10330</v>
      </c>
      <c r="BR2006">
        <f t="shared" si="324"/>
        <v>-409</v>
      </c>
      <c r="BS2006">
        <f t="shared" si="325"/>
        <v>409</v>
      </c>
    </row>
    <row r="2007" spans="1:74" x14ac:dyDescent="0.25">
      <c r="A2007" s="5" t="s">
        <v>1946</v>
      </c>
      <c r="B2007" s="5" t="s">
        <v>61</v>
      </c>
      <c r="C2007" s="5" t="s">
        <v>61</v>
      </c>
      <c r="D2007" s="1" t="s">
        <v>119</v>
      </c>
      <c r="E2007">
        <v>290</v>
      </c>
      <c r="F2007">
        <v>0</v>
      </c>
      <c r="G2007">
        <v>0</v>
      </c>
      <c r="H2007">
        <v>0</v>
      </c>
      <c r="I2007">
        <v>650</v>
      </c>
      <c r="J2007">
        <v>5287</v>
      </c>
      <c r="K2007">
        <v>141</v>
      </c>
      <c r="L2007">
        <v>152</v>
      </c>
      <c r="M2007">
        <v>0</v>
      </c>
      <c r="N2007">
        <v>0</v>
      </c>
      <c r="O2007">
        <v>0</v>
      </c>
      <c r="P2007">
        <v>0</v>
      </c>
      <c r="Q2007">
        <v>409</v>
      </c>
      <c r="R2007">
        <v>0</v>
      </c>
      <c r="S2007" s="18" t="e">
        <f t="shared" si="316"/>
        <v>#DIV/0!</v>
      </c>
      <c r="T2007" s="17" t="e">
        <f t="shared" si="317"/>
        <v>#DIV/0!</v>
      </c>
      <c r="U2007" s="17" t="e">
        <f t="shared" si="318"/>
        <v>#DIV/0!</v>
      </c>
      <c r="V2007" s="17" t="e">
        <f t="shared" si="319"/>
        <v>#DIV/0!</v>
      </c>
      <c r="W2007" s="17" t="e">
        <f t="shared" si="320"/>
        <v>#DIV/0!</v>
      </c>
      <c r="X2007" s="17" t="e">
        <f t="shared" si="321"/>
        <v>#DIV/0!</v>
      </c>
      <c r="Y2007" s="19" t="e">
        <f t="shared" si="322"/>
        <v>#DIV/0!</v>
      </c>
      <c r="Z2007">
        <v>0</v>
      </c>
      <c r="AA2007">
        <v>7</v>
      </c>
      <c r="AB2007">
        <v>202</v>
      </c>
      <c r="AC2007">
        <v>1340</v>
      </c>
      <c r="AD2007">
        <v>0</v>
      </c>
      <c r="AE2007">
        <v>0</v>
      </c>
      <c r="AF2007">
        <v>0</v>
      </c>
      <c r="AG2007">
        <v>650</v>
      </c>
      <c r="AH2007">
        <v>650</v>
      </c>
      <c r="AI2007">
        <v>0</v>
      </c>
      <c r="AJ2007">
        <v>0</v>
      </c>
      <c r="AK2007">
        <v>5287</v>
      </c>
      <c r="AL2007">
        <v>5287</v>
      </c>
      <c r="AM2007">
        <v>0</v>
      </c>
      <c r="AN2007">
        <v>0</v>
      </c>
      <c r="AO2007">
        <v>141</v>
      </c>
      <c r="AP2007">
        <v>0</v>
      </c>
      <c r="AQ2007">
        <v>141</v>
      </c>
      <c r="AR2007">
        <v>141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152</v>
      </c>
      <c r="BA2007">
        <v>152</v>
      </c>
      <c r="BB2007">
        <v>0</v>
      </c>
      <c r="BC2007">
        <v>0</v>
      </c>
      <c r="BD2007">
        <v>0</v>
      </c>
      <c r="BE2007">
        <f t="shared" si="323"/>
        <v>13941</v>
      </c>
      <c r="BF2007">
        <v>8069</v>
      </c>
      <c r="BG2007">
        <v>8069</v>
      </c>
      <c r="BH2007" t="s">
        <v>82</v>
      </c>
      <c r="BI2007" t="s">
        <v>1972</v>
      </c>
      <c r="BJ2007">
        <v>1839</v>
      </c>
      <c r="BK2007">
        <v>6230</v>
      </c>
      <c r="BL2007">
        <v>8069</v>
      </c>
      <c r="BM2007">
        <v>0</v>
      </c>
      <c r="BN2007">
        <v>0</v>
      </c>
      <c r="BO2007">
        <v>0</v>
      </c>
      <c r="BP2007">
        <v>6230</v>
      </c>
      <c r="BQ2007">
        <v>6230</v>
      </c>
      <c r="BR2007">
        <f t="shared" si="324"/>
        <v>-409</v>
      </c>
      <c r="BS2007">
        <f t="shared" si="325"/>
        <v>409</v>
      </c>
    </row>
    <row r="2008" spans="1:74" x14ac:dyDescent="0.25">
      <c r="A2008" s="5" t="s">
        <v>1135</v>
      </c>
      <c r="B2008" s="5" t="s">
        <v>207</v>
      </c>
      <c r="C2008" s="5" t="s">
        <v>61</v>
      </c>
      <c r="D2008" s="1" t="s">
        <v>133</v>
      </c>
      <c r="E2008">
        <v>0</v>
      </c>
      <c r="F2008">
        <v>235</v>
      </c>
      <c r="G2008">
        <v>0</v>
      </c>
      <c r="H2008">
        <v>0</v>
      </c>
      <c r="I2008">
        <v>656</v>
      </c>
      <c r="J2008">
        <v>11297</v>
      </c>
      <c r="K2008">
        <v>280</v>
      </c>
      <c r="L2008">
        <v>900</v>
      </c>
      <c r="M2008">
        <v>0</v>
      </c>
      <c r="N2008">
        <v>0</v>
      </c>
      <c r="O2008">
        <v>0</v>
      </c>
      <c r="P2008">
        <v>1035</v>
      </c>
      <c r="Q2008">
        <v>525</v>
      </c>
      <c r="R2008">
        <v>115</v>
      </c>
      <c r="S2008" s="18">
        <f t="shared" si="316"/>
        <v>9</v>
      </c>
      <c r="T2008" s="17">
        <f t="shared" si="317"/>
        <v>0</v>
      </c>
      <c r="U2008" s="17">
        <f t="shared" si="318"/>
        <v>0</v>
      </c>
      <c r="V2008" s="17">
        <f t="shared" si="319"/>
        <v>0</v>
      </c>
      <c r="W2008" s="17">
        <f t="shared" si="320"/>
        <v>115</v>
      </c>
      <c r="X2008" s="17">
        <f t="shared" si="321"/>
        <v>410</v>
      </c>
      <c r="Y2008" s="19">
        <f t="shared" si="322"/>
        <v>0</v>
      </c>
      <c r="Z2008">
        <v>235</v>
      </c>
      <c r="AA2008">
        <v>20</v>
      </c>
      <c r="AB2008">
        <v>650</v>
      </c>
      <c r="AC2008">
        <v>6854</v>
      </c>
      <c r="AD2008">
        <v>0</v>
      </c>
      <c r="AE2008">
        <v>0</v>
      </c>
      <c r="AF2008">
        <v>0</v>
      </c>
      <c r="AG2008">
        <v>656</v>
      </c>
      <c r="AH2008">
        <v>656</v>
      </c>
      <c r="AI2008">
        <v>0</v>
      </c>
      <c r="AJ2008">
        <v>0</v>
      </c>
      <c r="AK2008">
        <v>11297</v>
      </c>
      <c r="AL2008">
        <v>11297</v>
      </c>
      <c r="AM2008">
        <v>0</v>
      </c>
      <c r="AN2008">
        <v>0</v>
      </c>
      <c r="AO2008">
        <v>280</v>
      </c>
      <c r="AP2008">
        <v>65</v>
      </c>
      <c r="AQ2008">
        <v>280</v>
      </c>
      <c r="AR2008">
        <v>215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900</v>
      </c>
      <c r="BA2008">
        <v>900</v>
      </c>
      <c r="BB2008">
        <v>0</v>
      </c>
      <c r="BC2008">
        <v>0</v>
      </c>
      <c r="BD2008">
        <v>0</v>
      </c>
      <c r="BE2008">
        <f t="shared" si="323"/>
        <v>33400</v>
      </c>
      <c r="BF2008">
        <v>20892</v>
      </c>
      <c r="BG2008">
        <v>20892</v>
      </c>
      <c r="BH2008" t="s">
        <v>82</v>
      </c>
      <c r="BI2008" t="s">
        <v>1230</v>
      </c>
      <c r="BJ2008">
        <v>7524</v>
      </c>
      <c r="BK2008">
        <v>13133</v>
      </c>
      <c r="BL2008">
        <v>20892</v>
      </c>
      <c r="BM2008">
        <v>0</v>
      </c>
      <c r="BN2008">
        <v>0</v>
      </c>
      <c r="BO2008">
        <v>0</v>
      </c>
      <c r="BP2008">
        <v>14168</v>
      </c>
      <c r="BQ2008">
        <v>14168</v>
      </c>
      <c r="BR2008">
        <f t="shared" si="324"/>
        <v>-410</v>
      </c>
      <c r="BS2008">
        <f t="shared" si="325"/>
        <v>640</v>
      </c>
    </row>
    <row r="2009" spans="1:74" x14ac:dyDescent="0.25">
      <c r="A2009" s="5" t="s">
        <v>1661</v>
      </c>
      <c r="B2009" s="5" t="s">
        <v>359</v>
      </c>
      <c r="C2009" s="5" t="s">
        <v>61</v>
      </c>
      <c r="D2009" s="1" t="s">
        <v>119</v>
      </c>
      <c r="E2009">
        <v>0</v>
      </c>
      <c r="F2009">
        <v>0</v>
      </c>
      <c r="G2009">
        <v>0</v>
      </c>
      <c r="H2009">
        <v>0</v>
      </c>
      <c r="I2009">
        <v>155</v>
      </c>
      <c r="J2009">
        <v>4810</v>
      </c>
      <c r="K2009">
        <v>785</v>
      </c>
      <c r="L2009">
        <v>336</v>
      </c>
      <c r="M2009">
        <v>0</v>
      </c>
      <c r="N2009">
        <v>0</v>
      </c>
      <c r="O2009">
        <v>0</v>
      </c>
      <c r="P2009">
        <v>0</v>
      </c>
      <c r="Q2009">
        <v>411</v>
      </c>
      <c r="R2009">
        <v>0</v>
      </c>
      <c r="S2009" s="18" t="e">
        <f t="shared" si="316"/>
        <v>#DIV/0!</v>
      </c>
      <c r="T2009" s="17" t="e">
        <f t="shared" si="317"/>
        <v>#DIV/0!</v>
      </c>
      <c r="U2009" s="17" t="e">
        <f t="shared" si="318"/>
        <v>#DIV/0!</v>
      </c>
      <c r="V2009" s="17" t="e">
        <f t="shared" si="319"/>
        <v>#DIV/0!</v>
      </c>
      <c r="W2009" s="17" t="e">
        <f t="shared" si="320"/>
        <v>#DIV/0!</v>
      </c>
      <c r="X2009" s="17" t="e">
        <f t="shared" si="321"/>
        <v>#DIV/0!</v>
      </c>
      <c r="Y2009" s="19" t="e">
        <f t="shared" si="322"/>
        <v>#DIV/0!</v>
      </c>
      <c r="Z2009">
        <v>0</v>
      </c>
      <c r="AA2009">
        <v>30</v>
      </c>
      <c r="AB2009">
        <v>600</v>
      </c>
      <c r="AC2009">
        <v>6995</v>
      </c>
      <c r="AD2009">
        <v>0</v>
      </c>
      <c r="AE2009">
        <v>0</v>
      </c>
      <c r="AF2009">
        <v>0</v>
      </c>
      <c r="AG2009">
        <v>155</v>
      </c>
      <c r="AH2009">
        <v>155</v>
      </c>
      <c r="AI2009">
        <v>0</v>
      </c>
      <c r="AJ2009">
        <v>0</v>
      </c>
      <c r="AK2009">
        <v>4810</v>
      </c>
      <c r="AL2009">
        <v>4810</v>
      </c>
      <c r="AM2009">
        <v>0</v>
      </c>
      <c r="AN2009">
        <v>0</v>
      </c>
      <c r="AO2009">
        <v>785</v>
      </c>
      <c r="AP2009">
        <v>485</v>
      </c>
      <c r="AQ2009">
        <v>785</v>
      </c>
      <c r="AR2009">
        <v>300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336</v>
      </c>
      <c r="BA2009">
        <v>336</v>
      </c>
      <c r="BB2009">
        <v>0</v>
      </c>
      <c r="BC2009">
        <v>0</v>
      </c>
      <c r="BD2009">
        <v>0</v>
      </c>
      <c r="BE2009">
        <f t="shared" si="323"/>
        <v>19952</v>
      </c>
      <c r="BF2009">
        <v>13711</v>
      </c>
      <c r="BG2009">
        <v>13711</v>
      </c>
      <c r="BH2009" t="s">
        <v>82</v>
      </c>
      <c r="BI2009" t="s">
        <v>1878</v>
      </c>
      <c r="BJ2009">
        <v>7625</v>
      </c>
      <c r="BK2009">
        <v>6086</v>
      </c>
      <c r="BL2009">
        <v>13711</v>
      </c>
      <c r="BM2009">
        <v>0</v>
      </c>
      <c r="BN2009">
        <v>0</v>
      </c>
      <c r="BO2009">
        <v>0</v>
      </c>
      <c r="BP2009">
        <v>6086</v>
      </c>
      <c r="BQ2009">
        <v>6086</v>
      </c>
      <c r="BR2009">
        <f t="shared" si="324"/>
        <v>-411</v>
      </c>
      <c r="BS2009">
        <f t="shared" si="325"/>
        <v>411</v>
      </c>
    </row>
    <row r="2010" spans="1:74" x14ac:dyDescent="0.25">
      <c r="A2010" s="5" t="s">
        <v>2090</v>
      </c>
      <c r="B2010" s="5" t="s">
        <v>207</v>
      </c>
      <c r="C2010" s="5" t="s">
        <v>61</v>
      </c>
      <c r="D2010" s="1" t="s">
        <v>131</v>
      </c>
      <c r="E2010">
        <v>0</v>
      </c>
      <c r="F2010">
        <v>8426</v>
      </c>
      <c r="G2010">
        <v>0</v>
      </c>
      <c r="H2010">
        <v>0</v>
      </c>
      <c r="I2010">
        <v>3032</v>
      </c>
      <c r="J2010">
        <v>0</v>
      </c>
      <c r="K2010">
        <v>0</v>
      </c>
      <c r="L2010">
        <v>0</v>
      </c>
      <c r="M2010">
        <v>4419</v>
      </c>
      <c r="N2010">
        <v>0</v>
      </c>
      <c r="O2010">
        <v>0</v>
      </c>
      <c r="P2010">
        <v>5130</v>
      </c>
      <c r="Q2010">
        <v>1472</v>
      </c>
      <c r="R2010">
        <v>1061</v>
      </c>
      <c r="S2010" s="18">
        <f t="shared" si="316"/>
        <v>9</v>
      </c>
      <c r="T2010" s="17">
        <f t="shared" si="317"/>
        <v>491</v>
      </c>
      <c r="U2010" s="17">
        <f t="shared" si="318"/>
        <v>0</v>
      </c>
      <c r="V2010" s="17">
        <f t="shared" si="319"/>
        <v>0</v>
      </c>
      <c r="W2010" s="17">
        <f t="shared" si="320"/>
        <v>570</v>
      </c>
      <c r="X2010" s="17">
        <f t="shared" si="321"/>
        <v>411</v>
      </c>
      <c r="Y2010" s="19">
        <f t="shared" si="322"/>
        <v>0</v>
      </c>
      <c r="Z2010">
        <v>8426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3032</v>
      </c>
      <c r="AH2010">
        <v>3032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f t="shared" si="323"/>
        <v>6064</v>
      </c>
      <c r="BF2010">
        <v>11458</v>
      </c>
      <c r="BG2010">
        <v>11458</v>
      </c>
      <c r="BH2010" t="s">
        <v>560</v>
      </c>
      <c r="BI2010" t="s">
        <v>2244</v>
      </c>
      <c r="BJ2010">
        <v>0</v>
      </c>
      <c r="BK2010">
        <v>3032</v>
      </c>
      <c r="BL2010">
        <v>11458</v>
      </c>
      <c r="BM2010">
        <v>4419</v>
      </c>
      <c r="BN2010">
        <v>0</v>
      </c>
      <c r="BO2010">
        <v>0</v>
      </c>
      <c r="BP2010">
        <v>8162</v>
      </c>
      <c r="BQ2010">
        <v>12581</v>
      </c>
      <c r="BR2010">
        <f t="shared" si="324"/>
        <v>-411</v>
      </c>
      <c r="BS2010">
        <f t="shared" si="325"/>
        <v>2533</v>
      </c>
    </row>
    <row r="2011" spans="1:74" x14ac:dyDescent="0.25">
      <c r="A2011" s="5" t="s">
        <v>359</v>
      </c>
      <c r="B2011" s="5" t="s">
        <v>207</v>
      </c>
      <c r="C2011" s="5" t="s">
        <v>61</v>
      </c>
      <c r="D2011" s="1" t="s">
        <v>96</v>
      </c>
      <c r="E2011">
        <v>0</v>
      </c>
      <c r="F2011">
        <v>0</v>
      </c>
      <c r="G2011">
        <v>0</v>
      </c>
      <c r="H2011">
        <v>0</v>
      </c>
      <c r="I2011">
        <v>250</v>
      </c>
      <c r="J2011">
        <v>2700</v>
      </c>
      <c r="K2011">
        <v>500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412</v>
      </c>
      <c r="R2011">
        <v>0</v>
      </c>
      <c r="S2011" s="18" t="e">
        <f t="shared" si="316"/>
        <v>#DIV/0!</v>
      </c>
      <c r="T2011" s="17" t="e">
        <f t="shared" si="317"/>
        <v>#DIV/0!</v>
      </c>
      <c r="U2011" s="17" t="e">
        <f t="shared" si="318"/>
        <v>#DIV/0!</v>
      </c>
      <c r="V2011" s="17" t="e">
        <f t="shared" si="319"/>
        <v>#DIV/0!</v>
      </c>
      <c r="W2011" s="17" t="e">
        <f t="shared" si="320"/>
        <v>#DIV/0!</v>
      </c>
      <c r="X2011" s="17" t="e">
        <f t="shared" si="321"/>
        <v>#DIV/0!</v>
      </c>
      <c r="Y2011" s="19" t="e">
        <f t="shared" si="322"/>
        <v>#DIV/0!</v>
      </c>
      <c r="Z2011">
        <v>0</v>
      </c>
      <c r="AA2011">
        <v>4</v>
      </c>
      <c r="AB2011">
        <v>338</v>
      </c>
      <c r="AC2011">
        <v>1700</v>
      </c>
      <c r="AD2011">
        <v>0</v>
      </c>
      <c r="AE2011">
        <v>0</v>
      </c>
      <c r="AF2011">
        <v>0</v>
      </c>
      <c r="AG2011">
        <v>250</v>
      </c>
      <c r="AH2011">
        <v>250</v>
      </c>
      <c r="AI2011">
        <v>0</v>
      </c>
      <c r="AJ2011">
        <v>0</v>
      </c>
      <c r="AK2011">
        <v>2700</v>
      </c>
      <c r="AL2011">
        <v>2700</v>
      </c>
      <c r="AM2011">
        <v>0</v>
      </c>
      <c r="AN2011">
        <v>0</v>
      </c>
      <c r="AO2011">
        <v>500</v>
      </c>
      <c r="AP2011">
        <v>0</v>
      </c>
      <c r="AQ2011">
        <v>500</v>
      </c>
      <c r="AR2011">
        <v>500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f t="shared" si="323"/>
        <v>9100</v>
      </c>
      <c r="BF2011">
        <v>5492</v>
      </c>
      <c r="BG2011">
        <v>5492</v>
      </c>
      <c r="BH2011" t="s">
        <v>82</v>
      </c>
      <c r="BI2011" t="s">
        <v>746</v>
      </c>
      <c r="BJ2011">
        <v>2042</v>
      </c>
      <c r="BK2011">
        <v>3450</v>
      </c>
      <c r="BL2011">
        <v>5492</v>
      </c>
      <c r="BM2011">
        <v>0</v>
      </c>
      <c r="BN2011">
        <v>0</v>
      </c>
      <c r="BO2011">
        <v>0</v>
      </c>
      <c r="BP2011">
        <v>3450</v>
      </c>
      <c r="BQ2011">
        <v>3450</v>
      </c>
      <c r="BR2011">
        <f t="shared" si="324"/>
        <v>-412</v>
      </c>
      <c r="BS2011">
        <f t="shared" si="325"/>
        <v>412</v>
      </c>
    </row>
    <row r="2012" spans="1:74" x14ac:dyDescent="0.25">
      <c r="A2012" s="5" t="s">
        <v>1337</v>
      </c>
      <c r="B2012" s="5" t="s">
        <v>61</v>
      </c>
      <c r="C2012" s="5" t="s">
        <v>61</v>
      </c>
      <c r="D2012" s="1" t="s">
        <v>98</v>
      </c>
      <c r="E2012">
        <v>0</v>
      </c>
      <c r="F2012">
        <v>27</v>
      </c>
      <c r="G2012">
        <v>0</v>
      </c>
      <c r="H2012">
        <v>0</v>
      </c>
      <c r="I2012">
        <v>650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243</v>
      </c>
      <c r="Q2012">
        <v>446</v>
      </c>
      <c r="R2012">
        <v>27</v>
      </c>
      <c r="S2012" s="18">
        <f t="shared" si="316"/>
        <v>9</v>
      </c>
      <c r="T2012" s="17">
        <f t="shared" si="317"/>
        <v>0</v>
      </c>
      <c r="U2012" s="17">
        <f t="shared" si="318"/>
        <v>0</v>
      </c>
      <c r="V2012" s="17">
        <f t="shared" si="319"/>
        <v>0</v>
      </c>
      <c r="W2012" s="17">
        <f t="shared" si="320"/>
        <v>27</v>
      </c>
      <c r="X2012" s="17">
        <f t="shared" si="321"/>
        <v>419</v>
      </c>
      <c r="Y2012" s="19">
        <f t="shared" si="322"/>
        <v>0</v>
      </c>
      <c r="Z2012">
        <v>27</v>
      </c>
      <c r="AA2012">
        <v>0</v>
      </c>
      <c r="AB2012">
        <v>0</v>
      </c>
      <c r="AC2012">
        <v>0</v>
      </c>
      <c r="AD2012">
        <v>150</v>
      </c>
      <c r="AE2012">
        <v>0</v>
      </c>
      <c r="AF2012">
        <v>0</v>
      </c>
      <c r="AG2012">
        <v>500</v>
      </c>
      <c r="AH2012">
        <v>650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f t="shared" si="323"/>
        <v>1300</v>
      </c>
      <c r="BF2012">
        <v>677</v>
      </c>
      <c r="BG2012">
        <v>677</v>
      </c>
      <c r="BH2012" t="s">
        <v>109</v>
      </c>
      <c r="BI2012" t="s">
        <v>1353</v>
      </c>
      <c r="BJ2012">
        <v>0</v>
      </c>
      <c r="BK2012">
        <v>650</v>
      </c>
      <c r="BL2012">
        <v>677</v>
      </c>
      <c r="BM2012">
        <v>150</v>
      </c>
      <c r="BN2012">
        <v>0</v>
      </c>
      <c r="BO2012">
        <v>0</v>
      </c>
      <c r="BP2012">
        <v>743</v>
      </c>
      <c r="BQ2012">
        <v>893</v>
      </c>
      <c r="BR2012">
        <f t="shared" si="324"/>
        <v>-419</v>
      </c>
      <c r="BS2012">
        <f t="shared" si="325"/>
        <v>473</v>
      </c>
    </row>
    <row r="2013" spans="1:74" x14ac:dyDescent="0.25">
      <c r="A2013" s="5" t="s">
        <v>1946</v>
      </c>
      <c r="B2013" s="5" t="s">
        <v>207</v>
      </c>
      <c r="C2013" s="5" t="s">
        <v>61</v>
      </c>
      <c r="D2013" s="1" t="s">
        <v>75</v>
      </c>
      <c r="E2013">
        <v>0</v>
      </c>
      <c r="F2013">
        <v>6146</v>
      </c>
      <c r="G2013">
        <v>0</v>
      </c>
      <c r="H2013">
        <v>0</v>
      </c>
      <c r="I2013">
        <v>404</v>
      </c>
      <c r="J2013">
        <v>0</v>
      </c>
      <c r="K2013">
        <v>3633</v>
      </c>
      <c r="L2013">
        <v>0</v>
      </c>
      <c r="M2013">
        <v>0</v>
      </c>
      <c r="N2013">
        <v>0</v>
      </c>
      <c r="O2013">
        <v>0</v>
      </c>
      <c r="P2013">
        <v>7407</v>
      </c>
      <c r="Q2013">
        <v>1243</v>
      </c>
      <c r="R2013">
        <v>823</v>
      </c>
      <c r="S2013" s="18">
        <f t="shared" si="316"/>
        <v>9</v>
      </c>
      <c r="T2013" s="17">
        <f t="shared" si="317"/>
        <v>0</v>
      </c>
      <c r="U2013" s="17">
        <f t="shared" si="318"/>
        <v>0</v>
      </c>
      <c r="V2013" s="17">
        <f t="shared" si="319"/>
        <v>0</v>
      </c>
      <c r="W2013" s="17">
        <f t="shared" si="320"/>
        <v>823</v>
      </c>
      <c r="X2013" s="17">
        <f t="shared" si="321"/>
        <v>420</v>
      </c>
      <c r="Y2013" s="19">
        <f t="shared" si="322"/>
        <v>0</v>
      </c>
      <c r="Z2013">
        <v>6146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404</v>
      </c>
      <c r="AH2013">
        <v>404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3633</v>
      </c>
      <c r="AP2013">
        <v>1734</v>
      </c>
      <c r="AQ2013">
        <v>3633</v>
      </c>
      <c r="AR2013">
        <v>1899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f t="shared" si="323"/>
        <v>11707</v>
      </c>
      <c r="BF2013">
        <v>10183</v>
      </c>
      <c r="BG2013">
        <v>10183</v>
      </c>
      <c r="BH2013" t="s">
        <v>109</v>
      </c>
      <c r="BI2013" t="s">
        <v>2015</v>
      </c>
      <c r="BJ2013">
        <v>0</v>
      </c>
      <c r="BK2013">
        <v>4037</v>
      </c>
      <c r="BL2013">
        <v>10183</v>
      </c>
      <c r="BM2013">
        <v>0</v>
      </c>
      <c r="BN2013">
        <v>0</v>
      </c>
      <c r="BO2013">
        <v>0</v>
      </c>
      <c r="BP2013">
        <v>11444</v>
      </c>
      <c r="BQ2013">
        <v>11444</v>
      </c>
      <c r="BR2013">
        <f t="shared" si="324"/>
        <v>-420</v>
      </c>
      <c r="BS2013">
        <f t="shared" si="325"/>
        <v>2066</v>
      </c>
    </row>
    <row r="2014" spans="1:74" x14ac:dyDescent="0.25">
      <c r="A2014" s="5" t="s">
        <v>207</v>
      </c>
      <c r="B2014" s="5" t="s">
        <v>61</v>
      </c>
      <c r="C2014" s="5" t="s">
        <v>61</v>
      </c>
      <c r="D2014" s="1" t="s">
        <v>65</v>
      </c>
      <c r="E2014">
        <v>0</v>
      </c>
      <c r="F2014">
        <v>0</v>
      </c>
      <c r="G2014">
        <v>0</v>
      </c>
      <c r="H2014">
        <v>0</v>
      </c>
      <c r="I2014">
        <v>690</v>
      </c>
      <c r="J2014">
        <v>0</v>
      </c>
      <c r="K2014">
        <v>883</v>
      </c>
      <c r="L2014">
        <v>360</v>
      </c>
      <c r="M2014">
        <v>0</v>
      </c>
      <c r="N2014">
        <v>0</v>
      </c>
      <c r="O2014">
        <v>0</v>
      </c>
      <c r="P2014">
        <v>0</v>
      </c>
      <c r="Q2014">
        <v>316</v>
      </c>
      <c r="R2014">
        <v>0</v>
      </c>
      <c r="S2014" s="18" t="e">
        <f t="shared" si="316"/>
        <v>#DIV/0!</v>
      </c>
      <c r="T2014" s="17" t="e">
        <f t="shared" si="317"/>
        <v>#DIV/0!</v>
      </c>
      <c r="U2014" s="17" t="e">
        <f t="shared" si="318"/>
        <v>#DIV/0!</v>
      </c>
      <c r="V2014" s="17" t="e">
        <f t="shared" si="319"/>
        <v>#DIV/0!</v>
      </c>
      <c r="W2014" s="17" t="e">
        <f t="shared" si="320"/>
        <v>#DIV/0!</v>
      </c>
      <c r="X2014" s="17" t="e">
        <f t="shared" si="321"/>
        <v>#DIV/0!</v>
      </c>
      <c r="Y2014" s="19" t="e">
        <f t="shared" si="322"/>
        <v>#DIV/0!</v>
      </c>
      <c r="Z2014">
        <v>0</v>
      </c>
      <c r="AA2014">
        <v>0</v>
      </c>
      <c r="AB2014">
        <v>0</v>
      </c>
      <c r="AC2014">
        <v>800</v>
      </c>
      <c r="AD2014">
        <v>0</v>
      </c>
      <c r="AE2014">
        <v>190</v>
      </c>
      <c r="AF2014">
        <v>0</v>
      </c>
      <c r="AG2014">
        <v>500</v>
      </c>
      <c r="AH2014">
        <v>690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123</v>
      </c>
      <c r="AO2014">
        <v>760</v>
      </c>
      <c r="AP2014">
        <v>623</v>
      </c>
      <c r="AQ2014">
        <v>883</v>
      </c>
      <c r="AR2014">
        <v>260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360</v>
      </c>
      <c r="BA2014">
        <v>360</v>
      </c>
      <c r="BB2014">
        <v>0</v>
      </c>
      <c r="BC2014">
        <v>0</v>
      </c>
      <c r="BD2014">
        <v>0</v>
      </c>
      <c r="BE2014">
        <f t="shared" si="323"/>
        <v>5549</v>
      </c>
      <c r="BF2014">
        <v>2733</v>
      </c>
      <c r="BG2014">
        <v>2733</v>
      </c>
      <c r="BH2014" t="s">
        <v>63</v>
      </c>
      <c r="BI2014" t="s">
        <v>427</v>
      </c>
      <c r="BJ2014">
        <v>800</v>
      </c>
      <c r="BK2014">
        <v>1933</v>
      </c>
      <c r="BL2014">
        <v>2733</v>
      </c>
      <c r="BM2014">
        <v>0</v>
      </c>
      <c r="BN2014">
        <v>313</v>
      </c>
      <c r="BO2014">
        <v>0</v>
      </c>
      <c r="BP2014">
        <v>1620</v>
      </c>
      <c r="BQ2014">
        <v>1933</v>
      </c>
      <c r="BR2014">
        <f t="shared" si="324"/>
        <v>-316</v>
      </c>
      <c r="BS2014">
        <f t="shared" si="325"/>
        <v>316</v>
      </c>
      <c r="BU2014">
        <f>R2014*9</f>
        <v>0</v>
      </c>
      <c r="BV2014">
        <f>IF(BU2014&gt;BG2014, 1, 0)</f>
        <v>0</v>
      </c>
    </row>
    <row r="2015" spans="1:74" x14ac:dyDescent="0.25">
      <c r="A2015" s="5" t="s">
        <v>61</v>
      </c>
      <c r="B2015" s="5" t="s">
        <v>61</v>
      </c>
      <c r="C2015" s="5" t="s">
        <v>61</v>
      </c>
      <c r="D2015" s="1" t="s">
        <v>155</v>
      </c>
      <c r="E2015">
        <v>0</v>
      </c>
      <c r="F2015">
        <v>290</v>
      </c>
      <c r="G2015">
        <v>0</v>
      </c>
      <c r="H2015">
        <v>0</v>
      </c>
      <c r="I2015">
        <v>357</v>
      </c>
      <c r="J2015">
        <v>0</v>
      </c>
      <c r="K2015">
        <v>0</v>
      </c>
      <c r="L2015">
        <v>0</v>
      </c>
      <c r="M2015">
        <v>1629</v>
      </c>
      <c r="N2015">
        <v>0</v>
      </c>
      <c r="O2015">
        <v>0</v>
      </c>
      <c r="P2015">
        <v>0</v>
      </c>
      <c r="Q2015">
        <v>602</v>
      </c>
      <c r="R2015">
        <v>181</v>
      </c>
      <c r="S2015" s="18">
        <f t="shared" si="316"/>
        <v>9</v>
      </c>
      <c r="T2015" s="17">
        <f t="shared" si="317"/>
        <v>181</v>
      </c>
      <c r="U2015" s="17">
        <f t="shared" si="318"/>
        <v>0</v>
      </c>
      <c r="V2015" s="17">
        <f t="shared" si="319"/>
        <v>0</v>
      </c>
      <c r="W2015" s="17">
        <f t="shared" si="320"/>
        <v>0</v>
      </c>
      <c r="X2015" s="17">
        <f t="shared" si="321"/>
        <v>421</v>
      </c>
      <c r="Y2015" s="19">
        <f t="shared" si="322"/>
        <v>0</v>
      </c>
      <c r="Z2015">
        <v>290</v>
      </c>
      <c r="AA2015">
        <v>0</v>
      </c>
      <c r="AB2015">
        <v>0</v>
      </c>
      <c r="AC2015">
        <v>0</v>
      </c>
      <c r="AD2015">
        <v>357</v>
      </c>
      <c r="AE2015">
        <v>0</v>
      </c>
      <c r="AF2015">
        <v>0</v>
      </c>
      <c r="AG2015">
        <v>0</v>
      </c>
      <c r="AH2015">
        <v>357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f t="shared" si="323"/>
        <v>714</v>
      </c>
      <c r="BF2015">
        <v>647</v>
      </c>
      <c r="BG2015">
        <v>647</v>
      </c>
      <c r="BH2015" t="s">
        <v>109</v>
      </c>
      <c r="BI2015" t="s">
        <v>156</v>
      </c>
      <c r="BJ2015">
        <v>0</v>
      </c>
      <c r="BK2015">
        <v>357</v>
      </c>
      <c r="BL2015">
        <v>647</v>
      </c>
      <c r="BM2015">
        <v>1986</v>
      </c>
      <c r="BN2015">
        <v>0</v>
      </c>
      <c r="BO2015">
        <v>0</v>
      </c>
      <c r="BP2015">
        <v>0</v>
      </c>
      <c r="BQ2015">
        <v>1986</v>
      </c>
      <c r="BR2015">
        <f t="shared" si="324"/>
        <v>-421</v>
      </c>
      <c r="BS2015">
        <f t="shared" si="325"/>
        <v>783</v>
      </c>
    </row>
    <row r="2016" spans="1:74" x14ac:dyDescent="0.25">
      <c r="A2016" s="5" t="s">
        <v>1337</v>
      </c>
      <c r="B2016" s="5" t="s">
        <v>61</v>
      </c>
      <c r="C2016" s="5" t="s">
        <v>61</v>
      </c>
      <c r="D2016" s="1" t="s">
        <v>129</v>
      </c>
      <c r="E2016">
        <v>0</v>
      </c>
      <c r="F2016">
        <v>150</v>
      </c>
      <c r="G2016">
        <v>0</v>
      </c>
      <c r="H2016">
        <v>0</v>
      </c>
      <c r="I2016">
        <v>118</v>
      </c>
      <c r="J2016">
        <v>3322</v>
      </c>
      <c r="K2016">
        <v>703</v>
      </c>
      <c r="L2016">
        <v>249</v>
      </c>
      <c r="M2016">
        <v>0</v>
      </c>
      <c r="N2016">
        <v>0</v>
      </c>
      <c r="O2016">
        <v>0</v>
      </c>
      <c r="P2016">
        <v>270</v>
      </c>
      <c r="Q2016">
        <v>451</v>
      </c>
      <c r="R2016">
        <v>30</v>
      </c>
      <c r="S2016" s="18">
        <f t="shared" si="316"/>
        <v>9</v>
      </c>
      <c r="T2016" s="17">
        <f t="shared" si="317"/>
        <v>0</v>
      </c>
      <c r="U2016" s="17">
        <f t="shared" si="318"/>
        <v>0</v>
      </c>
      <c r="V2016" s="17">
        <f t="shared" si="319"/>
        <v>0</v>
      </c>
      <c r="W2016" s="17">
        <f t="shared" si="320"/>
        <v>30</v>
      </c>
      <c r="X2016" s="17">
        <f t="shared" si="321"/>
        <v>421</v>
      </c>
      <c r="Y2016" s="19">
        <f t="shared" si="322"/>
        <v>0</v>
      </c>
      <c r="Z2016">
        <v>150</v>
      </c>
      <c r="AA2016">
        <v>0</v>
      </c>
      <c r="AB2016">
        <v>25</v>
      </c>
      <c r="AC2016">
        <v>3100</v>
      </c>
      <c r="AD2016">
        <v>0</v>
      </c>
      <c r="AE2016">
        <v>0</v>
      </c>
      <c r="AF2016">
        <v>0</v>
      </c>
      <c r="AG2016">
        <v>118</v>
      </c>
      <c r="AH2016">
        <v>118</v>
      </c>
      <c r="AI2016">
        <v>0</v>
      </c>
      <c r="AJ2016">
        <v>0</v>
      </c>
      <c r="AK2016">
        <v>3322</v>
      </c>
      <c r="AL2016">
        <v>3322</v>
      </c>
      <c r="AM2016">
        <v>0</v>
      </c>
      <c r="AN2016">
        <v>0</v>
      </c>
      <c r="AO2016">
        <v>703</v>
      </c>
      <c r="AP2016">
        <v>188</v>
      </c>
      <c r="AQ2016">
        <v>703</v>
      </c>
      <c r="AR2016">
        <v>515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249</v>
      </c>
      <c r="BA2016">
        <v>249</v>
      </c>
      <c r="BB2016">
        <v>0</v>
      </c>
      <c r="BC2016">
        <v>0</v>
      </c>
      <c r="BD2016">
        <v>0</v>
      </c>
      <c r="BE2016">
        <f t="shared" si="323"/>
        <v>12587</v>
      </c>
      <c r="BF2016">
        <v>7667</v>
      </c>
      <c r="BG2016">
        <v>7667</v>
      </c>
      <c r="BH2016" t="s">
        <v>82</v>
      </c>
      <c r="BI2016" t="s">
        <v>1367</v>
      </c>
      <c r="BJ2016">
        <v>3125</v>
      </c>
      <c r="BK2016">
        <v>4392</v>
      </c>
      <c r="BL2016">
        <v>7667</v>
      </c>
      <c r="BM2016">
        <v>0</v>
      </c>
      <c r="BN2016">
        <v>0</v>
      </c>
      <c r="BO2016">
        <v>0</v>
      </c>
      <c r="BP2016">
        <v>4662</v>
      </c>
      <c r="BQ2016">
        <v>4662</v>
      </c>
      <c r="BR2016">
        <f t="shared" si="324"/>
        <v>-421</v>
      </c>
      <c r="BS2016">
        <f t="shared" si="325"/>
        <v>481</v>
      </c>
    </row>
    <row r="2017" spans="1:74" x14ac:dyDescent="0.25">
      <c r="A2017" s="5" t="s">
        <v>1451</v>
      </c>
      <c r="B2017" s="5" t="s">
        <v>359</v>
      </c>
      <c r="C2017" s="6" t="s">
        <v>61</v>
      </c>
      <c r="D2017" s="1" t="s">
        <v>117</v>
      </c>
      <c r="E2017">
        <v>0</v>
      </c>
      <c r="F2017">
        <v>0</v>
      </c>
      <c r="G2017">
        <v>0</v>
      </c>
      <c r="H2017">
        <v>0</v>
      </c>
      <c r="I2017">
        <v>355</v>
      </c>
      <c r="J2017">
        <v>780</v>
      </c>
      <c r="K2017">
        <v>1880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423</v>
      </c>
      <c r="R2017">
        <v>0</v>
      </c>
      <c r="S2017" s="18" t="e">
        <f t="shared" si="316"/>
        <v>#DIV/0!</v>
      </c>
      <c r="T2017" s="17" t="e">
        <f t="shared" si="317"/>
        <v>#DIV/0!</v>
      </c>
      <c r="U2017" s="17" t="e">
        <f t="shared" si="318"/>
        <v>#DIV/0!</v>
      </c>
      <c r="V2017" s="17" t="e">
        <f t="shared" si="319"/>
        <v>#DIV/0!</v>
      </c>
      <c r="W2017" s="17" t="e">
        <f t="shared" si="320"/>
        <v>#DIV/0!</v>
      </c>
      <c r="X2017" s="17" t="e">
        <f t="shared" si="321"/>
        <v>#DIV/0!</v>
      </c>
      <c r="Y2017" s="19" t="e">
        <f t="shared" si="322"/>
        <v>#DIV/0!</v>
      </c>
      <c r="Z2017">
        <v>0</v>
      </c>
      <c r="AA2017">
        <v>0</v>
      </c>
      <c r="AB2017">
        <v>70</v>
      </c>
      <c r="AC2017">
        <v>680</v>
      </c>
      <c r="AD2017">
        <v>0</v>
      </c>
      <c r="AE2017">
        <v>0</v>
      </c>
      <c r="AF2017">
        <v>0</v>
      </c>
      <c r="AG2017">
        <v>355</v>
      </c>
      <c r="AH2017">
        <v>355</v>
      </c>
      <c r="AI2017">
        <v>0</v>
      </c>
      <c r="AJ2017">
        <v>0</v>
      </c>
      <c r="AK2017">
        <v>780</v>
      </c>
      <c r="AL2017">
        <v>780</v>
      </c>
      <c r="AM2017">
        <v>0</v>
      </c>
      <c r="AN2017">
        <v>0</v>
      </c>
      <c r="AO2017">
        <v>1880</v>
      </c>
      <c r="AP2017">
        <v>1770</v>
      </c>
      <c r="AQ2017">
        <v>1880</v>
      </c>
      <c r="AR2017">
        <v>110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f t="shared" si="323"/>
        <v>8590</v>
      </c>
      <c r="BF2017">
        <v>3765</v>
      </c>
      <c r="BG2017">
        <v>3765</v>
      </c>
      <c r="BH2017" t="s">
        <v>82</v>
      </c>
      <c r="BI2017" t="s">
        <v>288</v>
      </c>
      <c r="BJ2017">
        <v>750</v>
      </c>
      <c r="BK2017">
        <v>3015</v>
      </c>
      <c r="BL2017">
        <v>3765</v>
      </c>
      <c r="BM2017">
        <v>0</v>
      </c>
      <c r="BN2017">
        <v>0</v>
      </c>
      <c r="BO2017">
        <v>0</v>
      </c>
      <c r="BP2017">
        <v>3015</v>
      </c>
      <c r="BQ2017">
        <v>3015</v>
      </c>
      <c r="BR2017">
        <f t="shared" si="324"/>
        <v>-423</v>
      </c>
      <c r="BS2017">
        <f t="shared" si="325"/>
        <v>423</v>
      </c>
    </row>
    <row r="2018" spans="1:74" x14ac:dyDescent="0.25">
      <c r="A2018" s="5" t="s">
        <v>1661</v>
      </c>
      <c r="B2018" s="5" t="s">
        <v>207</v>
      </c>
      <c r="C2018" s="7" t="s">
        <v>61</v>
      </c>
      <c r="D2018" s="1" t="s">
        <v>137</v>
      </c>
      <c r="E2018">
        <v>70</v>
      </c>
      <c r="F2018">
        <v>150</v>
      </c>
      <c r="G2018">
        <v>0</v>
      </c>
      <c r="H2018">
        <v>0</v>
      </c>
      <c r="I2018">
        <v>399</v>
      </c>
      <c r="J2018">
        <v>4560</v>
      </c>
      <c r="K2018">
        <v>160</v>
      </c>
      <c r="L2018">
        <v>16</v>
      </c>
      <c r="M2018">
        <v>0</v>
      </c>
      <c r="N2018">
        <v>0</v>
      </c>
      <c r="O2018">
        <v>0</v>
      </c>
      <c r="P2018">
        <v>468</v>
      </c>
      <c r="Q2018">
        <v>475</v>
      </c>
      <c r="R2018">
        <v>52</v>
      </c>
      <c r="S2018" s="18">
        <f t="shared" si="316"/>
        <v>9</v>
      </c>
      <c r="T2018" s="17">
        <f t="shared" si="317"/>
        <v>0</v>
      </c>
      <c r="U2018" s="17">
        <f t="shared" si="318"/>
        <v>0</v>
      </c>
      <c r="V2018" s="17">
        <f t="shared" si="319"/>
        <v>0</v>
      </c>
      <c r="W2018" s="17">
        <f t="shared" si="320"/>
        <v>52</v>
      </c>
      <c r="X2018" s="17">
        <f t="shared" si="321"/>
        <v>423</v>
      </c>
      <c r="Y2018" s="19">
        <f t="shared" si="322"/>
        <v>0</v>
      </c>
      <c r="Z2018">
        <v>150</v>
      </c>
      <c r="AA2018">
        <v>9</v>
      </c>
      <c r="AB2018">
        <v>0</v>
      </c>
      <c r="AC2018">
        <v>2670</v>
      </c>
      <c r="AD2018">
        <v>0</v>
      </c>
      <c r="AE2018">
        <v>0</v>
      </c>
      <c r="AF2018">
        <v>0</v>
      </c>
      <c r="AG2018">
        <v>399</v>
      </c>
      <c r="AH2018">
        <v>399</v>
      </c>
      <c r="AI2018">
        <v>0</v>
      </c>
      <c r="AJ2018">
        <v>0</v>
      </c>
      <c r="AK2018">
        <v>4560</v>
      </c>
      <c r="AL2018">
        <v>4560</v>
      </c>
      <c r="AM2018">
        <v>0</v>
      </c>
      <c r="AN2018">
        <v>0</v>
      </c>
      <c r="AO2018">
        <v>160</v>
      </c>
      <c r="AP2018">
        <v>40</v>
      </c>
      <c r="AQ2018">
        <v>160</v>
      </c>
      <c r="AR2018">
        <v>120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16</v>
      </c>
      <c r="BA2018">
        <v>16</v>
      </c>
      <c r="BB2018">
        <v>0</v>
      </c>
      <c r="BC2018">
        <v>0</v>
      </c>
      <c r="BD2018">
        <v>0</v>
      </c>
      <c r="BE2018">
        <f t="shared" si="323"/>
        <v>13100</v>
      </c>
      <c r="BF2018">
        <v>8034</v>
      </c>
      <c r="BG2018">
        <v>8034</v>
      </c>
      <c r="BH2018" t="s">
        <v>82</v>
      </c>
      <c r="BI2018" t="s">
        <v>1046</v>
      </c>
      <c r="BJ2018">
        <v>2749</v>
      </c>
      <c r="BK2018">
        <v>5135</v>
      </c>
      <c r="BL2018">
        <v>8034</v>
      </c>
      <c r="BM2018">
        <v>0</v>
      </c>
      <c r="BN2018">
        <v>0</v>
      </c>
      <c r="BO2018">
        <v>0</v>
      </c>
      <c r="BP2018">
        <v>5603</v>
      </c>
      <c r="BQ2018">
        <v>5603</v>
      </c>
      <c r="BR2018">
        <f t="shared" si="324"/>
        <v>-423</v>
      </c>
      <c r="BS2018">
        <f t="shared" si="325"/>
        <v>527</v>
      </c>
    </row>
    <row r="2019" spans="1:74" x14ac:dyDescent="0.25">
      <c r="A2019" s="5" t="s">
        <v>1135</v>
      </c>
      <c r="B2019" s="5" t="s">
        <v>61</v>
      </c>
      <c r="C2019" s="5" t="s">
        <v>61</v>
      </c>
      <c r="D2019" s="1" t="s">
        <v>102</v>
      </c>
      <c r="E2019">
        <v>0</v>
      </c>
      <c r="F2019">
        <v>1700</v>
      </c>
      <c r="G2019">
        <v>0</v>
      </c>
      <c r="H2019">
        <v>0</v>
      </c>
      <c r="I2019">
        <v>200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5850</v>
      </c>
      <c r="Q2019">
        <v>1075</v>
      </c>
      <c r="R2019">
        <v>650</v>
      </c>
      <c r="S2019" s="18">
        <f t="shared" si="316"/>
        <v>9</v>
      </c>
      <c r="T2019" s="17">
        <f t="shared" si="317"/>
        <v>0</v>
      </c>
      <c r="U2019" s="17">
        <f t="shared" si="318"/>
        <v>0</v>
      </c>
      <c r="V2019" s="17">
        <f t="shared" si="319"/>
        <v>0</v>
      </c>
      <c r="W2019" s="17">
        <f t="shared" si="320"/>
        <v>650</v>
      </c>
      <c r="X2019" s="17">
        <f t="shared" si="321"/>
        <v>425</v>
      </c>
      <c r="Y2019" s="19">
        <f t="shared" si="322"/>
        <v>0</v>
      </c>
      <c r="Z2019">
        <v>1700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200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f t="shared" si="323"/>
        <v>400</v>
      </c>
      <c r="BF2019">
        <v>1900</v>
      </c>
      <c r="BG2019">
        <v>1900</v>
      </c>
      <c r="BH2019" t="s">
        <v>109</v>
      </c>
      <c r="BI2019" t="s">
        <v>1150</v>
      </c>
      <c r="BJ2019">
        <v>0</v>
      </c>
      <c r="BK2019">
        <v>200</v>
      </c>
      <c r="BL2019">
        <v>1900</v>
      </c>
      <c r="BM2019">
        <v>0</v>
      </c>
      <c r="BN2019">
        <v>0</v>
      </c>
      <c r="BO2019">
        <v>0</v>
      </c>
      <c r="BP2019">
        <v>6050</v>
      </c>
      <c r="BQ2019">
        <v>6050</v>
      </c>
      <c r="BR2019">
        <f t="shared" si="324"/>
        <v>-425</v>
      </c>
      <c r="BS2019">
        <f t="shared" si="325"/>
        <v>1725</v>
      </c>
    </row>
    <row r="2020" spans="1:74" x14ac:dyDescent="0.25">
      <c r="A2020" s="5" t="s">
        <v>207</v>
      </c>
      <c r="B2020" s="5" t="s">
        <v>627</v>
      </c>
      <c r="C2020" s="5" t="s">
        <v>207</v>
      </c>
      <c r="D2020" s="1" t="s">
        <v>137</v>
      </c>
      <c r="E2020">
        <v>0</v>
      </c>
      <c r="F2020">
        <v>0</v>
      </c>
      <c r="G2020">
        <v>0</v>
      </c>
      <c r="H2020">
        <v>0</v>
      </c>
      <c r="I2020">
        <v>120</v>
      </c>
      <c r="J2020">
        <v>2255</v>
      </c>
      <c r="K2020">
        <v>888</v>
      </c>
      <c r="L2020">
        <v>30</v>
      </c>
      <c r="M2020">
        <v>0</v>
      </c>
      <c r="N2020">
        <v>0</v>
      </c>
      <c r="O2020">
        <v>0</v>
      </c>
      <c r="P2020">
        <v>0</v>
      </c>
      <c r="Q2020">
        <v>426</v>
      </c>
      <c r="R2020">
        <v>0</v>
      </c>
      <c r="S2020" s="18" t="e">
        <f t="shared" si="316"/>
        <v>#DIV/0!</v>
      </c>
      <c r="T2020" s="17" t="e">
        <f t="shared" si="317"/>
        <v>#DIV/0!</v>
      </c>
      <c r="U2020" s="17" t="e">
        <f t="shared" si="318"/>
        <v>#DIV/0!</v>
      </c>
      <c r="V2020" s="17" t="e">
        <f t="shared" si="319"/>
        <v>#DIV/0!</v>
      </c>
      <c r="W2020" s="17" t="e">
        <f t="shared" si="320"/>
        <v>#DIV/0!</v>
      </c>
      <c r="X2020" s="17" t="e">
        <f t="shared" si="321"/>
        <v>#DIV/0!</v>
      </c>
      <c r="Y2020" s="19" t="e">
        <f t="shared" si="322"/>
        <v>#DIV/0!</v>
      </c>
      <c r="Z2020">
        <v>0</v>
      </c>
      <c r="AA2020">
        <v>2</v>
      </c>
      <c r="AB2020">
        <v>0</v>
      </c>
      <c r="AC2020">
        <v>1590</v>
      </c>
      <c r="AD2020">
        <v>0</v>
      </c>
      <c r="AE2020">
        <v>120</v>
      </c>
      <c r="AF2020">
        <v>0</v>
      </c>
      <c r="AG2020">
        <v>0</v>
      </c>
      <c r="AH2020">
        <v>120</v>
      </c>
      <c r="AI2020">
        <v>0</v>
      </c>
      <c r="AJ2020">
        <v>2255</v>
      </c>
      <c r="AK2020">
        <v>0</v>
      </c>
      <c r="AL2020">
        <v>2255</v>
      </c>
      <c r="AM2020">
        <v>888</v>
      </c>
      <c r="AN2020">
        <v>0</v>
      </c>
      <c r="AO2020">
        <v>0</v>
      </c>
      <c r="AP2020">
        <v>426</v>
      </c>
      <c r="AQ2020">
        <v>888</v>
      </c>
      <c r="AR2020">
        <v>462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30</v>
      </c>
      <c r="AY2020">
        <v>0</v>
      </c>
      <c r="AZ2020">
        <v>0</v>
      </c>
      <c r="BA2020">
        <v>30</v>
      </c>
      <c r="BB2020">
        <v>0</v>
      </c>
      <c r="BC2020">
        <v>0</v>
      </c>
      <c r="BD2020">
        <v>0</v>
      </c>
      <c r="BE2020">
        <f t="shared" si="323"/>
        <v>9064</v>
      </c>
      <c r="BF2020">
        <v>4885</v>
      </c>
      <c r="BG2020">
        <v>4885</v>
      </c>
      <c r="BH2020" t="s">
        <v>82</v>
      </c>
      <c r="BI2020" t="s">
        <v>694</v>
      </c>
      <c r="BJ2020">
        <v>1592</v>
      </c>
      <c r="BK2020">
        <v>3293</v>
      </c>
      <c r="BL2020">
        <v>4885</v>
      </c>
      <c r="BM2020">
        <v>918</v>
      </c>
      <c r="BN2020">
        <v>2375</v>
      </c>
      <c r="BO2020">
        <v>0</v>
      </c>
      <c r="BP2020">
        <v>0</v>
      </c>
      <c r="BQ2020">
        <v>3293</v>
      </c>
      <c r="BR2020">
        <f t="shared" si="324"/>
        <v>-426</v>
      </c>
      <c r="BS2020">
        <f t="shared" si="325"/>
        <v>426</v>
      </c>
    </row>
    <row r="2021" spans="1:74" x14ac:dyDescent="0.25">
      <c r="A2021" s="5" t="s">
        <v>1337</v>
      </c>
      <c r="B2021" s="5" t="s">
        <v>207</v>
      </c>
      <c r="C2021" s="5" t="s">
        <v>61</v>
      </c>
      <c r="D2021" s="1" t="s">
        <v>86</v>
      </c>
      <c r="E2021">
        <v>14</v>
      </c>
      <c r="F2021">
        <v>135</v>
      </c>
      <c r="G2021">
        <v>0</v>
      </c>
      <c r="H2021">
        <v>0</v>
      </c>
      <c r="I2021">
        <v>587</v>
      </c>
      <c r="J2021">
        <v>0</v>
      </c>
      <c r="K2021">
        <v>0</v>
      </c>
      <c r="L2021">
        <v>0</v>
      </c>
      <c r="M2021">
        <v>828</v>
      </c>
      <c r="N2021">
        <v>0</v>
      </c>
      <c r="O2021">
        <v>0</v>
      </c>
      <c r="P2021">
        <v>387</v>
      </c>
      <c r="Q2021">
        <v>563</v>
      </c>
      <c r="R2021">
        <v>135</v>
      </c>
      <c r="S2021" s="18">
        <f t="shared" si="316"/>
        <v>9</v>
      </c>
      <c r="T2021" s="17">
        <f t="shared" si="317"/>
        <v>92</v>
      </c>
      <c r="U2021" s="17">
        <f t="shared" si="318"/>
        <v>0</v>
      </c>
      <c r="V2021" s="17">
        <f t="shared" si="319"/>
        <v>0</v>
      </c>
      <c r="W2021" s="17">
        <f t="shared" si="320"/>
        <v>43</v>
      </c>
      <c r="X2021" s="17">
        <f t="shared" si="321"/>
        <v>428</v>
      </c>
      <c r="Y2021" s="19">
        <f t="shared" si="322"/>
        <v>0</v>
      </c>
      <c r="Z2021">
        <v>135</v>
      </c>
      <c r="AA2021">
        <v>0</v>
      </c>
      <c r="AB2021">
        <v>0</v>
      </c>
      <c r="AC2021">
        <v>0</v>
      </c>
      <c r="AD2021">
        <v>407</v>
      </c>
      <c r="AE2021">
        <v>0</v>
      </c>
      <c r="AF2021">
        <v>0</v>
      </c>
      <c r="AG2021">
        <v>180</v>
      </c>
      <c r="AH2021">
        <v>587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f t="shared" si="323"/>
        <v>1174</v>
      </c>
      <c r="BF2021">
        <v>736</v>
      </c>
      <c r="BG2021">
        <v>736</v>
      </c>
      <c r="BH2021" t="s">
        <v>109</v>
      </c>
      <c r="BI2021" t="s">
        <v>1381</v>
      </c>
      <c r="BJ2021">
        <v>14</v>
      </c>
      <c r="BK2021">
        <v>587</v>
      </c>
      <c r="BL2021">
        <v>736</v>
      </c>
      <c r="BM2021">
        <v>1235</v>
      </c>
      <c r="BN2021">
        <v>0</v>
      </c>
      <c r="BO2021">
        <v>0</v>
      </c>
      <c r="BP2021">
        <v>567</v>
      </c>
      <c r="BQ2021">
        <v>1802</v>
      </c>
      <c r="BR2021">
        <f t="shared" si="324"/>
        <v>-428</v>
      </c>
      <c r="BS2021">
        <f t="shared" si="325"/>
        <v>698</v>
      </c>
    </row>
    <row r="2022" spans="1:74" x14ac:dyDescent="0.25">
      <c r="A2022" s="5" t="s">
        <v>61</v>
      </c>
      <c r="B2022" s="5" t="s">
        <v>207</v>
      </c>
      <c r="C2022" s="5" t="s">
        <v>207</v>
      </c>
      <c r="D2022" s="1" t="s">
        <v>71</v>
      </c>
      <c r="E2022">
        <v>0</v>
      </c>
      <c r="F2022">
        <v>12</v>
      </c>
      <c r="G2022">
        <v>0</v>
      </c>
      <c r="H2022">
        <v>0</v>
      </c>
      <c r="I2022">
        <v>3060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108</v>
      </c>
      <c r="Q2022">
        <v>442</v>
      </c>
      <c r="R2022">
        <v>12</v>
      </c>
      <c r="S2022" s="18">
        <f t="shared" si="316"/>
        <v>9</v>
      </c>
      <c r="T2022" s="17">
        <f t="shared" si="317"/>
        <v>0</v>
      </c>
      <c r="U2022" s="17">
        <f t="shared" si="318"/>
        <v>0</v>
      </c>
      <c r="V2022" s="17">
        <f t="shared" si="319"/>
        <v>0</v>
      </c>
      <c r="W2022" s="17">
        <f t="shared" si="320"/>
        <v>12</v>
      </c>
      <c r="X2022" s="17">
        <f t="shared" si="321"/>
        <v>430</v>
      </c>
      <c r="Y2022" s="19">
        <f t="shared" si="322"/>
        <v>0</v>
      </c>
      <c r="Z2022">
        <v>12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3060</v>
      </c>
      <c r="AH2022">
        <v>3060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f t="shared" si="323"/>
        <v>6120</v>
      </c>
      <c r="BF2022">
        <v>3072</v>
      </c>
      <c r="BG2022">
        <v>3072</v>
      </c>
      <c r="BH2022" t="s">
        <v>109</v>
      </c>
      <c r="BI2022" t="s">
        <v>283</v>
      </c>
      <c r="BJ2022">
        <v>0</v>
      </c>
      <c r="BK2022">
        <v>3060</v>
      </c>
      <c r="BL2022">
        <v>3072</v>
      </c>
      <c r="BM2022">
        <v>0</v>
      </c>
      <c r="BN2022">
        <v>0</v>
      </c>
      <c r="BO2022">
        <v>0</v>
      </c>
      <c r="BP2022">
        <v>3168</v>
      </c>
      <c r="BQ2022">
        <v>3168</v>
      </c>
      <c r="BR2022">
        <f t="shared" si="324"/>
        <v>-430</v>
      </c>
      <c r="BS2022">
        <f t="shared" si="325"/>
        <v>454</v>
      </c>
    </row>
    <row r="2023" spans="1:74" x14ac:dyDescent="0.25">
      <c r="A2023" s="5" t="s">
        <v>207</v>
      </c>
      <c r="B2023" s="5" t="s">
        <v>61</v>
      </c>
      <c r="C2023" s="5" t="s">
        <v>61</v>
      </c>
      <c r="D2023" s="1" t="s">
        <v>81</v>
      </c>
      <c r="E2023">
        <v>0</v>
      </c>
      <c r="F2023">
        <v>176</v>
      </c>
      <c r="G2023">
        <v>0</v>
      </c>
      <c r="H2023">
        <v>0</v>
      </c>
      <c r="I2023">
        <v>1521</v>
      </c>
      <c r="J2023">
        <v>0</v>
      </c>
      <c r="K2023">
        <v>0</v>
      </c>
      <c r="L2023">
        <v>55</v>
      </c>
      <c r="M2023">
        <v>1584</v>
      </c>
      <c r="N2023">
        <v>0</v>
      </c>
      <c r="O2023">
        <v>0</v>
      </c>
      <c r="P2023">
        <v>0</v>
      </c>
      <c r="Q2023">
        <v>606</v>
      </c>
      <c r="R2023">
        <v>176</v>
      </c>
      <c r="S2023" s="18">
        <f t="shared" si="316"/>
        <v>9</v>
      </c>
      <c r="T2023" s="17">
        <f t="shared" si="317"/>
        <v>176</v>
      </c>
      <c r="U2023" s="17">
        <f t="shared" si="318"/>
        <v>0</v>
      </c>
      <c r="V2023" s="17">
        <f t="shared" si="319"/>
        <v>0</v>
      </c>
      <c r="W2023" s="17">
        <f t="shared" si="320"/>
        <v>0</v>
      </c>
      <c r="X2023" s="17">
        <f t="shared" si="321"/>
        <v>430</v>
      </c>
      <c r="Y2023" s="19">
        <f t="shared" si="322"/>
        <v>0</v>
      </c>
      <c r="Z2023">
        <v>176</v>
      </c>
      <c r="AA2023">
        <v>0</v>
      </c>
      <c r="AB2023">
        <v>0</v>
      </c>
      <c r="AC2023">
        <v>0</v>
      </c>
      <c r="AD2023">
        <v>1521</v>
      </c>
      <c r="AE2023">
        <v>0</v>
      </c>
      <c r="AF2023">
        <v>0</v>
      </c>
      <c r="AG2023">
        <v>0</v>
      </c>
      <c r="AH2023">
        <v>1521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55</v>
      </c>
      <c r="AY2023">
        <v>0</v>
      </c>
      <c r="AZ2023">
        <v>0</v>
      </c>
      <c r="BA2023">
        <v>55</v>
      </c>
      <c r="BB2023">
        <v>0</v>
      </c>
      <c r="BC2023">
        <v>0</v>
      </c>
      <c r="BD2023">
        <v>0</v>
      </c>
      <c r="BE2023">
        <f t="shared" si="323"/>
        <v>3152</v>
      </c>
      <c r="BF2023">
        <v>1752</v>
      </c>
      <c r="BG2023">
        <v>1752</v>
      </c>
      <c r="BH2023" t="s">
        <v>109</v>
      </c>
      <c r="BI2023" t="s">
        <v>435</v>
      </c>
      <c r="BJ2023">
        <v>0</v>
      </c>
      <c r="BK2023">
        <v>1576</v>
      </c>
      <c r="BL2023">
        <v>1752</v>
      </c>
      <c r="BM2023">
        <v>3160</v>
      </c>
      <c r="BN2023">
        <v>0</v>
      </c>
      <c r="BO2023">
        <v>0</v>
      </c>
      <c r="BP2023">
        <v>0</v>
      </c>
      <c r="BQ2023">
        <v>3160</v>
      </c>
      <c r="BR2023">
        <f t="shared" si="324"/>
        <v>-430</v>
      </c>
      <c r="BS2023">
        <f t="shared" si="325"/>
        <v>782</v>
      </c>
    </row>
    <row r="2024" spans="1:74" x14ac:dyDescent="0.25">
      <c r="A2024" s="5" t="s">
        <v>1451</v>
      </c>
      <c r="B2024" s="5" t="s">
        <v>61</v>
      </c>
      <c r="C2024" s="5" t="s">
        <v>207</v>
      </c>
      <c r="D2024" s="1" t="s">
        <v>71</v>
      </c>
      <c r="E2024">
        <v>0</v>
      </c>
      <c r="F2024">
        <v>0</v>
      </c>
      <c r="G2024">
        <v>0</v>
      </c>
      <c r="H2024">
        <v>0</v>
      </c>
      <c r="I2024">
        <v>1900</v>
      </c>
      <c r="J2024">
        <v>6200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320</v>
      </c>
      <c r="R2024">
        <v>0</v>
      </c>
      <c r="S2024" s="18" t="e">
        <f t="shared" si="316"/>
        <v>#DIV/0!</v>
      </c>
      <c r="T2024" s="17" t="e">
        <f t="shared" si="317"/>
        <v>#DIV/0!</v>
      </c>
      <c r="U2024" s="17" t="e">
        <f t="shared" si="318"/>
        <v>#DIV/0!</v>
      </c>
      <c r="V2024" s="17" t="e">
        <f t="shared" si="319"/>
        <v>#DIV/0!</v>
      </c>
      <c r="W2024" s="17" t="e">
        <f t="shared" si="320"/>
        <v>#DIV/0!</v>
      </c>
      <c r="X2024" s="17" t="e">
        <f t="shared" si="321"/>
        <v>#DIV/0!</v>
      </c>
      <c r="Y2024" s="19" t="e">
        <f t="shared" si="322"/>
        <v>#DIV/0!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1900</v>
      </c>
      <c r="AH2024">
        <v>1900</v>
      </c>
      <c r="AI2024">
        <v>0</v>
      </c>
      <c r="AJ2024">
        <v>0</v>
      </c>
      <c r="AK2024">
        <v>6200</v>
      </c>
      <c r="AL2024">
        <v>6200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f t="shared" si="323"/>
        <v>16200</v>
      </c>
      <c r="BF2024">
        <v>8100</v>
      </c>
      <c r="BG2024">
        <v>8100</v>
      </c>
      <c r="BH2024" t="s">
        <v>63</v>
      </c>
      <c r="BI2024" t="s">
        <v>1474</v>
      </c>
      <c r="BJ2024">
        <v>0</v>
      </c>
      <c r="BK2024">
        <v>8100</v>
      </c>
      <c r="BL2024">
        <v>8100</v>
      </c>
      <c r="BM2024">
        <v>0</v>
      </c>
      <c r="BN2024">
        <v>0</v>
      </c>
      <c r="BO2024">
        <v>0</v>
      </c>
      <c r="BP2024">
        <v>8100</v>
      </c>
      <c r="BQ2024">
        <v>8100</v>
      </c>
      <c r="BR2024">
        <f t="shared" si="324"/>
        <v>-320</v>
      </c>
      <c r="BS2024">
        <f t="shared" si="325"/>
        <v>320</v>
      </c>
      <c r="BU2024">
        <f>R2024*9</f>
        <v>0</v>
      </c>
      <c r="BV2024">
        <f>IF(BU2024&gt;BG2024, 1, 0)</f>
        <v>0</v>
      </c>
    </row>
    <row r="2025" spans="1:74" x14ac:dyDescent="0.25">
      <c r="A2025" s="5" t="s">
        <v>61</v>
      </c>
      <c r="B2025" s="5" t="s">
        <v>61</v>
      </c>
      <c r="C2025" s="5" t="s">
        <v>61</v>
      </c>
      <c r="D2025" s="1" t="s">
        <v>113</v>
      </c>
      <c r="E2025">
        <v>0</v>
      </c>
      <c r="F2025">
        <v>85</v>
      </c>
      <c r="G2025">
        <v>0</v>
      </c>
      <c r="H2025">
        <v>0</v>
      </c>
      <c r="I2025">
        <v>1750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342</v>
      </c>
      <c r="Q2025">
        <v>472</v>
      </c>
      <c r="R2025">
        <v>38</v>
      </c>
      <c r="S2025" s="18">
        <f t="shared" si="316"/>
        <v>9</v>
      </c>
      <c r="T2025" s="17">
        <f t="shared" si="317"/>
        <v>0</v>
      </c>
      <c r="U2025" s="17">
        <f t="shared" si="318"/>
        <v>0</v>
      </c>
      <c r="V2025" s="17">
        <f t="shared" si="319"/>
        <v>0</v>
      </c>
      <c r="W2025" s="17">
        <f t="shared" si="320"/>
        <v>38</v>
      </c>
      <c r="X2025" s="17">
        <f t="shared" si="321"/>
        <v>434</v>
      </c>
      <c r="Y2025" s="19">
        <f t="shared" si="322"/>
        <v>0</v>
      </c>
      <c r="Z2025">
        <v>85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1750</v>
      </c>
      <c r="AH2025">
        <v>1750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f t="shared" si="323"/>
        <v>3500</v>
      </c>
      <c r="BF2025">
        <v>1835</v>
      </c>
      <c r="BG2025">
        <v>1835</v>
      </c>
      <c r="BH2025" t="s">
        <v>109</v>
      </c>
      <c r="BI2025" t="s">
        <v>114</v>
      </c>
      <c r="BJ2025">
        <v>0</v>
      </c>
      <c r="BK2025">
        <v>1750</v>
      </c>
      <c r="BL2025">
        <v>1835</v>
      </c>
      <c r="BM2025">
        <v>0</v>
      </c>
      <c r="BN2025">
        <v>0</v>
      </c>
      <c r="BO2025">
        <v>0</v>
      </c>
      <c r="BP2025">
        <v>2092</v>
      </c>
      <c r="BQ2025">
        <v>2092</v>
      </c>
      <c r="BR2025">
        <f t="shared" si="324"/>
        <v>-434</v>
      </c>
      <c r="BS2025">
        <f t="shared" si="325"/>
        <v>510</v>
      </c>
    </row>
    <row r="2026" spans="1:74" x14ac:dyDescent="0.25">
      <c r="A2026" s="5" t="s">
        <v>1337</v>
      </c>
      <c r="B2026" s="5" t="s">
        <v>359</v>
      </c>
      <c r="C2026" s="5" t="s">
        <v>61</v>
      </c>
      <c r="D2026" s="1" t="s">
        <v>108</v>
      </c>
      <c r="E2026">
        <v>0</v>
      </c>
      <c r="F2026">
        <v>1521</v>
      </c>
      <c r="G2026">
        <v>0</v>
      </c>
      <c r="H2026">
        <v>0</v>
      </c>
      <c r="I2026">
        <v>238</v>
      </c>
      <c r="J2026">
        <v>0</v>
      </c>
      <c r="K2026">
        <v>0</v>
      </c>
      <c r="L2026">
        <v>0</v>
      </c>
      <c r="M2026">
        <v>1179</v>
      </c>
      <c r="N2026">
        <v>0</v>
      </c>
      <c r="O2026">
        <v>0</v>
      </c>
      <c r="P2026">
        <v>0</v>
      </c>
      <c r="Q2026">
        <v>565</v>
      </c>
      <c r="R2026">
        <v>131</v>
      </c>
      <c r="S2026" s="18">
        <f t="shared" si="316"/>
        <v>9</v>
      </c>
      <c r="T2026" s="17">
        <f t="shared" si="317"/>
        <v>131</v>
      </c>
      <c r="U2026" s="17">
        <f t="shared" si="318"/>
        <v>0</v>
      </c>
      <c r="V2026" s="17">
        <f t="shared" si="319"/>
        <v>0</v>
      </c>
      <c r="W2026" s="17">
        <f t="shared" si="320"/>
        <v>0</v>
      </c>
      <c r="X2026" s="17">
        <f t="shared" si="321"/>
        <v>434</v>
      </c>
      <c r="Y2026" s="19">
        <f t="shared" si="322"/>
        <v>0</v>
      </c>
      <c r="Z2026">
        <v>1521</v>
      </c>
      <c r="AA2026">
        <v>0</v>
      </c>
      <c r="AB2026">
        <v>0</v>
      </c>
      <c r="AC2026">
        <v>0</v>
      </c>
      <c r="AD2026">
        <v>238</v>
      </c>
      <c r="AE2026">
        <v>0</v>
      </c>
      <c r="AF2026">
        <v>0</v>
      </c>
      <c r="AG2026">
        <v>0</v>
      </c>
      <c r="AH2026">
        <v>238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f t="shared" si="323"/>
        <v>476</v>
      </c>
      <c r="BF2026">
        <v>1759</v>
      </c>
      <c r="BG2026">
        <v>1759</v>
      </c>
      <c r="BH2026" t="s">
        <v>109</v>
      </c>
      <c r="BI2026" t="s">
        <v>1433</v>
      </c>
      <c r="BJ2026">
        <v>0</v>
      </c>
      <c r="BK2026">
        <v>238</v>
      </c>
      <c r="BL2026">
        <v>1759</v>
      </c>
      <c r="BM2026">
        <v>1417</v>
      </c>
      <c r="BN2026">
        <v>0</v>
      </c>
      <c r="BO2026">
        <v>0</v>
      </c>
      <c r="BP2026">
        <v>0</v>
      </c>
      <c r="BQ2026">
        <v>1417</v>
      </c>
      <c r="BR2026">
        <f t="shared" si="324"/>
        <v>-434</v>
      </c>
      <c r="BS2026">
        <f t="shared" si="325"/>
        <v>696</v>
      </c>
    </row>
    <row r="2027" spans="1:74" x14ac:dyDescent="0.25">
      <c r="A2027" s="5" t="s">
        <v>1135</v>
      </c>
      <c r="B2027" s="5" t="s">
        <v>207</v>
      </c>
      <c r="C2027" s="5" t="s">
        <v>359</v>
      </c>
      <c r="D2027" s="1" t="s">
        <v>77</v>
      </c>
      <c r="E2027">
        <v>0</v>
      </c>
      <c r="F2027">
        <v>0</v>
      </c>
      <c r="G2027">
        <v>0</v>
      </c>
      <c r="H2027">
        <v>0</v>
      </c>
      <c r="I2027">
        <v>1110</v>
      </c>
      <c r="J2027">
        <v>7823</v>
      </c>
      <c r="K2027">
        <v>1466</v>
      </c>
      <c r="L2027">
        <v>626</v>
      </c>
      <c r="M2027">
        <v>0</v>
      </c>
      <c r="N2027">
        <v>0</v>
      </c>
      <c r="O2027">
        <v>0</v>
      </c>
      <c r="P2027">
        <v>0</v>
      </c>
      <c r="Q2027">
        <v>435</v>
      </c>
      <c r="R2027">
        <v>0</v>
      </c>
      <c r="S2027" s="18" t="e">
        <f t="shared" si="316"/>
        <v>#DIV/0!</v>
      </c>
      <c r="T2027" s="17" t="e">
        <f t="shared" si="317"/>
        <v>#DIV/0!</v>
      </c>
      <c r="U2027" s="17" t="e">
        <f t="shared" si="318"/>
        <v>#DIV/0!</v>
      </c>
      <c r="V2027" s="17" t="e">
        <f t="shared" si="319"/>
        <v>#DIV/0!</v>
      </c>
      <c r="W2027" s="17" t="e">
        <f t="shared" si="320"/>
        <v>#DIV/0!</v>
      </c>
      <c r="X2027" s="17" t="e">
        <f t="shared" si="321"/>
        <v>#DIV/0!</v>
      </c>
      <c r="Y2027" s="19" t="e">
        <f t="shared" si="322"/>
        <v>#DIV/0!</v>
      </c>
      <c r="Z2027">
        <v>0</v>
      </c>
      <c r="AA2027">
        <v>6</v>
      </c>
      <c r="AB2027">
        <v>0</v>
      </c>
      <c r="AC2027">
        <v>3725</v>
      </c>
      <c r="AD2027">
        <v>0</v>
      </c>
      <c r="AE2027">
        <v>0</v>
      </c>
      <c r="AF2027">
        <v>0</v>
      </c>
      <c r="AG2027">
        <v>1110</v>
      </c>
      <c r="AH2027">
        <v>1110</v>
      </c>
      <c r="AI2027">
        <v>0</v>
      </c>
      <c r="AJ2027">
        <v>3478</v>
      </c>
      <c r="AK2027">
        <v>4345</v>
      </c>
      <c r="AL2027">
        <v>7823</v>
      </c>
      <c r="AM2027">
        <v>0</v>
      </c>
      <c r="AN2027">
        <v>340</v>
      </c>
      <c r="AO2027">
        <v>1126</v>
      </c>
      <c r="AP2027">
        <v>370</v>
      </c>
      <c r="AQ2027">
        <v>1466</v>
      </c>
      <c r="AR2027">
        <v>1096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125</v>
      </c>
      <c r="AZ2027">
        <v>501</v>
      </c>
      <c r="BA2027">
        <v>626</v>
      </c>
      <c r="BB2027">
        <v>0</v>
      </c>
      <c r="BC2027">
        <v>0</v>
      </c>
      <c r="BD2027">
        <v>0</v>
      </c>
      <c r="BE2027">
        <f t="shared" si="323"/>
        <v>27241</v>
      </c>
      <c r="BF2027">
        <v>14756</v>
      </c>
      <c r="BG2027">
        <v>14756</v>
      </c>
      <c r="BH2027" t="s">
        <v>82</v>
      </c>
      <c r="BI2027" t="s">
        <v>1290</v>
      </c>
      <c r="BJ2027">
        <v>3731</v>
      </c>
      <c r="BK2027">
        <v>11025</v>
      </c>
      <c r="BL2027">
        <v>14756</v>
      </c>
      <c r="BM2027">
        <v>0</v>
      </c>
      <c r="BN2027">
        <v>3943</v>
      </c>
      <c r="BO2027">
        <v>0</v>
      </c>
      <c r="BP2027">
        <v>7082</v>
      </c>
      <c r="BQ2027">
        <v>11025</v>
      </c>
      <c r="BR2027">
        <f t="shared" si="324"/>
        <v>-435</v>
      </c>
      <c r="BS2027">
        <f t="shared" si="325"/>
        <v>435</v>
      </c>
    </row>
    <row r="2028" spans="1:74" x14ac:dyDescent="0.25">
      <c r="A2028" s="5" t="s">
        <v>1661</v>
      </c>
      <c r="B2028" s="5" t="s">
        <v>61</v>
      </c>
      <c r="C2028" s="5" t="s">
        <v>359</v>
      </c>
      <c r="D2028" s="1" t="s">
        <v>71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3646</v>
      </c>
      <c r="K2028">
        <v>1025</v>
      </c>
      <c r="L2028">
        <v>347</v>
      </c>
      <c r="M2028">
        <v>0</v>
      </c>
      <c r="N2028">
        <v>0</v>
      </c>
      <c r="O2028">
        <v>0</v>
      </c>
      <c r="P2028">
        <v>0</v>
      </c>
      <c r="Q2028">
        <v>326</v>
      </c>
      <c r="R2028">
        <v>0</v>
      </c>
      <c r="S2028" s="18" t="e">
        <f t="shared" si="316"/>
        <v>#DIV/0!</v>
      </c>
      <c r="T2028" s="17" t="e">
        <f t="shared" si="317"/>
        <v>#DIV/0!</v>
      </c>
      <c r="U2028" s="17" t="e">
        <f t="shared" si="318"/>
        <v>#DIV/0!</v>
      </c>
      <c r="V2028" s="17" t="e">
        <f t="shared" si="319"/>
        <v>#DIV/0!</v>
      </c>
      <c r="W2028" s="17" t="e">
        <f t="shared" si="320"/>
        <v>#DIV/0!</v>
      </c>
      <c r="X2028" s="17" t="e">
        <f t="shared" si="321"/>
        <v>#DIV/0!</v>
      </c>
      <c r="Y2028" s="19" t="e">
        <f t="shared" si="322"/>
        <v>#DIV/0!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3646</v>
      </c>
      <c r="AL2028">
        <v>3646</v>
      </c>
      <c r="AM2028">
        <v>0</v>
      </c>
      <c r="AN2028">
        <v>0</v>
      </c>
      <c r="AO2028">
        <v>1025</v>
      </c>
      <c r="AP2028">
        <v>480</v>
      </c>
      <c r="AQ2028">
        <v>1025</v>
      </c>
      <c r="AR2028">
        <v>545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347</v>
      </c>
      <c r="BA2028">
        <v>347</v>
      </c>
      <c r="BB2028">
        <v>0</v>
      </c>
      <c r="BC2028">
        <v>0</v>
      </c>
      <c r="BD2028">
        <v>0</v>
      </c>
      <c r="BE2028">
        <f t="shared" si="323"/>
        <v>11061</v>
      </c>
      <c r="BF2028">
        <v>5018</v>
      </c>
      <c r="BG2028">
        <v>5018</v>
      </c>
      <c r="BH2028" t="s">
        <v>63</v>
      </c>
      <c r="BI2028" t="s">
        <v>1716</v>
      </c>
      <c r="BJ2028">
        <v>0</v>
      </c>
      <c r="BK2028">
        <v>5018</v>
      </c>
      <c r="BL2028">
        <v>5018</v>
      </c>
      <c r="BM2028">
        <v>0</v>
      </c>
      <c r="BN2028">
        <v>0</v>
      </c>
      <c r="BO2028">
        <v>0</v>
      </c>
      <c r="BP2028">
        <v>5018</v>
      </c>
      <c r="BQ2028">
        <v>5018</v>
      </c>
      <c r="BR2028">
        <f t="shared" si="324"/>
        <v>-326</v>
      </c>
      <c r="BS2028">
        <f t="shared" si="325"/>
        <v>326</v>
      </c>
      <c r="BU2028">
        <f>R2028*9</f>
        <v>0</v>
      </c>
      <c r="BV2028">
        <f>IF(BU2028&gt;BG2028, 1, 0)</f>
        <v>0</v>
      </c>
    </row>
    <row r="2029" spans="1:74" x14ac:dyDescent="0.25">
      <c r="A2029" s="5" t="s">
        <v>359</v>
      </c>
      <c r="B2029" s="5" t="s">
        <v>207</v>
      </c>
      <c r="C2029" s="5" t="s">
        <v>61</v>
      </c>
      <c r="D2029" s="1" t="s">
        <v>79</v>
      </c>
      <c r="E2029">
        <v>0</v>
      </c>
      <c r="F2029">
        <v>0</v>
      </c>
      <c r="G2029">
        <v>0</v>
      </c>
      <c r="H2029">
        <v>0</v>
      </c>
      <c r="I2029">
        <v>755</v>
      </c>
      <c r="J2029">
        <v>0</v>
      </c>
      <c r="K2029">
        <v>30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436</v>
      </c>
      <c r="R2029">
        <v>0</v>
      </c>
      <c r="S2029" s="18" t="e">
        <f t="shared" si="316"/>
        <v>#DIV/0!</v>
      </c>
      <c r="T2029" s="17" t="e">
        <f t="shared" si="317"/>
        <v>#DIV/0!</v>
      </c>
      <c r="U2029" s="17" t="e">
        <f t="shared" si="318"/>
        <v>#DIV/0!</v>
      </c>
      <c r="V2029" s="17" t="e">
        <f t="shared" si="319"/>
        <v>#DIV/0!</v>
      </c>
      <c r="W2029" s="17" t="e">
        <f t="shared" si="320"/>
        <v>#DIV/0!</v>
      </c>
      <c r="X2029" s="17" t="e">
        <f t="shared" si="321"/>
        <v>#DIV/0!</v>
      </c>
      <c r="Y2029" s="19" t="e">
        <f t="shared" si="322"/>
        <v>#DIV/0!</v>
      </c>
      <c r="Z2029">
        <v>0</v>
      </c>
      <c r="AA2029">
        <v>0</v>
      </c>
      <c r="AB2029">
        <v>0</v>
      </c>
      <c r="AC2029">
        <v>0</v>
      </c>
      <c r="AD2029">
        <v>755</v>
      </c>
      <c r="AE2029">
        <v>0</v>
      </c>
      <c r="AF2029">
        <v>0</v>
      </c>
      <c r="AG2029">
        <v>0</v>
      </c>
      <c r="AH2029">
        <v>755</v>
      </c>
      <c r="AI2029">
        <v>0</v>
      </c>
      <c r="AJ2029">
        <v>0</v>
      </c>
      <c r="AK2029">
        <v>0</v>
      </c>
      <c r="AL2029">
        <v>0</v>
      </c>
      <c r="AM2029">
        <v>30</v>
      </c>
      <c r="AN2029">
        <v>0</v>
      </c>
      <c r="AO2029">
        <v>0</v>
      </c>
      <c r="AP2029">
        <v>0</v>
      </c>
      <c r="AQ2029">
        <v>30</v>
      </c>
      <c r="AR2029">
        <v>30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f t="shared" si="323"/>
        <v>1600</v>
      </c>
      <c r="BF2029">
        <v>785</v>
      </c>
      <c r="BG2029">
        <v>785</v>
      </c>
      <c r="BH2029" t="s">
        <v>109</v>
      </c>
      <c r="BI2029" t="s">
        <v>708</v>
      </c>
      <c r="BJ2029">
        <v>0</v>
      </c>
      <c r="BK2029">
        <v>785</v>
      </c>
      <c r="BL2029">
        <v>785</v>
      </c>
      <c r="BM2029">
        <v>785</v>
      </c>
      <c r="BN2029">
        <v>0</v>
      </c>
      <c r="BO2029">
        <v>0</v>
      </c>
      <c r="BP2029">
        <v>0</v>
      </c>
      <c r="BQ2029">
        <v>785</v>
      </c>
      <c r="BR2029">
        <f t="shared" si="324"/>
        <v>-436</v>
      </c>
      <c r="BS2029">
        <f t="shared" si="325"/>
        <v>436</v>
      </c>
    </row>
    <row r="2030" spans="1:74" x14ac:dyDescent="0.25">
      <c r="A2030" s="5" t="s">
        <v>207</v>
      </c>
      <c r="B2030" s="5" t="s">
        <v>61</v>
      </c>
      <c r="C2030" s="5" t="s">
        <v>61</v>
      </c>
      <c r="D2030" s="1" t="s">
        <v>79</v>
      </c>
      <c r="E2030">
        <v>0</v>
      </c>
      <c r="F2030">
        <v>76</v>
      </c>
      <c r="G2030">
        <v>0</v>
      </c>
      <c r="H2030">
        <v>0</v>
      </c>
      <c r="I2030">
        <v>1500</v>
      </c>
      <c r="J2030">
        <v>0</v>
      </c>
      <c r="K2030">
        <v>0</v>
      </c>
      <c r="L2030">
        <v>0</v>
      </c>
      <c r="M2030">
        <v>684</v>
      </c>
      <c r="N2030">
        <v>0</v>
      </c>
      <c r="O2030">
        <v>0</v>
      </c>
      <c r="P2030">
        <v>0</v>
      </c>
      <c r="Q2030">
        <v>513</v>
      </c>
      <c r="R2030">
        <v>76</v>
      </c>
      <c r="S2030" s="18">
        <f t="shared" si="316"/>
        <v>9</v>
      </c>
      <c r="T2030" s="17">
        <f t="shared" si="317"/>
        <v>76</v>
      </c>
      <c r="U2030" s="17">
        <f t="shared" si="318"/>
        <v>0</v>
      </c>
      <c r="V2030" s="17">
        <f t="shared" si="319"/>
        <v>0</v>
      </c>
      <c r="W2030" s="17">
        <f t="shared" si="320"/>
        <v>0</v>
      </c>
      <c r="X2030" s="17">
        <f t="shared" si="321"/>
        <v>437</v>
      </c>
      <c r="Y2030" s="19">
        <f t="shared" si="322"/>
        <v>0</v>
      </c>
      <c r="Z2030">
        <v>76</v>
      </c>
      <c r="AA2030">
        <v>0</v>
      </c>
      <c r="AB2030">
        <v>0</v>
      </c>
      <c r="AC2030">
        <v>0</v>
      </c>
      <c r="AD2030">
        <v>1500</v>
      </c>
      <c r="AE2030">
        <v>0</v>
      </c>
      <c r="AF2030">
        <v>0</v>
      </c>
      <c r="AG2030">
        <v>0</v>
      </c>
      <c r="AH2030">
        <v>1500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f t="shared" si="323"/>
        <v>3000</v>
      </c>
      <c r="BF2030">
        <v>1576</v>
      </c>
      <c r="BG2030">
        <v>1576</v>
      </c>
      <c r="BH2030" t="s">
        <v>109</v>
      </c>
      <c r="BI2030" t="s">
        <v>434</v>
      </c>
      <c r="BJ2030">
        <v>0</v>
      </c>
      <c r="BK2030">
        <v>1500</v>
      </c>
      <c r="BL2030">
        <v>1576</v>
      </c>
      <c r="BM2030">
        <v>2184</v>
      </c>
      <c r="BN2030">
        <v>0</v>
      </c>
      <c r="BO2030">
        <v>0</v>
      </c>
      <c r="BP2030">
        <v>0</v>
      </c>
      <c r="BQ2030">
        <v>2184</v>
      </c>
      <c r="BR2030">
        <f t="shared" si="324"/>
        <v>-437</v>
      </c>
      <c r="BS2030">
        <f t="shared" si="325"/>
        <v>589</v>
      </c>
    </row>
    <row r="2031" spans="1:74" x14ac:dyDescent="0.25">
      <c r="A2031" s="5" t="s">
        <v>1135</v>
      </c>
      <c r="B2031" s="5" t="s">
        <v>207</v>
      </c>
      <c r="C2031" s="5" t="s">
        <v>207</v>
      </c>
      <c r="D2031" s="1" t="s">
        <v>71</v>
      </c>
      <c r="E2031">
        <v>0</v>
      </c>
      <c r="F2031">
        <v>25148</v>
      </c>
      <c r="G2031">
        <v>0</v>
      </c>
      <c r="H2031">
        <v>0</v>
      </c>
      <c r="I2031">
        <v>2133</v>
      </c>
      <c r="J2031">
        <v>6961</v>
      </c>
      <c r="K2031">
        <v>4992</v>
      </c>
      <c r="L2031">
        <v>1748</v>
      </c>
      <c r="M2031">
        <v>0</v>
      </c>
      <c r="N2031">
        <v>0</v>
      </c>
      <c r="O2031">
        <v>0</v>
      </c>
      <c r="P2031">
        <v>56583</v>
      </c>
      <c r="Q2031">
        <v>6725</v>
      </c>
      <c r="R2031">
        <v>6287</v>
      </c>
      <c r="S2031" s="18">
        <f t="shared" si="316"/>
        <v>9</v>
      </c>
      <c r="T2031" s="17">
        <f t="shared" si="317"/>
        <v>0</v>
      </c>
      <c r="U2031" s="17">
        <f t="shared" si="318"/>
        <v>0</v>
      </c>
      <c r="V2031" s="17">
        <f t="shared" si="319"/>
        <v>0</v>
      </c>
      <c r="W2031" s="17">
        <f t="shared" si="320"/>
        <v>6287</v>
      </c>
      <c r="X2031" s="17">
        <f t="shared" si="321"/>
        <v>438</v>
      </c>
      <c r="Y2031" s="19">
        <f t="shared" si="322"/>
        <v>0</v>
      </c>
      <c r="Z2031">
        <v>25148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2133</v>
      </c>
      <c r="AH2031">
        <v>2133</v>
      </c>
      <c r="AI2031">
        <v>0</v>
      </c>
      <c r="AJ2031">
        <v>0</v>
      </c>
      <c r="AK2031">
        <v>6961</v>
      </c>
      <c r="AL2031">
        <v>6961</v>
      </c>
      <c r="AM2031">
        <v>0</v>
      </c>
      <c r="AN2031">
        <v>0</v>
      </c>
      <c r="AO2031">
        <v>4992</v>
      </c>
      <c r="AP2031">
        <v>2421</v>
      </c>
      <c r="AQ2031">
        <v>4992</v>
      </c>
      <c r="AR2031">
        <v>2571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1748</v>
      </c>
      <c r="BA2031">
        <v>1748</v>
      </c>
      <c r="BB2031">
        <v>0</v>
      </c>
      <c r="BC2031">
        <v>0</v>
      </c>
      <c r="BD2031">
        <v>0</v>
      </c>
      <c r="BE2031">
        <f t="shared" si="323"/>
        <v>36660</v>
      </c>
      <c r="BF2031">
        <v>40982</v>
      </c>
      <c r="BG2031">
        <v>40982</v>
      </c>
      <c r="BH2031" t="s">
        <v>109</v>
      </c>
      <c r="BI2031" t="s">
        <v>1259</v>
      </c>
      <c r="BJ2031">
        <v>0</v>
      </c>
      <c r="BK2031">
        <v>15834</v>
      </c>
      <c r="BL2031">
        <v>40982</v>
      </c>
      <c r="BM2031">
        <v>0</v>
      </c>
      <c r="BN2031">
        <v>0</v>
      </c>
      <c r="BO2031">
        <v>0</v>
      </c>
      <c r="BP2031">
        <v>72417</v>
      </c>
      <c r="BQ2031">
        <v>72417</v>
      </c>
      <c r="BR2031">
        <f t="shared" si="324"/>
        <v>-438</v>
      </c>
      <c r="BS2031">
        <f t="shared" si="325"/>
        <v>13012</v>
      </c>
    </row>
    <row r="2032" spans="1:74" x14ac:dyDescent="0.25">
      <c r="A2032" s="5" t="s">
        <v>1661</v>
      </c>
      <c r="B2032" s="5" t="s">
        <v>359</v>
      </c>
      <c r="C2032" s="5" t="s">
        <v>359</v>
      </c>
      <c r="D2032" s="1" t="s">
        <v>79</v>
      </c>
      <c r="E2032">
        <v>0</v>
      </c>
      <c r="F2032">
        <v>1040</v>
      </c>
      <c r="G2032">
        <v>0</v>
      </c>
      <c r="H2032">
        <v>0</v>
      </c>
      <c r="I2032">
        <v>1280</v>
      </c>
      <c r="J2032">
        <v>0</v>
      </c>
      <c r="K2032">
        <v>73</v>
      </c>
      <c r="L2032">
        <v>24</v>
      </c>
      <c r="M2032">
        <v>0</v>
      </c>
      <c r="N2032">
        <v>0</v>
      </c>
      <c r="O2032">
        <v>0</v>
      </c>
      <c r="P2032">
        <v>5238</v>
      </c>
      <c r="Q2032">
        <v>1021</v>
      </c>
      <c r="R2032">
        <v>582</v>
      </c>
      <c r="S2032" s="18">
        <f t="shared" si="316"/>
        <v>9</v>
      </c>
      <c r="T2032" s="17">
        <f t="shared" si="317"/>
        <v>0</v>
      </c>
      <c r="U2032" s="17">
        <f t="shared" si="318"/>
        <v>0</v>
      </c>
      <c r="V2032" s="17">
        <f t="shared" si="319"/>
        <v>0</v>
      </c>
      <c r="W2032" s="17">
        <f t="shared" si="320"/>
        <v>582</v>
      </c>
      <c r="X2032" s="17">
        <f t="shared" si="321"/>
        <v>439</v>
      </c>
      <c r="Y2032" s="19">
        <f t="shared" si="322"/>
        <v>0</v>
      </c>
      <c r="Z2032">
        <v>1040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1280</v>
      </c>
      <c r="AH2032">
        <v>1280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42</v>
      </c>
      <c r="AP2032">
        <v>8</v>
      </c>
      <c r="AQ2032">
        <v>73</v>
      </c>
      <c r="AR2032">
        <v>65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24</v>
      </c>
      <c r="BA2032">
        <v>24</v>
      </c>
      <c r="BB2032">
        <v>0</v>
      </c>
      <c r="BC2032">
        <v>0</v>
      </c>
      <c r="BD2032">
        <v>0</v>
      </c>
      <c r="BE2032">
        <f t="shared" si="323"/>
        <v>2796</v>
      </c>
      <c r="BF2032">
        <v>2417</v>
      </c>
      <c r="BG2032">
        <v>2417</v>
      </c>
      <c r="BH2032" t="s">
        <v>109</v>
      </c>
      <c r="BI2032" t="s">
        <v>1926</v>
      </c>
      <c r="BJ2032">
        <v>0</v>
      </c>
      <c r="BK2032">
        <v>1377</v>
      </c>
      <c r="BL2032">
        <v>2417</v>
      </c>
      <c r="BM2032">
        <v>0</v>
      </c>
      <c r="BN2032">
        <v>0</v>
      </c>
      <c r="BO2032">
        <v>0</v>
      </c>
      <c r="BP2032">
        <v>6584</v>
      </c>
      <c r="BQ2032">
        <v>6584</v>
      </c>
      <c r="BR2032">
        <f t="shared" si="324"/>
        <v>-439</v>
      </c>
      <c r="BS2032">
        <f t="shared" si="325"/>
        <v>1603</v>
      </c>
    </row>
    <row r="2033" spans="1:74" x14ac:dyDescent="0.25">
      <c r="A2033" s="5" t="s">
        <v>1946</v>
      </c>
      <c r="B2033" s="5" t="s">
        <v>207</v>
      </c>
      <c r="C2033" s="5" t="s">
        <v>61</v>
      </c>
      <c r="D2033" s="1" t="s">
        <v>92</v>
      </c>
      <c r="E2033">
        <v>0</v>
      </c>
      <c r="F2033">
        <v>375</v>
      </c>
      <c r="G2033">
        <v>0</v>
      </c>
      <c r="H2033">
        <v>0</v>
      </c>
      <c r="I2033">
        <v>185</v>
      </c>
      <c r="J2033">
        <v>1725</v>
      </c>
      <c r="K2033">
        <v>2065</v>
      </c>
      <c r="L2033">
        <v>580</v>
      </c>
      <c r="M2033">
        <v>0</v>
      </c>
      <c r="N2033">
        <v>0</v>
      </c>
      <c r="O2033">
        <v>0</v>
      </c>
      <c r="P2033">
        <v>675</v>
      </c>
      <c r="Q2033">
        <v>514</v>
      </c>
      <c r="R2033">
        <v>75</v>
      </c>
      <c r="S2033" s="18">
        <f t="shared" si="316"/>
        <v>9</v>
      </c>
      <c r="T2033" s="17">
        <f t="shared" si="317"/>
        <v>0</v>
      </c>
      <c r="U2033" s="17">
        <f t="shared" si="318"/>
        <v>0</v>
      </c>
      <c r="V2033" s="17">
        <f t="shared" si="319"/>
        <v>0</v>
      </c>
      <c r="W2033" s="17">
        <f t="shared" si="320"/>
        <v>75</v>
      </c>
      <c r="X2033" s="17">
        <f t="shared" si="321"/>
        <v>439</v>
      </c>
      <c r="Y2033" s="19">
        <f t="shared" si="322"/>
        <v>0</v>
      </c>
      <c r="Z2033">
        <v>375</v>
      </c>
      <c r="AA2033">
        <v>0</v>
      </c>
      <c r="AB2033">
        <v>0</v>
      </c>
      <c r="AC2033">
        <v>2700</v>
      </c>
      <c r="AD2033">
        <v>0</v>
      </c>
      <c r="AE2033">
        <v>0</v>
      </c>
      <c r="AF2033">
        <v>0</v>
      </c>
      <c r="AG2033">
        <v>185</v>
      </c>
      <c r="AH2033">
        <v>185</v>
      </c>
      <c r="AI2033">
        <v>0</v>
      </c>
      <c r="AJ2033">
        <v>0</v>
      </c>
      <c r="AK2033">
        <v>1725</v>
      </c>
      <c r="AL2033">
        <v>1725</v>
      </c>
      <c r="AM2033">
        <v>0</v>
      </c>
      <c r="AN2033">
        <v>0</v>
      </c>
      <c r="AO2033">
        <v>2065</v>
      </c>
      <c r="AP2033">
        <v>600</v>
      </c>
      <c r="AQ2033">
        <v>2065</v>
      </c>
      <c r="AR2033">
        <v>1465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580</v>
      </c>
      <c r="BA2033">
        <v>580</v>
      </c>
      <c r="BB2033">
        <v>0</v>
      </c>
      <c r="BC2033">
        <v>0</v>
      </c>
      <c r="BD2033">
        <v>0</v>
      </c>
      <c r="BE2033">
        <f t="shared" si="323"/>
        <v>13875</v>
      </c>
      <c r="BF2033">
        <v>7630</v>
      </c>
      <c r="BG2033">
        <v>7630</v>
      </c>
      <c r="BH2033" t="s">
        <v>82</v>
      </c>
      <c r="BI2033" t="s">
        <v>2022</v>
      </c>
      <c r="BJ2033">
        <v>2700</v>
      </c>
      <c r="BK2033">
        <v>4555</v>
      </c>
      <c r="BL2033">
        <v>7630</v>
      </c>
      <c r="BM2033">
        <v>0</v>
      </c>
      <c r="BN2033">
        <v>0</v>
      </c>
      <c r="BO2033">
        <v>0</v>
      </c>
      <c r="BP2033">
        <v>5230</v>
      </c>
      <c r="BQ2033">
        <v>5230</v>
      </c>
      <c r="BR2033">
        <f t="shared" si="324"/>
        <v>-439</v>
      </c>
      <c r="BS2033">
        <f t="shared" si="325"/>
        <v>589</v>
      </c>
    </row>
    <row r="2034" spans="1:74" x14ac:dyDescent="0.25">
      <c r="A2034" s="5" t="s">
        <v>1451</v>
      </c>
      <c r="B2034" s="5" t="s">
        <v>61</v>
      </c>
      <c r="C2034" s="5" t="s">
        <v>61</v>
      </c>
      <c r="D2034" s="1" t="s">
        <v>88</v>
      </c>
      <c r="E2034">
        <v>70</v>
      </c>
      <c r="F2034">
        <v>11100</v>
      </c>
      <c r="G2034">
        <v>0</v>
      </c>
      <c r="H2034">
        <v>0</v>
      </c>
      <c r="I2034">
        <v>2206</v>
      </c>
      <c r="J2034">
        <v>1611</v>
      </c>
      <c r="K2034">
        <v>1242</v>
      </c>
      <c r="L2034">
        <v>92</v>
      </c>
      <c r="M2034">
        <v>0</v>
      </c>
      <c r="N2034">
        <v>0</v>
      </c>
      <c r="O2034">
        <v>0</v>
      </c>
      <c r="P2034">
        <v>9900</v>
      </c>
      <c r="Q2034">
        <v>1542</v>
      </c>
      <c r="R2034">
        <v>1100</v>
      </c>
      <c r="S2034" s="18">
        <f t="shared" si="316"/>
        <v>9</v>
      </c>
      <c r="T2034" s="17">
        <f t="shared" si="317"/>
        <v>0</v>
      </c>
      <c r="U2034" s="17">
        <f t="shared" si="318"/>
        <v>0</v>
      </c>
      <c r="V2034" s="17">
        <f t="shared" si="319"/>
        <v>0</v>
      </c>
      <c r="W2034" s="17">
        <f t="shared" si="320"/>
        <v>1100</v>
      </c>
      <c r="X2034" s="17">
        <f t="shared" si="321"/>
        <v>442</v>
      </c>
      <c r="Y2034" s="19">
        <f t="shared" si="322"/>
        <v>0</v>
      </c>
      <c r="Z2034">
        <v>11100</v>
      </c>
      <c r="AA2034">
        <v>4</v>
      </c>
      <c r="AB2034">
        <v>0</v>
      </c>
      <c r="AC2034">
        <v>7830</v>
      </c>
      <c r="AD2034">
        <v>0</v>
      </c>
      <c r="AE2034">
        <v>0</v>
      </c>
      <c r="AF2034">
        <v>0</v>
      </c>
      <c r="AG2034">
        <v>2206</v>
      </c>
      <c r="AH2034">
        <v>2206</v>
      </c>
      <c r="AI2034">
        <v>0</v>
      </c>
      <c r="AJ2034">
        <v>0</v>
      </c>
      <c r="AK2034">
        <v>1611</v>
      </c>
      <c r="AL2034">
        <v>1611</v>
      </c>
      <c r="AM2034">
        <v>0</v>
      </c>
      <c r="AN2034">
        <v>0</v>
      </c>
      <c r="AO2034">
        <v>1242</v>
      </c>
      <c r="AP2034">
        <v>1000</v>
      </c>
      <c r="AQ2034">
        <v>1242</v>
      </c>
      <c r="AR2034">
        <v>242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92</v>
      </c>
      <c r="BA2034">
        <v>92</v>
      </c>
      <c r="BB2034">
        <v>0</v>
      </c>
      <c r="BC2034">
        <v>0</v>
      </c>
      <c r="BD2034">
        <v>0</v>
      </c>
      <c r="BE2034">
        <f t="shared" si="323"/>
        <v>19374</v>
      </c>
      <c r="BF2034">
        <v>24155</v>
      </c>
      <c r="BG2034">
        <v>24155</v>
      </c>
      <c r="BH2034" t="s">
        <v>560</v>
      </c>
      <c r="BI2034" t="s">
        <v>1460</v>
      </c>
      <c r="BJ2034">
        <v>7904</v>
      </c>
      <c r="BK2034">
        <v>5151</v>
      </c>
      <c r="BL2034">
        <v>24155</v>
      </c>
      <c r="BM2034">
        <v>0</v>
      </c>
      <c r="BN2034">
        <v>0</v>
      </c>
      <c r="BO2034">
        <v>0</v>
      </c>
      <c r="BP2034">
        <v>15051</v>
      </c>
      <c r="BQ2034">
        <v>15051</v>
      </c>
      <c r="BR2034">
        <f t="shared" si="324"/>
        <v>-442</v>
      </c>
      <c r="BS2034">
        <f t="shared" si="325"/>
        <v>2642</v>
      </c>
    </row>
    <row r="2035" spans="1:74" x14ac:dyDescent="0.25">
      <c r="A2035" s="5" t="s">
        <v>2294</v>
      </c>
      <c r="B2035" s="5" t="s">
        <v>61</v>
      </c>
      <c r="C2035" s="5" t="s">
        <v>61</v>
      </c>
      <c r="D2035" s="1" t="s">
        <v>81</v>
      </c>
      <c r="E2035">
        <v>0</v>
      </c>
      <c r="F2035">
        <v>24</v>
      </c>
      <c r="G2035">
        <v>0</v>
      </c>
      <c r="H2035">
        <v>0</v>
      </c>
      <c r="I2035">
        <v>1500</v>
      </c>
      <c r="J2035">
        <v>0</v>
      </c>
      <c r="K2035">
        <v>0</v>
      </c>
      <c r="L2035">
        <v>0</v>
      </c>
      <c r="M2035">
        <v>216</v>
      </c>
      <c r="N2035">
        <v>0</v>
      </c>
      <c r="O2035">
        <v>0</v>
      </c>
      <c r="P2035">
        <v>0</v>
      </c>
      <c r="Q2035">
        <v>466</v>
      </c>
      <c r="R2035">
        <v>24</v>
      </c>
      <c r="S2035" s="18">
        <f t="shared" si="316"/>
        <v>9</v>
      </c>
      <c r="T2035" s="17">
        <f t="shared" si="317"/>
        <v>24</v>
      </c>
      <c r="U2035" s="17">
        <f t="shared" si="318"/>
        <v>0</v>
      </c>
      <c r="V2035" s="17">
        <f t="shared" si="319"/>
        <v>0</v>
      </c>
      <c r="W2035" s="17">
        <f t="shared" si="320"/>
        <v>0</v>
      </c>
      <c r="X2035" s="17">
        <f t="shared" si="321"/>
        <v>442</v>
      </c>
      <c r="Y2035" s="19">
        <f t="shared" si="322"/>
        <v>0</v>
      </c>
      <c r="Z2035">
        <v>24</v>
      </c>
      <c r="AA2035">
        <v>0</v>
      </c>
      <c r="AB2035">
        <v>0</v>
      </c>
      <c r="AC2035">
        <v>0</v>
      </c>
      <c r="AD2035">
        <v>1500</v>
      </c>
      <c r="AE2035">
        <v>0</v>
      </c>
      <c r="AF2035">
        <v>0</v>
      </c>
      <c r="AG2035">
        <v>0</v>
      </c>
      <c r="AH2035">
        <v>1500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f t="shared" si="323"/>
        <v>3000</v>
      </c>
      <c r="BF2035">
        <v>1524</v>
      </c>
      <c r="BG2035">
        <v>1524</v>
      </c>
      <c r="BH2035" t="s">
        <v>109</v>
      </c>
      <c r="BI2035" t="s">
        <v>2304</v>
      </c>
      <c r="BJ2035">
        <v>0</v>
      </c>
      <c r="BK2035">
        <v>1500</v>
      </c>
      <c r="BL2035">
        <v>1524</v>
      </c>
      <c r="BM2035">
        <v>1716</v>
      </c>
      <c r="BN2035">
        <v>0</v>
      </c>
      <c r="BO2035">
        <v>0</v>
      </c>
      <c r="BP2035">
        <v>0</v>
      </c>
      <c r="BQ2035">
        <v>1716</v>
      </c>
      <c r="BR2035">
        <f t="shared" si="324"/>
        <v>-442</v>
      </c>
      <c r="BS2035">
        <f t="shared" si="325"/>
        <v>490</v>
      </c>
    </row>
    <row r="2036" spans="1:74" x14ac:dyDescent="0.25">
      <c r="A2036" s="5" t="s">
        <v>359</v>
      </c>
      <c r="B2036" s="5" t="s">
        <v>61</v>
      </c>
      <c r="C2036" s="5" t="s">
        <v>61</v>
      </c>
      <c r="D2036" s="1" t="s">
        <v>123</v>
      </c>
      <c r="E2036">
        <v>0</v>
      </c>
      <c r="F2036">
        <v>0</v>
      </c>
      <c r="G2036">
        <v>0</v>
      </c>
      <c r="H2036">
        <v>0</v>
      </c>
      <c r="I2036">
        <v>2800</v>
      </c>
      <c r="J2036">
        <v>0</v>
      </c>
      <c r="K2036">
        <v>3500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443</v>
      </c>
      <c r="R2036">
        <v>0</v>
      </c>
      <c r="S2036" s="18" t="e">
        <f t="shared" si="316"/>
        <v>#DIV/0!</v>
      </c>
      <c r="T2036" s="17" t="e">
        <f t="shared" si="317"/>
        <v>#DIV/0!</v>
      </c>
      <c r="U2036" s="17" t="e">
        <f t="shared" si="318"/>
        <v>#DIV/0!</v>
      </c>
      <c r="V2036" s="17" t="e">
        <f t="shared" si="319"/>
        <v>#DIV/0!</v>
      </c>
      <c r="W2036" s="17" t="e">
        <f t="shared" si="320"/>
        <v>#DIV/0!</v>
      </c>
      <c r="X2036" s="17" t="e">
        <f t="shared" si="321"/>
        <v>#DIV/0!</v>
      </c>
      <c r="Y2036" s="19" t="e">
        <f t="shared" si="322"/>
        <v>#DIV/0!</v>
      </c>
      <c r="Z2036">
        <v>0</v>
      </c>
      <c r="AA2036">
        <v>0</v>
      </c>
      <c r="AB2036">
        <v>0</v>
      </c>
      <c r="AC2036">
        <v>9000</v>
      </c>
      <c r="AD2036">
        <v>0</v>
      </c>
      <c r="AE2036">
        <v>0</v>
      </c>
      <c r="AF2036">
        <v>0</v>
      </c>
      <c r="AG2036">
        <v>2800</v>
      </c>
      <c r="AH2036">
        <v>2800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3500</v>
      </c>
      <c r="AP2036">
        <v>2850</v>
      </c>
      <c r="AQ2036">
        <v>3500</v>
      </c>
      <c r="AR2036">
        <v>650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f t="shared" si="323"/>
        <v>25100</v>
      </c>
      <c r="BF2036">
        <v>15300</v>
      </c>
      <c r="BG2036">
        <v>15300</v>
      </c>
      <c r="BH2036" t="s">
        <v>82</v>
      </c>
      <c r="BI2036" t="s">
        <v>724</v>
      </c>
      <c r="BJ2036">
        <v>9000</v>
      </c>
      <c r="BK2036">
        <v>6300</v>
      </c>
      <c r="BL2036">
        <v>15300</v>
      </c>
      <c r="BM2036">
        <v>0</v>
      </c>
      <c r="BN2036">
        <v>0</v>
      </c>
      <c r="BO2036">
        <v>0</v>
      </c>
      <c r="BP2036">
        <v>6300</v>
      </c>
      <c r="BQ2036">
        <v>6300</v>
      </c>
      <c r="BR2036">
        <f t="shared" si="324"/>
        <v>-443</v>
      </c>
      <c r="BS2036">
        <f t="shared" si="325"/>
        <v>443</v>
      </c>
    </row>
    <row r="2037" spans="1:74" x14ac:dyDescent="0.25">
      <c r="A2037" s="5" t="s">
        <v>1661</v>
      </c>
      <c r="B2037" s="5" t="s">
        <v>61</v>
      </c>
      <c r="C2037" s="5" t="s">
        <v>61</v>
      </c>
      <c r="D2037" s="1" t="s">
        <v>67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5203</v>
      </c>
      <c r="K2037">
        <v>88</v>
      </c>
      <c r="L2037">
        <v>63</v>
      </c>
      <c r="M2037">
        <v>0</v>
      </c>
      <c r="N2037">
        <v>0</v>
      </c>
      <c r="O2037">
        <v>0</v>
      </c>
      <c r="P2037">
        <v>0</v>
      </c>
      <c r="Q2037">
        <v>334</v>
      </c>
      <c r="R2037">
        <v>0</v>
      </c>
      <c r="S2037" s="18" t="e">
        <f t="shared" si="316"/>
        <v>#DIV/0!</v>
      </c>
      <c r="T2037" s="17" t="e">
        <f t="shared" si="317"/>
        <v>#DIV/0!</v>
      </c>
      <c r="U2037" s="17" t="e">
        <f t="shared" si="318"/>
        <v>#DIV/0!</v>
      </c>
      <c r="V2037" s="17" t="e">
        <f t="shared" si="319"/>
        <v>#DIV/0!</v>
      </c>
      <c r="W2037" s="17" t="e">
        <f t="shared" si="320"/>
        <v>#DIV/0!</v>
      </c>
      <c r="X2037" s="17" t="e">
        <f t="shared" si="321"/>
        <v>#DIV/0!</v>
      </c>
      <c r="Y2037" s="19" t="e">
        <f t="shared" si="322"/>
        <v>#DIV/0!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5203</v>
      </c>
      <c r="AL2037">
        <v>5203</v>
      </c>
      <c r="AM2037">
        <v>0</v>
      </c>
      <c r="AN2037">
        <v>0</v>
      </c>
      <c r="AO2037">
        <v>88</v>
      </c>
      <c r="AP2037">
        <v>88</v>
      </c>
      <c r="AQ2037">
        <v>88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63</v>
      </c>
      <c r="BA2037">
        <v>63</v>
      </c>
      <c r="BB2037">
        <v>0</v>
      </c>
      <c r="BC2037">
        <v>0</v>
      </c>
      <c r="BD2037">
        <v>0</v>
      </c>
      <c r="BE2037">
        <f t="shared" si="323"/>
        <v>10796</v>
      </c>
      <c r="BF2037">
        <v>5354</v>
      </c>
      <c r="BG2037">
        <v>5354</v>
      </c>
      <c r="BH2037" t="s">
        <v>63</v>
      </c>
      <c r="BI2037" t="s">
        <v>1664</v>
      </c>
      <c r="BJ2037">
        <v>0</v>
      </c>
      <c r="BK2037">
        <v>5354</v>
      </c>
      <c r="BL2037">
        <v>5354</v>
      </c>
      <c r="BM2037">
        <v>0</v>
      </c>
      <c r="BN2037">
        <v>0</v>
      </c>
      <c r="BO2037">
        <v>0</v>
      </c>
      <c r="BP2037">
        <v>5354</v>
      </c>
      <c r="BQ2037">
        <v>5354</v>
      </c>
      <c r="BR2037">
        <f t="shared" si="324"/>
        <v>-334</v>
      </c>
      <c r="BS2037">
        <f t="shared" si="325"/>
        <v>334</v>
      </c>
      <c r="BU2037">
        <f>R2037*9</f>
        <v>0</v>
      </c>
      <c r="BV2037">
        <f>IF(BU2037&gt;BG2037, 1, 0)</f>
        <v>0</v>
      </c>
    </row>
    <row r="2038" spans="1:74" x14ac:dyDescent="0.25">
      <c r="A2038" s="5" t="s">
        <v>1661</v>
      </c>
      <c r="B2038" s="5" t="s">
        <v>207</v>
      </c>
      <c r="C2038" s="5" t="s">
        <v>207</v>
      </c>
      <c r="D2038" s="1" t="s">
        <v>183</v>
      </c>
      <c r="E2038">
        <v>56</v>
      </c>
      <c r="F2038">
        <v>370</v>
      </c>
      <c r="G2038">
        <v>0</v>
      </c>
      <c r="H2038">
        <v>0</v>
      </c>
      <c r="I2038">
        <v>280</v>
      </c>
      <c r="J2038">
        <v>6391</v>
      </c>
      <c r="K2038">
        <v>502</v>
      </c>
      <c r="L2038">
        <v>366</v>
      </c>
      <c r="M2038">
        <v>0</v>
      </c>
      <c r="N2038">
        <v>0</v>
      </c>
      <c r="O2038">
        <v>0</v>
      </c>
      <c r="P2038">
        <v>810</v>
      </c>
      <c r="Q2038">
        <v>536</v>
      </c>
      <c r="R2038">
        <v>90</v>
      </c>
      <c r="S2038" s="18">
        <f t="shared" si="316"/>
        <v>9</v>
      </c>
      <c r="T2038" s="17">
        <f t="shared" si="317"/>
        <v>0</v>
      </c>
      <c r="U2038" s="17">
        <f t="shared" si="318"/>
        <v>0</v>
      </c>
      <c r="V2038" s="17">
        <f t="shared" si="319"/>
        <v>0</v>
      </c>
      <c r="W2038" s="17">
        <f t="shared" si="320"/>
        <v>90</v>
      </c>
      <c r="X2038" s="17">
        <f t="shared" si="321"/>
        <v>446</v>
      </c>
      <c r="Y2038" s="19">
        <f t="shared" si="322"/>
        <v>0</v>
      </c>
      <c r="Z2038">
        <v>370</v>
      </c>
      <c r="AA2038">
        <v>6</v>
      </c>
      <c r="AB2038">
        <v>310</v>
      </c>
      <c r="AC2038">
        <v>8800</v>
      </c>
      <c r="AD2038">
        <v>0</v>
      </c>
      <c r="AE2038">
        <v>0</v>
      </c>
      <c r="AF2038">
        <v>0</v>
      </c>
      <c r="AG2038">
        <v>280</v>
      </c>
      <c r="AH2038">
        <v>280</v>
      </c>
      <c r="AI2038">
        <v>0</v>
      </c>
      <c r="AJ2038">
        <v>0</v>
      </c>
      <c r="AK2038">
        <v>6391</v>
      </c>
      <c r="AL2038">
        <v>6391</v>
      </c>
      <c r="AM2038">
        <v>0</v>
      </c>
      <c r="AN2038">
        <v>0</v>
      </c>
      <c r="AO2038">
        <v>502</v>
      </c>
      <c r="AP2038">
        <v>102</v>
      </c>
      <c r="AQ2038">
        <v>502</v>
      </c>
      <c r="AR2038">
        <v>400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366</v>
      </c>
      <c r="BA2038">
        <v>366</v>
      </c>
      <c r="BB2038">
        <v>0</v>
      </c>
      <c r="BC2038">
        <v>0</v>
      </c>
      <c r="BD2038">
        <v>0</v>
      </c>
      <c r="BE2038">
        <f t="shared" si="323"/>
        <v>24380</v>
      </c>
      <c r="BF2038">
        <v>17044</v>
      </c>
      <c r="BG2038">
        <v>17044</v>
      </c>
      <c r="BH2038" t="s">
        <v>82</v>
      </c>
      <c r="BI2038" t="s">
        <v>1847</v>
      </c>
      <c r="BJ2038">
        <v>9172</v>
      </c>
      <c r="BK2038">
        <v>7539</v>
      </c>
      <c r="BL2038">
        <v>17081</v>
      </c>
      <c r="BM2038">
        <v>0</v>
      </c>
      <c r="BN2038">
        <v>0</v>
      </c>
      <c r="BO2038">
        <v>0</v>
      </c>
      <c r="BP2038">
        <v>8349</v>
      </c>
      <c r="BQ2038">
        <v>8349</v>
      </c>
      <c r="BR2038">
        <f t="shared" si="324"/>
        <v>-446</v>
      </c>
      <c r="BS2038">
        <f t="shared" si="325"/>
        <v>626</v>
      </c>
    </row>
    <row r="2039" spans="1:74" x14ac:dyDescent="0.25">
      <c r="A2039" s="5" t="s">
        <v>61</v>
      </c>
      <c r="B2039" s="5" t="s">
        <v>207</v>
      </c>
      <c r="C2039" s="5" t="s">
        <v>207</v>
      </c>
      <c r="D2039" s="1" t="s">
        <v>155</v>
      </c>
      <c r="E2039">
        <v>0</v>
      </c>
      <c r="F2039">
        <v>2</v>
      </c>
      <c r="G2039">
        <v>0</v>
      </c>
      <c r="H2039">
        <v>0</v>
      </c>
      <c r="I2039">
        <v>1168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18</v>
      </c>
      <c r="Q2039">
        <v>449</v>
      </c>
      <c r="R2039">
        <v>2</v>
      </c>
      <c r="S2039" s="18">
        <f t="shared" si="316"/>
        <v>9</v>
      </c>
      <c r="T2039" s="17">
        <f t="shared" si="317"/>
        <v>0</v>
      </c>
      <c r="U2039" s="17">
        <f t="shared" si="318"/>
        <v>0</v>
      </c>
      <c r="V2039" s="17">
        <f t="shared" si="319"/>
        <v>0</v>
      </c>
      <c r="W2039" s="17">
        <f t="shared" si="320"/>
        <v>2</v>
      </c>
      <c r="X2039" s="17">
        <f t="shared" si="321"/>
        <v>447</v>
      </c>
      <c r="Y2039" s="19">
        <f t="shared" si="322"/>
        <v>0</v>
      </c>
      <c r="Z2039">
        <v>2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1168</v>
      </c>
      <c r="AH2039">
        <v>1168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f t="shared" si="323"/>
        <v>2336</v>
      </c>
      <c r="BF2039">
        <v>1170</v>
      </c>
      <c r="BG2039">
        <v>1170</v>
      </c>
      <c r="BH2039" t="s">
        <v>109</v>
      </c>
      <c r="BI2039" t="s">
        <v>324</v>
      </c>
      <c r="BJ2039">
        <v>0</v>
      </c>
      <c r="BK2039">
        <v>1168</v>
      </c>
      <c r="BL2039">
        <v>1170</v>
      </c>
      <c r="BM2039">
        <v>0</v>
      </c>
      <c r="BN2039">
        <v>0</v>
      </c>
      <c r="BO2039">
        <v>0</v>
      </c>
      <c r="BP2039">
        <v>1186</v>
      </c>
      <c r="BQ2039">
        <v>1186</v>
      </c>
      <c r="BR2039">
        <f t="shared" si="324"/>
        <v>-447</v>
      </c>
      <c r="BS2039">
        <f t="shared" si="325"/>
        <v>451</v>
      </c>
    </row>
    <row r="2040" spans="1:74" x14ac:dyDescent="0.25">
      <c r="A2040" s="5" t="s">
        <v>875</v>
      </c>
      <c r="B2040" s="5" t="s">
        <v>61</v>
      </c>
      <c r="C2040" s="5" t="s">
        <v>207</v>
      </c>
      <c r="D2040" s="1" t="s">
        <v>104</v>
      </c>
      <c r="E2040">
        <v>0</v>
      </c>
      <c r="F2040">
        <v>1040</v>
      </c>
      <c r="G2040">
        <v>0</v>
      </c>
      <c r="H2040">
        <v>0</v>
      </c>
      <c r="I2040">
        <v>360</v>
      </c>
      <c r="J2040">
        <v>11485</v>
      </c>
      <c r="K2040">
        <v>270</v>
      </c>
      <c r="L2040">
        <v>420</v>
      </c>
      <c r="M2040">
        <v>0</v>
      </c>
      <c r="N2040">
        <v>0</v>
      </c>
      <c r="O2040">
        <v>0</v>
      </c>
      <c r="P2040">
        <v>2340</v>
      </c>
      <c r="Q2040">
        <v>707</v>
      </c>
      <c r="R2040">
        <v>260</v>
      </c>
      <c r="S2040" s="18">
        <f t="shared" si="316"/>
        <v>9</v>
      </c>
      <c r="T2040" s="17">
        <f t="shared" si="317"/>
        <v>0</v>
      </c>
      <c r="U2040" s="17">
        <f t="shared" si="318"/>
        <v>0</v>
      </c>
      <c r="V2040" s="17">
        <f t="shared" si="319"/>
        <v>0</v>
      </c>
      <c r="W2040" s="17">
        <f t="shared" si="320"/>
        <v>260</v>
      </c>
      <c r="X2040" s="17">
        <f t="shared" si="321"/>
        <v>447</v>
      </c>
      <c r="Y2040" s="19">
        <f t="shared" si="322"/>
        <v>0</v>
      </c>
      <c r="Z2040">
        <v>1040</v>
      </c>
      <c r="AA2040">
        <v>30</v>
      </c>
      <c r="AB2040">
        <v>450</v>
      </c>
      <c r="AC2040">
        <v>7800</v>
      </c>
      <c r="AD2040">
        <v>0</v>
      </c>
      <c r="AE2040">
        <v>0</v>
      </c>
      <c r="AF2040">
        <v>0</v>
      </c>
      <c r="AG2040">
        <v>360</v>
      </c>
      <c r="AH2040">
        <v>360</v>
      </c>
      <c r="AI2040">
        <v>0</v>
      </c>
      <c r="AJ2040">
        <v>10000</v>
      </c>
      <c r="AK2040">
        <v>1485</v>
      </c>
      <c r="AL2040">
        <v>11485</v>
      </c>
      <c r="AM2040">
        <v>0</v>
      </c>
      <c r="AN2040">
        <v>0</v>
      </c>
      <c r="AO2040">
        <v>270</v>
      </c>
      <c r="AP2040">
        <v>30</v>
      </c>
      <c r="AQ2040">
        <v>270</v>
      </c>
      <c r="AR2040">
        <v>240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420</v>
      </c>
      <c r="BA2040">
        <v>420</v>
      </c>
      <c r="BB2040">
        <v>0</v>
      </c>
      <c r="BC2040">
        <v>0</v>
      </c>
      <c r="BD2040">
        <v>0</v>
      </c>
      <c r="BE2040">
        <f t="shared" si="323"/>
        <v>33140</v>
      </c>
      <c r="BF2040">
        <v>21855</v>
      </c>
      <c r="BG2040">
        <v>21855</v>
      </c>
      <c r="BH2040" t="s">
        <v>82</v>
      </c>
      <c r="BI2040" t="s">
        <v>895</v>
      </c>
      <c r="BJ2040">
        <v>8280</v>
      </c>
      <c r="BK2040">
        <v>12535</v>
      </c>
      <c r="BL2040">
        <v>21855</v>
      </c>
      <c r="BM2040">
        <v>0</v>
      </c>
      <c r="BN2040">
        <v>10000</v>
      </c>
      <c r="BO2040">
        <v>0</v>
      </c>
      <c r="BP2040">
        <v>4875</v>
      </c>
      <c r="BQ2040">
        <v>14875</v>
      </c>
      <c r="BR2040">
        <f t="shared" si="324"/>
        <v>-447</v>
      </c>
      <c r="BS2040">
        <f t="shared" si="325"/>
        <v>967</v>
      </c>
    </row>
    <row r="2041" spans="1:74" x14ac:dyDescent="0.25">
      <c r="A2041" s="5" t="s">
        <v>1661</v>
      </c>
      <c r="B2041" s="5" t="s">
        <v>359</v>
      </c>
      <c r="C2041" s="5" t="s">
        <v>61</v>
      </c>
      <c r="D2041" s="1" t="s">
        <v>71</v>
      </c>
      <c r="E2041">
        <v>0</v>
      </c>
      <c r="F2041">
        <v>176</v>
      </c>
      <c r="G2041">
        <v>0</v>
      </c>
      <c r="H2041">
        <v>0</v>
      </c>
      <c r="I2041">
        <v>520</v>
      </c>
      <c r="J2041">
        <v>0</v>
      </c>
      <c r="K2041">
        <v>1146</v>
      </c>
      <c r="L2041">
        <v>0</v>
      </c>
      <c r="M2041">
        <v>0</v>
      </c>
      <c r="N2041">
        <v>0</v>
      </c>
      <c r="O2041">
        <v>0</v>
      </c>
      <c r="P2041">
        <v>1242</v>
      </c>
      <c r="Q2041">
        <v>586</v>
      </c>
      <c r="R2041">
        <v>138</v>
      </c>
      <c r="S2041" s="18">
        <f t="shared" si="316"/>
        <v>9</v>
      </c>
      <c r="T2041" s="17">
        <f t="shared" si="317"/>
        <v>0</v>
      </c>
      <c r="U2041" s="17">
        <f t="shared" si="318"/>
        <v>0</v>
      </c>
      <c r="V2041" s="17">
        <f t="shared" si="319"/>
        <v>0</v>
      </c>
      <c r="W2041" s="17">
        <f t="shared" si="320"/>
        <v>138</v>
      </c>
      <c r="X2041" s="17">
        <f t="shared" si="321"/>
        <v>448</v>
      </c>
      <c r="Y2041" s="19">
        <f t="shared" si="322"/>
        <v>0</v>
      </c>
      <c r="Z2041">
        <v>176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520</v>
      </c>
      <c r="AH2041">
        <v>520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1146</v>
      </c>
      <c r="AP2041">
        <v>198</v>
      </c>
      <c r="AQ2041">
        <v>1146</v>
      </c>
      <c r="AR2041">
        <v>948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f t="shared" si="323"/>
        <v>4478</v>
      </c>
      <c r="BF2041">
        <v>1842</v>
      </c>
      <c r="BG2041">
        <v>1842</v>
      </c>
      <c r="BH2041" t="s">
        <v>109</v>
      </c>
      <c r="BI2041" t="s">
        <v>1856</v>
      </c>
      <c r="BJ2041">
        <v>0</v>
      </c>
      <c r="BK2041">
        <v>1666</v>
      </c>
      <c r="BL2041">
        <v>1842</v>
      </c>
      <c r="BM2041">
        <v>0</v>
      </c>
      <c r="BN2041">
        <v>0</v>
      </c>
      <c r="BO2041">
        <v>0</v>
      </c>
      <c r="BP2041">
        <v>2908</v>
      </c>
      <c r="BQ2041">
        <v>2908</v>
      </c>
      <c r="BR2041">
        <f t="shared" si="324"/>
        <v>-448</v>
      </c>
      <c r="BS2041">
        <f t="shared" si="325"/>
        <v>724</v>
      </c>
    </row>
    <row r="2042" spans="1:74" x14ac:dyDescent="0.25">
      <c r="A2042" s="5" t="s">
        <v>207</v>
      </c>
      <c r="B2042" s="5" t="s">
        <v>61</v>
      </c>
      <c r="C2042" s="5" t="s">
        <v>359</v>
      </c>
      <c r="D2042" s="1" t="s">
        <v>79</v>
      </c>
      <c r="E2042">
        <v>0</v>
      </c>
      <c r="F2042">
        <v>0</v>
      </c>
      <c r="G2042">
        <v>0</v>
      </c>
      <c r="H2042">
        <v>0</v>
      </c>
      <c r="I2042">
        <v>1820</v>
      </c>
      <c r="J2042">
        <v>429</v>
      </c>
      <c r="K2042">
        <v>2312</v>
      </c>
      <c r="L2042">
        <v>180</v>
      </c>
      <c r="M2042">
        <v>0</v>
      </c>
      <c r="N2042">
        <v>0</v>
      </c>
      <c r="O2042">
        <v>0</v>
      </c>
      <c r="P2042">
        <v>0</v>
      </c>
      <c r="Q2042">
        <v>343</v>
      </c>
      <c r="R2042">
        <v>0</v>
      </c>
      <c r="S2042" s="18" t="e">
        <f t="shared" si="316"/>
        <v>#DIV/0!</v>
      </c>
      <c r="T2042" s="17" t="e">
        <f t="shared" si="317"/>
        <v>#DIV/0!</v>
      </c>
      <c r="U2042" s="17" t="e">
        <f t="shared" si="318"/>
        <v>#DIV/0!</v>
      </c>
      <c r="V2042" s="17" t="e">
        <f t="shared" si="319"/>
        <v>#DIV/0!</v>
      </c>
      <c r="W2042" s="17" t="e">
        <f t="shared" si="320"/>
        <v>#DIV/0!</v>
      </c>
      <c r="X2042" s="17" t="e">
        <f t="shared" si="321"/>
        <v>#DIV/0!</v>
      </c>
      <c r="Y2042" s="19" t="e">
        <f t="shared" si="322"/>
        <v>#DIV/0!</v>
      </c>
      <c r="Z2042">
        <v>0</v>
      </c>
      <c r="AA2042">
        <v>0</v>
      </c>
      <c r="AB2042">
        <v>0</v>
      </c>
      <c r="AC2042">
        <v>287</v>
      </c>
      <c r="AD2042">
        <v>0</v>
      </c>
      <c r="AE2042">
        <v>0</v>
      </c>
      <c r="AF2042">
        <v>0</v>
      </c>
      <c r="AG2042">
        <v>1820</v>
      </c>
      <c r="AH2042">
        <v>1820</v>
      </c>
      <c r="AI2042">
        <v>0</v>
      </c>
      <c r="AJ2042">
        <v>0</v>
      </c>
      <c r="AK2042">
        <v>429</v>
      </c>
      <c r="AL2042">
        <v>429</v>
      </c>
      <c r="AM2042">
        <v>0</v>
      </c>
      <c r="AN2042">
        <v>0</v>
      </c>
      <c r="AO2042">
        <v>2312</v>
      </c>
      <c r="AP2042">
        <v>927</v>
      </c>
      <c r="AQ2042">
        <v>2312</v>
      </c>
      <c r="AR2042">
        <v>1385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180</v>
      </c>
      <c r="BA2042">
        <v>180</v>
      </c>
      <c r="BB2042">
        <v>0</v>
      </c>
      <c r="BC2042">
        <v>0</v>
      </c>
      <c r="BD2042">
        <v>0</v>
      </c>
      <c r="BE2042">
        <f t="shared" si="323"/>
        <v>12081</v>
      </c>
      <c r="BF2042">
        <v>5108</v>
      </c>
      <c r="BG2042">
        <v>5108</v>
      </c>
      <c r="BH2042" t="s">
        <v>63</v>
      </c>
      <c r="BI2042" t="s">
        <v>508</v>
      </c>
      <c r="BJ2042">
        <v>287</v>
      </c>
      <c r="BK2042">
        <v>4741</v>
      </c>
      <c r="BL2042">
        <v>5028</v>
      </c>
      <c r="BM2042">
        <v>0</v>
      </c>
      <c r="BN2042">
        <v>0</v>
      </c>
      <c r="BO2042">
        <v>0</v>
      </c>
      <c r="BP2042">
        <v>4741</v>
      </c>
      <c r="BQ2042">
        <v>4741</v>
      </c>
      <c r="BR2042">
        <f t="shared" si="324"/>
        <v>-343</v>
      </c>
      <c r="BS2042">
        <f t="shared" si="325"/>
        <v>343</v>
      </c>
      <c r="BU2042">
        <f>R2042*9</f>
        <v>0</v>
      </c>
      <c r="BV2042">
        <f>IF(BU2042&gt;BG2042, 1, 0)</f>
        <v>0</v>
      </c>
    </row>
    <row r="2043" spans="1:74" x14ac:dyDescent="0.25">
      <c r="A2043" s="5" t="s">
        <v>207</v>
      </c>
      <c r="B2043" s="5" t="s">
        <v>61</v>
      </c>
      <c r="C2043" s="5" t="s">
        <v>359</v>
      </c>
      <c r="D2043" s="1" t="s">
        <v>141</v>
      </c>
      <c r="E2043">
        <v>0</v>
      </c>
      <c r="F2043">
        <v>0</v>
      </c>
      <c r="G2043">
        <v>0</v>
      </c>
      <c r="H2043">
        <v>0</v>
      </c>
      <c r="I2043">
        <v>236</v>
      </c>
      <c r="J2043">
        <v>8500</v>
      </c>
      <c r="K2043">
        <v>400</v>
      </c>
      <c r="L2043">
        <v>265</v>
      </c>
      <c r="M2043">
        <v>0</v>
      </c>
      <c r="N2043">
        <v>0</v>
      </c>
      <c r="O2043">
        <v>0</v>
      </c>
      <c r="P2043">
        <v>0</v>
      </c>
      <c r="Q2043">
        <v>450</v>
      </c>
      <c r="R2043">
        <v>0</v>
      </c>
      <c r="S2043" s="18" t="e">
        <f t="shared" si="316"/>
        <v>#DIV/0!</v>
      </c>
      <c r="T2043" s="17" t="e">
        <f t="shared" si="317"/>
        <v>#DIV/0!</v>
      </c>
      <c r="U2043" s="17" t="e">
        <f t="shared" si="318"/>
        <v>#DIV/0!</v>
      </c>
      <c r="V2043" s="17" t="e">
        <f t="shared" si="319"/>
        <v>#DIV/0!</v>
      </c>
      <c r="W2043" s="17" t="e">
        <f t="shared" si="320"/>
        <v>#DIV/0!</v>
      </c>
      <c r="X2043" s="17" t="e">
        <f t="shared" si="321"/>
        <v>#DIV/0!</v>
      </c>
      <c r="Y2043" s="19" t="e">
        <f t="shared" si="322"/>
        <v>#DIV/0!</v>
      </c>
      <c r="Z2043">
        <v>0</v>
      </c>
      <c r="AA2043">
        <v>5</v>
      </c>
      <c r="AB2043">
        <v>75</v>
      </c>
      <c r="AC2043">
        <v>3975</v>
      </c>
      <c r="AD2043">
        <v>0</v>
      </c>
      <c r="AE2043">
        <v>0</v>
      </c>
      <c r="AF2043">
        <v>0</v>
      </c>
      <c r="AG2043">
        <v>236</v>
      </c>
      <c r="AH2043">
        <v>236</v>
      </c>
      <c r="AI2043">
        <v>0</v>
      </c>
      <c r="AJ2043">
        <v>0</v>
      </c>
      <c r="AK2043">
        <v>8500</v>
      </c>
      <c r="AL2043">
        <v>8500</v>
      </c>
      <c r="AM2043">
        <v>0</v>
      </c>
      <c r="AN2043">
        <v>0</v>
      </c>
      <c r="AO2043">
        <v>400</v>
      </c>
      <c r="AP2043">
        <v>250</v>
      </c>
      <c r="AQ2043">
        <v>400</v>
      </c>
      <c r="AR2043">
        <v>150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265</v>
      </c>
      <c r="BA2043">
        <v>265</v>
      </c>
      <c r="BB2043">
        <v>0</v>
      </c>
      <c r="BC2043">
        <v>0</v>
      </c>
      <c r="BD2043">
        <v>0</v>
      </c>
      <c r="BE2043">
        <f t="shared" si="323"/>
        <v>23177</v>
      </c>
      <c r="BF2043">
        <v>13456</v>
      </c>
      <c r="BG2043">
        <v>13456</v>
      </c>
      <c r="BH2043" t="s">
        <v>82</v>
      </c>
      <c r="BI2043" t="s">
        <v>535</v>
      </c>
      <c r="BJ2043">
        <v>4055</v>
      </c>
      <c r="BK2043">
        <v>9401</v>
      </c>
      <c r="BL2043">
        <v>13456</v>
      </c>
      <c r="BM2043">
        <v>0</v>
      </c>
      <c r="BN2043">
        <v>0</v>
      </c>
      <c r="BO2043">
        <v>0</v>
      </c>
      <c r="BP2043">
        <v>9401</v>
      </c>
      <c r="BQ2043">
        <v>9401</v>
      </c>
      <c r="BR2043">
        <f t="shared" si="324"/>
        <v>-450</v>
      </c>
      <c r="BS2043">
        <f t="shared" si="325"/>
        <v>450</v>
      </c>
    </row>
    <row r="2044" spans="1:74" x14ac:dyDescent="0.25">
      <c r="A2044" s="5" t="s">
        <v>1135</v>
      </c>
      <c r="B2044" s="5" t="s">
        <v>61</v>
      </c>
      <c r="C2044" s="5" t="s">
        <v>61</v>
      </c>
      <c r="D2044" s="1" t="s">
        <v>149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2045</v>
      </c>
      <c r="K2044">
        <v>1335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450</v>
      </c>
      <c r="R2044">
        <v>0</v>
      </c>
      <c r="S2044" s="18" t="e">
        <f t="shared" si="316"/>
        <v>#DIV/0!</v>
      </c>
      <c r="T2044" s="17" t="e">
        <f t="shared" si="317"/>
        <v>#DIV/0!</v>
      </c>
      <c r="U2044" s="17" t="e">
        <f t="shared" si="318"/>
        <v>#DIV/0!</v>
      </c>
      <c r="V2044" s="17" t="e">
        <f t="shared" si="319"/>
        <v>#DIV/0!</v>
      </c>
      <c r="W2044" s="17" t="e">
        <f t="shared" si="320"/>
        <v>#DIV/0!</v>
      </c>
      <c r="X2044" s="17" t="e">
        <f t="shared" si="321"/>
        <v>#DIV/0!</v>
      </c>
      <c r="Y2044" s="19" t="e">
        <f t="shared" si="322"/>
        <v>#DIV/0!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2045</v>
      </c>
      <c r="AL2044">
        <v>2045</v>
      </c>
      <c r="AM2044">
        <v>0</v>
      </c>
      <c r="AN2044">
        <v>0</v>
      </c>
      <c r="AO2044">
        <v>1335</v>
      </c>
      <c r="AP2044">
        <v>1335</v>
      </c>
      <c r="AQ2044">
        <v>1335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f t="shared" si="323"/>
        <v>8095</v>
      </c>
      <c r="BF2044">
        <v>3380</v>
      </c>
      <c r="BG2044">
        <v>3380</v>
      </c>
      <c r="BH2044" t="s">
        <v>560</v>
      </c>
      <c r="BI2044" t="s">
        <v>1173</v>
      </c>
      <c r="BJ2044">
        <v>0</v>
      </c>
      <c r="BK2044">
        <v>3380</v>
      </c>
      <c r="BL2044">
        <v>3380</v>
      </c>
      <c r="BM2044">
        <v>0</v>
      </c>
      <c r="BN2044">
        <v>0</v>
      </c>
      <c r="BO2044">
        <v>0</v>
      </c>
      <c r="BP2044">
        <v>3380</v>
      </c>
      <c r="BQ2044">
        <v>3380</v>
      </c>
      <c r="BR2044">
        <f t="shared" si="324"/>
        <v>-450</v>
      </c>
      <c r="BS2044">
        <f t="shared" si="325"/>
        <v>450</v>
      </c>
    </row>
    <row r="2045" spans="1:74" x14ac:dyDescent="0.25">
      <c r="A2045" s="5" t="s">
        <v>1135</v>
      </c>
      <c r="B2045" s="5" t="s">
        <v>207</v>
      </c>
      <c r="C2045" s="5" t="s">
        <v>61</v>
      </c>
      <c r="D2045" s="1" t="s">
        <v>69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180</v>
      </c>
      <c r="L2045">
        <v>220</v>
      </c>
      <c r="M2045">
        <v>0</v>
      </c>
      <c r="N2045">
        <v>0</v>
      </c>
      <c r="O2045">
        <v>0</v>
      </c>
      <c r="P2045">
        <v>0</v>
      </c>
      <c r="Q2045">
        <v>345</v>
      </c>
      <c r="R2045">
        <v>0</v>
      </c>
      <c r="S2045" s="18" t="e">
        <f t="shared" si="316"/>
        <v>#DIV/0!</v>
      </c>
      <c r="T2045" s="17" t="e">
        <f t="shared" si="317"/>
        <v>#DIV/0!</v>
      </c>
      <c r="U2045" s="17" t="e">
        <f t="shared" si="318"/>
        <v>#DIV/0!</v>
      </c>
      <c r="V2045" s="17" t="e">
        <f t="shared" si="319"/>
        <v>#DIV/0!</v>
      </c>
      <c r="W2045" s="17" t="e">
        <f t="shared" si="320"/>
        <v>#DIV/0!</v>
      </c>
      <c r="X2045" s="17" t="e">
        <f t="shared" si="321"/>
        <v>#DIV/0!</v>
      </c>
      <c r="Y2045" s="19" t="e">
        <f t="shared" si="322"/>
        <v>#DIV/0!</v>
      </c>
      <c r="Z2045">
        <v>0</v>
      </c>
      <c r="AA2045">
        <v>0</v>
      </c>
      <c r="AB2045">
        <v>0</v>
      </c>
      <c r="AC2045">
        <v>200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180</v>
      </c>
      <c r="AP2045">
        <v>180</v>
      </c>
      <c r="AQ2045">
        <v>180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220</v>
      </c>
      <c r="BA2045">
        <v>220</v>
      </c>
      <c r="BB2045">
        <v>0</v>
      </c>
      <c r="BC2045">
        <v>0</v>
      </c>
      <c r="BD2045">
        <v>0</v>
      </c>
      <c r="BE2045">
        <f t="shared" si="323"/>
        <v>1180</v>
      </c>
      <c r="BF2045">
        <v>600</v>
      </c>
      <c r="BG2045">
        <v>600</v>
      </c>
      <c r="BH2045" t="s">
        <v>63</v>
      </c>
      <c r="BI2045" t="s">
        <v>1200</v>
      </c>
      <c r="BJ2045">
        <v>200</v>
      </c>
      <c r="BK2045">
        <v>400</v>
      </c>
      <c r="BL2045">
        <v>600</v>
      </c>
      <c r="BM2045">
        <v>0</v>
      </c>
      <c r="BN2045">
        <v>0</v>
      </c>
      <c r="BO2045">
        <v>0</v>
      </c>
      <c r="BP2045">
        <v>400</v>
      </c>
      <c r="BQ2045">
        <v>400</v>
      </c>
      <c r="BR2045">
        <f t="shared" si="324"/>
        <v>-345</v>
      </c>
      <c r="BS2045">
        <f t="shared" si="325"/>
        <v>345</v>
      </c>
      <c r="BU2045">
        <f>R2045*9</f>
        <v>0</v>
      </c>
      <c r="BV2045">
        <f>IF(BU2045&gt;BG2045, 1, 0)</f>
        <v>0</v>
      </c>
    </row>
    <row r="2046" spans="1:74" x14ac:dyDescent="0.25">
      <c r="A2046" s="5" t="s">
        <v>61</v>
      </c>
      <c r="B2046" s="5" t="s">
        <v>359</v>
      </c>
      <c r="C2046" s="5" t="s">
        <v>61</v>
      </c>
      <c r="D2046" s="1" t="s">
        <v>96</v>
      </c>
      <c r="E2046">
        <v>0</v>
      </c>
      <c r="F2046">
        <v>40</v>
      </c>
      <c r="G2046">
        <v>0</v>
      </c>
      <c r="H2046">
        <v>0</v>
      </c>
      <c r="I2046">
        <v>3640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270</v>
      </c>
      <c r="Q2046">
        <v>481</v>
      </c>
      <c r="R2046">
        <v>30</v>
      </c>
      <c r="S2046" s="18">
        <f t="shared" si="316"/>
        <v>9</v>
      </c>
      <c r="T2046" s="17">
        <f t="shared" si="317"/>
        <v>0</v>
      </c>
      <c r="U2046" s="17">
        <f t="shared" si="318"/>
        <v>0</v>
      </c>
      <c r="V2046" s="17">
        <f t="shared" si="319"/>
        <v>0</v>
      </c>
      <c r="W2046" s="17">
        <f t="shared" si="320"/>
        <v>30</v>
      </c>
      <c r="X2046" s="17">
        <f t="shared" si="321"/>
        <v>451</v>
      </c>
      <c r="Y2046" s="19">
        <f t="shared" si="322"/>
        <v>0</v>
      </c>
      <c r="Z2046">
        <v>40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3640</v>
      </c>
      <c r="AH2046">
        <v>3640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f t="shared" si="323"/>
        <v>7280</v>
      </c>
      <c r="BF2046">
        <v>3680</v>
      </c>
      <c r="BG2046">
        <v>3680</v>
      </c>
      <c r="BH2046" t="s">
        <v>109</v>
      </c>
      <c r="BI2046" t="s">
        <v>376</v>
      </c>
      <c r="BJ2046">
        <v>0</v>
      </c>
      <c r="BK2046">
        <v>3640</v>
      </c>
      <c r="BL2046">
        <v>3680</v>
      </c>
      <c r="BM2046">
        <v>0</v>
      </c>
      <c r="BN2046">
        <v>0</v>
      </c>
      <c r="BO2046">
        <v>0</v>
      </c>
      <c r="BP2046">
        <v>3910</v>
      </c>
      <c r="BQ2046">
        <v>3910</v>
      </c>
      <c r="BR2046">
        <f t="shared" si="324"/>
        <v>-451</v>
      </c>
      <c r="BS2046">
        <f t="shared" si="325"/>
        <v>511</v>
      </c>
    </row>
    <row r="2047" spans="1:74" x14ac:dyDescent="0.25">
      <c r="A2047" s="5" t="s">
        <v>1135</v>
      </c>
      <c r="B2047" s="5" t="s">
        <v>207</v>
      </c>
      <c r="C2047" s="5" t="s">
        <v>61</v>
      </c>
      <c r="D2047" s="1" t="s">
        <v>145</v>
      </c>
      <c r="E2047">
        <v>0</v>
      </c>
      <c r="F2047">
        <v>220</v>
      </c>
      <c r="G2047">
        <v>0</v>
      </c>
      <c r="H2047">
        <v>0</v>
      </c>
      <c r="I2047">
        <v>330</v>
      </c>
      <c r="J2047">
        <v>2881</v>
      </c>
      <c r="K2047">
        <v>409</v>
      </c>
      <c r="L2047">
        <v>150</v>
      </c>
      <c r="M2047">
        <v>0</v>
      </c>
      <c r="N2047">
        <v>0</v>
      </c>
      <c r="O2047">
        <v>0</v>
      </c>
      <c r="P2047">
        <v>495</v>
      </c>
      <c r="Q2047">
        <v>507</v>
      </c>
      <c r="R2047">
        <v>55</v>
      </c>
      <c r="S2047" s="18">
        <f t="shared" si="316"/>
        <v>9</v>
      </c>
      <c r="T2047" s="17">
        <f t="shared" si="317"/>
        <v>0</v>
      </c>
      <c r="U2047" s="17">
        <f t="shared" si="318"/>
        <v>0</v>
      </c>
      <c r="V2047" s="17">
        <f t="shared" si="319"/>
        <v>0</v>
      </c>
      <c r="W2047" s="17">
        <f t="shared" si="320"/>
        <v>55</v>
      </c>
      <c r="X2047" s="17">
        <f t="shared" si="321"/>
        <v>452</v>
      </c>
      <c r="Y2047" s="19">
        <f t="shared" si="322"/>
        <v>0</v>
      </c>
      <c r="Z2047">
        <v>220</v>
      </c>
      <c r="AA2047">
        <v>0</v>
      </c>
      <c r="AB2047">
        <v>967</v>
      </c>
      <c r="AC2047">
        <v>7651</v>
      </c>
      <c r="AD2047">
        <v>0</v>
      </c>
      <c r="AE2047">
        <v>0</v>
      </c>
      <c r="AF2047">
        <v>0</v>
      </c>
      <c r="AG2047">
        <v>330</v>
      </c>
      <c r="AH2047">
        <v>330</v>
      </c>
      <c r="AI2047">
        <v>0</v>
      </c>
      <c r="AJ2047">
        <v>0</v>
      </c>
      <c r="AK2047">
        <v>2881</v>
      </c>
      <c r="AL2047">
        <v>2881</v>
      </c>
      <c r="AM2047">
        <v>0</v>
      </c>
      <c r="AN2047">
        <v>0</v>
      </c>
      <c r="AO2047">
        <v>409</v>
      </c>
      <c r="AP2047">
        <v>300</v>
      </c>
      <c r="AQ2047">
        <v>409</v>
      </c>
      <c r="AR2047">
        <v>109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150</v>
      </c>
      <c r="BA2047">
        <v>150</v>
      </c>
      <c r="BB2047">
        <v>0</v>
      </c>
      <c r="BC2047">
        <v>0</v>
      </c>
      <c r="BD2047">
        <v>0</v>
      </c>
      <c r="BE2047">
        <f t="shared" si="323"/>
        <v>15600</v>
      </c>
      <c r="BF2047">
        <v>12608</v>
      </c>
      <c r="BG2047">
        <v>12608</v>
      </c>
      <c r="BH2047" t="s">
        <v>82</v>
      </c>
      <c r="BI2047" t="s">
        <v>747</v>
      </c>
      <c r="BJ2047">
        <v>8618</v>
      </c>
      <c r="BK2047">
        <v>3770</v>
      </c>
      <c r="BL2047">
        <v>12608</v>
      </c>
      <c r="BM2047">
        <v>0</v>
      </c>
      <c r="BN2047">
        <v>0</v>
      </c>
      <c r="BO2047">
        <v>0</v>
      </c>
      <c r="BP2047">
        <v>4265</v>
      </c>
      <c r="BQ2047">
        <v>4265</v>
      </c>
      <c r="BR2047">
        <f t="shared" si="324"/>
        <v>-452</v>
      </c>
      <c r="BS2047">
        <f t="shared" si="325"/>
        <v>562</v>
      </c>
    </row>
    <row r="2048" spans="1:74" x14ac:dyDescent="0.25">
      <c r="A2048" s="5" t="s">
        <v>207</v>
      </c>
      <c r="B2048" s="5" t="s">
        <v>359</v>
      </c>
      <c r="C2048" s="5" t="s">
        <v>61</v>
      </c>
      <c r="D2048" s="1" t="s">
        <v>129</v>
      </c>
      <c r="E2048">
        <v>0</v>
      </c>
      <c r="F2048">
        <v>7207</v>
      </c>
      <c r="G2048">
        <v>0</v>
      </c>
      <c r="H2048">
        <v>0</v>
      </c>
      <c r="I2048">
        <v>600</v>
      </c>
      <c r="J2048">
        <v>2174</v>
      </c>
      <c r="K2048">
        <v>800</v>
      </c>
      <c r="L2048">
        <v>90</v>
      </c>
      <c r="M2048">
        <v>0</v>
      </c>
      <c r="N2048">
        <v>5058</v>
      </c>
      <c r="O2048">
        <v>0</v>
      </c>
      <c r="P2048">
        <v>0</v>
      </c>
      <c r="Q2048">
        <v>1016</v>
      </c>
      <c r="R2048">
        <v>562</v>
      </c>
      <c r="S2048" s="18">
        <f t="shared" si="316"/>
        <v>9</v>
      </c>
      <c r="T2048" s="17">
        <f t="shared" si="317"/>
        <v>0</v>
      </c>
      <c r="U2048" s="17">
        <f t="shared" si="318"/>
        <v>562</v>
      </c>
      <c r="V2048" s="17">
        <f t="shared" si="319"/>
        <v>0</v>
      </c>
      <c r="W2048" s="17">
        <f t="shared" si="320"/>
        <v>0</v>
      </c>
      <c r="X2048" s="17">
        <f t="shared" si="321"/>
        <v>454</v>
      </c>
      <c r="Y2048" s="19">
        <f t="shared" si="322"/>
        <v>0</v>
      </c>
      <c r="Z2048">
        <v>7207</v>
      </c>
      <c r="AA2048">
        <v>0</v>
      </c>
      <c r="AB2048">
        <v>0</v>
      </c>
      <c r="AC2048">
        <v>550</v>
      </c>
      <c r="AD2048">
        <v>0</v>
      </c>
      <c r="AE2048">
        <v>0</v>
      </c>
      <c r="AF2048">
        <v>0</v>
      </c>
      <c r="AG2048">
        <v>600</v>
      </c>
      <c r="AH2048">
        <v>600</v>
      </c>
      <c r="AI2048">
        <v>0</v>
      </c>
      <c r="AJ2048">
        <v>0</v>
      </c>
      <c r="AK2048">
        <v>2174</v>
      </c>
      <c r="AL2048">
        <v>2174</v>
      </c>
      <c r="AM2048">
        <v>0</v>
      </c>
      <c r="AN2048">
        <v>0</v>
      </c>
      <c r="AO2048">
        <v>800</v>
      </c>
      <c r="AP2048">
        <v>300</v>
      </c>
      <c r="AQ2048">
        <v>800</v>
      </c>
      <c r="AR2048">
        <v>500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90</v>
      </c>
      <c r="BA2048">
        <v>90</v>
      </c>
      <c r="BB2048">
        <v>0</v>
      </c>
      <c r="BC2048">
        <v>0</v>
      </c>
      <c r="BD2048">
        <v>0</v>
      </c>
      <c r="BE2048">
        <f t="shared" si="323"/>
        <v>8678</v>
      </c>
      <c r="BF2048">
        <v>11421</v>
      </c>
      <c r="BG2048">
        <v>11421</v>
      </c>
      <c r="BH2048" t="s">
        <v>199</v>
      </c>
      <c r="BI2048" t="s">
        <v>621</v>
      </c>
      <c r="BJ2048">
        <v>550</v>
      </c>
      <c r="BK2048">
        <v>3664</v>
      </c>
      <c r="BL2048">
        <v>11421</v>
      </c>
      <c r="BM2048">
        <v>0</v>
      </c>
      <c r="BN2048">
        <v>5058</v>
      </c>
      <c r="BO2048">
        <v>0</v>
      </c>
      <c r="BP2048">
        <v>3664</v>
      </c>
      <c r="BQ2048">
        <v>8722</v>
      </c>
      <c r="BR2048">
        <f t="shared" si="324"/>
        <v>-454</v>
      </c>
      <c r="BS2048">
        <f t="shared" si="325"/>
        <v>1578</v>
      </c>
    </row>
    <row r="2049" spans="1:74" x14ac:dyDescent="0.25">
      <c r="A2049" s="5" t="s">
        <v>1337</v>
      </c>
      <c r="B2049" s="5" t="s">
        <v>207</v>
      </c>
      <c r="C2049" s="5" t="s">
        <v>61</v>
      </c>
      <c r="D2049" s="1" t="s">
        <v>71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3218</v>
      </c>
      <c r="K2049">
        <v>251</v>
      </c>
      <c r="L2049">
        <v>321</v>
      </c>
      <c r="M2049">
        <v>0</v>
      </c>
      <c r="N2049">
        <v>0</v>
      </c>
      <c r="O2049">
        <v>0</v>
      </c>
      <c r="P2049">
        <v>0</v>
      </c>
      <c r="Q2049">
        <v>352</v>
      </c>
      <c r="R2049">
        <v>0</v>
      </c>
      <c r="S2049" s="18" t="e">
        <f t="shared" si="316"/>
        <v>#DIV/0!</v>
      </c>
      <c r="T2049" s="17" t="e">
        <f t="shared" si="317"/>
        <v>#DIV/0!</v>
      </c>
      <c r="U2049" s="17" t="e">
        <f t="shared" si="318"/>
        <v>#DIV/0!</v>
      </c>
      <c r="V2049" s="17" t="e">
        <f t="shared" si="319"/>
        <v>#DIV/0!</v>
      </c>
      <c r="W2049" s="17" t="e">
        <f t="shared" si="320"/>
        <v>#DIV/0!</v>
      </c>
      <c r="X2049" s="17" t="e">
        <f t="shared" si="321"/>
        <v>#DIV/0!</v>
      </c>
      <c r="Y2049" s="19" t="e">
        <f t="shared" si="322"/>
        <v>#DIV/0!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3218</v>
      </c>
      <c r="AL2049">
        <v>3218</v>
      </c>
      <c r="AM2049">
        <v>0</v>
      </c>
      <c r="AN2049">
        <v>0</v>
      </c>
      <c r="AO2049">
        <v>251</v>
      </c>
      <c r="AP2049">
        <v>0</v>
      </c>
      <c r="AQ2049">
        <v>251</v>
      </c>
      <c r="AR2049">
        <v>251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321</v>
      </c>
      <c r="BA2049">
        <v>321</v>
      </c>
      <c r="BB2049">
        <v>0</v>
      </c>
      <c r="BC2049">
        <v>0</v>
      </c>
      <c r="BD2049">
        <v>0</v>
      </c>
      <c r="BE2049">
        <f t="shared" si="323"/>
        <v>7831</v>
      </c>
      <c r="BF2049">
        <v>3790</v>
      </c>
      <c r="BG2049">
        <v>3790</v>
      </c>
      <c r="BH2049" t="s">
        <v>63</v>
      </c>
      <c r="BI2049" t="s">
        <v>1374</v>
      </c>
      <c r="BJ2049">
        <v>0</v>
      </c>
      <c r="BK2049">
        <v>3790</v>
      </c>
      <c r="BL2049">
        <v>3790</v>
      </c>
      <c r="BM2049">
        <v>0</v>
      </c>
      <c r="BN2049">
        <v>0</v>
      </c>
      <c r="BO2049">
        <v>0</v>
      </c>
      <c r="BP2049">
        <v>3790</v>
      </c>
      <c r="BQ2049">
        <v>3790</v>
      </c>
      <c r="BR2049">
        <f t="shared" si="324"/>
        <v>-352</v>
      </c>
      <c r="BS2049">
        <f t="shared" si="325"/>
        <v>352</v>
      </c>
      <c r="BU2049">
        <f>R2049*9</f>
        <v>0</v>
      </c>
      <c r="BV2049">
        <f>IF(BU2049&gt;BG2049, 1, 0)</f>
        <v>0</v>
      </c>
    </row>
    <row r="2050" spans="1:74" x14ac:dyDescent="0.25">
      <c r="A2050" s="5" t="s">
        <v>1451</v>
      </c>
      <c r="B2050" s="5" t="s">
        <v>207</v>
      </c>
      <c r="C2050" s="5" t="s">
        <v>207</v>
      </c>
      <c r="D2050" s="1" t="s">
        <v>94</v>
      </c>
      <c r="E2050">
        <v>0</v>
      </c>
      <c r="F2050">
        <v>877</v>
      </c>
      <c r="G2050">
        <v>0</v>
      </c>
      <c r="H2050">
        <v>0</v>
      </c>
      <c r="I2050">
        <v>3714</v>
      </c>
      <c r="J2050">
        <v>0</v>
      </c>
      <c r="K2050">
        <v>0</v>
      </c>
      <c r="L2050">
        <v>0</v>
      </c>
      <c r="M2050">
        <v>3591</v>
      </c>
      <c r="N2050">
        <v>0</v>
      </c>
      <c r="O2050">
        <v>0</v>
      </c>
      <c r="P2050">
        <v>0</v>
      </c>
      <c r="Q2050">
        <v>857</v>
      </c>
      <c r="R2050">
        <v>399</v>
      </c>
      <c r="S2050" s="18">
        <f t="shared" ref="S2050:S2113" si="326">(M2050+N2050+O2050+P2050)/R2050</f>
        <v>9</v>
      </c>
      <c r="T2050" s="17">
        <f t="shared" ref="T2050:T2113" si="327">M2050/$S2050</f>
        <v>399</v>
      </c>
      <c r="U2050" s="17">
        <f t="shared" ref="U2050:U2113" si="328">N2050/$S2050</f>
        <v>0</v>
      </c>
      <c r="V2050" s="17">
        <f t="shared" ref="V2050:V2113" si="329">O2050/$S2050</f>
        <v>0</v>
      </c>
      <c r="W2050" s="17">
        <f t="shared" ref="W2050:W2113" si="330">P2050/$S2050</f>
        <v>0</v>
      </c>
      <c r="X2050" s="17">
        <f t="shared" ref="X2050:X2113" si="331">Q2050-T2050-U2050-W2050</f>
        <v>458</v>
      </c>
      <c r="Y2050" s="19">
        <f t="shared" ref="Y2050:Y2113" si="332">V2050/X2050</f>
        <v>0</v>
      </c>
      <c r="Z2050">
        <v>877</v>
      </c>
      <c r="AA2050">
        <v>0</v>
      </c>
      <c r="AB2050">
        <v>0</v>
      </c>
      <c r="AC2050">
        <v>0</v>
      </c>
      <c r="AD2050">
        <v>3200</v>
      </c>
      <c r="AE2050">
        <v>0</v>
      </c>
      <c r="AF2050">
        <v>0</v>
      </c>
      <c r="AG2050">
        <v>514</v>
      </c>
      <c r="AH2050">
        <v>3714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f t="shared" ref="BE2050:BE2113" si="333">SUM(AC2050:BD2050)</f>
        <v>7428</v>
      </c>
      <c r="BF2050">
        <v>4591</v>
      </c>
      <c r="BG2050">
        <v>4591</v>
      </c>
      <c r="BH2050" t="s">
        <v>109</v>
      </c>
      <c r="BI2050" t="s">
        <v>1479</v>
      </c>
      <c r="BJ2050">
        <v>0</v>
      </c>
      <c r="BK2050">
        <v>3714</v>
      </c>
      <c r="BL2050">
        <v>4591</v>
      </c>
      <c r="BM2050">
        <v>6791</v>
      </c>
      <c r="BN2050">
        <v>0</v>
      </c>
      <c r="BO2050">
        <v>0</v>
      </c>
      <c r="BP2050">
        <v>514</v>
      </c>
      <c r="BQ2050">
        <v>7305</v>
      </c>
      <c r="BR2050">
        <f t="shared" ref="BR2050:BR2113" si="334">R2050-Q2050</f>
        <v>-458</v>
      </c>
      <c r="BS2050">
        <f t="shared" ref="BS2050:BS2113" si="335">R2050+Q2050</f>
        <v>1256</v>
      </c>
    </row>
    <row r="2051" spans="1:74" x14ac:dyDescent="0.25">
      <c r="A2051" s="5" t="s">
        <v>207</v>
      </c>
      <c r="B2051" s="5" t="s">
        <v>207</v>
      </c>
      <c r="C2051" s="5" t="s">
        <v>61</v>
      </c>
      <c r="D2051" s="1" t="s">
        <v>145</v>
      </c>
      <c r="E2051">
        <v>0</v>
      </c>
      <c r="F2051">
        <v>0</v>
      </c>
      <c r="G2051">
        <v>0</v>
      </c>
      <c r="H2051">
        <v>0</v>
      </c>
      <c r="I2051">
        <v>795</v>
      </c>
      <c r="J2051">
        <v>7333</v>
      </c>
      <c r="K2051">
        <v>178</v>
      </c>
      <c r="L2051">
        <v>34</v>
      </c>
      <c r="M2051">
        <v>0</v>
      </c>
      <c r="N2051">
        <v>0</v>
      </c>
      <c r="O2051">
        <v>0</v>
      </c>
      <c r="P2051">
        <v>0</v>
      </c>
      <c r="Q2051">
        <v>463</v>
      </c>
      <c r="R2051">
        <v>0</v>
      </c>
      <c r="S2051" s="18" t="e">
        <f t="shared" si="326"/>
        <v>#DIV/0!</v>
      </c>
      <c r="T2051" s="17" t="e">
        <f t="shared" si="327"/>
        <v>#DIV/0!</v>
      </c>
      <c r="U2051" s="17" t="e">
        <f t="shared" si="328"/>
        <v>#DIV/0!</v>
      </c>
      <c r="V2051" s="17" t="e">
        <f t="shared" si="329"/>
        <v>#DIV/0!</v>
      </c>
      <c r="W2051" s="17" t="e">
        <f t="shared" si="330"/>
        <v>#DIV/0!</v>
      </c>
      <c r="X2051" s="17" t="e">
        <f t="shared" si="331"/>
        <v>#DIV/0!</v>
      </c>
      <c r="Y2051" s="19" t="e">
        <f t="shared" si="332"/>
        <v>#DIV/0!</v>
      </c>
      <c r="Z2051">
        <v>0</v>
      </c>
      <c r="AA2051">
        <v>4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795</v>
      </c>
      <c r="AH2051">
        <v>795</v>
      </c>
      <c r="AI2051">
        <v>0</v>
      </c>
      <c r="AJ2051">
        <v>0</v>
      </c>
      <c r="AK2051">
        <v>7333</v>
      </c>
      <c r="AL2051">
        <v>7333</v>
      </c>
      <c r="AM2051">
        <v>0</v>
      </c>
      <c r="AN2051">
        <v>0</v>
      </c>
      <c r="AO2051">
        <v>178</v>
      </c>
      <c r="AP2051">
        <v>0</v>
      </c>
      <c r="AQ2051">
        <v>178</v>
      </c>
      <c r="AR2051">
        <v>178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34</v>
      </c>
      <c r="BA2051">
        <v>34</v>
      </c>
      <c r="BB2051">
        <v>0</v>
      </c>
      <c r="BC2051">
        <v>0</v>
      </c>
      <c r="BD2051">
        <v>0</v>
      </c>
      <c r="BE2051">
        <f t="shared" si="333"/>
        <v>16858</v>
      </c>
      <c r="BF2051">
        <v>15795</v>
      </c>
      <c r="BG2051">
        <v>15795</v>
      </c>
      <c r="BH2051" t="s">
        <v>82</v>
      </c>
      <c r="BI2051" t="s">
        <v>583</v>
      </c>
      <c r="BJ2051">
        <v>4</v>
      </c>
      <c r="BK2051">
        <v>8340</v>
      </c>
      <c r="BL2051">
        <v>8344</v>
      </c>
      <c r="BM2051">
        <v>0</v>
      </c>
      <c r="BN2051">
        <v>0</v>
      </c>
      <c r="BO2051">
        <v>0</v>
      </c>
      <c r="BP2051">
        <v>8340</v>
      </c>
      <c r="BQ2051">
        <v>8340</v>
      </c>
      <c r="BR2051">
        <f t="shared" si="334"/>
        <v>-463</v>
      </c>
      <c r="BS2051">
        <f t="shared" si="335"/>
        <v>463</v>
      </c>
    </row>
    <row r="2052" spans="1:74" x14ac:dyDescent="0.25">
      <c r="A2052" s="5" t="s">
        <v>875</v>
      </c>
      <c r="B2052" s="5" t="s">
        <v>61</v>
      </c>
      <c r="C2052" s="5" t="s">
        <v>207</v>
      </c>
      <c r="D2052" s="1" t="s">
        <v>121</v>
      </c>
      <c r="E2052">
        <v>35</v>
      </c>
      <c r="F2052">
        <v>399</v>
      </c>
      <c r="G2052">
        <v>0</v>
      </c>
      <c r="H2052">
        <v>0</v>
      </c>
      <c r="I2052">
        <v>1900</v>
      </c>
      <c r="J2052">
        <v>0</v>
      </c>
      <c r="K2052">
        <v>872</v>
      </c>
      <c r="L2052">
        <v>0</v>
      </c>
      <c r="M2052">
        <v>1197</v>
      </c>
      <c r="N2052">
        <v>0</v>
      </c>
      <c r="O2052">
        <v>0</v>
      </c>
      <c r="P2052">
        <v>0</v>
      </c>
      <c r="Q2052">
        <v>596</v>
      </c>
      <c r="R2052">
        <v>133</v>
      </c>
      <c r="S2052" s="18">
        <f t="shared" si="326"/>
        <v>9</v>
      </c>
      <c r="T2052" s="17">
        <f t="shared" si="327"/>
        <v>133</v>
      </c>
      <c r="U2052" s="17">
        <f t="shared" si="328"/>
        <v>0</v>
      </c>
      <c r="V2052" s="17">
        <f t="shared" si="329"/>
        <v>0</v>
      </c>
      <c r="W2052" s="17">
        <f t="shared" si="330"/>
        <v>0</v>
      </c>
      <c r="X2052" s="17">
        <f t="shared" si="331"/>
        <v>463</v>
      </c>
      <c r="Y2052" s="19">
        <f t="shared" si="332"/>
        <v>0</v>
      </c>
      <c r="Z2052">
        <v>399</v>
      </c>
      <c r="AA2052">
        <v>0</v>
      </c>
      <c r="AB2052">
        <v>0</v>
      </c>
      <c r="AC2052">
        <v>0</v>
      </c>
      <c r="AD2052">
        <v>360</v>
      </c>
      <c r="AE2052">
        <v>0</v>
      </c>
      <c r="AF2052">
        <v>0</v>
      </c>
      <c r="AG2052">
        <v>1540</v>
      </c>
      <c r="AH2052">
        <v>1900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872</v>
      </c>
      <c r="AP2052">
        <v>587</v>
      </c>
      <c r="AQ2052">
        <v>872</v>
      </c>
      <c r="AR2052">
        <v>285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f t="shared" si="333"/>
        <v>6416</v>
      </c>
      <c r="BF2052">
        <v>3206</v>
      </c>
      <c r="BG2052">
        <v>3206</v>
      </c>
      <c r="BH2052" t="s">
        <v>109</v>
      </c>
      <c r="BI2052" t="s">
        <v>818</v>
      </c>
      <c r="BJ2052">
        <v>35</v>
      </c>
      <c r="BK2052">
        <v>2772</v>
      </c>
      <c r="BL2052">
        <v>3206</v>
      </c>
      <c r="BM2052">
        <v>1557</v>
      </c>
      <c r="BN2052">
        <v>0</v>
      </c>
      <c r="BO2052">
        <v>0</v>
      </c>
      <c r="BP2052">
        <v>2412</v>
      </c>
      <c r="BQ2052">
        <v>3969</v>
      </c>
      <c r="BR2052">
        <f t="shared" si="334"/>
        <v>-463</v>
      </c>
      <c r="BS2052">
        <f t="shared" si="335"/>
        <v>729</v>
      </c>
    </row>
    <row r="2053" spans="1:74" x14ac:dyDescent="0.25">
      <c r="A2053" s="5" t="s">
        <v>1451</v>
      </c>
      <c r="B2053" s="5" t="s">
        <v>207</v>
      </c>
      <c r="C2053" s="5" t="s">
        <v>61</v>
      </c>
      <c r="D2053" s="1" t="s">
        <v>77</v>
      </c>
      <c r="E2053">
        <v>0</v>
      </c>
      <c r="F2053">
        <v>0</v>
      </c>
      <c r="G2053">
        <v>0</v>
      </c>
      <c r="H2053">
        <v>0</v>
      </c>
      <c r="I2053">
        <v>4500</v>
      </c>
      <c r="J2053">
        <v>200</v>
      </c>
      <c r="K2053">
        <v>350</v>
      </c>
      <c r="L2053">
        <v>150</v>
      </c>
      <c r="M2053">
        <v>0</v>
      </c>
      <c r="N2053">
        <v>0</v>
      </c>
      <c r="O2053">
        <v>0</v>
      </c>
      <c r="P2053">
        <v>0</v>
      </c>
      <c r="Q2053">
        <v>463</v>
      </c>
      <c r="R2053">
        <v>0</v>
      </c>
      <c r="S2053" s="18" t="e">
        <f t="shared" si="326"/>
        <v>#DIV/0!</v>
      </c>
      <c r="T2053" s="17" t="e">
        <f t="shared" si="327"/>
        <v>#DIV/0!</v>
      </c>
      <c r="U2053" s="17" t="e">
        <f t="shared" si="328"/>
        <v>#DIV/0!</v>
      </c>
      <c r="V2053" s="17" t="e">
        <f t="shared" si="329"/>
        <v>#DIV/0!</v>
      </c>
      <c r="W2053" s="17" t="e">
        <f t="shared" si="330"/>
        <v>#DIV/0!</v>
      </c>
      <c r="X2053" s="17" t="e">
        <f t="shared" si="331"/>
        <v>#DIV/0!</v>
      </c>
      <c r="Y2053" s="19" t="e">
        <f t="shared" si="332"/>
        <v>#DIV/0!</v>
      </c>
      <c r="Z2053">
        <v>0</v>
      </c>
      <c r="AA2053">
        <v>0</v>
      </c>
      <c r="AB2053">
        <v>0</v>
      </c>
      <c r="AC2053">
        <v>0</v>
      </c>
      <c r="AD2053">
        <v>4500</v>
      </c>
      <c r="AE2053">
        <v>0</v>
      </c>
      <c r="AF2053">
        <v>0</v>
      </c>
      <c r="AG2053">
        <v>0</v>
      </c>
      <c r="AH2053">
        <v>4500</v>
      </c>
      <c r="AI2053">
        <v>0</v>
      </c>
      <c r="AJ2053">
        <v>0</v>
      </c>
      <c r="AK2053">
        <v>200</v>
      </c>
      <c r="AL2053">
        <v>200</v>
      </c>
      <c r="AM2053">
        <v>0</v>
      </c>
      <c r="AN2053">
        <v>0</v>
      </c>
      <c r="AO2053">
        <v>350</v>
      </c>
      <c r="AP2053">
        <v>0</v>
      </c>
      <c r="AQ2053">
        <v>350</v>
      </c>
      <c r="AR2053">
        <v>350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150</v>
      </c>
      <c r="BA2053">
        <v>150</v>
      </c>
      <c r="BB2053">
        <v>0</v>
      </c>
      <c r="BC2053">
        <v>0</v>
      </c>
      <c r="BD2053">
        <v>0</v>
      </c>
      <c r="BE2053">
        <f t="shared" si="333"/>
        <v>10750</v>
      </c>
      <c r="BF2053">
        <v>5200</v>
      </c>
      <c r="BG2053">
        <v>5200</v>
      </c>
      <c r="BH2053" t="s">
        <v>109</v>
      </c>
      <c r="BI2053" t="s">
        <v>1479</v>
      </c>
      <c r="BJ2053">
        <v>0</v>
      </c>
      <c r="BK2053">
        <v>5200</v>
      </c>
      <c r="BL2053">
        <v>5200</v>
      </c>
      <c r="BM2053">
        <v>4500</v>
      </c>
      <c r="BN2053">
        <v>0</v>
      </c>
      <c r="BO2053">
        <v>0</v>
      </c>
      <c r="BP2053">
        <v>700</v>
      </c>
      <c r="BQ2053">
        <v>5200</v>
      </c>
      <c r="BR2053">
        <f t="shared" si="334"/>
        <v>-463</v>
      </c>
      <c r="BS2053">
        <f t="shared" si="335"/>
        <v>463</v>
      </c>
    </row>
    <row r="2054" spans="1:74" x14ac:dyDescent="0.25">
      <c r="A2054" s="5" t="s">
        <v>1451</v>
      </c>
      <c r="B2054" s="5" t="s">
        <v>359</v>
      </c>
      <c r="C2054" s="5" t="s">
        <v>61</v>
      </c>
      <c r="D2054" s="1" t="s">
        <v>125</v>
      </c>
      <c r="E2054">
        <v>0</v>
      </c>
      <c r="F2054">
        <v>1075</v>
      </c>
      <c r="G2054">
        <v>0</v>
      </c>
      <c r="H2054">
        <v>0</v>
      </c>
      <c r="I2054">
        <v>970</v>
      </c>
      <c r="J2054">
        <v>2917</v>
      </c>
      <c r="K2054">
        <v>2564</v>
      </c>
      <c r="L2054">
        <v>0</v>
      </c>
      <c r="M2054">
        <v>0</v>
      </c>
      <c r="N2054">
        <v>4050</v>
      </c>
      <c r="O2054">
        <v>0</v>
      </c>
      <c r="P2054">
        <v>0</v>
      </c>
      <c r="Q2054">
        <v>913</v>
      </c>
      <c r="R2054">
        <v>450</v>
      </c>
      <c r="S2054" s="18">
        <f t="shared" si="326"/>
        <v>9</v>
      </c>
      <c r="T2054" s="17">
        <f t="shared" si="327"/>
        <v>0</v>
      </c>
      <c r="U2054" s="17">
        <f t="shared" si="328"/>
        <v>450</v>
      </c>
      <c r="V2054" s="17">
        <f t="shared" si="329"/>
        <v>0</v>
      </c>
      <c r="W2054" s="17">
        <f t="shared" si="330"/>
        <v>0</v>
      </c>
      <c r="X2054" s="17">
        <f t="shared" si="331"/>
        <v>463</v>
      </c>
      <c r="Y2054" s="19">
        <f t="shared" si="332"/>
        <v>0</v>
      </c>
      <c r="Z2054">
        <v>1075</v>
      </c>
      <c r="AA2054">
        <v>30</v>
      </c>
      <c r="AB2054">
        <v>0</v>
      </c>
      <c r="AC2054">
        <v>2250</v>
      </c>
      <c r="AD2054">
        <v>0</v>
      </c>
      <c r="AE2054">
        <v>880</v>
      </c>
      <c r="AF2054">
        <v>0</v>
      </c>
      <c r="AG2054">
        <v>90</v>
      </c>
      <c r="AH2054">
        <v>970</v>
      </c>
      <c r="AI2054">
        <v>0</v>
      </c>
      <c r="AJ2054">
        <v>1989</v>
      </c>
      <c r="AK2054">
        <v>928</v>
      </c>
      <c r="AL2054">
        <v>2917</v>
      </c>
      <c r="AM2054">
        <v>0</v>
      </c>
      <c r="AN2054">
        <v>1251</v>
      </c>
      <c r="AO2054">
        <v>1313</v>
      </c>
      <c r="AP2054">
        <v>1071</v>
      </c>
      <c r="AQ2054">
        <v>2564</v>
      </c>
      <c r="AR2054">
        <v>1493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f t="shared" si="333"/>
        <v>17716</v>
      </c>
      <c r="BF2054">
        <v>12593</v>
      </c>
      <c r="BG2054">
        <v>12593</v>
      </c>
      <c r="BH2054" t="s">
        <v>82</v>
      </c>
      <c r="BI2054" t="s">
        <v>1625</v>
      </c>
      <c r="BJ2054">
        <v>2280</v>
      </c>
      <c r="BK2054">
        <v>6451</v>
      </c>
      <c r="BL2054">
        <v>9806</v>
      </c>
      <c r="BM2054">
        <v>0</v>
      </c>
      <c r="BN2054">
        <v>8170</v>
      </c>
      <c r="BO2054">
        <v>0</v>
      </c>
      <c r="BP2054">
        <v>2331</v>
      </c>
      <c r="BQ2054">
        <v>10501</v>
      </c>
      <c r="BR2054">
        <f t="shared" si="334"/>
        <v>-463</v>
      </c>
      <c r="BS2054">
        <f t="shared" si="335"/>
        <v>1363</v>
      </c>
    </row>
    <row r="2055" spans="1:74" x14ac:dyDescent="0.25">
      <c r="A2055" s="5" t="s">
        <v>1946</v>
      </c>
      <c r="B2055" s="5" t="s">
        <v>61</v>
      </c>
      <c r="C2055" s="5" t="s">
        <v>61</v>
      </c>
      <c r="D2055" s="1" t="s">
        <v>67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6000</v>
      </c>
      <c r="K2055">
        <v>510</v>
      </c>
      <c r="L2055">
        <v>430</v>
      </c>
      <c r="M2055">
        <v>0</v>
      </c>
      <c r="N2055">
        <v>0</v>
      </c>
      <c r="O2055">
        <v>0</v>
      </c>
      <c r="P2055">
        <v>0</v>
      </c>
      <c r="Q2055">
        <v>352</v>
      </c>
      <c r="R2055">
        <v>0</v>
      </c>
      <c r="S2055" s="18" t="e">
        <f t="shared" si="326"/>
        <v>#DIV/0!</v>
      </c>
      <c r="T2055" s="17" t="e">
        <f t="shared" si="327"/>
        <v>#DIV/0!</v>
      </c>
      <c r="U2055" s="17" t="e">
        <f t="shared" si="328"/>
        <v>#DIV/0!</v>
      </c>
      <c r="V2055" s="17" t="e">
        <f t="shared" si="329"/>
        <v>#DIV/0!</v>
      </c>
      <c r="W2055" s="17" t="e">
        <f t="shared" si="330"/>
        <v>#DIV/0!</v>
      </c>
      <c r="X2055" s="17" t="e">
        <f t="shared" si="331"/>
        <v>#DIV/0!</v>
      </c>
      <c r="Y2055" s="19" t="e">
        <f t="shared" si="332"/>
        <v>#DIV/0!</v>
      </c>
      <c r="Z2055">
        <v>0</v>
      </c>
      <c r="AA2055">
        <v>0</v>
      </c>
      <c r="AB2055">
        <v>0</v>
      </c>
      <c r="AC2055">
        <v>260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6000</v>
      </c>
      <c r="AK2055">
        <v>0</v>
      </c>
      <c r="AL2055">
        <v>6000</v>
      </c>
      <c r="AM2055">
        <v>0</v>
      </c>
      <c r="AN2055">
        <v>510</v>
      </c>
      <c r="AO2055">
        <v>0</v>
      </c>
      <c r="AP2055">
        <v>230</v>
      </c>
      <c r="AQ2055">
        <v>510</v>
      </c>
      <c r="AR2055">
        <v>280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430</v>
      </c>
      <c r="BA2055">
        <v>430</v>
      </c>
      <c r="BB2055">
        <v>0</v>
      </c>
      <c r="BC2055">
        <v>0</v>
      </c>
      <c r="BD2055">
        <v>0</v>
      </c>
      <c r="BE2055">
        <f t="shared" si="333"/>
        <v>14650</v>
      </c>
      <c r="BF2055">
        <v>7200</v>
      </c>
      <c r="BG2055">
        <v>7200</v>
      </c>
      <c r="BH2055" t="s">
        <v>63</v>
      </c>
      <c r="BI2055" t="s">
        <v>1949</v>
      </c>
      <c r="BJ2055">
        <v>260</v>
      </c>
      <c r="BK2055">
        <v>6940</v>
      </c>
      <c r="BL2055">
        <v>7200</v>
      </c>
      <c r="BM2055">
        <v>0</v>
      </c>
      <c r="BN2055">
        <v>6510</v>
      </c>
      <c r="BO2055">
        <v>0</v>
      </c>
      <c r="BP2055">
        <v>430</v>
      </c>
      <c r="BQ2055">
        <v>6940</v>
      </c>
      <c r="BR2055">
        <f t="shared" si="334"/>
        <v>-352</v>
      </c>
      <c r="BS2055">
        <f t="shared" si="335"/>
        <v>352</v>
      </c>
      <c r="BU2055">
        <f>R2055*9</f>
        <v>0</v>
      </c>
      <c r="BV2055">
        <f>IF(BU2055&gt;BG2055, 1, 0)</f>
        <v>0</v>
      </c>
    </row>
    <row r="2056" spans="1:74" x14ac:dyDescent="0.25">
      <c r="A2056" s="5" t="s">
        <v>2090</v>
      </c>
      <c r="B2056" s="5" t="s">
        <v>207</v>
      </c>
      <c r="C2056" s="5" t="s">
        <v>61</v>
      </c>
      <c r="D2056" s="1" t="s">
        <v>205</v>
      </c>
      <c r="E2056">
        <v>0</v>
      </c>
      <c r="F2056">
        <v>0</v>
      </c>
      <c r="G2056">
        <v>0</v>
      </c>
      <c r="H2056">
        <v>0</v>
      </c>
      <c r="I2056">
        <v>265</v>
      </c>
      <c r="J2056">
        <v>3752</v>
      </c>
      <c r="K2056">
        <v>747</v>
      </c>
      <c r="L2056">
        <v>873</v>
      </c>
      <c r="M2056">
        <v>0</v>
      </c>
      <c r="N2056">
        <v>0</v>
      </c>
      <c r="O2056">
        <v>0</v>
      </c>
      <c r="P2056">
        <v>0</v>
      </c>
      <c r="Q2056">
        <v>465</v>
      </c>
      <c r="R2056">
        <v>0</v>
      </c>
      <c r="S2056" s="18" t="e">
        <f t="shared" si="326"/>
        <v>#DIV/0!</v>
      </c>
      <c r="T2056" s="17" t="e">
        <f t="shared" si="327"/>
        <v>#DIV/0!</v>
      </c>
      <c r="U2056" s="17" t="e">
        <f t="shared" si="328"/>
        <v>#DIV/0!</v>
      </c>
      <c r="V2056" s="17" t="e">
        <f t="shared" si="329"/>
        <v>#DIV/0!</v>
      </c>
      <c r="W2056" s="17" t="e">
        <f t="shared" si="330"/>
        <v>#DIV/0!</v>
      </c>
      <c r="X2056" s="17" t="e">
        <f t="shared" si="331"/>
        <v>#DIV/0!</v>
      </c>
      <c r="Y2056" s="19" t="e">
        <f t="shared" si="332"/>
        <v>#DIV/0!</v>
      </c>
      <c r="Z2056">
        <v>0</v>
      </c>
      <c r="AA2056">
        <v>0</v>
      </c>
      <c r="AB2056">
        <v>0</v>
      </c>
      <c r="AC2056">
        <v>1413</v>
      </c>
      <c r="AD2056">
        <v>0</v>
      </c>
      <c r="AE2056">
        <v>0</v>
      </c>
      <c r="AF2056">
        <v>0</v>
      </c>
      <c r="AG2056">
        <v>265</v>
      </c>
      <c r="AH2056">
        <v>265</v>
      </c>
      <c r="AI2056">
        <v>0</v>
      </c>
      <c r="AJ2056">
        <v>0</v>
      </c>
      <c r="AK2056">
        <v>3752</v>
      </c>
      <c r="AL2056">
        <v>3752</v>
      </c>
      <c r="AM2056">
        <v>0</v>
      </c>
      <c r="AN2056">
        <v>0</v>
      </c>
      <c r="AO2056">
        <v>747</v>
      </c>
      <c r="AP2056">
        <v>45</v>
      </c>
      <c r="AQ2056">
        <v>747</v>
      </c>
      <c r="AR2056">
        <v>702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873</v>
      </c>
      <c r="BA2056">
        <v>873</v>
      </c>
      <c r="BB2056">
        <v>0</v>
      </c>
      <c r="BC2056">
        <v>0</v>
      </c>
      <c r="BD2056">
        <v>0</v>
      </c>
      <c r="BE2056">
        <f t="shared" si="333"/>
        <v>13434</v>
      </c>
      <c r="BF2056">
        <v>6950</v>
      </c>
      <c r="BG2056">
        <v>6950</v>
      </c>
      <c r="BH2056" t="s">
        <v>82</v>
      </c>
      <c r="BI2056" t="s">
        <v>2276</v>
      </c>
      <c r="BJ2056">
        <v>1413</v>
      </c>
      <c r="BK2056">
        <v>5637</v>
      </c>
      <c r="BL2056">
        <v>7050</v>
      </c>
      <c r="BM2056">
        <v>0</v>
      </c>
      <c r="BN2056">
        <v>0</v>
      </c>
      <c r="BO2056">
        <v>0</v>
      </c>
      <c r="BP2056">
        <v>5637</v>
      </c>
      <c r="BQ2056">
        <v>5637</v>
      </c>
      <c r="BR2056">
        <f t="shared" si="334"/>
        <v>-465</v>
      </c>
      <c r="BS2056">
        <f t="shared" si="335"/>
        <v>465</v>
      </c>
    </row>
    <row r="2057" spans="1:74" x14ac:dyDescent="0.25">
      <c r="A2057" s="5" t="s">
        <v>61</v>
      </c>
      <c r="B2057" s="5" t="s">
        <v>61</v>
      </c>
      <c r="C2057" s="5" t="s">
        <v>61</v>
      </c>
      <c r="D2057" s="1" t="s">
        <v>62</v>
      </c>
      <c r="E2057">
        <v>0</v>
      </c>
      <c r="F2057">
        <v>0</v>
      </c>
      <c r="G2057">
        <v>0</v>
      </c>
      <c r="H2057">
        <v>0</v>
      </c>
      <c r="I2057">
        <v>1704</v>
      </c>
      <c r="J2057">
        <v>784</v>
      </c>
      <c r="K2057">
        <v>210</v>
      </c>
      <c r="L2057">
        <v>20</v>
      </c>
      <c r="M2057">
        <v>0</v>
      </c>
      <c r="N2057">
        <v>0</v>
      </c>
      <c r="O2057">
        <v>0</v>
      </c>
      <c r="P2057">
        <v>0</v>
      </c>
      <c r="Q2057">
        <v>365</v>
      </c>
      <c r="R2057">
        <v>0</v>
      </c>
      <c r="S2057" s="18" t="e">
        <f t="shared" si="326"/>
        <v>#DIV/0!</v>
      </c>
      <c r="T2057" s="17" t="e">
        <f t="shared" si="327"/>
        <v>#DIV/0!</v>
      </c>
      <c r="U2057" s="17" t="e">
        <f t="shared" si="328"/>
        <v>#DIV/0!</v>
      </c>
      <c r="V2057" s="17" t="e">
        <f t="shared" si="329"/>
        <v>#DIV/0!</v>
      </c>
      <c r="W2057" s="17" t="e">
        <f t="shared" si="330"/>
        <v>#DIV/0!</v>
      </c>
      <c r="X2057" s="17" t="e">
        <f t="shared" si="331"/>
        <v>#DIV/0!</v>
      </c>
      <c r="Y2057" s="19" t="e">
        <f t="shared" si="332"/>
        <v>#DIV/0!</v>
      </c>
      <c r="Z2057">
        <v>0</v>
      </c>
      <c r="AA2057">
        <v>0</v>
      </c>
      <c r="AB2057">
        <v>0</v>
      </c>
      <c r="AC2057">
        <v>0</v>
      </c>
      <c r="AD2057">
        <v>1405</v>
      </c>
      <c r="AE2057">
        <v>0</v>
      </c>
      <c r="AF2057">
        <v>0</v>
      </c>
      <c r="AG2057">
        <v>299</v>
      </c>
      <c r="AH2057">
        <v>1704</v>
      </c>
      <c r="AI2057">
        <v>0</v>
      </c>
      <c r="AJ2057">
        <v>0</v>
      </c>
      <c r="AK2057">
        <v>784</v>
      </c>
      <c r="AL2057">
        <v>784</v>
      </c>
      <c r="AM2057">
        <v>0</v>
      </c>
      <c r="AN2057">
        <v>0</v>
      </c>
      <c r="AO2057">
        <v>210</v>
      </c>
      <c r="AP2057">
        <v>14</v>
      </c>
      <c r="AQ2057">
        <v>210</v>
      </c>
      <c r="AR2057">
        <v>196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20</v>
      </c>
      <c r="BA2057">
        <v>20</v>
      </c>
      <c r="BB2057">
        <v>0</v>
      </c>
      <c r="BC2057">
        <v>0</v>
      </c>
      <c r="BD2057">
        <v>0</v>
      </c>
      <c r="BE2057">
        <f t="shared" si="333"/>
        <v>5646</v>
      </c>
      <c r="BF2057">
        <v>2718</v>
      </c>
      <c r="BG2057">
        <v>2718</v>
      </c>
      <c r="BH2057" t="s">
        <v>63</v>
      </c>
      <c r="BI2057" t="s">
        <v>64</v>
      </c>
      <c r="BJ2057">
        <v>0</v>
      </c>
      <c r="BK2057">
        <v>2718</v>
      </c>
      <c r="BL2057">
        <v>2718</v>
      </c>
      <c r="BM2057">
        <v>1405</v>
      </c>
      <c r="BN2057">
        <v>0</v>
      </c>
      <c r="BO2057">
        <v>0</v>
      </c>
      <c r="BP2057">
        <v>1313</v>
      </c>
      <c r="BQ2057">
        <v>2718</v>
      </c>
      <c r="BR2057">
        <f t="shared" si="334"/>
        <v>-365</v>
      </c>
      <c r="BS2057">
        <f t="shared" si="335"/>
        <v>365</v>
      </c>
      <c r="BU2057">
        <f>R2057*9</f>
        <v>0</v>
      </c>
      <c r="BV2057">
        <f>IF(BU2057&gt;BG2057, 1, 0)</f>
        <v>0</v>
      </c>
    </row>
    <row r="2058" spans="1:74" x14ac:dyDescent="0.25">
      <c r="A2058" s="5" t="s">
        <v>1135</v>
      </c>
      <c r="B2058" s="5" t="s">
        <v>207</v>
      </c>
      <c r="C2058" s="5" t="s">
        <v>875</v>
      </c>
      <c r="D2058" s="1" t="s">
        <v>62</v>
      </c>
      <c r="E2058">
        <v>1348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470</v>
      </c>
      <c r="R2058">
        <v>0</v>
      </c>
      <c r="S2058" s="18" t="e">
        <f t="shared" si="326"/>
        <v>#DIV/0!</v>
      </c>
      <c r="T2058" s="17" t="e">
        <f t="shared" si="327"/>
        <v>#DIV/0!</v>
      </c>
      <c r="U2058" s="17" t="e">
        <f t="shared" si="328"/>
        <v>#DIV/0!</v>
      </c>
      <c r="V2058" s="17" t="e">
        <f t="shared" si="329"/>
        <v>#DIV/0!</v>
      </c>
      <c r="W2058" s="17" t="e">
        <f t="shared" si="330"/>
        <v>#DIV/0!</v>
      </c>
      <c r="X2058" s="17" t="e">
        <f t="shared" si="331"/>
        <v>#DIV/0!</v>
      </c>
      <c r="Y2058" s="19" t="e">
        <f t="shared" si="332"/>
        <v>#DIV/0!</v>
      </c>
      <c r="Z2058">
        <v>0</v>
      </c>
      <c r="AA2058">
        <v>0</v>
      </c>
      <c r="AB2058">
        <v>731</v>
      </c>
      <c r="AC2058">
        <v>14837</v>
      </c>
      <c r="AD2058">
        <v>105</v>
      </c>
      <c r="AE2058">
        <v>0</v>
      </c>
      <c r="AF2058">
        <v>0</v>
      </c>
      <c r="AG2058">
        <v>345</v>
      </c>
      <c r="AH2058">
        <v>450</v>
      </c>
      <c r="AI2058">
        <v>0</v>
      </c>
      <c r="AJ2058">
        <v>0</v>
      </c>
      <c r="AK2058">
        <v>4364</v>
      </c>
      <c r="AL2058">
        <v>4364</v>
      </c>
      <c r="AM2058">
        <v>0</v>
      </c>
      <c r="AN2058">
        <v>0</v>
      </c>
      <c r="AO2058">
        <v>1122</v>
      </c>
      <c r="AP2058">
        <v>874</v>
      </c>
      <c r="AQ2058">
        <v>1122</v>
      </c>
      <c r="AR2058">
        <v>248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756</v>
      </c>
      <c r="BA2058">
        <v>756</v>
      </c>
      <c r="BB2058">
        <v>0</v>
      </c>
      <c r="BC2058">
        <v>0</v>
      </c>
      <c r="BD2058">
        <v>0</v>
      </c>
      <c r="BE2058">
        <f t="shared" si="333"/>
        <v>29343</v>
      </c>
      <c r="BF2058">
        <v>23608</v>
      </c>
      <c r="BG2058">
        <v>23608</v>
      </c>
      <c r="BH2058" t="s">
        <v>546</v>
      </c>
      <c r="BI2058" t="s">
        <v>1304</v>
      </c>
      <c r="BJ2058">
        <v>16916</v>
      </c>
      <c r="BK2058">
        <v>6692</v>
      </c>
      <c r="BL2058">
        <v>23608</v>
      </c>
      <c r="BM2058">
        <v>105</v>
      </c>
      <c r="BN2058">
        <v>0</v>
      </c>
      <c r="BO2058">
        <v>0</v>
      </c>
      <c r="BP2058">
        <v>6587</v>
      </c>
      <c r="BQ2058">
        <v>6692</v>
      </c>
      <c r="BR2058">
        <f t="shared" si="334"/>
        <v>-470</v>
      </c>
      <c r="BS2058">
        <f t="shared" si="335"/>
        <v>470</v>
      </c>
    </row>
    <row r="2059" spans="1:74" x14ac:dyDescent="0.25">
      <c r="A2059" s="5" t="s">
        <v>1017</v>
      </c>
      <c r="B2059" s="5" t="s">
        <v>207</v>
      </c>
      <c r="C2059" s="5" t="s">
        <v>61</v>
      </c>
      <c r="D2059" s="1" t="s">
        <v>71</v>
      </c>
      <c r="E2059">
        <v>0</v>
      </c>
      <c r="F2059">
        <v>0</v>
      </c>
      <c r="G2059">
        <v>0</v>
      </c>
      <c r="H2059">
        <v>0</v>
      </c>
      <c r="I2059">
        <v>714</v>
      </c>
      <c r="J2059">
        <v>5704</v>
      </c>
      <c r="K2059">
        <v>1002</v>
      </c>
      <c r="L2059">
        <v>136</v>
      </c>
      <c r="M2059">
        <v>0</v>
      </c>
      <c r="N2059">
        <v>0</v>
      </c>
      <c r="O2059">
        <v>0</v>
      </c>
      <c r="P2059">
        <v>0</v>
      </c>
      <c r="Q2059">
        <v>385</v>
      </c>
      <c r="R2059">
        <v>0</v>
      </c>
      <c r="S2059" s="18" t="e">
        <f t="shared" si="326"/>
        <v>#DIV/0!</v>
      </c>
      <c r="T2059" s="17" t="e">
        <f t="shared" si="327"/>
        <v>#DIV/0!</v>
      </c>
      <c r="U2059" s="17" t="e">
        <f t="shared" si="328"/>
        <v>#DIV/0!</v>
      </c>
      <c r="V2059" s="17" t="e">
        <f t="shared" si="329"/>
        <v>#DIV/0!</v>
      </c>
      <c r="W2059" s="17" t="e">
        <f t="shared" si="330"/>
        <v>#DIV/0!</v>
      </c>
      <c r="X2059" s="17" t="e">
        <f t="shared" si="331"/>
        <v>#DIV/0!</v>
      </c>
      <c r="Y2059" s="19" t="e">
        <f t="shared" si="332"/>
        <v>#DIV/0!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714</v>
      </c>
      <c r="AH2059">
        <v>714</v>
      </c>
      <c r="AI2059">
        <v>0</v>
      </c>
      <c r="AJ2059">
        <v>0</v>
      </c>
      <c r="AK2059">
        <v>5704</v>
      </c>
      <c r="AL2059">
        <v>5704</v>
      </c>
      <c r="AM2059">
        <v>0</v>
      </c>
      <c r="AN2059">
        <v>0</v>
      </c>
      <c r="AO2059">
        <v>1002</v>
      </c>
      <c r="AP2059">
        <v>357</v>
      </c>
      <c r="AQ2059">
        <v>1002</v>
      </c>
      <c r="AR2059">
        <v>645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136</v>
      </c>
      <c r="BA2059">
        <v>136</v>
      </c>
      <c r="BB2059">
        <v>0</v>
      </c>
      <c r="BC2059">
        <v>0</v>
      </c>
      <c r="BD2059">
        <v>0</v>
      </c>
      <c r="BE2059">
        <f t="shared" si="333"/>
        <v>16114</v>
      </c>
      <c r="BF2059">
        <v>7556</v>
      </c>
      <c r="BG2059">
        <v>7556</v>
      </c>
      <c r="BH2059" t="s">
        <v>63</v>
      </c>
      <c r="BI2059" t="s">
        <v>1088</v>
      </c>
      <c r="BJ2059">
        <v>0</v>
      </c>
      <c r="BK2059">
        <v>7556</v>
      </c>
      <c r="BL2059">
        <v>7556</v>
      </c>
      <c r="BM2059">
        <v>0</v>
      </c>
      <c r="BN2059">
        <v>0</v>
      </c>
      <c r="BO2059">
        <v>0</v>
      </c>
      <c r="BP2059">
        <v>7556</v>
      </c>
      <c r="BQ2059">
        <v>7556</v>
      </c>
      <c r="BR2059">
        <f t="shared" si="334"/>
        <v>-385</v>
      </c>
      <c r="BS2059">
        <f t="shared" si="335"/>
        <v>385</v>
      </c>
      <c r="BU2059">
        <f>R2059*9</f>
        <v>0</v>
      </c>
      <c r="BV2059">
        <f>IF(BU2059&gt;BG2059, 1, 0)</f>
        <v>0</v>
      </c>
    </row>
    <row r="2060" spans="1:74" x14ac:dyDescent="0.25">
      <c r="A2060" s="5" t="s">
        <v>1946</v>
      </c>
      <c r="B2060" s="5" t="s">
        <v>61</v>
      </c>
      <c r="C2060" s="5" t="s">
        <v>61</v>
      </c>
      <c r="D2060" s="1" t="s">
        <v>115</v>
      </c>
      <c r="E2060">
        <v>67</v>
      </c>
      <c r="F2060">
        <v>0</v>
      </c>
      <c r="G2060">
        <v>0</v>
      </c>
      <c r="H2060">
        <v>0</v>
      </c>
      <c r="I2060">
        <v>350</v>
      </c>
      <c r="J2060">
        <v>6560</v>
      </c>
      <c r="K2060">
        <v>350</v>
      </c>
      <c r="L2060">
        <v>510</v>
      </c>
      <c r="M2060">
        <v>0</v>
      </c>
      <c r="N2060">
        <v>0</v>
      </c>
      <c r="O2060">
        <v>0</v>
      </c>
      <c r="P2060">
        <v>0</v>
      </c>
      <c r="Q2060">
        <v>470</v>
      </c>
      <c r="R2060">
        <v>0</v>
      </c>
      <c r="S2060" s="18" t="e">
        <f t="shared" si="326"/>
        <v>#DIV/0!</v>
      </c>
      <c r="T2060" s="17" t="e">
        <f t="shared" si="327"/>
        <v>#DIV/0!</v>
      </c>
      <c r="U2060" s="17" t="e">
        <f t="shared" si="328"/>
        <v>#DIV/0!</v>
      </c>
      <c r="V2060" s="17" t="e">
        <f t="shared" si="329"/>
        <v>#DIV/0!</v>
      </c>
      <c r="W2060" s="17" t="e">
        <f t="shared" si="330"/>
        <v>#DIV/0!</v>
      </c>
      <c r="X2060" s="17" t="e">
        <f t="shared" si="331"/>
        <v>#DIV/0!</v>
      </c>
      <c r="Y2060" s="19" t="e">
        <f t="shared" si="332"/>
        <v>#DIV/0!</v>
      </c>
      <c r="Z2060">
        <v>0</v>
      </c>
      <c r="AA2060">
        <v>12</v>
      </c>
      <c r="AB2060">
        <v>484</v>
      </c>
      <c r="AC2060">
        <v>4072</v>
      </c>
      <c r="AD2060">
        <v>0</v>
      </c>
      <c r="AE2060">
        <v>0</v>
      </c>
      <c r="AF2060">
        <v>0</v>
      </c>
      <c r="AG2060">
        <v>350</v>
      </c>
      <c r="AH2060">
        <v>350</v>
      </c>
      <c r="AI2060">
        <v>0</v>
      </c>
      <c r="AJ2060">
        <v>0</v>
      </c>
      <c r="AK2060">
        <v>6560</v>
      </c>
      <c r="AL2060">
        <v>6560</v>
      </c>
      <c r="AM2060">
        <v>0</v>
      </c>
      <c r="AN2060">
        <v>0</v>
      </c>
      <c r="AO2060">
        <v>350</v>
      </c>
      <c r="AP2060">
        <v>150</v>
      </c>
      <c r="AQ2060">
        <v>350</v>
      </c>
      <c r="AR2060">
        <v>200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510</v>
      </c>
      <c r="BA2060">
        <v>510</v>
      </c>
      <c r="BB2060">
        <v>0</v>
      </c>
      <c r="BC2060">
        <v>0</v>
      </c>
      <c r="BD2060">
        <v>0</v>
      </c>
      <c r="BE2060">
        <f t="shared" si="333"/>
        <v>19962</v>
      </c>
      <c r="BF2060">
        <v>12405</v>
      </c>
      <c r="BG2060">
        <v>12405</v>
      </c>
      <c r="BH2060" t="s">
        <v>82</v>
      </c>
      <c r="BI2060" t="s">
        <v>1970</v>
      </c>
      <c r="BJ2060">
        <v>4635</v>
      </c>
      <c r="BK2060">
        <v>7770</v>
      </c>
      <c r="BL2060">
        <v>12405</v>
      </c>
      <c r="BM2060">
        <v>0</v>
      </c>
      <c r="BN2060">
        <v>0</v>
      </c>
      <c r="BO2060">
        <v>0</v>
      </c>
      <c r="BP2060">
        <v>7770</v>
      </c>
      <c r="BQ2060">
        <v>7770</v>
      </c>
      <c r="BR2060">
        <f t="shared" si="334"/>
        <v>-470</v>
      </c>
      <c r="BS2060">
        <f t="shared" si="335"/>
        <v>470</v>
      </c>
    </row>
    <row r="2061" spans="1:74" x14ac:dyDescent="0.25">
      <c r="A2061" s="5" t="s">
        <v>359</v>
      </c>
      <c r="B2061" s="5" t="s">
        <v>359</v>
      </c>
      <c r="C2061" s="5" t="s">
        <v>61</v>
      </c>
      <c r="D2061" s="1" t="s">
        <v>88</v>
      </c>
      <c r="E2061">
        <v>0</v>
      </c>
      <c r="F2061">
        <v>0</v>
      </c>
      <c r="G2061">
        <v>0</v>
      </c>
      <c r="H2061">
        <v>0</v>
      </c>
      <c r="I2061">
        <v>1876</v>
      </c>
      <c r="J2061">
        <v>4350</v>
      </c>
      <c r="K2061">
        <v>450</v>
      </c>
      <c r="L2061">
        <v>37</v>
      </c>
      <c r="M2061">
        <v>0</v>
      </c>
      <c r="N2061">
        <v>0</v>
      </c>
      <c r="O2061">
        <v>0</v>
      </c>
      <c r="P2061">
        <v>0</v>
      </c>
      <c r="Q2061">
        <v>393</v>
      </c>
      <c r="R2061">
        <v>0</v>
      </c>
      <c r="S2061" s="18" t="e">
        <f t="shared" si="326"/>
        <v>#DIV/0!</v>
      </c>
      <c r="T2061" s="17" t="e">
        <f t="shared" si="327"/>
        <v>#DIV/0!</v>
      </c>
      <c r="U2061" s="17" t="e">
        <f t="shared" si="328"/>
        <v>#DIV/0!</v>
      </c>
      <c r="V2061" s="17" t="e">
        <f t="shared" si="329"/>
        <v>#DIV/0!</v>
      </c>
      <c r="W2061" s="17" t="e">
        <f t="shared" si="330"/>
        <v>#DIV/0!</v>
      </c>
      <c r="X2061" s="17" t="e">
        <f t="shared" si="331"/>
        <v>#DIV/0!</v>
      </c>
      <c r="Y2061" s="19" t="e">
        <f t="shared" si="332"/>
        <v>#DIV/0!</v>
      </c>
      <c r="Z2061">
        <v>0</v>
      </c>
      <c r="AA2061">
        <v>0</v>
      </c>
      <c r="AB2061">
        <v>0</v>
      </c>
      <c r="AC2061">
        <v>50</v>
      </c>
      <c r="AD2061">
        <v>1876</v>
      </c>
      <c r="AE2061">
        <v>0</v>
      </c>
      <c r="AF2061">
        <v>0</v>
      </c>
      <c r="AG2061">
        <v>0</v>
      </c>
      <c r="AH2061">
        <v>1876</v>
      </c>
      <c r="AI2061">
        <v>4350</v>
      </c>
      <c r="AJ2061">
        <v>0</v>
      </c>
      <c r="AK2061">
        <v>0</v>
      </c>
      <c r="AL2061">
        <v>4350</v>
      </c>
      <c r="AM2061">
        <v>450</v>
      </c>
      <c r="AN2061">
        <v>0</v>
      </c>
      <c r="AO2061">
        <v>0</v>
      </c>
      <c r="AP2061">
        <v>105</v>
      </c>
      <c r="AQ2061">
        <v>450</v>
      </c>
      <c r="AR2061">
        <v>345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37</v>
      </c>
      <c r="BA2061">
        <v>37</v>
      </c>
      <c r="BB2061">
        <v>0</v>
      </c>
      <c r="BC2061">
        <v>0</v>
      </c>
      <c r="BD2061">
        <v>0</v>
      </c>
      <c r="BE2061">
        <f t="shared" si="333"/>
        <v>13926</v>
      </c>
      <c r="BF2061">
        <v>6763</v>
      </c>
      <c r="BG2061">
        <v>6763</v>
      </c>
      <c r="BH2061" t="s">
        <v>63</v>
      </c>
      <c r="BI2061" t="s">
        <v>768</v>
      </c>
      <c r="BJ2061">
        <v>50</v>
      </c>
      <c r="BK2061">
        <v>6713</v>
      </c>
      <c r="BL2061">
        <v>6763</v>
      </c>
      <c r="BM2061">
        <v>6676</v>
      </c>
      <c r="BN2061">
        <v>0</v>
      </c>
      <c r="BO2061">
        <v>0</v>
      </c>
      <c r="BP2061">
        <v>37</v>
      </c>
      <c r="BQ2061">
        <v>6713</v>
      </c>
      <c r="BR2061">
        <f t="shared" si="334"/>
        <v>-393</v>
      </c>
      <c r="BS2061">
        <f t="shared" si="335"/>
        <v>393</v>
      </c>
      <c r="BU2061">
        <f>R2061*9</f>
        <v>0</v>
      </c>
      <c r="BV2061">
        <f>IF(BU2061&gt;BG2061, 1, 0)</f>
        <v>0</v>
      </c>
    </row>
    <row r="2062" spans="1:74" x14ac:dyDescent="0.25">
      <c r="A2062" s="5" t="s">
        <v>1661</v>
      </c>
      <c r="B2062" s="5" t="s">
        <v>207</v>
      </c>
      <c r="C2062" s="5" t="s">
        <v>61</v>
      </c>
      <c r="D2062" s="1" t="s">
        <v>145</v>
      </c>
      <c r="E2062">
        <v>0</v>
      </c>
      <c r="F2062">
        <v>54</v>
      </c>
      <c r="G2062">
        <v>0</v>
      </c>
      <c r="H2062">
        <v>0</v>
      </c>
      <c r="I2062">
        <v>732</v>
      </c>
      <c r="J2062">
        <v>4200</v>
      </c>
      <c r="K2062">
        <v>260</v>
      </c>
      <c r="L2062">
        <v>40</v>
      </c>
      <c r="M2062">
        <v>0</v>
      </c>
      <c r="N2062">
        <v>0</v>
      </c>
      <c r="O2062">
        <v>0</v>
      </c>
      <c r="P2062">
        <v>243</v>
      </c>
      <c r="Q2062">
        <v>504</v>
      </c>
      <c r="R2062">
        <v>27</v>
      </c>
      <c r="S2062" s="18">
        <f t="shared" si="326"/>
        <v>9</v>
      </c>
      <c r="T2062" s="17">
        <f t="shared" si="327"/>
        <v>0</v>
      </c>
      <c r="U2062" s="17">
        <f t="shared" si="328"/>
        <v>0</v>
      </c>
      <c r="V2062" s="17">
        <f t="shared" si="329"/>
        <v>0</v>
      </c>
      <c r="W2062" s="17">
        <f t="shared" si="330"/>
        <v>27</v>
      </c>
      <c r="X2062" s="17">
        <f t="shared" si="331"/>
        <v>477</v>
      </c>
      <c r="Y2062" s="19">
        <f t="shared" si="332"/>
        <v>0</v>
      </c>
      <c r="Z2062">
        <v>54</v>
      </c>
      <c r="AA2062">
        <v>8</v>
      </c>
      <c r="AB2062">
        <v>0</v>
      </c>
      <c r="AC2062">
        <v>4216</v>
      </c>
      <c r="AD2062">
        <v>0</v>
      </c>
      <c r="AE2062">
        <v>0</v>
      </c>
      <c r="AF2062">
        <v>0</v>
      </c>
      <c r="AG2062">
        <v>732</v>
      </c>
      <c r="AH2062">
        <v>732</v>
      </c>
      <c r="AI2062">
        <v>0</v>
      </c>
      <c r="AJ2062">
        <v>0</v>
      </c>
      <c r="AK2062">
        <v>4200</v>
      </c>
      <c r="AL2062">
        <v>4200</v>
      </c>
      <c r="AM2062">
        <v>0</v>
      </c>
      <c r="AN2062">
        <v>0</v>
      </c>
      <c r="AO2062">
        <v>260</v>
      </c>
      <c r="AP2062">
        <v>100</v>
      </c>
      <c r="AQ2062">
        <v>260</v>
      </c>
      <c r="AR2062">
        <v>160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40</v>
      </c>
      <c r="BA2062">
        <v>40</v>
      </c>
      <c r="BB2062">
        <v>0</v>
      </c>
      <c r="BC2062">
        <v>0</v>
      </c>
      <c r="BD2062">
        <v>0</v>
      </c>
      <c r="BE2062">
        <f t="shared" si="333"/>
        <v>14940</v>
      </c>
      <c r="BF2062">
        <v>9510</v>
      </c>
      <c r="BG2062">
        <v>9510</v>
      </c>
      <c r="BH2062" t="s">
        <v>82</v>
      </c>
      <c r="BI2062" t="s">
        <v>656</v>
      </c>
      <c r="BJ2062">
        <v>4224</v>
      </c>
      <c r="BK2062">
        <v>5232</v>
      </c>
      <c r="BL2062">
        <v>9510</v>
      </c>
      <c r="BM2062">
        <v>0</v>
      </c>
      <c r="BN2062">
        <v>0</v>
      </c>
      <c r="BO2062">
        <v>0</v>
      </c>
      <c r="BP2062">
        <v>5475</v>
      </c>
      <c r="BQ2062">
        <v>5475</v>
      </c>
      <c r="BR2062">
        <f t="shared" si="334"/>
        <v>-477</v>
      </c>
      <c r="BS2062">
        <f t="shared" si="335"/>
        <v>531</v>
      </c>
    </row>
    <row r="2063" spans="1:74" x14ac:dyDescent="0.25">
      <c r="A2063" s="5" t="s">
        <v>207</v>
      </c>
      <c r="B2063" s="5" t="s">
        <v>207</v>
      </c>
      <c r="C2063" s="5" t="s">
        <v>61</v>
      </c>
      <c r="D2063" s="1" t="s">
        <v>86</v>
      </c>
      <c r="E2063">
        <v>0</v>
      </c>
      <c r="F2063">
        <v>64385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53055</v>
      </c>
      <c r="N2063">
        <v>0</v>
      </c>
      <c r="O2063">
        <v>0</v>
      </c>
      <c r="P2063">
        <v>0</v>
      </c>
      <c r="Q2063">
        <v>6375</v>
      </c>
      <c r="R2063">
        <v>5895</v>
      </c>
      <c r="S2063" s="18">
        <f t="shared" si="326"/>
        <v>9</v>
      </c>
      <c r="T2063" s="17">
        <f t="shared" si="327"/>
        <v>5895</v>
      </c>
      <c r="U2063" s="17">
        <f t="shared" si="328"/>
        <v>0</v>
      </c>
      <c r="V2063" s="17">
        <f t="shared" si="329"/>
        <v>0</v>
      </c>
      <c r="W2063" s="17">
        <f t="shared" si="330"/>
        <v>0</v>
      </c>
      <c r="X2063" s="17">
        <f t="shared" si="331"/>
        <v>480</v>
      </c>
      <c r="Y2063" s="19">
        <f t="shared" si="332"/>
        <v>0</v>
      </c>
      <c r="Z2063">
        <v>64385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f t="shared" si="333"/>
        <v>0</v>
      </c>
      <c r="BF2063">
        <v>64385</v>
      </c>
      <c r="BG2063">
        <v>64385</v>
      </c>
      <c r="BH2063" t="s">
        <v>546</v>
      </c>
      <c r="BI2063" t="s">
        <v>552</v>
      </c>
      <c r="BJ2063">
        <v>0</v>
      </c>
      <c r="BK2063">
        <v>0</v>
      </c>
      <c r="BL2063">
        <v>64385</v>
      </c>
      <c r="BM2063">
        <v>53055</v>
      </c>
      <c r="BN2063">
        <v>0</v>
      </c>
      <c r="BO2063">
        <v>0</v>
      </c>
      <c r="BP2063">
        <v>0</v>
      </c>
      <c r="BQ2063">
        <v>53055</v>
      </c>
      <c r="BR2063">
        <f t="shared" si="334"/>
        <v>-480</v>
      </c>
      <c r="BS2063">
        <f t="shared" si="335"/>
        <v>12270</v>
      </c>
    </row>
    <row r="2064" spans="1:74" x14ac:dyDescent="0.25">
      <c r="A2064" s="5" t="s">
        <v>1451</v>
      </c>
      <c r="B2064" s="5" t="s">
        <v>359</v>
      </c>
      <c r="C2064" s="5" t="s">
        <v>61</v>
      </c>
      <c r="D2064" s="1" t="s">
        <v>143</v>
      </c>
      <c r="E2064">
        <v>0</v>
      </c>
      <c r="F2064">
        <v>2077</v>
      </c>
      <c r="G2064">
        <v>0</v>
      </c>
      <c r="H2064">
        <v>0</v>
      </c>
      <c r="I2064">
        <v>831</v>
      </c>
      <c r="J2064">
        <v>3990</v>
      </c>
      <c r="K2064">
        <v>2700</v>
      </c>
      <c r="L2064">
        <v>0</v>
      </c>
      <c r="M2064">
        <v>0</v>
      </c>
      <c r="N2064">
        <v>0</v>
      </c>
      <c r="O2064">
        <v>0</v>
      </c>
      <c r="P2064">
        <v>11430</v>
      </c>
      <c r="Q2064">
        <v>1750</v>
      </c>
      <c r="R2064">
        <v>1270</v>
      </c>
      <c r="S2064" s="18">
        <f t="shared" si="326"/>
        <v>9</v>
      </c>
      <c r="T2064" s="17">
        <f t="shared" si="327"/>
        <v>0</v>
      </c>
      <c r="U2064" s="17">
        <f t="shared" si="328"/>
        <v>0</v>
      </c>
      <c r="V2064" s="17">
        <f t="shared" si="329"/>
        <v>0</v>
      </c>
      <c r="W2064" s="17">
        <f t="shared" si="330"/>
        <v>1270</v>
      </c>
      <c r="X2064" s="17">
        <f t="shared" si="331"/>
        <v>480</v>
      </c>
      <c r="Y2064" s="19">
        <f t="shared" si="332"/>
        <v>0</v>
      </c>
      <c r="Z2064">
        <v>2077</v>
      </c>
      <c r="AA2064">
        <v>30</v>
      </c>
      <c r="AB2064">
        <v>67</v>
      </c>
      <c r="AC2064">
        <v>6599</v>
      </c>
      <c r="AD2064">
        <v>0</v>
      </c>
      <c r="AE2064">
        <v>0</v>
      </c>
      <c r="AF2064">
        <v>0</v>
      </c>
      <c r="AG2064">
        <v>831</v>
      </c>
      <c r="AH2064">
        <v>831</v>
      </c>
      <c r="AI2064">
        <v>0</v>
      </c>
      <c r="AJ2064">
        <v>0</v>
      </c>
      <c r="AK2064">
        <v>3990</v>
      </c>
      <c r="AL2064">
        <v>3990</v>
      </c>
      <c r="AM2064">
        <v>0</v>
      </c>
      <c r="AN2064">
        <v>0</v>
      </c>
      <c r="AO2064">
        <v>2700</v>
      </c>
      <c r="AP2064">
        <v>1748</v>
      </c>
      <c r="AQ2064">
        <v>2700</v>
      </c>
      <c r="AR2064">
        <v>952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f t="shared" si="333"/>
        <v>24341</v>
      </c>
      <c r="BF2064">
        <v>16294</v>
      </c>
      <c r="BG2064">
        <v>16294</v>
      </c>
      <c r="BH2064" t="s">
        <v>82</v>
      </c>
      <c r="BI2064" t="s">
        <v>1634</v>
      </c>
      <c r="BJ2064">
        <v>6696</v>
      </c>
      <c r="BK2064">
        <v>7521</v>
      </c>
      <c r="BL2064">
        <v>16294</v>
      </c>
      <c r="BM2064">
        <v>0</v>
      </c>
      <c r="BN2064">
        <v>0</v>
      </c>
      <c r="BO2064">
        <v>0</v>
      </c>
      <c r="BP2064">
        <v>18951</v>
      </c>
      <c r="BQ2064">
        <v>18951</v>
      </c>
      <c r="BR2064">
        <f t="shared" si="334"/>
        <v>-480</v>
      </c>
      <c r="BS2064">
        <f t="shared" si="335"/>
        <v>3020</v>
      </c>
    </row>
    <row r="2065" spans="1:74" x14ac:dyDescent="0.25">
      <c r="A2065" s="5" t="s">
        <v>1017</v>
      </c>
      <c r="B2065" s="5" t="s">
        <v>359</v>
      </c>
      <c r="C2065" s="5" t="s">
        <v>61</v>
      </c>
      <c r="D2065" s="1" t="s">
        <v>92</v>
      </c>
      <c r="E2065">
        <v>0</v>
      </c>
      <c r="F2065">
        <v>3200</v>
      </c>
      <c r="G2065">
        <v>0</v>
      </c>
      <c r="H2065">
        <v>0</v>
      </c>
      <c r="I2065">
        <v>3828</v>
      </c>
      <c r="J2065">
        <v>2974</v>
      </c>
      <c r="K2065">
        <v>8680</v>
      </c>
      <c r="L2065">
        <v>300</v>
      </c>
      <c r="M2065">
        <v>0</v>
      </c>
      <c r="N2065">
        <v>0</v>
      </c>
      <c r="O2065">
        <v>0</v>
      </c>
      <c r="P2065">
        <v>11349</v>
      </c>
      <c r="Q2065">
        <v>1742</v>
      </c>
      <c r="R2065">
        <v>1261</v>
      </c>
      <c r="S2065" s="18">
        <f t="shared" si="326"/>
        <v>9</v>
      </c>
      <c r="T2065" s="17">
        <f t="shared" si="327"/>
        <v>0</v>
      </c>
      <c r="U2065" s="17">
        <f t="shared" si="328"/>
        <v>0</v>
      </c>
      <c r="V2065" s="17">
        <f t="shared" si="329"/>
        <v>0</v>
      </c>
      <c r="W2065" s="17">
        <f t="shared" si="330"/>
        <v>1261</v>
      </c>
      <c r="X2065" s="17">
        <f t="shared" si="331"/>
        <v>481</v>
      </c>
      <c r="Y2065" s="19">
        <f t="shared" si="332"/>
        <v>0</v>
      </c>
      <c r="Z2065">
        <v>3200</v>
      </c>
      <c r="AA2065">
        <v>0</v>
      </c>
      <c r="AB2065">
        <v>0</v>
      </c>
      <c r="AC2065">
        <v>5000</v>
      </c>
      <c r="AD2065">
        <v>0</v>
      </c>
      <c r="AE2065">
        <v>0</v>
      </c>
      <c r="AF2065">
        <v>0</v>
      </c>
      <c r="AG2065">
        <v>822</v>
      </c>
      <c r="AH2065">
        <v>822</v>
      </c>
      <c r="AI2065">
        <v>0</v>
      </c>
      <c r="AJ2065">
        <v>0</v>
      </c>
      <c r="AK2065">
        <v>4000</v>
      </c>
      <c r="AL2065">
        <v>4000</v>
      </c>
      <c r="AM2065">
        <v>0</v>
      </c>
      <c r="AN2065">
        <v>0</v>
      </c>
      <c r="AO2065">
        <v>5754</v>
      </c>
      <c r="AP2065">
        <v>735</v>
      </c>
      <c r="AQ2065">
        <v>4781</v>
      </c>
      <c r="AR2065">
        <v>973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300</v>
      </c>
      <c r="BA2065">
        <v>300</v>
      </c>
      <c r="BB2065">
        <v>0</v>
      </c>
      <c r="BC2065">
        <v>0</v>
      </c>
      <c r="BD2065">
        <v>0</v>
      </c>
      <c r="BE2065">
        <f t="shared" si="333"/>
        <v>27487</v>
      </c>
      <c r="BF2065">
        <v>22051</v>
      </c>
      <c r="BG2065">
        <v>22051</v>
      </c>
      <c r="BH2065" t="s">
        <v>82</v>
      </c>
      <c r="BI2065" t="s">
        <v>1132</v>
      </c>
      <c r="BJ2065">
        <v>5000</v>
      </c>
      <c r="BK2065">
        <v>9903</v>
      </c>
      <c r="BL2065">
        <v>18103</v>
      </c>
      <c r="BM2065">
        <v>0</v>
      </c>
      <c r="BN2065">
        <v>0</v>
      </c>
      <c r="BO2065">
        <v>0</v>
      </c>
      <c r="BP2065">
        <v>22225</v>
      </c>
      <c r="BQ2065">
        <v>22225</v>
      </c>
      <c r="BR2065">
        <f t="shared" si="334"/>
        <v>-481</v>
      </c>
      <c r="BS2065">
        <f t="shared" si="335"/>
        <v>3003</v>
      </c>
    </row>
    <row r="2066" spans="1:74" x14ac:dyDescent="0.25">
      <c r="A2066" s="5" t="s">
        <v>1017</v>
      </c>
      <c r="B2066" s="5" t="s">
        <v>61</v>
      </c>
      <c r="C2066" s="5" t="s">
        <v>207</v>
      </c>
      <c r="D2066" s="1" t="s">
        <v>94</v>
      </c>
      <c r="E2066">
        <v>0</v>
      </c>
      <c r="F2066">
        <v>523</v>
      </c>
      <c r="G2066">
        <v>0</v>
      </c>
      <c r="H2066">
        <v>0</v>
      </c>
      <c r="I2066">
        <v>1920</v>
      </c>
      <c r="J2066">
        <v>1430</v>
      </c>
      <c r="K2066">
        <v>4894</v>
      </c>
      <c r="L2066">
        <v>20</v>
      </c>
      <c r="M2066">
        <v>0</v>
      </c>
      <c r="N2066">
        <v>0</v>
      </c>
      <c r="O2066">
        <v>0</v>
      </c>
      <c r="P2066">
        <v>1008</v>
      </c>
      <c r="Q2066">
        <v>594</v>
      </c>
      <c r="R2066">
        <v>112</v>
      </c>
      <c r="S2066" s="18">
        <f t="shared" si="326"/>
        <v>9</v>
      </c>
      <c r="T2066" s="17">
        <f t="shared" si="327"/>
        <v>0</v>
      </c>
      <c r="U2066" s="17">
        <f t="shared" si="328"/>
        <v>0</v>
      </c>
      <c r="V2066" s="17">
        <f t="shared" si="329"/>
        <v>0</v>
      </c>
      <c r="W2066" s="17">
        <f t="shared" si="330"/>
        <v>112</v>
      </c>
      <c r="X2066" s="17">
        <f t="shared" si="331"/>
        <v>482</v>
      </c>
      <c r="Y2066" s="19">
        <f t="shared" si="332"/>
        <v>0</v>
      </c>
      <c r="Z2066">
        <v>523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1920</v>
      </c>
      <c r="AH2066">
        <v>1920</v>
      </c>
      <c r="AI2066">
        <v>0</v>
      </c>
      <c r="AJ2066">
        <v>0</v>
      </c>
      <c r="AK2066">
        <v>1430</v>
      </c>
      <c r="AL2066">
        <v>1430</v>
      </c>
      <c r="AM2066">
        <v>0</v>
      </c>
      <c r="AN2066">
        <v>0</v>
      </c>
      <c r="AO2066">
        <v>4894</v>
      </c>
      <c r="AP2066">
        <v>2700</v>
      </c>
      <c r="AQ2066">
        <v>4894</v>
      </c>
      <c r="AR2066">
        <v>2194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20</v>
      </c>
      <c r="BA2066">
        <v>20</v>
      </c>
      <c r="BB2066">
        <v>0</v>
      </c>
      <c r="BC2066">
        <v>0</v>
      </c>
      <c r="BD2066">
        <v>0</v>
      </c>
      <c r="BE2066">
        <f t="shared" si="333"/>
        <v>21422</v>
      </c>
      <c r="BF2066">
        <v>8787</v>
      </c>
      <c r="BG2066">
        <v>8787</v>
      </c>
      <c r="BH2066" t="s">
        <v>82</v>
      </c>
      <c r="BI2066" t="s">
        <v>1061</v>
      </c>
      <c r="BJ2066">
        <v>0</v>
      </c>
      <c r="BK2066">
        <v>8264</v>
      </c>
      <c r="BL2066">
        <v>8787</v>
      </c>
      <c r="BM2066">
        <v>0</v>
      </c>
      <c r="BN2066">
        <v>0</v>
      </c>
      <c r="BO2066">
        <v>0</v>
      </c>
      <c r="BP2066">
        <v>9272</v>
      </c>
      <c r="BQ2066">
        <v>9272</v>
      </c>
      <c r="BR2066">
        <f t="shared" si="334"/>
        <v>-482</v>
      </c>
      <c r="BS2066">
        <f t="shared" si="335"/>
        <v>706</v>
      </c>
    </row>
    <row r="2067" spans="1:74" x14ac:dyDescent="0.25">
      <c r="A2067" s="5" t="s">
        <v>207</v>
      </c>
      <c r="B2067" s="5" t="s">
        <v>627</v>
      </c>
      <c r="C2067" s="5" t="s">
        <v>207</v>
      </c>
      <c r="D2067" s="1" t="s">
        <v>88</v>
      </c>
      <c r="E2067">
        <v>0</v>
      </c>
      <c r="F2067">
        <v>35</v>
      </c>
      <c r="G2067">
        <v>0</v>
      </c>
      <c r="H2067">
        <v>0</v>
      </c>
      <c r="I2067">
        <v>1344</v>
      </c>
      <c r="J2067">
        <v>4671</v>
      </c>
      <c r="K2067">
        <v>258</v>
      </c>
      <c r="L2067">
        <v>238</v>
      </c>
      <c r="M2067">
        <v>0</v>
      </c>
      <c r="N2067">
        <v>0</v>
      </c>
      <c r="O2067">
        <v>0</v>
      </c>
      <c r="P2067">
        <v>315</v>
      </c>
      <c r="Q2067">
        <v>519</v>
      </c>
      <c r="R2067">
        <v>35</v>
      </c>
      <c r="S2067" s="18">
        <f t="shared" si="326"/>
        <v>9</v>
      </c>
      <c r="T2067" s="17">
        <f t="shared" si="327"/>
        <v>0</v>
      </c>
      <c r="U2067" s="17">
        <f t="shared" si="328"/>
        <v>0</v>
      </c>
      <c r="V2067" s="17">
        <f t="shared" si="329"/>
        <v>0</v>
      </c>
      <c r="W2067" s="17">
        <f t="shared" si="330"/>
        <v>35</v>
      </c>
      <c r="X2067" s="17">
        <f t="shared" si="331"/>
        <v>484</v>
      </c>
      <c r="Y2067" s="19">
        <f t="shared" si="332"/>
        <v>0</v>
      </c>
      <c r="Z2067">
        <v>35</v>
      </c>
      <c r="AA2067">
        <v>10</v>
      </c>
      <c r="AB2067">
        <v>308</v>
      </c>
      <c r="AC2067">
        <v>2358</v>
      </c>
      <c r="AD2067">
        <v>0</v>
      </c>
      <c r="AE2067">
        <v>0</v>
      </c>
      <c r="AF2067">
        <v>0</v>
      </c>
      <c r="AG2067">
        <v>1344</v>
      </c>
      <c r="AH2067">
        <v>1344</v>
      </c>
      <c r="AI2067">
        <v>0</v>
      </c>
      <c r="AJ2067">
        <v>0</v>
      </c>
      <c r="AK2067">
        <v>4671</v>
      </c>
      <c r="AL2067">
        <v>4671</v>
      </c>
      <c r="AM2067">
        <v>0</v>
      </c>
      <c r="AN2067">
        <v>0</v>
      </c>
      <c r="AO2067">
        <v>258</v>
      </c>
      <c r="AP2067">
        <v>86</v>
      </c>
      <c r="AQ2067">
        <v>258</v>
      </c>
      <c r="AR2067">
        <v>172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238</v>
      </c>
      <c r="BA2067">
        <v>238</v>
      </c>
      <c r="BB2067">
        <v>0</v>
      </c>
      <c r="BC2067">
        <v>0</v>
      </c>
      <c r="BD2067">
        <v>0</v>
      </c>
      <c r="BE2067">
        <f t="shared" si="333"/>
        <v>15638</v>
      </c>
      <c r="BF2067">
        <v>9222</v>
      </c>
      <c r="BG2067">
        <v>9222</v>
      </c>
      <c r="BH2067" t="s">
        <v>82</v>
      </c>
      <c r="BI2067" t="s">
        <v>671</v>
      </c>
      <c r="BJ2067">
        <v>2676</v>
      </c>
      <c r="BK2067">
        <v>6511</v>
      </c>
      <c r="BL2067">
        <v>9222</v>
      </c>
      <c r="BM2067">
        <v>0</v>
      </c>
      <c r="BN2067">
        <v>0</v>
      </c>
      <c r="BO2067">
        <v>0</v>
      </c>
      <c r="BP2067">
        <v>6826</v>
      </c>
      <c r="BQ2067">
        <v>6826</v>
      </c>
      <c r="BR2067">
        <f t="shared" si="334"/>
        <v>-484</v>
      </c>
      <c r="BS2067">
        <f t="shared" si="335"/>
        <v>554</v>
      </c>
    </row>
    <row r="2068" spans="1:74" x14ac:dyDescent="0.25">
      <c r="A2068" s="5" t="s">
        <v>875</v>
      </c>
      <c r="B2068" s="5" t="s">
        <v>61</v>
      </c>
      <c r="C2068" s="5" t="s">
        <v>207</v>
      </c>
      <c r="D2068" s="1" t="s">
        <v>959</v>
      </c>
      <c r="E2068">
        <v>0</v>
      </c>
      <c r="F2068">
        <v>1401</v>
      </c>
      <c r="G2068">
        <v>0</v>
      </c>
      <c r="H2068">
        <v>0</v>
      </c>
      <c r="I2068">
        <v>1042</v>
      </c>
      <c r="J2068">
        <v>11618</v>
      </c>
      <c r="K2068">
        <v>1016</v>
      </c>
      <c r="L2068">
        <v>211</v>
      </c>
      <c r="M2068">
        <v>0</v>
      </c>
      <c r="N2068">
        <v>0</v>
      </c>
      <c r="O2068">
        <v>0</v>
      </c>
      <c r="P2068">
        <v>4203</v>
      </c>
      <c r="Q2068">
        <v>951</v>
      </c>
      <c r="R2068">
        <v>467</v>
      </c>
      <c r="S2068" s="18">
        <f t="shared" si="326"/>
        <v>9</v>
      </c>
      <c r="T2068" s="17">
        <f t="shared" si="327"/>
        <v>0</v>
      </c>
      <c r="U2068" s="17">
        <f t="shared" si="328"/>
        <v>0</v>
      </c>
      <c r="V2068" s="17">
        <f t="shared" si="329"/>
        <v>0</v>
      </c>
      <c r="W2068" s="17">
        <f t="shared" si="330"/>
        <v>467</v>
      </c>
      <c r="X2068" s="17">
        <f t="shared" si="331"/>
        <v>484</v>
      </c>
      <c r="Y2068" s="19">
        <f t="shared" si="332"/>
        <v>0</v>
      </c>
      <c r="Z2068">
        <v>1401</v>
      </c>
      <c r="AA2068">
        <v>45</v>
      </c>
      <c r="AB2068">
        <v>250</v>
      </c>
      <c r="AC2068">
        <v>2608</v>
      </c>
      <c r="AD2068">
        <v>0</v>
      </c>
      <c r="AE2068">
        <v>0</v>
      </c>
      <c r="AF2068">
        <v>0</v>
      </c>
      <c r="AG2068">
        <v>1042</v>
      </c>
      <c r="AH2068">
        <v>1042</v>
      </c>
      <c r="AI2068">
        <v>0</v>
      </c>
      <c r="AJ2068">
        <v>6193</v>
      </c>
      <c r="AK2068">
        <v>5425</v>
      </c>
      <c r="AL2068">
        <v>11618</v>
      </c>
      <c r="AM2068">
        <v>0</v>
      </c>
      <c r="AN2068">
        <v>0</v>
      </c>
      <c r="AO2068">
        <v>1016</v>
      </c>
      <c r="AP2068">
        <v>516</v>
      </c>
      <c r="AQ2068">
        <v>1016</v>
      </c>
      <c r="AR2068">
        <v>500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150</v>
      </c>
      <c r="AZ2068">
        <v>61</v>
      </c>
      <c r="BA2068">
        <v>211</v>
      </c>
      <c r="BB2068">
        <v>0</v>
      </c>
      <c r="BC2068">
        <v>0</v>
      </c>
      <c r="BD2068">
        <v>0</v>
      </c>
      <c r="BE2068">
        <f t="shared" si="333"/>
        <v>31398</v>
      </c>
      <c r="BF2068">
        <v>18191</v>
      </c>
      <c r="BG2068">
        <v>18191</v>
      </c>
      <c r="BH2068" t="s">
        <v>82</v>
      </c>
      <c r="BI2068" t="s">
        <v>960</v>
      </c>
      <c r="BJ2068">
        <v>2903</v>
      </c>
      <c r="BK2068">
        <v>13887</v>
      </c>
      <c r="BL2068">
        <v>18191</v>
      </c>
      <c r="BM2068">
        <v>0</v>
      </c>
      <c r="BN2068">
        <v>6343</v>
      </c>
      <c r="BO2068">
        <v>0</v>
      </c>
      <c r="BP2068">
        <v>11747</v>
      </c>
      <c r="BQ2068">
        <v>18090</v>
      </c>
      <c r="BR2068">
        <f t="shared" si="334"/>
        <v>-484</v>
      </c>
      <c r="BS2068">
        <f t="shared" si="335"/>
        <v>1418</v>
      </c>
    </row>
    <row r="2069" spans="1:74" x14ac:dyDescent="0.25">
      <c r="A2069" s="5" t="s">
        <v>1451</v>
      </c>
      <c r="B2069" s="5" t="s">
        <v>61</v>
      </c>
      <c r="C2069" s="5" t="s">
        <v>627</v>
      </c>
      <c r="D2069" s="1" t="s">
        <v>62</v>
      </c>
      <c r="E2069">
        <v>0</v>
      </c>
      <c r="F2069">
        <v>0</v>
      </c>
      <c r="G2069">
        <v>0</v>
      </c>
      <c r="H2069">
        <v>0</v>
      </c>
      <c r="I2069">
        <v>620</v>
      </c>
      <c r="J2069">
        <v>3200</v>
      </c>
      <c r="K2069">
        <v>527</v>
      </c>
      <c r="L2069">
        <v>50</v>
      </c>
      <c r="M2069">
        <v>0</v>
      </c>
      <c r="N2069">
        <v>0</v>
      </c>
      <c r="O2069">
        <v>0</v>
      </c>
      <c r="P2069">
        <v>0</v>
      </c>
      <c r="Q2069">
        <v>405</v>
      </c>
      <c r="R2069">
        <v>0</v>
      </c>
      <c r="S2069" s="18" t="e">
        <f t="shared" si="326"/>
        <v>#DIV/0!</v>
      </c>
      <c r="T2069" s="17" t="e">
        <f t="shared" si="327"/>
        <v>#DIV/0!</v>
      </c>
      <c r="U2069" s="17" t="e">
        <f t="shared" si="328"/>
        <v>#DIV/0!</v>
      </c>
      <c r="V2069" s="17" t="e">
        <f t="shared" si="329"/>
        <v>#DIV/0!</v>
      </c>
      <c r="W2069" s="17" t="e">
        <f t="shared" si="330"/>
        <v>#DIV/0!</v>
      </c>
      <c r="X2069" s="17" t="e">
        <f t="shared" si="331"/>
        <v>#DIV/0!</v>
      </c>
      <c r="Y2069" s="19" t="e">
        <f t="shared" si="332"/>
        <v>#DIV/0!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620</v>
      </c>
      <c r="AH2069">
        <v>620</v>
      </c>
      <c r="AI2069">
        <v>0</v>
      </c>
      <c r="AJ2069">
        <v>0</v>
      </c>
      <c r="AK2069">
        <v>3200</v>
      </c>
      <c r="AL2069">
        <v>3200</v>
      </c>
      <c r="AM2069">
        <v>0</v>
      </c>
      <c r="AN2069">
        <v>0</v>
      </c>
      <c r="AO2069">
        <v>527</v>
      </c>
      <c r="AP2069">
        <v>333</v>
      </c>
      <c r="AQ2069">
        <v>527</v>
      </c>
      <c r="AR2069">
        <v>194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50</v>
      </c>
      <c r="BA2069">
        <v>50</v>
      </c>
      <c r="BB2069">
        <v>0</v>
      </c>
      <c r="BC2069">
        <v>0</v>
      </c>
      <c r="BD2069">
        <v>0</v>
      </c>
      <c r="BE2069">
        <f t="shared" si="333"/>
        <v>9321</v>
      </c>
      <c r="BF2069">
        <v>4397</v>
      </c>
      <c r="BG2069">
        <v>4397</v>
      </c>
      <c r="BH2069" t="s">
        <v>63</v>
      </c>
      <c r="BI2069" t="s">
        <v>1509</v>
      </c>
      <c r="BJ2069">
        <v>0</v>
      </c>
      <c r="BK2069">
        <v>4397</v>
      </c>
      <c r="BL2069">
        <v>4397</v>
      </c>
      <c r="BM2069">
        <v>0</v>
      </c>
      <c r="BN2069">
        <v>0</v>
      </c>
      <c r="BO2069">
        <v>0</v>
      </c>
      <c r="BP2069">
        <v>4397</v>
      </c>
      <c r="BQ2069">
        <v>4397</v>
      </c>
      <c r="BR2069">
        <f t="shared" si="334"/>
        <v>-405</v>
      </c>
      <c r="BS2069">
        <f t="shared" si="335"/>
        <v>405</v>
      </c>
      <c r="BU2069">
        <f>R2069*9</f>
        <v>0</v>
      </c>
      <c r="BV2069">
        <f>IF(BU2069&gt;BG2069, 1, 0)</f>
        <v>0</v>
      </c>
    </row>
    <row r="2070" spans="1:74" x14ac:dyDescent="0.25">
      <c r="A2070" s="5" t="s">
        <v>61</v>
      </c>
      <c r="B2070" s="5" t="s">
        <v>61</v>
      </c>
      <c r="C2070" s="6" t="s">
        <v>61</v>
      </c>
      <c r="D2070" s="1" t="s">
        <v>117</v>
      </c>
      <c r="E2070">
        <v>0</v>
      </c>
      <c r="F2070">
        <v>220</v>
      </c>
      <c r="G2070">
        <v>0</v>
      </c>
      <c r="H2070">
        <v>0</v>
      </c>
      <c r="I2070">
        <v>972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1188</v>
      </c>
      <c r="Q2070">
        <v>618</v>
      </c>
      <c r="R2070">
        <v>132</v>
      </c>
      <c r="S2070" s="18">
        <f t="shared" si="326"/>
        <v>9</v>
      </c>
      <c r="T2070" s="17">
        <f t="shared" si="327"/>
        <v>0</v>
      </c>
      <c r="U2070" s="17">
        <f t="shared" si="328"/>
        <v>0</v>
      </c>
      <c r="V2070" s="17">
        <f t="shared" si="329"/>
        <v>0</v>
      </c>
      <c r="W2070" s="17">
        <f t="shared" si="330"/>
        <v>132</v>
      </c>
      <c r="X2070" s="17">
        <f t="shared" si="331"/>
        <v>486</v>
      </c>
      <c r="Y2070" s="19">
        <f t="shared" si="332"/>
        <v>0</v>
      </c>
      <c r="Z2070">
        <v>220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972</v>
      </c>
      <c r="AH2070">
        <v>972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f t="shared" si="333"/>
        <v>1944</v>
      </c>
      <c r="BF2070">
        <v>1192</v>
      </c>
      <c r="BG2070">
        <v>1192</v>
      </c>
      <c r="BH2070" t="s">
        <v>109</v>
      </c>
      <c r="BI2070" t="s">
        <v>118</v>
      </c>
      <c r="BJ2070">
        <v>0</v>
      </c>
      <c r="BK2070">
        <v>972</v>
      </c>
      <c r="BL2070">
        <v>1192</v>
      </c>
      <c r="BM2070">
        <v>0</v>
      </c>
      <c r="BN2070">
        <v>0</v>
      </c>
      <c r="BO2070">
        <v>0</v>
      </c>
      <c r="BP2070">
        <v>2160</v>
      </c>
      <c r="BQ2070">
        <v>2160</v>
      </c>
      <c r="BR2070">
        <f t="shared" si="334"/>
        <v>-486</v>
      </c>
      <c r="BS2070">
        <f t="shared" si="335"/>
        <v>750</v>
      </c>
    </row>
    <row r="2071" spans="1:74" x14ac:dyDescent="0.25">
      <c r="A2071" s="6" t="s">
        <v>627</v>
      </c>
      <c r="B2071" s="6" t="s">
        <v>61</v>
      </c>
      <c r="C2071" s="1" t="s">
        <v>61</v>
      </c>
      <c r="D2071" s="1" t="s">
        <v>77</v>
      </c>
      <c r="E2071">
        <v>92</v>
      </c>
      <c r="F2071">
        <v>1797</v>
      </c>
      <c r="G2071">
        <v>0</v>
      </c>
      <c r="H2071">
        <v>0</v>
      </c>
      <c r="I2071">
        <v>510</v>
      </c>
      <c r="J2071">
        <v>10067</v>
      </c>
      <c r="K2071">
        <v>371</v>
      </c>
      <c r="L2071">
        <v>418</v>
      </c>
      <c r="M2071">
        <v>0</v>
      </c>
      <c r="N2071">
        <v>0</v>
      </c>
      <c r="O2071">
        <v>0</v>
      </c>
      <c r="P2071">
        <v>1053</v>
      </c>
      <c r="Q2071">
        <v>604</v>
      </c>
      <c r="R2071">
        <v>117</v>
      </c>
      <c r="S2071" s="18">
        <f t="shared" si="326"/>
        <v>9</v>
      </c>
      <c r="T2071" s="17">
        <f t="shared" si="327"/>
        <v>0</v>
      </c>
      <c r="U2071" s="17">
        <f t="shared" si="328"/>
        <v>0</v>
      </c>
      <c r="V2071" s="17">
        <f t="shared" si="329"/>
        <v>0</v>
      </c>
      <c r="W2071" s="17">
        <f t="shared" si="330"/>
        <v>117</v>
      </c>
      <c r="X2071" s="17">
        <f t="shared" si="331"/>
        <v>487</v>
      </c>
      <c r="Y2071" s="19">
        <f t="shared" si="332"/>
        <v>0</v>
      </c>
      <c r="Z2071">
        <v>1797</v>
      </c>
      <c r="AA2071">
        <v>20</v>
      </c>
      <c r="AB2071">
        <v>0</v>
      </c>
      <c r="AC2071">
        <v>6786</v>
      </c>
      <c r="AD2071">
        <v>0</v>
      </c>
      <c r="AE2071">
        <v>0</v>
      </c>
      <c r="AF2071">
        <v>0</v>
      </c>
      <c r="AG2071">
        <v>510</v>
      </c>
      <c r="AH2071">
        <v>510</v>
      </c>
      <c r="AI2071">
        <v>0</v>
      </c>
      <c r="AJ2071">
        <v>0</v>
      </c>
      <c r="AK2071">
        <v>10067</v>
      </c>
      <c r="AL2071">
        <v>10067</v>
      </c>
      <c r="AM2071">
        <v>0</v>
      </c>
      <c r="AN2071">
        <v>0</v>
      </c>
      <c r="AO2071">
        <v>371</v>
      </c>
      <c r="AP2071">
        <v>180</v>
      </c>
      <c r="AQ2071">
        <v>371</v>
      </c>
      <c r="AR2071">
        <v>191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418</v>
      </c>
      <c r="BA2071">
        <v>418</v>
      </c>
      <c r="BB2071">
        <v>0</v>
      </c>
      <c r="BC2071">
        <v>0</v>
      </c>
      <c r="BD2071">
        <v>0</v>
      </c>
      <c r="BE2071">
        <f t="shared" si="333"/>
        <v>29889</v>
      </c>
      <c r="BF2071">
        <v>20061</v>
      </c>
      <c r="BG2071">
        <v>20061</v>
      </c>
      <c r="BH2071" t="s">
        <v>82</v>
      </c>
      <c r="BI2071" t="s">
        <v>816</v>
      </c>
      <c r="BJ2071">
        <v>6898</v>
      </c>
      <c r="BK2071">
        <v>11366</v>
      </c>
      <c r="BL2071">
        <v>20061</v>
      </c>
      <c r="BM2071">
        <v>0</v>
      </c>
      <c r="BN2071">
        <v>0</v>
      </c>
      <c r="BO2071">
        <v>0</v>
      </c>
      <c r="BP2071">
        <v>12419</v>
      </c>
      <c r="BQ2071">
        <v>12419</v>
      </c>
      <c r="BR2071">
        <f t="shared" si="334"/>
        <v>-487</v>
      </c>
      <c r="BS2071">
        <f t="shared" si="335"/>
        <v>721</v>
      </c>
    </row>
    <row r="2072" spans="1:74" x14ac:dyDescent="0.25">
      <c r="A2072" s="7" t="s">
        <v>1451</v>
      </c>
      <c r="B2072" s="7" t="s">
        <v>61</v>
      </c>
      <c r="C2072" s="7" t="s">
        <v>61</v>
      </c>
      <c r="D2072" s="1" t="s">
        <v>67</v>
      </c>
      <c r="E2072">
        <v>0</v>
      </c>
      <c r="F2072">
        <v>0</v>
      </c>
      <c r="G2072">
        <v>0</v>
      </c>
      <c r="H2072">
        <v>0</v>
      </c>
      <c r="I2072">
        <v>1950</v>
      </c>
      <c r="J2072">
        <v>4948</v>
      </c>
      <c r="K2072">
        <v>875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406</v>
      </c>
      <c r="R2072">
        <v>0</v>
      </c>
      <c r="S2072" s="18" t="e">
        <f t="shared" si="326"/>
        <v>#DIV/0!</v>
      </c>
      <c r="T2072" s="17" t="e">
        <f t="shared" si="327"/>
        <v>#DIV/0!</v>
      </c>
      <c r="U2072" s="17" t="e">
        <f t="shared" si="328"/>
        <v>#DIV/0!</v>
      </c>
      <c r="V2072" s="17" t="e">
        <f t="shared" si="329"/>
        <v>#DIV/0!</v>
      </c>
      <c r="W2072" s="17" t="e">
        <f t="shared" si="330"/>
        <v>#DIV/0!</v>
      </c>
      <c r="X2072" s="17" t="e">
        <f t="shared" si="331"/>
        <v>#DIV/0!</v>
      </c>
      <c r="Y2072" s="19" t="e">
        <f t="shared" si="332"/>
        <v>#DIV/0!</v>
      </c>
      <c r="Z2072">
        <v>0</v>
      </c>
      <c r="AA2072">
        <v>0</v>
      </c>
      <c r="AB2072">
        <v>0</v>
      </c>
      <c r="AC2072">
        <v>120</v>
      </c>
      <c r="AD2072">
        <v>0</v>
      </c>
      <c r="AE2072">
        <v>0</v>
      </c>
      <c r="AF2072">
        <v>0</v>
      </c>
      <c r="AG2072">
        <v>1950</v>
      </c>
      <c r="AH2072">
        <v>1950</v>
      </c>
      <c r="AI2072">
        <v>0</v>
      </c>
      <c r="AJ2072">
        <v>0</v>
      </c>
      <c r="AK2072">
        <v>4948</v>
      </c>
      <c r="AL2072">
        <v>4948</v>
      </c>
      <c r="AM2072">
        <v>0</v>
      </c>
      <c r="AN2072">
        <v>0</v>
      </c>
      <c r="AO2072">
        <v>875</v>
      </c>
      <c r="AP2072">
        <v>112</v>
      </c>
      <c r="AQ2072">
        <v>875</v>
      </c>
      <c r="AR2072">
        <v>763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f t="shared" si="333"/>
        <v>16541</v>
      </c>
      <c r="BF2072">
        <v>7893</v>
      </c>
      <c r="BG2072">
        <v>7893</v>
      </c>
      <c r="BH2072" t="s">
        <v>63</v>
      </c>
      <c r="BI2072" t="s">
        <v>1453</v>
      </c>
      <c r="BJ2072">
        <v>120</v>
      </c>
      <c r="BK2072">
        <v>7773</v>
      </c>
      <c r="BL2072">
        <v>7893</v>
      </c>
      <c r="BM2072">
        <v>0</v>
      </c>
      <c r="BN2072">
        <v>0</v>
      </c>
      <c r="BO2072">
        <v>0</v>
      </c>
      <c r="BP2072">
        <v>7773</v>
      </c>
      <c r="BQ2072">
        <v>7773</v>
      </c>
      <c r="BR2072">
        <f t="shared" si="334"/>
        <v>-406</v>
      </c>
      <c r="BS2072">
        <f t="shared" si="335"/>
        <v>406</v>
      </c>
      <c r="BU2072">
        <f>R2072*9</f>
        <v>0</v>
      </c>
      <c r="BV2072">
        <f>IF(BU2072&gt;BG2072, 1, 0)</f>
        <v>0</v>
      </c>
    </row>
    <row r="2073" spans="1:74" x14ac:dyDescent="0.25">
      <c r="A2073" s="5" t="s">
        <v>61</v>
      </c>
      <c r="B2073" s="5" t="s">
        <v>207</v>
      </c>
      <c r="C2073" s="5" t="s">
        <v>207</v>
      </c>
      <c r="D2073" s="1" t="s">
        <v>79</v>
      </c>
      <c r="E2073">
        <v>97</v>
      </c>
      <c r="F2073">
        <v>44</v>
      </c>
      <c r="G2073">
        <v>0</v>
      </c>
      <c r="H2073">
        <v>0</v>
      </c>
      <c r="I2073">
        <v>333</v>
      </c>
      <c r="J2073">
        <v>5458</v>
      </c>
      <c r="K2073">
        <v>502</v>
      </c>
      <c r="L2073">
        <v>180</v>
      </c>
      <c r="M2073">
        <v>0</v>
      </c>
      <c r="N2073">
        <v>0</v>
      </c>
      <c r="O2073">
        <v>0</v>
      </c>
      <c r="P2073">
        <v>396</v>
      </c>
      <c r="Q2073">
        <v>532</v>
      </c>
      <c r="R2073">
        <v>44</v>
      </c>
      <c r="S2073" s="18">
        <f t="shared" si="326"/>
        <v>9</v>
      </c>
      <c r="T2073" s="17">
        <f t="shared" si="327"/>
        <v>0</v>
      </c>
      <c r="U2073" s="17">
        <f t="shared" si="328"/>
        <v>0</v>
      </c>
      <c r="V2073" s="17">
        <f t="shared" si="329"/>
        <v>0</v>
      </c>
      <c r="W2073" s="17">
        <f t="shared" si="330"/>
        <v>44</v>
      </c>
      <c r="X2073" s="17">
        <f t="shared" si="331"/>
        <v>488</v>
      </c>
      <c r="Y2073" s="19">
        <f t="shared" si="332"/>
        <v>0</v>
      </c>
      <c r="Z2073">
        <v>44</v>
      </c>
      <c r="AA2073">
        <v>4</v>
      </c>
      <c r="AB2073">
        <v>270</v>
      </c>
      <c r="AC2073">
        <v>2590</v>
      </c>
      <c r="AD2073">
        <v>0</v>
      </c>
      <c r="AE2073">
        <v>0</v>
      </c>
      <c r="AF2073">
        <v>0</v>
      </c>
      <c r="AG2073">
        <v>333</v>
      </c>
      <c r="AH2073">
        <v>333</v>
      </c>
      <c r="AI2073">
        <v>0</v>
      </c>
      <c r="AJ2073">
        <v>0</v>
      </c>
      <c r="AK2073">
        <v>5458</v>
      </c>
      <c r="AL2073">
        <v>5458</v>
      </c>
      <c r="AM2073">
        <v>0</v>
      </c>
      <c r="AN2073">
        <v>0</v>
      </c>
      <c r="AO2073">
        <v>502</v>
      </c>
      <c r="AP2073">
        <v>404</v>
      </c>
      <c r="AQ2073">
        <v>502</v>
      </c>
      <c r="AR2073">
        <v>98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180</v>
      </c>
      <c r="BA2073">
        <v>180</v>
      </c>
      <c r="BB2073">
        <v>0</v>
      </c>
      <c r="BC2073">
        <v>0</v>
      </c>
      <c r="BD2073">
        <v>0</v>
      </c>
      <c r="BE2073">
        <f t="shared" si="333"/>
        <v>16038</v>
      </c>
      <c r="BF2073">
        <v>9478</v>
      </c>
      <c r="BG2073">
        <v>9478</v>
      </c>
      <c r="BH2073" t="s">
        <v>82</v>
      </c>
      <c r="BI2073" t="s">
        <v>287</v>
      </c>
      <c r="BJ2073">
        <v>2961</v>
      </c>
      <c r="BK2073">
        <v>6473</v>
      </c>
      <c r="BL2073">
        <v>9478</v>
      </c>
      <c r="BM2073">
        <v>0</v>
      </c>
      <c r="BN2073">
        <v>0</v>
      </c>
      <c r="BO2073">
        <v>0</v>
      </c>
      <c r="BP2073">
        <v>6869</v>
      </c>
      <c r="BQ2073">
        <v>6869</v>
      </c>
      <c r="BR2073">
        <f t="shared" si="334"/>
        <v>-488</v>
      </c>
      <c r="BS2073">
        <f t="shared" si="335"/>
        <v>576</v>
      </c>
    </row>
    <row r="2074" spans="1:74" x14ac:dyDescent="0.25">
      <c r="A2074" s="5" t="s">
        <v>1135</v>
      </c>
      <c r="B2074" s="5" t="s">
        <v>61</v>
      </c>
      <c r="C2074" s="5" t="s">
        <v>61</v>
      </c>
      <c r="D2074" s="1" t="s">
        <v>106</v>
      </c>
      <c r="E2074">
        <v>0</v>
      </c>
      <c r="F2074">
        <v>7336</v>
      </c>
      <c r="G2074">
        <v>0</v>
      </c>
      <c r="H2074">
        <v>0</v>
      </c>
      <c r="I2074">
        <v>756</v>
      </c>
      <c r="J2074">
        <v>2035</v>
      </c>
      <c r="K2074">
        <v>275</v>
      </c>
      <c r="L2074">
        <v>30</v>
      </c>
      <c r="M2074">
        <v>0</v>
      </c>
      <c r="N2074">
        <v>0</v>
      </c>
      <c r="O2074">
        <v>0</v>
      </c>
      <c r="P2074">
        <v>6282</v>
      </c>
      <c r="Q2074">
        <v>1186</v>
      </c>
      <c r="R2074">
        <v>698</v>
      </c>
      <c r="S2074" s="18">
        <f t="shared" si="326"/>
        <v>9</v>
      </c>
      <c r="T2074" s="17">
        <f t="shared" si="327"/>
        <v>0</v>
      </c>
      <c r="U2074" s="17">
        <f t="shared" si="328"/>
        <v>0</v>
      </c>
      <c r="V2074" s="17">
        <f t="shared" si="329"/>
        <v>0</v>
      </c>
      <c r="W2074" s="17">
        <f t="shared" si="330"/>
        <v>698</v>
      </c>
      <c r="X2074" s="17">
        <f t="shared" si="331"/>
        <v>488</v>
      </c>
      <c r="Y2074" s="19">
        <f t="shared" si="332"/>
        <v>0</v>
      </c>
      <c r="Z2074">
        <v>7336</v>
      </c>
      <c r="AA2074">
        <v>0</v>
      </c>
      <c r="AB2074">
        <v>0</v>
      </c>
      <c r="AC2074">
        <v>2369</v>
      </c>
      <c r="AD2074">
        <v>0</v>
      </c>
      <c r="AE2074">
        <v>0</v>
      </c>
      <c r="AF2074">
        <v>0</v>
      </c>
      <c r="AG2074">
        <v>756</v>
      </c>
      <c r="AH2074">
        <v>756</v>
      </c>
      <c r="AI2074">
        <v>0</v>
      </c>
      <c r="AJ2074">
        <v>0</v>
      </c>
      <c r="AK2074">
        <v>2035</v>
      </c>
      <c r="AL2074">
        <v>2035</v>
      </c>
      <c r="AM2074">
        <v>0</v>
      </c>
      <c r="AN2074">
        <v>0</v>
      </c>
      <c r="AO2074">
        <v>275</v>
      </c>
      <c r="AP2074">
        <v>85</v>
      </c>
      <c r="AQ2074">
        <v>275</v>
      </c>
      <c r="AR2074">
        <v>190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30</v>
      </c>
      <c r="BA2074">
        <v>30</v>
      </c>
      <c r="BB2074">
        <v>0</v>
      </c>
      <c r="BC2074">
        <v>0</v>
      </c>
      <c r="BD2074">
        <v>0</v>
      </c>
      <c r="BE2074">
        <f t="shared" si="333"/>
        <v>8836</v>
      </c>
      <c r="BF2074">
        <v>12801</v>
      </c>
      <c r="BG2074">
        <v>12801</v>
      </c>
      <c r="BH2074" t="s">
        <v>82</v>
      </c>
      <c r="BI2074" t="s">
        <v>1152</v>
      </c>
      <c r="BJ2074">
        <v>2369</v>
      </c>
      <c r="BK2074">
        <v>3096</v>
      </c>
      <c r="BL2074">
        <v>12801</v>
      </c>
      <c r="BM2074">
        <v>0</v>
      </c>
      <c r="BN2074">
        <v>0</v>
      </c>
      <c r="BO2074">
        <v>0</v>
      </c>
      <c r="BP2074">
        <v>9378</v>
      </c>
      <c r="BQ2074">
        <v>9378</v>
      </c>
      <c r="BR2074">
        <f t="shared" si="334"/>
        <v>-488</v>
      </c>
      <c r="BS2074">
        <f t="shared" si="335"/>
        <v>1884</v>
      </c>
    </row>
    <row r="2075" spans="1:74" x14ac:dyDescent="0.25">
      <c r="A2075" s="5" t="s">
        <v>2294</v>
      </c>
      <c r="B2075" s="5" t="s">
        <v>61</v>
      </c>
      <c r="C2075" s="5" t="s">
        <v>61</v>
      </c>
      <c r="D2075" s="1" t="s">
        <v>84</v>
      </c>
      <c r="E2075">
        <v>0</v>
      </c>
      <c r="F2075">
        <v>18</v>
      </c>
      <c r="G2075">
        <v>0</v>
      </c>
      <c r="H2075">
        <v>0</v>
      </c>
      <c r="I2075">
        <v>2308</v>
      </c>
      <c r="J2075">
        <v>0</v>
      </c>
      <c r="K2075">
        <v>146</v>
      </c>
      <c r="L2075">
        <v>0</v>
      </c>
      <c r="M2075">
        <v>0</v>
      </c>
      <c r="N2075">
        <v>162</v>
      </c>
      <c r="O2075">
        <v>0</v>
      </c>
      <c r="P2075">
        <v>0</v>
      </c>
      <c r="Q2075">
        <v>512</v>
      </c>
      <c r="R2075">
        <v>18</v>
      </c>
      <c r="S2075" s="18">
        <f t="shared" si="326"/>
        <v>9</v>
      </c>
      <c r="T2075" s="17">
        <f t="shared" si="327"/>
        <v>0</v>
      </c>
      <c r="U2075" s="17">
        <f t="shared" si="328"/>
        <v>18</v>
      </c>
      <c r="V2075" s="17">
        <f t="shared" si="329"/>
        <v>0</v>
      </c>
      <c r="W2075" s="17">
        <f t="shared" si="330"/>
        <v>0</v>
      </c>
      <c r="X2075" s="17">
        <f t="shared" si="331"/>
        <v>494</v>
      </c>
      <c r="Y2075" s="19">
        <f t="shared" si="332"/>
        <v>0</v>
      </c>
      <c r="Z2075">
        <v>18</v>
      </c>
      <c r="AA2075">
        <v>0</v>
      </c>
      <c r="AB2075">
        <v>0</v>
      </c>
      <c r="AC2075">
        <v>50</v>
      </c>
      <c r="AD2075">
        <v>0</v>
      </c>
      <c r="AE2075">
        <v>2100</v>
      </c>
      <c r="AF2075">
        <v>0</v>
      </c>
      <c r="AG2075">
        <v>208</v>
      </c>
      <c r="AH2075">
        <v>2308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146</v>
      </c>
      <c r="AP2075">
        <v>146</v>
      </c>
      <c r="AQ2075">
        <v>146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f t="shared" si="333"/>
        <v>5104</v>
      </c>
      <c r="BF2075">
        <v>2522</v>
      </c>
      <c r="BG2075">
        <v>2522</v>
      </c>
      <c r="BH2075" t="s">
        <v>109</v>
      </c>
      <c r="BI2075" t="s">
        <v>2305</v>
      </c>
      <c r="BJ2075">
        <v>50</v>
      </c>
      <c r="BK2075">
        <v>2454</v>
      </c>
      <c r="BL2075">
        <v>2522</v>
      </c>
      <c r="BM2075">
        <v>0</v>
      </c>
      <c r="BN2075">
        <v>2262</v>
      </c>
      <c r="BO2075">
        <v>0</v>
      </c>
      <c r="BP2075">
        <v>354</v>
      </c>
      <c r="BQ2075">
        <v>2616</v>
      </c>
      <c r="BR2075">
        <f t="shared" si="334"/>
        <v>-494</v>
      </c>
      <c r="BS2075">
        <f t="shared" si="335"/>
        <v>530</v>
      </c>
    </row>
    <row r="2076" spans="1:74" x14ac:dyDescent="0.25">
      <c r="A2076" s="5" t="s">
        <v>1451</v>
      </c>
      <c r="B2076" s="5" t="s">
        <v>207</v>
      </c>
      <c r="C2076" s="5" t="s">
        <v>207</v>
      </c>
      <c r="D2076" s="1" t="s">
        <v>84</v>
      </c>
      <c r="E2076">
        <v>0</v>
      </c>
      <c r="F2076">
        <v>535</v>
      </c>
      <c r="G2076">
        <v>0</v>
      </c>
      <c r="H2076">
        <v>0</v>
      </c>
      <c r="I2076">
        <v>2750</v>
      </c>
      <c r="J2076">
        <v>0</v>
      </c>
      <c r="K2076">
        <v>0</v>
      </c>
      <c r="L2076">
        <v>0</v>
      </c>
      <c r="M2076">
        <v>954</v>
      </c>
      <c r="N2076">
        <v>0</v>
      </c>
      <c r="O2076">
        <v>0</v>
      </c>
      <c r="P2076">
        <v>765</v>
      </c>
      <c r="Q2076">
        <v>687</v>
      </c>
      <c r="R2076">
        <v>191</v>
      </c>
      <c r="S2076" s="18">
        <f t="shared" si="326"/>
        <v>9</v>
      </c>
      <c r="T2076" s="17">
        <f t="shared" si="327"/>
        <v>106</v>
      </c>
      <c r="U2076" s="17">
        <f t="shared" si="328"/>
        <v>0</v>
      </c>
      <c r="V2076" s="17">
        <f t="shared" si="329"/>
        <v>0</v>
      </c>
      <c r="W2076" s="17">
        <f t="shared" si="330"/>
        <v>85</v>
      </c>
      <c r="X2076" s="17">
        <f t="shared" si="331"/>
        <v>496</v>
      </c>
      <c r="Y2076" s="19">
        <f t="shared" si="332"/>
        <v>0</v>
      </c>
      <c r="Z2076">
        <v>535</v>
      </c>
      <c r="AA2076">
        <v>0</v>
      </c>
      <c r="AB2076">
        <v>0</v>
      </c>
      <c r="AC2076">
        <v>0</v>
      </c>
      <c r="AD2076">
        <v>2240</v>
      </c>
      <c r="AE2076">
        <v>0</v>
      </c>
      <c r="AF2076">
        <v>0</v>
      </c>
      <c r="AG2076">
        <v>510</v>
      </c>
      <c r="AH2076">
        <v>2750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f t="shared" si="333"/>
        <v>5500</v>
      </c>
      <c r="BF2076">
        <v>3285</v>
      </c>
      <c r="BG2076">
        <v>3285</v>
      </c>
      <c r="BH2076" t="s">
        <v>109</v>
      </c>
      <c r="BI2076" t="s">
        <v>1539</v>
      </c>
      <c r="BJ2076">
        <v>0</v>
      </c>
      <c r="BK2076">
        <v>2750</v>
      </c>
      <c r="BL2076">
        <v>3285</v>
      </c>
      <c r="BM2076">
        <v>3194</v>
      </c>
      <c r="BN2076">
        <v>0</v>
      </c>
      <c r="BO2076">
        <v>0</v>
      </c>
      <c r="BP2076">
        <v>1275</v>
      </c>
      <c r="BQ2076">
        <v>4469</v>
      </c>
      <c r="BR2076">
        <f t="shared" si="334"/>
        <v>-496</v>
      </c>
      <c r="BS2076">
        <f t="shared" si="335"/>
        <v>878</v>
      </c>
    </row>
    <row r="2077" spans="1:74" x14ac:dyDescent="0.25">
      <c r="A2077" s="5" t="s">
        <v>2090</v>
      </c>
      <c r="B2077" s="5" t="s">
        <v>359</v>
      </c>
      <c r="C2077" s="5" t="s">
        <v>61</v>
      </c>
      <c r="D2077" s="1" t="s">
        <v>62</v>
      </c>
      <c r="E2077">
        <v>0</v>
      </c>
      <c r="F2077">
        <v>0</v>
      </c>
      <c r="G2077">
        <v>0</v>
      </c>
      <c r="H2077">
        <v>0</v>
      </c>
      <c r="I2077">
        <v>4000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420</v>
      </c>
      <c r="R2077">
        <v>0</v>
      </c>
      <c r="S2077" s="18" t="e">
        <f t="shared" si="326"/>
        <v>#DIV/0!</v>
      </c>
      <c r="T2077" s="17" t="e">
        <f t="shared" si="327"/>
        <v>#DIV/0!</v>
      </c>
      <c r="U2077" s="17" t="e">
        <f t="shared" si="328"/>
        <v>#DIV/0!</v>
      </c>
      <c r="V2077" s="17" t="e">
        <f t="shared" si="329"/>
        <v>#DIV/0!</v>
      </c>
      <c r="W2077" s="17" t="e">
        <f t="shared" si="330"/>
        <v>#DIV/0!</v>
      </c>
      <c r="X2077" s="17" t="e">
        <f t="shared" si="331"/>
        <v>#DIV/0!</v>
      </c>
      <c r="Y2077" s="19" t="e">
        <f t="shared" si="332"/>
        <v>#DIV/0!</v>
      </c>
      <c r="Z2077">
        <v>0</v>
      </c>
      <c r="AA2077">
        <v>0</v>
      </c>
      <c r="AB2077">
        <v>0</v>
      </c>
      <c r="AC2077">
        <v>2100</v>
      </c>
      <c r="AD2077">
        <v>0</v>
      </c>
      <c r="AE2077">
        <v>0</v>
      </c>
      <c r="AF2077">
        <v>0</v>
      </c>
      <c r="AG2077">
        <v>4000</v>
      </c>
      <c r="AH2077">
        <v>4000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f t="shared" si="333"/>
        <v>10100</v>
      </c>
      <c r="BF2077">
        <v>6100</v>
      </c>
      <c r="BG2077">
        <v>6100</v>
      </c>
      <c r="BH2077" t="s">
        <v>63</v>
      </c>
      <c r="BI2077" t="s">
        <v>504</v>
      </c>
      <c r="BJ2077">
        <v>2100</v>
      </c>
      <c r="BK2077">
        <v>4000</v>
      </c>
      <c r="BL2077">
        <v>6100</v>
      </c>
      <c r="BM2077">
        <v>0</v>
      </c>
      <c r="BN2077">
        <v>0</v>
      </c>
      <c r="BO2077">
        <v>0</v>
      </c>
      <c r="BP2077">
        <v>4000</v>
      </c>
      <c r="BQ2077">
        <v>4000</v>
      </c>
      <c r="BR2077">
        <f t="shared" si="334"/>
        <v>-420</v>
      </c>
      <c r="BS2077">
        <f t="shared" si="335"/>
        <v>420</v>
      </c>
      <c r="BU2077">
        <f>R2077*9</f>
        <v>0</v>
      </c>
      <c r="BV2077">
        <f>IF(BU2077&gt;BG2077, 1, 0)</f>
        <v>0</v>
      </c>
    </row>
    <row r="2078" spans="1:74" x14ac:dyDescent="0.25">
      <c r="A2078" s="5" t="s">
        <v>359</v>
      </c>
      <c r="B2078" s="5" t="s">
        <v>61</v>
      </c>
      <c r="C2078" s="5" t="s">
        <v>61</v>
      </c>
      <c r="D2078" s="1" t="s">
        <v>71</v>
      </c>
      <c r="E2078">
        <v>0</v>
      </c>
      <c r="F2078">
        <v>0</v>
      </c>
      <c r="G2078">
        <v>0</v>
      </c>
      <c r="H2078">
        <v>0</v>
      </c>
      <c r="I2078">
        <v>2930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436</v>
      </c>
      <c r="R2078">
        <v>0</v>
      </c>
      <c r="S2078" s="18" t="e">
        <f t="shared" si="326"/>
        <v>#DIV/0!</v>
      </c>
      <c r="T2078" s="17" t="e">
        <f t="shared" si="327"/>
        <v>#DIV/0!</v>
      </c>
      <c r="U2078" s="17" t="e">
        <f t="shared" si="328"/>
        <v>#DIV/0!</v>
      </c>
      <c r="V2078" s="17" t="e">
        <f t="shared" si="329"/>
        <v>#DIV/0!</v>
      </c>
      <c r="W2078" s="17" t="e">
        <f t="shared" si="330"/>
        <v>#DIV/0!</v>
      </c>
      <c r="X2078" s="17" t="e">
        <f t="shared" si="331"/>
        <v>#DIV/0!</v>
      </c>
      <c r="Y2078" s="19" t="e">
        <f t="shared" si="332"/>
        <v>#DIV/0!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2930</v>
      </c>
      <c r="AH2078">
        <v>2930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f t="shared" si="333"/>
        <v>5860</v>
      </c>
      <c r="BF2078">
        <v>2930</v>
      </c>
      <c r="BG2078">
        <v>2930</v>
      </c>
      <c r="BH2078" t="s">
        <v>63</v>
      </c>
      <c r="BI2078" t="s">
        <v>701</v>
      </c>
      <c r="BJ2078">
        <v>0</v>
      </c>
      <c r="BK2078">
        <v>2930</v>
      </c>
      <c r="BL2078">
        <v>2930</v>
      </c>
      <c r="BM2078">
        <v>0</v>
      </c>
      <c r="BN2078">
        <v>0</v>
      </c>
      <c r="BO2078">
        <v>0</v>
      </c>
      <c r="BP2078">
        <v>2930</v>
      </c>
      <c r="BQ2078">
        <v>2930</v>
      </c>
      <c r="BR2078">
        <f t="shared" si="334"/>
        <v>-436</v>
      </c>
      <c r="BS2078">
        <f t="shared" si="335"/>
        <v>436</v>
      </c>
      <c r="BU2078">
        <f>R2078*9</f>
        <v>0</v>
      </c>
      <c r="BV2078">
        <f>IF(BU2078&gt;BG2078, 1, 0)</f>
        <v>0</v>
      </c>
    </row>
    <row r="2079" spans="1:74" x14ac:dyDescent="0.25">
      <c r="A2079" s="5" t="s">
        <v>1661</v>
      </c>
      <c r="B2079" s="5" t="s">
        <v>61</v>
      </c>
      <c r="C2079" s="5" t="s">
        <v>61</v>
      </c>
      <c r="D2079" s="1" t="s">
        <v>115</v>
      </c>
      <c r="E2079">
        <v>0</v>
      </c>
      <c r="F2079">
        <v>918</v>
      </c>
      <c r="G2079">
        <v>0</v>
      </c>
      <c r="H2079">
        <v>0</v>
      </c>
      <c r="I2079">
        <v>536</v>
      </c>
      <c r="J2079">
        <v>0</v>
      </c>
      <c r="K2079">
        <v>13</v>
      </c>
      <c r="L2079">
        <v>0</v>
      </c>
      <c r="M2079">
        <v>0</v>
      </c>
      <c r="N2079">
        <v>0</v>
      </c>
      <c r="O2079">
        <v>0</v>
      </c>
      <c r="P2079">
        <v>8262</v>
      </c>
      <c r="Q2079">
        <v>1421</v>
      </c>
      <c r="R2079">
        <v>918</v>
      </c>
      <c r="S2079" s="18">
        <f t="shared" si="326"/>
        <v>9</v>
      </c>
      <c r="T2079" s="17">
        <f t="shared" si="327"/>
        <v>0</v>
      </c>
      <c r="U2079" s="17">
        <f t="shared" si="328"/>
        <v>0</v>
      </c>
      <c r="V2079" s="17">
        <f t="shared" si="329"/>
        <v>0</v>
      </c>
      <c r="W2079" s="17">
        <f t="shared" si="330"/>
        <v>918</v>
      </c>
      <c r="X2079" s="17">
        <f t="shared" si="331"/>
        <v>503</v>
      </c>
      <c r="Y2079" s="19">
        <f t="shared" si="332"/>
        <v>0</v>
      </c>
      <c r="Z2079">
        <v>1342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536</v>
      </c>
      <c r="AH2079">
        <v>536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13</v>
      </c>
      <c r="AP2079">
        <v>13</v>
      </c>
      <c r="AQ2079">
        <v>13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f t="shared" si="333"/>
        <v>1111</v>
      </c>
      <c r="BF2079">
        <v>1891</v>
      </c>
      <c r="BG2079">
        <v>1891</v>
      </c>
      <c r="BH2079" t="s">
        <v>109</v>
      </c>
      <c r="BI2079" t="s">
        <v>1683</v>
      </c>
      <c r="BJ2079">
        <v>0</v>
      </c>
      <c r="BK2079">
        <v>549</v>
      </c>
      <c r="BL2079">
        <v>1891</v>
      </c>
      <c r="BM2079">
        <v>0</v>
      </c>
      <c r="BN2079">
        <v>0</v>
      </c>
      <c r="BO2079">
        <v>0</v>
      </c>
      <c r="BP2079">
        <v>8811</v>
      </c>
      <c r="BQ2079">
        <v>8811</v>
      </c>
      <c r="BR2079">
        <f t="shared" si="334"/>
        <v>-503</v>
      </c>
      <c r="BS2079">
        <f t="shared" si="335"/>
        <v>2339</v>
      </c>
    </row>
    <row r="2080" spans="1:74" x14ac:dyDescent="0.25">
      <c r="A2080" s="5" t="s">
        <v>1451</v>
      </c>
      <c r="B2080" s="5" t="s">
        <v>207</v>
      </c>
      <c r="C2080" s="5" t="s">
        <v>61</v>
      </c>
      <c r="D2080" s="1" t="s">
        <v>88</v>
      </c>
      <c r="E2080">
        <v>120</v>
      </c>
      <c r="F2080">
        <v>0</v>
      </c>
      <c r="G2080">
        <v>0</v>
      </c>
      <c r="H2080">
        <v>0</v>
      </c>
      <c r="I2080">
        <v>200</v>
      </c>
      <c r="J2080">
        <v>7030</v>
      </c>
      <c r="K2080">
        <v>400</v>
      </c>
      <c r="L2080">
        <v>250</v>
      </c>
      <c r="M2080">
        <v>0</v>
      </c>
      <c r="N2080">
        <v>0</v>
      </c>
      <c r="O2080">
        <v>0</v>
      </c>
      <c r="P2080">
        <v>0</v>
      </c>
      <c r="Q2080">
        <v>505</v>
      </c>
      <c r="R2080">
        <v>0</v>
      </c>
      <c r="S2080" s="18" t="e">
        <f t="shared" si="326"/>
        <v>#DIV/0!</v>
      </c>
      <c r="T2080" s="17" t="e">
        <f t="shared" si="327"/>
        <v>#DIV/0!</v>
      </c>
      <c r="U2080" s="17" t="e">
        <f t="shared" si="328"/>
        <v>#DIV/0!</v>
      </c>
      <c r="V2080" s="17" t="e">
        <f t="shared" si="329"/>
        <v>#DIV/0!</v>
      </c>
      <c r="W2080" s="17" t="e">
        <f t="shared" si="330"/>
        <v>#DIV/0!</v>
      </c>
      <c r="X2080" s="17" t="e">
        <f t="shared" si="331"/>
        <v>#DIV/0!</v>
      </c>
      <c r="Y2080" s="19" t="e">
        <f t="shared" si="332"/>
        <v>#DIV/0!</v>
      </c>
      <c r="Z2080">
        <v>0</v>
      </c>
      <c r="AA2080">
        <v>4</v>
      </c>
      <c r="AB2080">
        <v>366</v>
      </c>
      <c r="AC2080">
        <v>1700</v>
      </c>
      <c r="AD2080">
        <v>0</v>
      </c>
      <c r="AE2080">
        <v>0</v>
      </c>
      <c r="AF2080">
        <v>0</v>
      </c>
      <c r="AG2080">
        <v>200</v>
      </c>
      <c r="AH2080">
        <v>200</v>
      </c>
      <c r="AI2080">
        <v>0</v>
      </c>
      <c r="AJ2080">
        <v>0</v>
      </c>
      <c r="AK2080">
        <v>7030</v>
      </c>
      <c r="AL2080">
        <v>7030</v>
      </c>
      <c r="AM2080">
        <v>0</v>
      </c>
      <c r="AN2080">
        <v>0</v>
      </c>
      <c r="AO2080">
        <v>400</v>
      </c>
      <c r="AP2080">
        <v>150</v>
      </c>
      <c r="AQ2080">
        <v>400</v>
      </c>
      <c r="AR2080">
        <v>250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250</v>
      </c>
      <c r="BA2080">
        <v>250</v>
      </c>
      <c r="BB2080">
        <v>0</v>
      </c>
      <c r="BC2080">
        <v>0</v>
      </c>
      <c r="BD2080">
        <v>0</v>
      </c>
      <c r="BE2080">
        <f t="shared" si="333"/>
        <v>17860</v>
      </c>
      <c r="BF2080">
        <v>10070</v>
      </c>
      <c r="BG2080">
        <v>10070</v>
      </c>
      <c r="BH2080" t="s">
        <v>82</v>
      </c>
      <c r="BI2080" t="s">
        <v>1543</v>
      </c>
      <c r="BJ2080">
        <v>2190</v>
      </c>
      <c r="BK2080">
        <v>7880</v>
      </c>
      <c r="BL2080">
        <v>10070</v>
      </c>
      <c r="BM2080">
        <v>0</v>
      </c>
      <c r="BN2080">
        <v>0</v>
      </c>
      <c r="BO2080">
        <v>0</v>
      </c>
      <c r="BP2080">
        <v>7880</v>
      </c>
      <c r="BQ2080">
        <v>7880</v>
      </c>
      <c r="BR2080">
        <f t="shared" si="334"/>
        <v>-505</v>
      </c>
      <c r="BS2080">
        <f t="shared" si="335"/>
        <v>505</v>
      </c>
    </row>
    <row r="2081" spans="1:74" x14ac:dyDescent="0.25">
      <c r="A2081" s="5" t="s">
        <v>1661</v>
      </c>
      <c r="B2081" s="5" t="s">
        <v>61</v>
      </c>
      <c r="C2081" s="5" t="s">
        <v>359</v>
      </c>
      <c r="D2081" s="1" t="s">
        <v>133</v>
      </c>
      <c r="E2081">
        <v>0</v>
      </c>
      <c r="F2081">
        <v>360</v>
      </c>
      <c r="G2081">
        <v>0</v>
      </c>
      <c r="H2081">
        <v>0</v>
      </c>
      <c r="I2081">
        <v>298</v>
      </c>
      <c r="J2081">
        <v>1650</v>
      </c>
      <c r="K2081">
        <v>1000</v>
      </c>
      <c r="L2081">
        <v>260</v>
      </c>
      <c r="M2081">
        <v>0</v>
      </c>
      <c r="N2081">
        <v>0</v>
      </c>
      <c r="O2081">
        <v>0</v>
      </c>
      <c r="P2081">
        <v>1836</v>
      </c>
      <c r="Q2081">
        <v>712</v>
      </c>
      <c r="R2081">
        <v>204</v>
      </c>
      <c r="S2081" s="18">
        <f t="shared" si="326"/>
        <v>9</v>
      </c>
      <c r="T2081" s="17">
        <f t="shared" si="327"/>
        <v>0</v>
      </c>
      <c r="U2081" s="17">
        <f t="shared" si="328"/>
        <v>0</v>
      </c>
      <c r="V2081" s="17">
        <f t="shared" si="329"/>
        <v>0</v>
      </c>
      <c r="W2081" s="17">
        <f t="shared" si="330"/>
        <v>204</v>
      </c>
      <c r="X2081" s="17">
        <f t="shared" si="331"/>
        <v>508</v>
      </c>
      <c r="Y2081" s="19">
        <f t="shared" si="332"/>
        <v>0</v>
      </c>
      <c r="Z2081">
        <v>360</v>
      </c>
      <c r="AA2081">
        <v>0</v>
      </c>
      <c r="AB2081">
        <v>0</v>
      </c>
      <c r="AC2081">
        <v>3120</v>
      </c>
      <c r="AD2081">
        <v>0</v>
      </c>
      <c r="AE2081">
        <v>0</v>
      </c>
      <c r="AF2081">
        <v>0</v>
      </c>
      <c r="AG2081">
        <v>298</v>
      </c>
      <c r="AH2081">
        <v>298</v>
      </c>
      <c r="AI2081">
        <v>0</v>
      </c>
      <c r="AJ2081">
        <v>0</v>
      </c>
      <c r="AK2081">
        <v>1650</v>
      </c>
      <c r="AL2081">
        <v>1650</v>
      </c>
      <c r="AM2081">
        <v>0</v>
      </c>
      <c r="AN2081">
        <v>0</v>
      </c>
      <c r="AO2081">
        <v>1000</v>
      </c>
      <c r="AP2081">
        <v>300</v>
      </c>
      <c r="AQ2081">
        <v>1000</v>
      </c>
      <c r="AR2081">
        <v>700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260</v>
      </c>
      <c r="BA2081">
        <v>260</v>
      </c>
      <c r="BB2081">
        <v>0</v>
      </c>
      <c r="BC2081">
        <v>0</v>
      </c>
      <c r="BD2081">
        <v>0</v>
      </c>
      <c r="BE2081">
        <f t="shared" si="333"/>
        <v>10536</v>
      </c>
      <c r="BF2081">
        <v>6688</v>
      </c>
      <c r="BG2081">
        <v>6688</v>
      </c>
      <c r="BH2081" t="s">
        <v>82</v>
      </c>
      <c r="BI2081" t="s">
        <v>1744</v>
      </c>
      <c r="BJ2081">
        <v>3120</v>
      </c>
      <c r="BK2081">
        <v>3208</v>
      </c>
      <c r="BL2081">
        <v>6688</v>
      </c>
      <c r="BM2081">
        <v>0</v>
      </c>
      <c r="BN2081">
        <v>0</v>
      </c>
      <c r="BO2081">
        <v>0</v>
      </c>
      <c r="BP2081">
        <v>5044</v>
      </c>
      <c r="BQ2081">
        <v>5044</v>
      </c>
      <c r="BR2081">
        <f t="shared" si="334"/>
        <v>-508</v>
      </c>
      <c r="BS2081">
        <f t="shared" si="335"/>
        <v>916</v>
      </c>
    </row>
    <row r="2082" spans="1:74" x14ac:dyDescent="0.25">
      <c r="A2082" s="5" t="s">
        <v>359</v>
      </c>
      <c r="B2082" s="5" t="s">
        <v>359</v>
      </c>
      <c r="C2082" s="5" t="s">
        <v>61</v>
      </c>
      <c r="D2082" s="1" t="s">
        <v>119</v>
      </c>
      <c r="E2082">
        <v>292</v>
      </c>
      <c r="F2082">
        <v>250</v>
      </c>
      <c r="G2082">
        <v>0</v>
      </c>
      <c r="H2082">
        <v>0</v>
      </c>
      <c r="I2082">
        <v>749</v>
      </c>
      <c r="J2082">
        <v>17690</v>
      </c>
      <c r="K2082">
        <v>856</v>
      </c>
      <c r="L2082">
        <v>214</v>
      </c>
      <c r="M2082">
        <v>0</v>
      </c>
      <c r="N2082">
        <v>0</v>
      </c>
      <c r="O2082">
        <v>0</v>
      </c>
      <c r="P2082">
        <v>630</v>
      </c>
      <c r="Q2082">
        <v>579</v>
      </c>
      <c r="R2082">
        <v>70</v>
      </c>
      <c r="S2082" s="18">
        <f t="shared" si="326"/>
        <v>9</v>
      </c>
      <c r="T2082" s="17">
        <f t="shared" si="327"/>
        <v>0</v>
      </c>
      <c r="U2082" s="17">
        <f t="shared" si="328"/>
        <v>0</v>
      </c>
      <c r="V2082" s="17">
        <f t="shared" si="329"/>
        <v>0</v>
      </c>
      <c r="W2082" s="17">
        <f t="shared" si="330"/>
        <v>70</v>
      </c>
      <c r="X2082" s="17">
        <f t="shared" si="331"/>
        <v>509</v>
      </c>
      <c r="Y2082" s="19">
        <f t="shared" si="332"/>
        <v>0</v>
      </c>
      <c r="Z2082">
        <v>250</v>
      </c>
      <c r="AA2082">
        <v>350</v>
      </c>
      <c r="AB2082">
        <v>500</v>
      </c>
      <c r="AC2082">
        <v>2940</v>
      </c>
      <c r="AD2082">
        <v>0</v>
      </c>
      <c r="AE2082">
        <v>0</v>
      </c>
      <c r="AF2082">
        <v>0</v>
      </c>
      <c r="AG2082">
        <v>749</v>
      </c>
      <c r="AH2082">
        <v>749</v>
      </c>
      <c r="AI2082">
        <v>0</v>
      </c>
      <c r="AJ2082">
        <v>0</v>
      </c>
      <c r="AK2082">
        <v>17690</v>
      </c>
      <c r="AL2082">
        <v>17690</v>
      </c>
      <c r="AM2082">
        <v>0</v>
      </c>
      <c r="AN2082">
        <v>0</v>
      </c>
      <c r="AO2082">
        <v>856</v>
      </c>
      <c r="AP2082">
        <v>464</v>
      </c>
      <c r="AQ2082">
        <v>856</v>
      </c>
      <c r="AR2082">
        <v>392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214</v>
      </c>
      <c r="BA2082">
        <v>214</v>
      </c>
      <c r="BB2082">
        <v>0</v>
      </c>
      <c r="BC2082">
        <v>0</v>
      </c>
      <c r="BD2082">
        <v>0</v>
      </c>
      <c r="BE2082">
        <f t="shared" si="333"/>
        <v>42814</v>
      </c>
      <c r="BF2082">
        <v>23841</v>
      </c>
      <c r="BG2082">
        <v>23841</v>
      </c>
      <c r="BH2082" t="s">
        <v>82</v>
      </c>
      <c r="BI2082" t="s">
        <v>783</v>
      </c>
      <c r="BJ2082">
        <v>4082</v>
      </c>
      <c r="BK2082">
        <v>19509</v>
      </c>
      <c r="BL2082">
        <v>23841</v>
      </c>
      <c r="BM2082">
        <v>0</v>
      </c>
      <c r="BN2082">
        <v>0</v>
      </c>
      <c r="BO2082">
        <v>0</v>
      </c>
      <c r="BP2082">
        <v>20139</v>
      </c>
      <c r="BQ2082">
        <v>20139</v>
      </c>
      <c r="BR2082">
        <f t="shared" si="334"/>
        <v>-509</v>
      </c>
      <c r="BS2082">
        <f t="shared" si="335"/>
        <v>649</v>
      </c>
    </row>
    <row r="2083" spans="1:74" x14ac:dyDescent="0.25">
      <c r="A2083" s="5" t="s">
        <v>1451</v>
      </c>
      <c r="B2083" s="5" t="s">
        <v>207</v>
      </c>
      <c r="C2083" s="5" t="s">
        <v>207</v>
      </c>
      <c r="D2083" s="1" t="s">
        <v>119</v>
      </c>
      <c r="E2083">
        <v>36</v>
      </c>
      <c r="F2083">
        <v>0</v>
      </c>
      <c r="G2083">
        <v>0</v>
      </c>
      <c r="H2083">
        <v>0</v>
      </c>
      <c r="I2083">
        <v>1070</v>
      </c>
      <c r="J2083">
        <v>4584</v>
      </c>
      <c r="K2083">
        <v>245</v>
      </c>
      <c r="L2083">
        <v>5</v>
      </c>
      <c r="M2083">
        <v>0</v>
      </c>
      <c r="N2083">
        <v>0</v>
      </c>
      <c r="O2083">
        <v>0</v>
      </c>
      <c r="P2083">
        <v>0</v>
      </c>
      <c r="Q2083">
        <v>509</v>
      </c>
      <c r="R2083">
        <v>0</v>
      </c>
      <c r="S2083" s="18" t="e">
        <f t="shared" si="326"/>
        <v>#DIV/0!</v>
      </c>
      <c r="T2083" s="17" t="e">
        <f t="shared" si="327"/>
        <v>#DIV/0!</v>
      </c>
      <c r="U2083" s="17" t="e">
        <f t="shared" si="328"/>
        <v>#DIV/0!</v>
      </c>
      <c r="V2083" s="17" t="e">
        <f t="shared" si="329"/>
        <v>#DIV/0!</v>
      </c>
      <c r="W2083" s="17" t="e">
        <f t="shared" si="330"/>
        <v>#DIV/0!</v>
      </c>
      <c r="X2083" s="17" t="e">
        <f t="shared" si="331"/>
        <v>#DIV/0!</v>
      </c>
      <c r="Y2083" s="19" t="e">
        <f t="shared" si="332"/>
        <v>#DIV/0!</v>
      </c>
      <c r="Z2083">
        <v>0</v>
      </c>
      <c r="AA2083">
        <v>4</v>
      </c>
      <c r="AB2083">
        <v>215</v>
      </c>
      <c r="AC2083">
        <v>1817</v>
      </c>
      <c r="AD2083">
        <v>0</v>
      </c>
      <c r="AE2083">
        <v>0</v>
      </c>
      <c r="AF2083">
        <v>0</v>
      </c>
      <c r="AG2083">
        <v>1070</v>
      </c>
      <c r="AH2083">
        <v>1070</v>
      </c>
      <c r="AI2083">
        <v>0</v>
      </c>
      <c r="AJ2083">
        <v>0</v>
      </c>
      <c r="AK2083">
        <v>4584</v>
      </c>
      <c r="AL2083">
        <v>4584</v>
      </c>
      <c r="AM2083">
        <v>0</v>
      </c>
      <c r="AN2083">
        <v>0</v>
      </c>
      <c r="AO2083">
        <v>245</v>
      </c>
      <c r="AP2083">
        <v>245</v>
      </c>
      <c r="AQ2083">
        <v>245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5</v>
      </c>
      <c r="BA2083">
        <v>5</v>
      </c>
      <c r="BB2083">
        <v>0</v>
      </c>
      <c r="BC2083">
        <v>0</v>
      </c>
      <c r="BD2083">
        <v>0</v>
      </c>
      <c r="BE2083">
        <f t="shared" si="333"/>
        <v>13870</v>
      </c>
      <c r="BF2083">
        <v>7976</v>
      </c>
      <c r="BG2083">
        <v>7976</v>
      </c>
      <c r="BH2083" t="s">
        <v>82</v>
      </c>
      <c r="BI2083" t="s">
        <v>1579</v>
      </c>
      <c r="BJ2083">
        <v>2072</v>
      </c>
      <c r="BK2083">
        <v>5904</v>
      </c>
      <c r="BL2083">
        <v>7976</v>
      </c>
      <c r="BM2083">
        <v>0</v>
      </c>
      <c r="BN2083">
        <v>0</v>
      </c>
      <c r="BO2083">
        <v>0</v>
      </c>
      <c r="BP2083">
        <v>5904</v>
      </c>
      <c r="BQ2083">
        <v>5904</v>
      </c>
      <c r="BR2083">
        <f t="shared" si="334"/>
        <v>-509</v>
      </c>
      <c r="BS2083">
        <f t="shared" si="335"/>
        <v>509</v>
      </c>
    </row>
    <row r="2084" spans="1:74" x14ac:dyDescent="0.25">
      <c r="A2084" s="5" t="s">
        <v>1661</v>
      </c>
      <c r="B2084" s="5" t="s">
        <v>61</v>
      </c>
      <c r="C2084" s="5" t="s">
        <v>359</v>
      </c>
      <c r="D2084" s="1" t="s">
        <v>92</v>
      </c>
      <c r="E2084">
        <v>0</v>
      </c>
      <c r="F2084">
        <v>0</v>
      </c>
      <c r="G2084">
        <v>0</v>
      </c>
      <c r="H2084">
        <v>0</v>
      </c>
      <c r="I2084">
        <v>1663</v>
      </c>
      <c r="J2084">
        <v>0</v>
      </c>
      <c r="K2084">
        <v>50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509</v>
      </c>
      <c r="R2084">
        <v>0</v>
      </c>
      <c r="S2084" s="18" t="e">
        <f t="shared" si="326"/>
        <v>#DIV/0!</v>
      </c>
      <c r="T2084" s="17" t="e">
        <f t="shared" si="327"/>
        <v>#DIV/0!</v>
      </c>
      <c r="U2084" s="17" t="e">
        <f t="shared" si="328"/>
        <v>#DIV/0!</v>
      </c>
      <c r="V2084" s="17" t="e">
        <f t="shared" si="329"/>
        <v>#DIV/0!</v>
      </c>
      <c r="W2084" s="17" t="e">
        <f t="shared" si="330"/>
        <v>#DIV/0!</v>
      </c>
      <c r="X2084" s="17" t="e">
        <f t="shared" si="331"/>
        <v>#DIV/0!</v>
      </c>
      <c r="Y2084" s="19" t="e">
        <f t="shared" si="332"/>
        <v>#DIV/0!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1663</v>
      </c>
      <c r="AH2084">
        <v>1663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50</v>
      </c>
      <c r="AP2084">
        <v>15</v>
      </c>
      <c r="AQ2084">
        <v>50</v>
      </c>
      <c r="AR2084">
        <v>35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f t="shared" si="333"/>
        <v>3476</v>
      </c>
      <c r="BF2084">
        <v>1713</v>
      </c>
      <c r="BG2084">
        <v>1713</v>
      </c>
      <c r="BH2084" t="s">
        <v>109</v>
      </c>
      <c r="BI2084" t="s">
        <v>1726</v>
      </c>
      <c r="BJ2084">
        <v>0</v>
      </c>
      <c r="BK2084">
        <v>1713</v>
      </c>
      <c r="BL2084">
        <v>1713</v>
      </c>
      <c r="BM2084">
        <v>0</v>
      </c>
      <c r="BN2084">
        <v>0</v>
      </c>
      <c r="BO2084">
        <v>0</v>
      </c>
      <c r="BP2084">
        <v>1713</v>
      </c>
      <c r="BQ2084">
        <v>1713</v>
      </c>
      <c r="BR2084">
        <f t="shared" si="334"/>
        <v>-509</v>
      </c>
      <c r="BS2084">
        <f t="shared" si="335"/>
        <v>509</v>
      </c>
    </row>
    <row r="2085" spans="1:74" x14ac:dyDescent="0.25">
      <c r="A2085" s="5" t="s">
        <v>2294</v>
      </c>
      <c r="B2085" s="5" t="s">
        <v>61</v>
      </c>
      <c r="C2085" s="5" t="s">
        <v>61</v>
      </c>
      <c r="D2085" s="1" t="s">
        <v>111</v>
      </c>
      <c r="E2085">
        <v>0</v>
      </c>
      <c r="F2085">
        <v>60</v>
      </c>
      <c r="G2085">
        <v>0</v>
      </c>
      <c r="H2085">
        <v>0</v>
      </c>
      <c r="I2085">
        <v>290</v>
      </c>
      <c r="J2085">
        <v>4378</v>
      </c>
      <c r="K2085">
        <v>113</v>
      </c>
      <c r="L2085">
        <v>280</v>
      </c>
      <c r="M2085">
        <v>0</v>
      </c>
      <c r="N2085">
        <v>0</v>
      </c>
      <c r="O2085">
        <v>0</v>
      </c>
      <c r="P2085">
        <v>540</v>
      </c>
      <c r="Q2085">
        <v>571</v>
      </c>
      <c r="R2085">
        <v>60</v>
      </c>
      <c r="S2085" s="18">
        <f t="shared" si="326"/>
        <v>9</v>
      </c>
      <c r="T2085" s="17">
        <f t="shared" si="327"/>
        <v>0</v>
      </c>
      <c r="U2085" s="17">
        <f t="shared" si="328"/>
        <v>0</v>
      </c>
      <c r="V2085" s="17">
        <f t="shared" si="329"/>
        <v>0</v>
      </c>
      <c r="W2085" s="17">
        <f t="shared" si="330"/>
        <v>60</v>
      </c>
      <c r="X2085" s="17">
        <f t="shared" si="331"/>
        <v>511</v>
      </c>
      <c r="Y2085" s="19">
        <f t="shared" si="332"/>
        <v>0</v>
      </c>
      <c r="Z2085">
        <v>60</v>
      </c>
      <c r="AA2085">
        <v>6</v>
      </c>
      <c r="AB2085">
        <v>0</v>
      </c>
      <c r="AC2085">
        <v>2676</v>
      </c>
      <c r="AD2085">
        <v>0</v>
      </c>
      <c r="AE2085">
        <v>0</v>
      </c>
      <c r="AF2085">
        <v>0</v>
      </c>
      <c r="AG2085">
        <v>290</v>
      </c>
      <c r="AH2085">
        <v>290</v>
      </c>
      <c r="AI2085">
        <v>0</v>
      </c>
      <c r="AJ2085">
        <v>0</v>
      </c>
      <c r="AK2085">
        <v>4378</v>
      </c>
      <c r="AL2085">
        <v>4378</v>
      </c>
      <c r="AM2085">
        <v>0</v>
      </c>
      <c r="AN2085">
        <v>0</v>
      </c>
      <c r="AO2085">
        <v>113</v>
      </c>
      <c r="AP2085">
        <v>23</v>
      </c>
      <c r="AQ2085">
        <v>113</v>
      </c>
      <c r="AR2085">
        <v>90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280</v>
      </c>
      <c r="BA2085">
        <v>280</v>
      </c>
      <c r="BB2085">
        <v>0</v>
      </c>
      <c r="BC2085">
        <v>0</v>
      </c>
      <c r="BD2085">
        <v>0</v>
      </c>
      <c r="BE2085">
        <f t="shared" si="333"/>
        <v>12911</v>
      </c>
      <c r="BF2085">
        <v>7803</v>
      </c>
      <c r="BG2085">
        <v>7803</v>
      </c>
      <c r="BH2085" t="s">
        <v>82</v>
      </c>
      <c r="BI2085" t="s">
        <v>2316</v>
      </c>
      <c r="BJ2085">
        <v>2682</v>
      </c>
      <c r="BK2085">
        <v>5061</v>
      </c>
      <c r="BL2085">
        <v>7803</v>
      </c>
      <c r="BM2085">
        <v>0</v>
      </c>
      <c r="BN2085">
        <v>0</v>
      </c>
      <c r="BO2085">
        <v>0</v>
      </c>
      <c r="BP2085">
        <v>5601</v>
      </c>
      <c r="BQ2085">
        <v>5601</v>
      </c>
      <c r="BR2085">
        <f t="shared" si="334"/>
        <v>-511</v>
      </c>
      <c r="BS2085">
        <f t="shared" si="335"/>
        <v>631</v>
      </c>
    </row>
    <row r="2086" spans="1:74" x14ac:dyDescent="0.25">
      <c r="A2086" s="5" t="s">
        <v>1661</v>
      </c>
      <c r="B2086" s="5" t="s">
        <v>207</v>
      </c>
      <c r="C2086" s="5" t="s">
        <v>207</v>
      </c>
      <c r="D2086" s="1" t="s">
        <v>96</v>
      </c>
      <c r="E2086">
        <v>0</v>
      </c>
      <c r="F2086">
        <v>0</v>
      </c>
      <c r="G2086">
        <v>0</v>
      </c>
      <c r="H2086">
        <v>0</v>
      </c>
      <c r="I2086">
        <v>304</v>
      </c>
      <c r="J2086">
        <v>10570</v>
      </c>
      <c r="K2086">
        <v>250</v>
      </c>
      <c r="L2086">
        <v>85</v>
      </c>
      <c r="M2086">
        <v>0</v>
      </c>
      <c r="N2086">
        <v>0</v>
      </c>
      <c r="O2086">
        <v>0</v>
      </c>
      <c r="P2086">
        <v>0</v>
      </c>
      <c r="Q2086">
        <v>513</v>
      </c>
      <c r="R2086">
        <v>0</v>
      </c>
      <c r="S2086" s="18" t="e">
        <f t="shared" si="326"/>
        <v>#DIV/0!</v>
      </c>
      <c r="T2086" s="17" t="e">
        <f t="shared" si="327"/>
        <v>#DIV/0!</v>
      </c>
      <c r="U2086" s="17" t="e">
        <f t="shared" si="328"/>
        <v>#DIV/0!</v>
      </c>
      <c r="V2086" s="17" t="e">
        <f t="shared" si="329"/>
        <v>#DIV/0!</v>
      </c>
      <c r="W2086" s="17" t="e">
        <f t="shared" si="330"/>
        <v>#DIV/0!</v>
      </c>
      <c r="X2086" s="17" t="e">
        <f t="shared" si="331"/>
        <v>#DIV/0!</v>
      </c>
      <c r="Y2086" s="19" t="e">
        <f t="shared" si="332"/>
        <v>#DIV/0!</v>
      </c>
      <c r="Z2086">
        <v>0</v>
      </c>
      <c r="AA2086">
        <v>4</v>
      </c>
      <c r="AB2086">
        <v>250</v>
      </c>
      <c r="AC2086">
        <v>4211</v>
      </c>
      <c r="AD2086">
        <v>0</v>
      </c>
      <c r="AE2086">
        <v>0</v>
      </c>
      <c r="AF2086">
        <v>0</v>
      </c>
      <c r="AG2086">
        <v>304</v>
      </c>
      <c r="AH2086">
        <v>304</v>
      </c>
      <c r="AI2086">
        <v>0</v>
      </c>
      <c r="AJ2086">
        <v>0</v>
      </c>
      <c r="AK2086">
        <v>10570</v>
      </c>
      <c r="AL2086">
        <v>10570</v>
      </c>
      <c r="AM2086">
        <v>0</v>
      </c>
      <c r="AN2086">
        <v>0</v>
      </c>
      <c r="AO2086">
        <v>250</v>
      </c>
      <c r="AP2086">
        <v>100</v>
      </c>
      <c r="AQ2086">
        <v>250</v>
      </c>
      <c r="AR2086">
        <v>150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85</v>
      </c>
      <c r="BA2086">
        <v>85</v>
      </c>
      <c r="BB2086">
        <v>0</v>
      </c>
      <c r="BC2086">
        <v>0</v>
      </c>
      <c r="BD2086">
        <v>0</v>
      </c>
      <c r="BE2086">
        <f t="shared" si="333"/>
        <v>26879</v>
      </c>
      <c r="BF2086">
        <v>15674</v>
      </c>
      <c r="BG2086">
        <v>15674</v>
      </c>
      <c r="BH2086" t="s">
        <v>82</v>
      </c>
      <c r="BI2086" t="s">
        <v>1808</v>
      </c>
      <c r="BJ2086">
        <v>4465</v>
      </c>
      <c r="BK2086">
        <v>11209</v>
      </c>
      <c r="BL2086">
        <v>15674</v>
      </c>
      <c r="BM2086">
        <v>0</v>
      </c>
      <c r="BN2086">
        <v>0</v>
      </c>
      <c r="BO2086">
        <v>0</v>
      </c>
      <c r="BP2086">
        <v>11209</v>
      </c>
      <c r="BQ2086">
        <v>11209</v>
      </c>
      <c r="BR2086">
        <f t="shared" si="334"/>
        <v>-513</v>
      </c>
      <c r="BS2086">
        <f t="shared" si="335"/>
        <v>513</v>
      </c>
    </row>
    <row r="2087" spans="1:74" x14ac:dyDescent="0.25">
      <c r="A2087" s="5" t="s">
        <v>1661</v>
      </c>
      <c r="B2087" s="5" t="s">
        <v>207</v>
      </c>
      <c r="C2087" s="5" t="s">
        <v>207</v>
      </c>
      <c r="D2087" s="1" t="s">
        <v>187</v>
      </c>
      <c r="E2087">
        <v>0</v>
      </c>
      <c r="F2087">
        <v>76</v>
      </c>
      <c r="G2087">
        <v>0</v>
      </c>
      <c r="H2087">
        <v>0</v>
      </c>
      <c r="I2087">
        <v>387</v>
      </c>
      <c r="J2087">
        <v>3720</v>
      </c>
      <c r="K2087">
        <v>759</v>
      </c>
      <c r="L2087">
        <v>217</v>
      </c>
      <c r="M2087">
        <v>0</v>
      </c>
      <c r="N2087">
        <v>0</v>
      </c>
      <c r="O2087">
        <v>0</v>
      </c>
      <c r="P2087">
        <v>342</v>
      </c>
      <c r="Q2087">
        <v>551</v>
      </c>
      <c r="R2087">
        <v>38</v>
      </c>
      <c r="S2087" s="18">
        <f t="shared" si="326"/>
        <v>9</v>
      </c>
      <c r="T2087" s="17">
        <f t="shared" si="327"/>
        <v>0</v>
      </c>
      <c r="U2087" s="17">
        <f t="shared" si="328"/>
        <v>0</v>
      </c>
      <c r="V2087" s="17">
        <f t="shared" si="329"/>
        <v>0</v>
      </c>
      <c r="W2087" s="17">
        <f t="shared" si="330"/>
        <v>38</v>
      </c>
      <c r="X2087" s="17">
        <f t="shared" si="331"/>
        <v>513</v>
      </c>
      <c r="Y2087" s="19">
        <f t="shared" si="332"/>
        <v>0</v>
      </c>
      <c r="Z2087">
        <v>76</v>
      </c>
      <c r="AA2087">
        <v>0</v>
      </c>
      <c r="AB2087">
        <v>0</v>
      </c>
      <c r="AC2087">
        <v>4330</v>
      </c>
      <c r="AD2087">
        <v>0</v>
      </c>
      <c r="AE2087">
        <v>0</v>
      </c>
      <c r="AF2087">
        <v>0</v>
      </c>
      <c r="AG2087">
        <v>387</v>
      </c>
      <c r="AH2087">
        <v>387</v>
      </c>
      <c r="AI2087">
        <v>0</v>
      </c>
      <c r="AJ2087">
        <v>0</v>
      </c>
      <c r="AK2087">
        <v>3720</v>
      </c>
      <c r="AL2087">
        <v>3720</v>
      </c>
      <c r="AM2087">
        <v>0</v>
      </c>
      <c r="AN2087">
        <v>0</v>
      </c>
      <c r="AO2087">
        <v>759</v>
      </c>
      <c r="AP2087">
        <v>298</v>
      </c>
      <c r="AQ2087">
        <v>759</v>
      </c>
      <c r="AR2087">
        <v>461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217</v>
      </c>
      <c r="BA2087">
        <v>217</v>
      </c>
      <c r="BB2087">
        <v>0</v>
      </c>
      <c r="BC2087">
        <v>0</v>
      </c>
      <c r="BD2087">
        <v>0</v>
      </c>
      <c r="BE2087">
        <f t="shared" si="333"/>
        <v>15255</v>
      </c>
      <c r="BF2087">
        <v>9489</v>
      </c>
      <c r="BG2087">
        <v>9489</v>
      </c>
      <c r="BH2087" t="s">
        <v>82</v>
      </c>
      <c r="BI2087" t="s">
        <v>1849</v>
      </c>
      <c r="BJ2087">
        <v>4330</v>
      </c>
      <c r="BK2087">
        <v>5083</v>
      </c>
      <c r="BL2087">
        <v>9489</v>
      </c>
      <c r="BM2087">
        <v>0</v>
      </c>
      <c r="BN2087">
        <v>0</v>
      </c>
      <c r="BO2087">
        <v>0</v>
      </c>
      <c r="BP2087">
        <v>5425</v>
      </c>
      <c r="BQ2087">
        <v>5425</v>
      </c>
      <c r="BR2087">
        <f t="shared" si="334"/>
        <v>-513</v>
      </c>
      <c r="BS2087">
        <f t="shared" si="335"/>
        <v>589</v>
      </c>
    </row>
    <row r="2088" spans="1:74" x14ac:dyDescent="0.25">
      <c r="A2088" s="5" t="s">
        <v>207</v>
      </c>
      <c r="B2088" s="5" t="s">
        <v>61</v>
      </c>
      <c r="C2088" s="5" t="s">
        <v>359</v>
      </c>
      <c r="D2088" s="2" t="s">
        <v>65</v>
      </c>
      <c r="E2088">
        <v>0</v>
      </c>
      <c r="F2088">
        <v>0</v>
      </c>
      <c r="G2088">
        <v>0</v>
      </c>
      <c r="H2088">
        <v>0</v>
      </c>
      <c r="I2088">
        <v>1325</v>
      </c>
      <c r="J2088">
        <v>8192</v>
      </c>
      <c r="K2088">
        <v>221</v>
      </c>
      <c r="L2088">
        <v>473</v>
      </c>
      <c r="M2088">
        <v>0</v>
      </c>
      <c r="N2088">
        <v>0</v>
      </c>
      <c r="O2088">
        <v>0</v>
      </c>
      <c r="P2088">
        <v>0</v>
      </c>
      <c r="Q2088">
        <v>444</v>
      </c>
      <c r="R2088">
        <v>0</v>
      </c>
      <c r="S2088" s="18" t="e">
        <f t="shared" si="326"/>
        <v>#DIV/0!</v>
      </c>
      <c r="T2088" s="17" t="e">
        <f t="shared" si="327"/>
        <v>#DIV/0!</v>
      </c>
      <c r="U2088" s="17" t="e">
        <f t="shared" si="328"/>
        <v>#DIV/0!</v>
      </c>
      <c r="V2088" s="17" t="e">
        <f t="shared" si="329"/>
        <v>#DIV/0!</v>
      </c>
      <c r="W2088" s="17" t="e">
        <f t="shared" si="330"/>
        <v>#DIV/0!</v>
      </c>
      <c r="X2088" s="17" t="e">
        <f t="shared" si="331"/>
        <v>#DIV/0!</v>
      </c>
      <c r="Y2088" s="19" t="e">
        <f t="shared" si="332"/>
        <v>#DIV/0!</v>
      </c>
      <c r="Z2088">
        <v>0</v>
      </c>
      <c r="AA2088">
        <v>0</v>
      </c>
      <c r="AB2088">
        <v>0</v>
      </c>
      <c r="AC2088">
        <v>1182</v>
      </c>
      <c r="AD2088">
        <v>0</v>
      </c>
      <c r="AE2088">
        <v>0</v>
      </c>
      <c r="AF2088">
        <v>0</v>
      </c>
      <c r="AG2088">
        <v>1325</v>
      </c>
      <c r="AH2088">
        <v>1325</v>
      </c>
      <c r="AI2088">
        <v>0</v>
      </c>
      <c r="AJ2088">
        <v>0</v>
      </c>
      <c r="AK2088">
        <v>8192</v>
      </c>
      <c r="AL2088">
        <v>8192</v>
      </c>
      <c r="AM2088">
        <v>0</v>
      </c>
      <c r="AN2088">
        <v>0</v>
      </c>
      <c r="AO2088">
        <v>221</v>
      </c>
      <c r="AP2088">
        <v>0</v>
      </c>
      <c r="AQ2088">
        <v>221</v>
      </c>
      <c r="AR2088">
        <v>221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473</v>
      </c>
      <c r="BA2088">
        <v>473</v>
      </c>
      <c r="BB2088">
        <v>0</v>
      </c>
      <c r="BC2088">
        <v>0</v>
      </c>
      <c r="BD2088">
        <v>0</v>
      </c>
      <c r="BE2088">
        <f t="shared" si="333"/>
        <v>21825</v>
      </c>
      <c r="BF2088">
        <v>11375</v>
      </c>
      <c r="BG2088">
        <v>11375</v>
      </c>
      <c r="BH2088" t="s">
        <v>63</v>
      </c>
      <c r="BI2088" t="s">
        <v>503</v>
      </c>
      <c r="BJ2088">
        <v>1182</v>
      </c>
      <c r="BK2088">
        <v>10211</v>
      </c>
      <c r="BL2088">
        <v>11393</v>
      </c>
      <c r="BM2088">
        <v>0</v>
      </c>
      <c r="BN2088">
        <v>0</v>
      </c>
      <c r="BO2088">
        <v>0</v>
      </c>
      <c r="BP2088">
        <v>10211</v>
      </c>
      <c r="BQ2088">
        <v>10211</v>
      </c>
      <c r="BR2088">
        <f t="shared" si="334"/>
        <v>-444</v>
      </c>
      <c r="BS2088">
        <f t="shared" si="335"/>
        <v>444</v>
      </c>
      <c r="BU2088">
        <f>R2088*9</f>
        <v>0</v>
      </c>
      <c r="BV2088">
        <f>IF(BU2088&gt;BG2088, 1, 0)</f>
        <v>0</v>
      </c>
    </row>
    <row r="2089" spans="1:74" x14ac:dyDescent="0.25">
      <c r="A2089" s="5" t="s">
        <v>1451</v>
      </c>
      <c r="B2089" s="5" t="s">
        <v>61</v>
      </c>
      <c r="C2089" s="5" t="s">
        <v>207</v>
      </c>
      <c r="D2089" s="1" t="s">
        <v>62</v>
      </c>
      <c r="E2089">
        <v>0</v>
      </c>
      <c r="F2089">
        <v>0</v>
      </c>
      <c r="G2089">
        <v>0</v>
      </c>
      <c r="H2089">
        <v>0</v>
      </c>
      <c r="I2089">
        <v>165</v>
      </c>
      <c r="J2089">
        <v>9490</v>
      </c>
      <c r="K2089">
        <v>550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450</v>
      </c>
      <c r="R2089">
        <v>0</v>
      </c>
      <c r="S2089" s="18" t="e">
        <f t="shared" si="326"/>
        <v>#DIV/0!</v>
      </c>
      <c r="T2089" s="17" t="e">
        <f t="shared" si="327"/>
        <v>#DIV/0!</v>
      </c>
      <c r="U2089" s="17" t="e">
        <f t="shared" si="328"/>
        <v>#DIV/0!</v>
      </c>
      <c r="V2089" s="17" t="e">
        <f t="shared" si="329"/>
        <v>#DIV/0!</v>
      </c>
      <c r="W2089" s="17" t="e">
        <f t="shared" si="330"/>
        <v>#DIV/0!</v>
      </c>
      <c r="X2089" s="17" t="e">
        <f t="shared" si="331"/>
        <v>#DIV/0!</v>
      </c>
      <c r="Y2089" s="19" t="e">
        <f t="shared" si="332"/>
        <v>#DIV/0!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165</v>
      </c>
      <c r="AH2089">
        <v>165</v>
      </c>
      <c r="AI2089">
        <v>0</v>
      </c>
      <c r="AJ2089">
        <v>0</v>
      </c>
      <c r="AK2089">
        <v>9490</v>
      </c>
      <c r="AL2089">
        <v>9490</v>
      </c>
      <c r="AM2089">
        <v>0</v>
      </c>
      <c r="AN2089">
        <v>0</v>
      </c>
      <c r="AO2089">
        <v>550</v>
      </c>
      <c r="AP2089">
        <v>412</v>
      </c>
      <c r="AQ2089">
        <v>550</v>
      </c>
      <c r="AR2089">
        <v>138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f t="shared" si="333"/>
        <v>20960</v>
      </c>
      <c r="BF2089">
        <v>10205</v>
      </c>
      <c r="BG2089">
        <v>10205</v>
      </c>
      <c r="BH2089" t="s">
        <v>63</v>
      </c>
      <c r="BI2089" t="s">
        <v>1470</v>
      </c>
      <c r="BJ2089">
        <v>0</v>
      </c>
      <c r="BK2089">
        <v>10205</v>
      </c>
      <c r="BL2089">
        <v>10205</v>
      </c>
      <c r="BM2089">
        <v>0</v>
      </c>
      <c r="BN2089">
        <v>0</v>
      </c>
      <c r="BO2089">
        <v>0</v>
      </c>
      <c r="BP2089">
        <v>10205</v>
      </c>
      <c r="BQ2089">
        <v>10205</v>
      </c>
      <c r="BR2089">
        <f t="shared" si="334"/>
        <v>-450</v>
      </c>
      <c r="BS2089">
        <f t="shared" si="335"/>
        <v>450</v>
      </c>
      <c r="BU2089">
        <f>R2089*9</f>
        <v>0</v>
      </c>
      <c r="BV2089">
        <f>IF(BU2089&gt;BG2089, 1, 0)</f>
        <v>0</v>
      </c>
    </row>
    <row r="2090" spans="1:74" x14ac:dyDescent="0.25">
      <c r="A2090" s="5" t="s">
        <v>1661</v>
      </c>
      <c r="B2090" s="5" t="s">
        <v>61</v>
      </c>
      <c r="C2090" s="5" t="s">
        <v>359</v>
      </c>
      <c r="D2090" s="1" t="s">
        <v>147</v>
      </c>
      <c r="E2090">
        <v>0</v>
      </c>
      <c r="F2090">
        <v>100</v>
      </c>
      <c r="G2090">
        <v>0</v>
      </c>
      <c r="H2090">
        <v>0</v>
      </c>
      <c r="I2090">
        <v>124</v>
      </c>
      <c r="J2090">
        <v>6901</v>
      </c>
      <c r="K2090">
        <v>100</v>
      </c>
      <c r="L2090">
        <v>20</v>
      </c>
      <c r="M2090">
        <v>0</v>
      </c>
      <c r="N2090">
        <v>0</v>
      </c>
      <c r="O2090">
        <v>0</v>
      </c>
      <c r="P2090">
        <v>378</v>
      </c>
      <c r="Q2090">
        <v>558</v>
      </c>
      <c r="R2090">
        <v>42</v>
      </c>
      <c r="S2090" s="18">
        <f t="shared" si="326"/>
        <v>9</v>
      </c>
      <c r="T2090" s="17">
        <f t="shared" si="327"/>
        <v>0</v>
      </c>
      <c r="U2090" s="17">
        <f t="shared" si="328"/>
        <v>0</v>
      </c>
      <c r="V2090" s="17">
        <f t="shared" si="329"/>
        <v>0</v>
      </c>
      <c r="W2090" s="17">
        <f t="shared" si="330"/>
        <v>42</v>
      </c>
      <c r="X2090" s="17">
        <f t="shared" si="331"/>
        <v>516</v>
      </c>
      <c r="Y2090" s="19">
        <f t="shared" si="332"/>
        <v>0</v>
      </c>
      <c r="Z2090">
        <v>100</v>
      </c>
      <c r="AA2090">
        <v>6</v>
      </c>
      <c r="AB2090">
        <v>640</v>
      </c>
      <c r="AC2090">
        <v>4444</v>
      </c>
      <c r="AD2090">
        <v>0</v>
      </c>
      <c r="AE2090">
        <v>0</v>
      </c>
      <c r="AF2090">
        <v>0</v>
      </c>
      <c r="AG2090">
        <v>124</v>
      </c>
      <c r="AH2090">
        <v>124</v>
      </c>
      <c r="AI2090">
        <v>0</v>
      </c>
      <c r="AJ2090">
        <v>0</v>
      </c>
      <c r="AK2090">
        <v>6901</v>
      </c>
      <c r="AL2090">
        <v>6901</v>
      </c>
      <c r="AM2090">
        <v>0</v>
      </c>
      <c r="AN2090">
        <v>0</v>
      </c>
      <c r="AO2090">
        <v>100</v>
      </c>
      <c r="AP2090">
        <v>20</v>
      </c>
      <c r="AQ2090">
        <v>100</v>
      </c>
      <c r="AR2090">
        <v>80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20</v>
      </c>
      <c r="BA2090">
        <v>20</v>
      </c>
      <c r="BB2090">
        <v>0</v>
      </c>
      <c r="BC2090">
        <v>0</v>
      </c>
      <c r="BD2090">
        <v>0</v>
      </c>
      <c r="BE2090">
        <f t="shared" si="333"/>
        <v>18834</v>
      </c>
      <c r="BF2090">
        <v>12335</v>
      </c>
      <c r="BG2090">
        <v>12335</v>
      </c>
      <c r="BH2090" t="s">
        <v>82</v>
      </c>
      <c r="BI2090" t="s">
        <v>1749</v>
      </c>
      <c r="BJ2090">
        <v>5090</v>
      </c>
      <c r="BK2090">
        <v>7145</v>
      </c>
      <c r="BL2090">
        <v>12335</v>
      </c>
      <c r="BM2090">
        <v>0</v>
      </c>
      <c r="BN2090">
        <v>0</v>
      </c>
      <c r="BO2090">
        <v>0</v>
      </c>
      <c r="BP2090">
        <v>7523</v>
      </c>
      <c r="BQ2090">
        <v>7523</v>
      </c>
      <c r="BR2090">
        <f t="shared" si="334"/>
        <v>-516</v>
      </c>
      <c r="BS2090">
        <f t="shared" si="335"/>
        <v>600</v>
      </c>
    </row>
    <row r="2091" spans="1:74" x14ac:dyDescent="0.25">
      <c r="A2091" s="5" t="s">
        <v>207</v>
      </c>
      <c r="B2091" s="5" t="s">
        <v>627</v>
      </c>
      <c r="C2091" s="5" t="s">
        <v>61</v>
      </c>
      <c r="D2091" s="1" t="s">
        <v>111</v>
      </c>
      <c r="E2091">
        <v>308</v>
      </c>
      <c r="F2091">
        <v>250</v>
      </c>
      <c r="G2091">
        <v>0</v>
      </c>
      <c r="H2091">
        <v>0</v>
      </c>
      <c r="I2091">
        <v>500</v>
      </c>
      <c r="J2091">
        <v>13245</v>
      </c>
      <c r="K2091">
        <v>566</v>
      </c>
      <c r="L2091">
        <v>40</v>
      </c>
      <c r="M2091">
        <v>0</v>
      </c>
      <c r="N2091">
        <v>0</v>
      </c>
      <c r="O2091">
        <v>0</v>
      </c>
      <c r="P2091">
        <v>774</v>
      </c>
      <c r="Q2091">
        <v>603</v>
      </c>
      <c r="R2091">
        <v>86</v>
      </c>
      <c r="S2091" s="18">
        <f t="shared" si="326"/>
        <v>9</v>
      </c>
      <c r="T2091" s="17">
        <f t="shared" si="327"/>
        <v>0</v>
      </c>
      <c r="U2091" s="17">
        <f t="shared" si="328"/>
        <v>0</v>
      </c>
      <c r="V2091" s="17">
        <f t="shared" si="329"/>
        <v>0</v>
      </c>
      <c r="W2091" s="17">
        <f t="shared" si="330"/>
        <v>86</v>
      </c>
      <c r="X2091" s="17">
        <f t="shared" si="331"/>
        <v>517</v>
      </c>
      <c r="Y2091" s="19">
        <f t="shared" si="332"/>
        <v>0</v>
      </c>
      <c r="Z2091">
        <v>250</v>
      </c>
      <c r="AA2091">
        <v>60</v>
      </c>
      <c r="AB2091">
        <v>452</v>
      </c>
      <c r="AC2091">
        <v>5137</v>
      </c>
      <c r="AD2091">
        <v>0</v>
      </c>
      <c r="AE2091">
        <v>0</v>
      </c>
      <c r="AF2091">
        <v>0</v>
      </c>
      <c r="AG2091">
        <v>500</v>
      </c>
      <c r="AH2091">
        <v>500</v>
      </c>
      <c r="AI2091">
        <v>0</v>
      </c>
      <c r="AJ2091">
        <v>0</v>
      </c>
      <c r="AK2091">
        <v>13245</v>
      </c>
      <c r="AL2091">
        <v>13245</v>
      </c>
      <c r="AM2091">
        <v>0</v>
      </c>
      <c r="AN2091">
        <v>0</v>
      </c>
      <c r="AO2091">
        <v>566</v>
      </c>
      <c r="AP2091">
        <v>93</v>
      </c>
      <c r="AQ2091">
        <v>566</v>
      </c>
      <c r="AR2091">
        <v>473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40</v>
      </c>
      <c r="BA2091">
        <v>40</v>
      </c>
      <c r="BB2091">
        <v>0</v>
      </c>
      <c r="BC2091">
        <v>0</v>
      </c>
      <c r="BD2091">
        <v>0</v>
      </c>
      <c r="BE2091">
        <f t="shared" si="333"/>
        <v>34405</v>
      </c>
      <c r="BF2091">
        <v>20558</v>
      </c>
      <c r="BG2091">
        <v>20558</v>
      </c>
      <c r="BH2091" t="s">
        <v>82</v>
      </c>
      <c r="BI2091" t="s">
        <v>649</v>
      </c>
      <c r="BJ2091">
        <v>5957</v>
      </c>
      <c r="BK2091">
        <v>14351</v>
      </c>
      <c r="BL2091">
        <v>20558</v>
      </c>
      <c r="BM2091">
        <v>0</v>
      </c>
      <c r="BN2091">
        <v>0</v>
      </c>
      <c r="BO2091">
        <v>0</v>
      </c>
      <c r="BP2091">
        <v>15125</v>
      </c>
      <c r="BQ2091">
        <v>15125</v>
      </c>
      <c r="BR2091">
        <f t="shared" si="334"/>
        <v>-517</v>
      </c>
      <c r="BS2091">
        <f t="shared" si="335"/>
        <v>689</v>
      </c>
    </row>
    <row r="2092" spans="1:74" x14ac:dyDescent="0.25">
      <c r="A2092" s="5" t="s">
        <v>207</v>
      </c>
      <c r="B2092" s="5" t="s">
        <v>359</v>
      </c>
      <c r="C2092" s="5" t="s">
        <v>61</v>
      </c>
      <c r="D2092" s="1" t="s">
        <v>100</v>
      </c>
      <c r="E2092">
        <v>0</v>
      </c>
      <c r="F2092">
        <v>90</v>
      </c>
      <c r="G2092">
        <v>0</v>
      </c>
      <c r="H2092">
        <v>0</v>
      </c>
      <c r="I2092">
        <v>2400</v>
      </c>
      <c r="J2092">
        <v>0</v>
      </c>
      <c r="K2092">
        <v>0</v>
      </c>
      <c r="L2092">
        <v>0</v>
      </c>
      <c r="M2092">
        <v>810</v>
      </c>
      <c r="N2092">
        <v>0</v>
      </c>
      <c r="O2092">
        <v>0</v>
      </c>
      <c r="P2092">
        <v>0</v>
      </c>
      <c r="Q2092">
        <v>610</v>
      </c>
      <c r="R2092">
        <v>90</v>
      </c>
      <c r="S2092" s="18">
        <f t="shared" si="326"/>
        <v>9</v>
      </c>
      <c r="T2092" s="17">
        <f t="shared" si="327"/>
        <v>90</v>
      </c>
      <c r="U2092" s="17">
        <f t="shared" si="328"/>
        <v>0</v>
      </c>
      <c r="V2092" s="17">
        <f t="shared" si="329"/>
        <v>0</v>
      </c>
      <c r="W2092" s="17">
        <f t="shared" si="330"/>
        <v>0</v>
      </c>
      <c r="X2092" s="17">
        <f t="shared" si="331"/>
        <v>520</v>
      </c>
      <c r="Y2092" s="19">
        <f t="shared" si="332"/>
        <v>0</v>
      </c>
      <c r="Z2092">
        <v>90</v>
      </c>
      <c r="AA2092">
        <v>0</v>
      </c>
      <c r="AB2092">
        <v>0</v>
      </c>
      <c r="AC2092">
        <v>0</v>
      </c>
      <c r="AD2092">
        <v>2400</v>
      </c>
      <c r="AE2092">
        <v>0</v>
      </c>
      <c r="AF2092">
        <v>0</v>
      </c>
      <c r="AG2092">
        <v>0</v>
      </c>
      <c r="AH2092">
        <v>2400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f t="shared" si="333"/>
        <v>4800</v>
      </c>
      <c r="BF2092">
        <v>2490</v>
      </c>
      <c r="BG2092">
        <v>2490</v>
      </c>
      <c r="BH2092" t="s">
        <v>109</v>
      </c>
      <c r="BI2092" t="s">
        <v>610</v>
      </c>
      <c r="BJ2092">
        <v>0</v>
      </c>
      <c r="BK2092">
        <v>2400</v>
      </c>
      <c r="BL2092">
        <v>2490</v>
      </c>
      <c r="BM2092">
        <v>3210</v>
      </c>
      <c r="BN2092">
        <v>0</v>
      </c>
      <c r="BO2092">
        <v>0</v>
      </c>
      <c r="BP2092">
        <v>0</v>
      </c>
      <c r="BQ2092">
        <v>3210</v>
      </c>
      <c r="BR2092">
        <f t="shared" si="334"/>
        <v>-520</v>
      </c>
      <c r="BS2092">
        <f t="shared" si="335"/>
        <v>700</v>
      </c>
    </row>
    <row r="2093" spans="1:74" x14ac:dyDescent="0.25">
      <c r="A2093" s="5" t="s">
        <v>61</v>
      </c>
      <c r="B2093" s="5" t="s">
        <v>207</v>
      </c>
      <c r="C2093" s="5" t="s">
        <v>61</v>
      </c>
      <c r="D2093" s="1" t="s">
        <v>69</v>
      </c>
      <c r="E2093">
        <v>13</v>
      </c>
      <c r="F2093">
        <v>0</v>
      </c>
      <c r="G2093">
        <v>0</v>
      </c>
      <c r="H2093">
        <v>0</v>
      </c>
      <c r="I2093">
        <v>1340</v>
      </c>
      <c r="J2093">
        <v>1173</v>
      </c>
      <c r="K2093">
        <v>54</v>
      </c>
      <c r="L2093">
        <v>94</v>
      </c>
      <c r="M2093">
        <v>0</v>
      </c>
      <c r="N2093">
        <v>0</v>
      </c>
      <c r="O2093">
        <v>0</v>
      </c>
      <c r="P2093">
        <v>0</v>
      </c>
      <c r="Q2093">
        <v>465</v>
      </c>
      <c r="R2093">
        <v>0</v>
      </c>
      <c r="S2093" s="18" t="e">
        <f t="shared" si="326"/>
        <v>#DIV/0!</v>
      </c>
      <c r="T2093" s="17" t="e">
        <f t="shared" si="327"/>
        <v>#DIV/0!</v>
      </c>
      <c r="U2093" s="17" t="e">
        <f t="shared" si="328"/>
        <v>#DIV/0!</v>
      </c>
      <c r="V2093" s="17" t="e">
        <f t="shared" si="329"/>
        <v>#DIV/0!</v>
      </c>
      <c r="W2093" s="17" t="e">
        <f t="shared" si="330"/>
        <v>#DIV/0!</v>
      </c>
      <c r="X2093" s="17" t="e">
        <f t="shared" si="331"/>
        <v>#DIV/0!</v>
      </c>
      <c r="Y2093" s="19" t="e">
        <f t="shared" si="332"/>
        <v>#DIV/0!</v>
      </c>
      <c r="Z2093">
        <v>0</v>
      </c>
      <c r="AA2093">
        <v>0</v>
      </c>
      <c r="AB2093">
        <v>0</v>
      </c>
      <c r="AC2093">
        <v>270</v>
      </c>
      <c r="AD2093">
        <v>0</v>
      </c>
      <c r="AE2093">
        <v>0</v>
      </c>
      <c r="AF2093">
        <v>0</v>
      </c>
      <c r="AG2093">
        <v>1340</v>
      </c>
      <c r="AH2093">
        <v>1340</v>
      </c>
      <c r="AI2093">
        <v>0</v>
      </c>
      <c r="AJ2093">
        <v>0</v>
      </c>
      <c r="AK2093">
        <v>1173</v>
      </c>
      <c r="AL2093">
        <v>1173</v>
      </c>
      <c r="AM2093">
        <v>0</v>
      </c>
      <c r="AN2093">
        <v>0</v>
      </c>
      <c r="AO2093">
        <v>54</v>
      </c>
      <c r="AP2093">
        <v>0</v>
      </c>
      <c r="AQ2093">
        <v>54</v>
      </c>
      <c r="AR2093">
        <v>54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94</v>
      </c>
      <c r="BA2093">
        <v>94</v>
      </c>
      <c r="BB2093">
        <v>0</v>
      </c>
      <c r="BC2093">
        <v>0</v>
      </c>
      <c r="BD2093">
        <v>0</v>
      </c>
      <c r="BE2093">
        <f t="shared" si="333"/>
        <v>5646</v>
      </c>
      <c r="BF2093">
        <v>2944</v>
      </c>
      <c r="BG2093">
        <v>2944</v>
      </c>
      <c r="BH2093" t="s">
        <v>63</v>
      </c>
      <c r="BI2093" t="s">
        <v>211</v>
      </c>
      <c r="BJ2093">
        <v>283</v>
      </c>
      <c r="BK2093">
        <v>2661</v>
      </c>
      <c r="BL2093">
        <v>2944</v>
      </c>
      <c r="BM2093">
        <v>0</v>
      </c>
      <c r="BN2093">
        <v>0</v>
      </c>
      <c r="BO2093">
        <v>0</v>
      </c>
      <c r="BP2093">
        <v>2661</v>
      </c>
      <c r="BQ2093">
        <v>2661</v>
      </c>
      <c r="BR2093">
        <f t="shared" si="334"/>
        <v>-465</v>
      </c>
      <c r="BS2093">
        <f t="shared" si="335"/>
        <v>465</v>
      </c>
      <c r="BU2093">
        <f>R2093*9</f>
        <v>0</v>
      </c>
      <c r="BV2093">
        <f>IF(BU2093&gt;BG2093, 1, 0)</f>
        <v>0</v>
      </c>
    </row>
    <row r="2094" spans="1:74" x14ac:dyDescent="0.25">
      <c r="A2094" s="5" t="s">
        <v>875</v>
      </c>
      <c r="B2094" s="5" t="s">
        <v>61</v>
      </c>
      <c r="C2094" s="5" t="s">
        <v>207</v>
      </c>
      <c r="D2094" s="1" t="s">
        <v>96</v>
      </c>
      <c r="E2094">
        <v>0</v>
      </c>
      <c r="F2094">
        <v>240</v>
      </c>
      <c r="G2094">
        <v>0</v>
      </c>
      <c r="H2094">
        <v>0</v>
      </c>
      <c r="I2094">
        <v>475</v>
      </c>
      <c r="J2094">
        <v>14513</v>
      </c>
      <c r="K2094">
        <v>215</v>
      </c>
      <c r="L2094">
        <v>254</v>
      </c>
      <c r="M2094">
        <v>0</v>
      </c>
      <c r="N2094">
        <v>0</v>
      </c>
      <c r="O2094">
        <v>0</v>
      </c>
      <c r="P2094">
        <v>540</v>
      </c>
      <c r="Q2094">
        <v>580</v>
      </c>
      <c r="R2094">
        <v>60</v>
      </c>
      <c r="S2094" s="18">
        <f t="shared" si="326"/>
        <v>9</v>
      </c>
      <c r="T2094" s="17">
        <f t="shared" si="327"/>
        <v>0</v>
      </c>
      <c r="U2094" s="17">
        <f t="shared" si="328"/>
        <v>0</v>
      </c>
      <c r="V2094" s="17">
        <f t="shared" si="329"/>
        <v>0</v>
      </c>
      <c r="W2094" s="17">
        <f t="shared" si="330"/>
        <v>60</v>
      </c>
      <c r="X2094" s="17">
        <f t="shared" si="331"/>
        <v>520</v>
      </c>
      <c r="Y2094" s="19">
        <f t="shared" si="332"/>
        <v>0</v>
      </c>
      <c r="Z2094">
        <v>240</v>
      </c>
      <c r="AA2094">
        <v>40</v>
      </c>
      <c r="AB2094">
        <v>1790</v>
      </c>
      <c r="AC2094">
        <v>4565</v>
      </c>
      <c r="AD2094">
        <v>0</v>
      </c>
      <c r="AE2094">
        <v>0</v>
      </c>
      <c r="AF2094">
        <v>0</v>
      </c>
      <c r="AG2094">
        <v>475</v>
      </c>
      <c r="AH2094">
        <v>475</v>
      </c>
      <c r="AI2094">
        <v>0</v>
      </c>
      <c r="AJ2094">
        <v>14000</v>
      </c>
      <c r="AK2094">
        <v>513</v>
      </c>
      <c r="AL2094">
        <v>14513</v>
      </c>
      <c r="AM2094">
        <v>0</v>
      </c>
      <c r="AN2094">
        <v>0</v>
      </c>
      <c r="AO2094">
        <v>215</v>
      </c>
      <c r="AP2094">
        <v>30</v>
      </c>
      <c r="AQ2094">
        <v>215</v>
      </c>
      <c r="AR2094">
        <v>185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254</v>
      </c>
      <c r="BA2094">
        <v>254</v>
      </c>
      <c r="BB2094">
        <v>0</v>
      </c>
      <c r="BC2094">
        <v>0</v>
      </c>
      <c r="BD2094">
        <v>0</v>
      </c>
      <c r="BE2094">
        <f t="shared" si="333"/>
        <v>35694</v>
      </c>
      <c r="BF2094">
        <v>22092</v>
      </c>
      <c r="BG2094">
        <v>22092</v>
      </c>
      <c r="BH2094" t="s">
        <v>82</v>
      </c>
      <c r="BI2094" t="s">
        <v>891</v>
      </c>
      <c r="BJ2094">
        <v>6395</v>
      </c>
      <c r="BK2094">
        <v>15457</v>
      </c>
      <c r="BL2094">
        <v>22092</v>
      </c>
      <c r="BM2094">
        <v>0</v>
      </c>
      <c r="BN2094">
        <v>14000</v>
      </c>
      <c r="BO2094">
        <v>0</v>
      </c>
      <c r="BP2094">
        <v>1997</v>
      </c>
      <c r="BQ2094">
        <v>15997</v>
      </c>
      <c r="BR2094">
        <f t="shared" si="334"/>
        <v>-520</v>
      </c>
      <c r="BS2094">
        <f t="shared" si="335"/>
        <v>640</v>
      </c>
    </row>
    <row r="2095" spans="1:74" x14ac:dyDescent="0.25">
      <c r="A2095" s="5" t="s">
        <v>1451</v>
      </c>
      <c r="B2095" s="5" t="s">
        <v>359</v>
      </c>
      <c r="C2095" s="5" t="s">
        <v>61</v>
      </c>
      <c r="D2095" s="1" t="s">
        <v>121</v>
      </c>
      <c r="E2095">
        <v>0</v>
      </c>
      <c r="F2095">
        <v>680</v>
      </c>
      <c r="G2095">
        <v>0</v>
      </c>
      <c r="H2095">
        <v>0</v>
      </c>
      <c r="I2095">
        <v>0</v>
      </c>
      <c r="J2095">
        <v>5420</v>
      </c>
      <c r="K2095">
        <v>812</v>
      </c>
      <c r="L2095">
        <v>124</v>
      </c>
      <c r="M2095">
        <v>0</v>
      </c>
      <c r="N2095">
        <v>0</v>
      </c>
      <c r="O2095">
        <v>0</v>
      </c>
      <c r="P2095">
        <v>2205</v>
      </c>
      <c r="Q2095">
        <v>765</v>
      </c>
      <c r="R2095">
        <v>245</v>
      </c>
      <c r="S2095" s="18">
        <f t="shared" si="326"/>
        <v>9</v>
      </c>
      <c r="T2095" s="17">
        <f t="shared" si="327"/>
        <v>0</v>
      </c>
      <c r="U2095" s="17">
        <f t="shared" si="328"/>
        <v>0</v>
      </c>
      <c r="V2095" s="17">
        <f t="shared" si="329"/>
        <v>0</v>
      </c>
      <c r="W2095" s="17">
        <f t="shared" si="330"/>
        <v>245</v>
      </c>
      <c r="X2095" s="17">
        <f t="shared" si="331"/>
        <v>520</v>
      </c>
      <c r="Y2095" s="19">
        <f t="shared" si="332"/>
        <v>0</v>
      </c>
      <c r="Z2095">
        <v>680</v>
      </c>
      <c r="AA2095">
        <v>36</v>
      </c>
      <c r="AB2095">
        <v>0</v>
      </c>
      <c r="AC2095">
        <v>1560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5420</v>
      </c>
      <c r="AL2095">
        <v>5420</v>
      </c>
      <c r="AM2095">
        <v>0</v>
      </c>
      <c r="AN2095">
        <v>0</v>
      </c>
      <c r="AO2095">
        <v>812</v>
      </c>
      <c r="AP2095">
        <v>695</v>
      </c>
      <c r="AQ2095">
        <v>812</v>
      </c>
      <c r="AR2095">
        <v>117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124</v>
      </c>
      <c r="BA2095">
        <v>124</v>
      </c>
      <c r="BB2095">
        <v>0</v>
      </c>
      <c r="BC2095">
        <v>0</v>
      </c>
      <c r="BD2095">
        <v>0</v>
      </c>
      <c r="BE2095">
        <f t="shared" si="333"/>
        <v>15084</v>
      </c>
      <c r="BF2095">
        <v>8632</v>
      </c>
      <c r="BG2095">
        <v>8632</v>
      </c>
      <c r="BH2095" t="s">
        <v>82</v>
      </c>
      <c r="BI2095" t="s">
        <v>855</v>
      </c>
      <c r="BJ2095">
        <v>1596</v>
      </c>
      <c r="BK2095">
        <v>6356</v>
      </c>
      <c r="BL2095">
        <v>8632</v>
      </c>
      <c r="BM2095">
        <v>0</v>
      </c>
      <c r="BN2095">
        <v>0</v>
      </c>
      <c r="BO2095">
        <v>0</v>
      </c>
      <c r="BP2095">
        <v>8561</v>
      </c>
      <c r="BQ2095">
        <v>8561</v>
      </c>
      <c r="BR2095">
        <f t="shared" si="334"/>
        <v>-520</v>
      </c>
      <c r="BS2095">
        <f t="shared" si="335"/>
        <v>1010</v>
      </c>
    </row>
    <row r="2096" spans="1:74" x14ac:dyDescent="0.25">
      <c r="A2096" s="5" t="s">
        <v>1451</v>
      </c>
      <c r="B2096" s="5" t="s">
        <v>61</v>
      </c>
      <c r="C2096" s="5" t="s">
        <v>61</v>
      </c>
      <c r="D2096" s="1" t="s">
        <v>73</v>
      </c>
      <c r="E2096">
        <v>0</v>
      </c>
      <c r="F2096">
        <v>3554</v>
      </c>
      <c r="G2096">
        <v>0</v>
      </c>
      <c r="H2096">
        <v>0</v>
      </c>
      <c r="I2096">
        <v>950</v>
      </c>
      <c r="J2096">
        <v>1717</v>
      </c>
      <c r="K2096">
        <v>3640</v>
      </c>
      <c r="L2096">
        <v>177</v>
      </c>
      <c r="M2096">
        <v>0</v>
      </c>
      <c r="N2096">
        <v>0</v>
      </c>
      <c r="O2096">
        <v>0</v>
      </c>
      <c r="P2096">
        <v>6066</v>
      </c>
      <c r="Q2096">
        <v>1197</v>
      </c>
      <c r="R2096">
        <v>674</v>
      </c>
      <c r="S2096" s="18">
        <f t="shared" si="326"/>
        <v>9</v>
      </c>
      <c r="T2096" s="17">
        <f t="shared" si="327"/>
        <v>0</v>
      </c>
      <c r="U2096" s="17">
        <f t="shared" si="328"/>
        <v>0</v>
      </c>
      <c r="V2096" s="17">
        <f t="shared" si="329"/>
        <v>0</v>
      </c>
      <c r="W2096" s="17">
        <f t="shared" si="330"/>
        <v>674</v>
      </c>
      <c r="X2096" s="17">
        <f t="shared" si="331"/>
        <v>523</v>
      </c>
      <c r="Y2096" s="19">
        <f t="shared" si="332"/>
        <v>0</v>
      </c>
      <c r="Z2096">
        <v>3554</v>
      </c>
      <c r="AA2096">
        <v>20</v>
      </c>
      <c r="AB2096">
        <v>130</v>
      </c>
      <c r="AC2096">
        <v>3490</v>
      </c>
      <c r="AD2096">
        <v>0</v>
      </c>
      <c r="AE2096">
        <v>0</v>
      </c>
      <c r="AF2096">
        <v>0</v>
      </c>
      <c r="AG2096">
        <v>950</v>
      </c>
      <c r="AH2096">
        <v>950</v>
      </c>
      <c r="AI2096">
        <v>0</v>
      </c>
      <c r="AJ2096">
        <v>0</v>
      </c>
      <c r="AK2096">
        <v>1717</v>
      </c>
      <c r="AL2096">
        <v>1717</v>
      </c>
      <c r="AM2096">
        <v>0</v>
      </c>
      <c r="AN2096">
        <v>0</v>
      </c>
      <c r="AO2096">
        <v>3640</v>
      </c>
      <c r="AP2096">
        <v>2414</v>
      </c>
      <c r="AQ2096">
        <v>3640</v>
      </c>
      <c r="AR2096">
        <v>1226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177</v>
      </c>
      <c r="BA2096">
        <v>177</v>
      </c>
      <c r="BB2096">
        <v>0</v>
      </c>
      <c r="BC2096">
        <v>0</v>
      </c>
      <c r="BD2096">
        <v>0</v>
      </c>
      <c r="BE2096">
        <f t="shared" si="333"/>
        <v>20098</v>
      </c>
      <c r="BF2096">
        <v>13678</v>
      </c>
      <c r="BG2096">
        <v>13678</v>
      </c>
      <c r="BH2096" t="s">
        <v>82</v>
      </c>
      <c r="BI2096" t="s">
        <v>1456</v>
      </c>
      <c r="BJ2096">
        <v>3640</v>
      </c>
      <c r="BK2096">
        <v>6484</v>
      </c>
      <c r="BL2096">
        <v>13678</v>
      </c>
      <c r="BM2096">
        <v>0</v>
      </c>
      <c r="BN2096">
        <v>0</v>
      </c>
      <c r="BO2096">
        <v>0</v>
      </c>
      <c r="BP2096">
        <v>12550</v>
      </c>
      <c r="BQ2096">
        <v>12550</v>
      </c>
      <c r="BR2096">
        <f t="shared" si="334"/>
        <v>-523</v>
      </c>
      <c r="BS2096">
        <f t="shared" si="335"/>
        <v>1871</v>
      </c>
    </row>
    <row r="2097" spans="1:74" x14ac:dyDescent="0.25">
      <c r="A2097" s="5" t="s">
        <v>1135</v>
      </c>
      <c r="B2097" s="5" t="s">
        <v>207</v>
      </c>
      <c r="C2097" s="5" t="s">
        <v>207</v>
      </c>
      <c r="D2097" s="1" t="s">
        <v>94</v>
      </c>
      <c r="E2097">
        <v>0</v>
      </c>
      <c r="F2097">
        <v>344</v>
      </c>
      <c r="G2097">
        <v>0</v>
      </c>
      <c r="H2097">
        <v>0</v>
      </c>
      <c r="I2097">
        <v>372</v>
      </c>
      <c r="J2097">
        <v>3590</v>
      </c>
      <c r="K2097">
        <v>32</v>
      </c>
      <c r="L2097">
        <v>0</v>
      </c>
      <c r="M2097">
        <v>0</v>
      </c>
      <c r="N2097">
        <v>0</v>
      </c>
      <c r="O2097">
        <v>0</v>
      </c>
      <c r="P2097">
        <v>774</v>
      </c>
      <c r="Q2097">
        <v>611</v>
      </c>
      <c r="R2097">
        <v>86</v>
      </c>
      <c r="S2097" s="18">
        <f t="shared" si="326"/>
        <v>9</v>
      </c>
      <c r="T2097" s="17">
        <f t="shared" si="327"/>
        <v>0</v>
      </c>
      <c r="U2097" s="17">
        <f t="shared" si="328"/>
        <v>0</v>
      </c>
      <c r="V2097" s="17">
        <f t="shared" si="329"/>
        <v>0</v>
      </c>
      <c r="W2097" s="17">
        <f t="shared" si="330"/>
        <v>86</v>
      </c>
      <c r="X2097" s="17">
        <f t="shared" si="331"/>
        <v>525</v>
      </c>
      <c r="Y2097" s="19">
        <f t="shared" si="332"/>
        <v>0</v>
      </c>
      <c r="Z2097">
        <v>344</v>
      </c>
      <c r="AA2097">
        <v>0</v>
      </c>
      <c r="AB2097">
        <v>147</v>
      </c>
      <c r="AC2097">
        <v>2562</v>
      </c>
      <c r="AD2097">
        <v>0</v>
      </c>
      <c r="AE2097">
        <v>0</v>
      </c>
      <c r="AF2097">
        <v>0</v>
      </c>
      <c r="AG2097">
        <v>372</v>
      </c>
      <c r="AH2097">
        <v>372</v>
      </c>
      <c r="AI2097">
        <v>0</v>
      </c>
      <c r="AJ2097">
        <v>0</v>
      </c>
      <c r="AK2097">
        <v>3590</v>
      </c>
      <c r="AL2097">
        <v>3590</v>
      </c>
      <c r="AM2097">
        <v>0</v>
      </c>
      <c r="AN2097">
        <v>0</v>
      </c>
      <c r="AO2097">
        <v>32</v>
      </c>
      <c r="AP2097">
        <v>23</v>
      </c>
      <c r="AQ2097">
        <v>32</v>
      </c>
      <c r="AR2097">
        <v>9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f t="shared" si="333"/>
        <v>10582</v>
      </c>
      <c r="BF2097">
        <v>7047</v>
      </c>
      <c r="BG2097">
        <v>7047</v>
      </c>
      <c r="BH2097" t="s">
        <v>82</v>
      </c>
      <c r="BI2097" t="s">
        <v>1270</v>
      </c>
      <c r="BJ2097">
        <v>2709</v>
      </c>
      <c r="BK2097">
        <v>3994</v>
      </c>
      <c r="BL2097">
        <v>7047</v>
      </c>
      <c r="BM2097">
        <v>0</v>
      </c>
      <c r="BN2097">
        <v>0</v>
      </c>
      <c r="BO2097">
        <v>0</v>
      </c>
      <c r="BP2097">
        <v>4768</v>
      </c>
      <c r="BQ2097">
        <v>4768</v>
      </c>
      <c r="BR2097">
        <f t="shared" si="334"/>
        <v>-525</v>
      </c>
      <c r="BS2097">
        <f t="shared" si="335"/>
        <v>697</v>
      </c>
    </row>
    <row r="2098" spans="1:74" x14ac:dyDescent="0.25">
      <c r="A2098" s="5" t="s">
        <v>1135</v>
      </c>
      <c r="B2098" s="5" t="s">
        <v>359</v>
      </c>
      <c r="C2098" s="5" t="s">
        <v>61</v>
      </c>
      <c r="D2098" s="1" t="s">
        <v>75</v>
      </c>
      <c r="E2098">
        <v>0</v>
      </c>
      <c r="F2098">
        <v>2736</v>
      </c>
      <c r="G2098">
        <v>0</v>
      </c>
      <c r="H2098">
        <v>0</v>
      </c>
      <c r="I2098">
        <v>2132</v>
      </c>
      <c r="J2098">
        <v>10090</v>
      </c>
      <c r="K2098">
        <v>1193</v>
      </c>
      <c r="L2098">
        <v>223</v>
      </c>
      <c r="M2098">
        <v>0</v>
      </c>
      <c r="N2098">
        <v>0</v>
      </c>
      <c r="O2098">
        <v>0</v>
      </c>
      <c r="P2098">
        <v>6156</v>
      </c>
      <c r="Q2098">
        <v>1211</v>
      </c>
      <c r="R2098">
        <v>684</v>
      </c>
      <c r="S2098" s="18">
        <f t="shared" si="326"/>
        <v>9</v>
      </c>
      <c r="T2098" s="17">
        <f t="shared" si="327"/>
        <v>0</v>
      </c>
      <c r="U2098" s="17">
        <f t="shared" si="328"/>
        <v>0</v>
      </c>
      <c r="V2098" s="17">
        <f t="shared" si="329"/>
        <v>0</v>
      </c>
      <c r="W2098" s="17">
        <f t="shared" si="330"/>
        <v>684</v>
      </c>
      <c r="X2098" s="17">
        <f t="shared" si="331"/>
        <v>527</v>
      </c>
      <c r="Y2098" s="19">
        <f t="shared" si="332"/>
        <v>0</v>
      </c>
      <c r="Z2098">
        <v>2736</v>
      </c>
      <c r="AA2098">
        <v>4</v>
      </c>
      <c r="AB2098">
        <v>1323</v>
      </c>
      <c r="AC2098">
        <v>14266</v>
      </c>
      <c r="AD2098">
        <v>0</v>
      </c>
      <c r="AE2098">
        <v>0</v>
      </c>
      <c r="AF2098">
        <v>0</v>
      </c>
      <c r="AG2098">
        <v>2132</v>
      </c>
      <c r="AH2098">
        <v>2132</v>
      </c>
      <c r="AI2098">
        <v>0</v>
      </c>
      <c r="AJ2098">
        <v>0</v>
      </c>
      <c r="AK2098">
        <v>10090</v>
      </c>
      <c r="AL2098">
        <v>10090</v>
      </c>
      <c r="AM2098">
        <v>0</v>
      </c>
      <c r="AN2098">
        <v>0</v>
      </c>
      <c r="AO2098">
        <v>1193</v>
      </c>
      <c r="AP2098">
        <v>311</v>
      </c>
      <c r="AQ2098">
        <v>1193</v>
      </c>
      <c r="AR2098">
        <v>882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223</v>
      </c>
      <c r="BA2098">
        <v>223</v>
      </c>
      <c r="BB2098">
        <v>0</v>
      </c>
      <c r="BC2098">
        <v>0</v>
      </c>
      <c r="BD2098">
        <v>0</v>
      </c>
      <c r="BE2098">
        <f t="shared" si="333"/>
        <v>42735</v>
      </c>
      <c r="BF2098">
        <v>31967</v>
      </c>
      <c r="BG2098">
        <v>31967</v>
      </c>
      <c r="BH2098" t="s">
        <v>82</v>
      </c>
      <c r="BI2098" t="s">
        <v>853</v>
      </c>
      <c r="BJ2098">
        <v>15593</v>
      </c>
      <c r="BK2098">
        <v>13638</v>
      </c>
      <c r="BL2098">
        <v>31967</v>
      </c>
      <c r="BM2098">
        <v>0</v>
      </c>
      <c r="BN2098">
        <v>0</v>
      </c>
      <c r="BO2098">
        <v>0</v>
      </c>
      <c r="BP2098">
        <v>19794</v>
      </c>
      <c r="BQ2098">
        <v>19794</v>
      </c>
      <c r="BR2098">
        <f t="shared" si="334"/>
        <v>-527</v>
      </c>
      <c r="BS2098">
        <f t="shared" si="335"/>
        <v>1895</v>
      </c>
    </row>
    <row r="2099" spans="1:74" x14ac:dyDescent="0.25">
      <c r="A2099" s="5" t="s">
        <v>1337</v>
      </c>
      <c r="B2099" s="5" t="s">
        <v>359</v>
      </c>
      <c r="C2099" s="5" t="s">
        <v>61</v>
      </c>
      <c r="D2099" s="1" t="s">
        <v>62</v>
      </c>
      <c r="E2099">
        <v>0</v>
      </c>
      <c r="F2099">
        <v>0</v>
      </c>
      <c r="G2099">
        <v>0</v>
      </c>
      <c r="H2099">
        <v>0</v>
      </c>
      <c r="I2099">
        <v>7748</v>
      </c>
      <c r="J2099">
        <v>1355</v>
      </c>
      <c r="K2099">
        <v>46</v>
      </c>
      <c r="L2099">
        <v>200</v>
      </c>
      <c r="M2099">
        <v>0</v>
      </c>
      <c r="N2099">
        <v>0</v>
      </c>
      <c r="O2099">
        <v>0</v>
      </c>
      <c r="P2099">
        <v>0</v>
      </c>
      <c r="Q2099">
        <v>476</v>
      </c>
      <c r="R2099">
        <v>0</v>
      </c>
      <c r="S2099" s="18" t="e">
        <f t="shared" si="326"/>
        <v>#DIV/0!</v>
      </c>
      <c r="T2099" s="17" t="e">
        <f t="shared" si="327"/>
        <v>#DIV/0!</v>
      </c>
      <c r="U2099" s="17" t="e">
        <f t="shared" si="328"/>
        <v>#DIV/0!</v>
      </c>
      <c r="V2099" s="17" t="e">
        <f t="shared" si="329"/>
        <v>#DIV/0!</v>
      </c>
      <c r="W2099" s="17" t="e">
        <f t="shared" si="330"/>
        <v>#DIV/0!</v>
      </c>
      <c r="X2099" s="17" t="e">
        <f t="shared" si="331"/>
        <v>#DIV/0!</v>
      </c>
      <c r="Y2099" s="19" t="e">
        <f t="shared" si="332"/>
        <v>#DIV/0!</v>
      </c>
      <c r="Z2099">
        <v>0</v>
      </c>
      <c r="AA2099">
        <v>0</v>
      </c>
      <c r="AB2099">
        <v>0</v>
      </c>
      <c r="AC2099">
        <v>330</v>
      </c>
      <c r="AD2099">
        <v>0</v>
      </c>
      <c r="AE2099">
        <v>0</v>
      </c>
      <c r="AF2099">
        <v>0</v>
      </c>
      <c r="AG2099">
        <v>7748</v>
      </c>
      <c r="AH2099">
        <v>7748</v>
      </c>
      <c r="AI2099">
        <v>0</v>
      </c>
      <c r="AJ2099">
        <v>0</v>
      </c>
      <c r="AK2099">
        <v>1355</v>
      </c>
      <c r="AL2099">
        <v>1355</v>
      </c>
      <c r="AM2099">
        <v>0</v>
      </c>
      <c r="AN2099">
        <v>0</v>
      </c>
      <c r="AO2099">
        <v>46</v>
      </c>
      <c r="AP2099">
        <v>6</v>
      </c>
      <c r="AQ2099">
        <v>46</v>
      </c>
      <c r="AR2099">
        <v>40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200</v>
      </c>
      <c r="BA2099">
        <v>200</v>
      </c>
      <c r="BB2099">
        <v>0</v>
      </c>
      <c r="BC2099">
        <v>0</v>
      </c>
      <c r="BD2099">
        <v>0</v>
      </c>
      <c r="BE2099">
        <f t="shared" si="333"/>
        <v>19074</v>
      </c>
      <c r="BF2099">
        <v>9679</v>
      </c>
      <c r="BG2099">
        <v>9679</v>
      </c>
      <c r="BH2099" t="s">
        <v>63</v>
      </c>
      <c r="BI2099" t="s">
        <v>1413</v>
      </c>
      <c r="BJ2099">
        <v>330</v>
      </c>
      <c r="BK2099">
        <v>9349</v>
      </c>
      <c r="BL2099">
        <v>9679</v>
      </c>
      <c r="BM2099">
        <v>0</v>
      </c>
      <c r="BN2099">
        <v>0</v>
      </c>
      <c r="BO2099">
        <v>0</v>
      </c>
      <c r="BP2099">
        <v>9349</v>
      </c>
      <c r="BQ2099">
        <v>9349</v>
      </c>
      <c r="BR2099">
        <f t="shared" si="334"/>
        <v>-476</v>
      </c>
      <c r="BS2099">
        <f t="shared" si="335"/>
        <v>476</v>
      </c>
      <c r="BU2099">
        <f>R2099*9</f>
        <v>0</v>
      </c>
      <c r="BV2099">
        <f>IF(BU2099&gt;BG2099, 1, 0)</f>
        <v>0</v>
      </c>
    </row>
    <row r="2100" spans="1:74" x14ac:dyDescent="0.25">
      <c r="A2100" s="5" t="s">
        <v>627</v>
      </c>
      <c r="B2100" s="5" t="s">
        <v>61</v>
      </c>
      <c r="C2100" s="5" t="s">
        <v>61</v>
      </c>
      <c r="D2100" s="1" t="s">
        <v>84</v>
      </c>
      <c r="E2100">
        <v>0</v>
      </c>
      <c r="F2100">
        <v>592</v>
      </c>
      <c r="G2100">
        <v>0</v>
      </c>
      <c r="H2100">
        <v>0</v>
      </c>
      <c r="I2100">
        <v>2566</v>
      </c>
      <c r="J2100">
        <v>0</v>
      </c>
      <c r="K2100">
        <v>1455</v>
      </c>
      <c r="L2100">
        <v>0</v>
      </c>
      <c r="M2100">
        <v>1224</v>
      </c>
      <c r="N2100">
        <v>0</v>
      </c>
      <c r="O2100">
        <v>0</v>
      </c>
      <c r="P2100">
        <v>1080</v>
      </c>
      <c r="Q2100">
        <v>785</v>
      </c>
      <c r="R2100">
        <v>256</v>
      </c>
      <c r="S2100" s="18">
        <f t="shared" si="326"/>
        <v>9</v>
      </c>
      <c r="T2100" s="17">
        <f t="shared" si="327"/>
        <v>136</v>
      </c>
      <c r="U2100" s="17">
        <f t="shared" si="328"/>
        <v>0</v>
      </c>
      <c r="V2100" s="17">
        <f t="shared" si="329"/>
        <v>0</v>
      </c>
      <c r="W2100" s="17">
        <f t="shared" si="330"/>
        <v>120</v>
      </c>
      <c r="X2100" s="17">
        <f t="shared" si="331"/>
        <v>529</v>
      </c>
      <c r="Y2100" s="19">
        <f t="shared" si="332"/>
        <v>0</v>
      </c>
      <c r="Z2100">
        <v>592</v>
      </c>
      <c r="AA2100">
        <v>0</v>
      </c>
      <c r="AB2100">
        <v>0</v>
      </c>
      <c r="AC2100">
        <v>0</v>
      </c>
      <c r="AD2100">
        <v>2376</v>
      </c>
      <c r="AE2100">
        <v>0</v>
      </c>
      <c r="AF2100">
        <v>0</v>
      </c>
      <c r="AG2100">
        <v>190</v>
      </c>
      <c r="AH2100">
        <v>2566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1455</v>
      </c>
      <c r="AP2100">
        <v>612</v>
      </c>
      <c r="AQ2100">
        <v>1455</v>
      </c>
      <c r="AR2100">
        <v>843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f t="shared" si="333"/>
        <v>9497</v>
      </c>
      <c r="BF2100">
        <v>4613</v>
      </c>
      <c r="BG2100">
        <v>4613</v>
      </c>
      <c r="BH2100" t="s">
        <v>109</v>
      </c>
      <c r="BI2100" t="s">
        <v>819</v>
      </c>
      <c r="BJ2100">
        <v>0</v>
      </c>
      <c r="BK2100">
        <v>4021</v>
      </c>
      <c r="BL2100">
        <v>4613</v>
      </c>
      <c r="BM2100">
        <v>3600</v>
      </c>
      <c r="BN2100">
        <v>0</v>
      </c>
      <c r="BO2100">
        <v>0</v>
      </c>
      <c r="BP2100">
        <v>2725</v>
      </c>
      <c r="BQ2100">
        <v>6325</v>
      </c>
      <c r="BR2100">
        <f t="shared" si="334"/>
        <v>-529</v>
      </c>
      <c r="BS2100">
        <f t="shared" si="335"/>
        <v>1041</v>
      </c>
    </row>
    <row r="2101" spans="1:74" x14ac:dyDescent="0.25">
      <c r="A2101" s="5" t="s">
        <v>1017</v>
      </c>
      <c r="B2101" s="5" t="s">
        <v>61</v>
      </c>
      <c r="C2101" s="5" t="s">
        <v>61</v>
      </c>
      <c r="D2101" s="1" t="s">
        <v>94</v>
      </c>
      <c r="E2101">
        <v>0</v>
      </c>
      <c r="F2101">
        <v>0</v>
      </c>
      <c r="G2101">
        <v>0</v>
      </c>
      <c r="H2101">
        <v>0</v>
      </c>
      <c r="I2101">
        <v>347</v>
      </c>
      <c r="J2101">
        <v>2860</v>
      </c>
      <c r="K2101">
        <v>246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530</v>
      </c>
      <c r="R2101">
        <v>0</v>
      </c>
      <c r="S2101" s="18" t="e">
        <f t="shared" si="326"/>
        <v>#DIV/0!</v>
      </c>
      <c r="T2101" s="17" t="e">
        <f t="shared" si="327"/>
        <v>#DIV/0!</v>
      </c>
      <c r="U2101" s="17" t="e">
        <f t="shared" si="328"/>
        <v>#DIV/0!</v>
      </c>
      <c r="V2101" s="17" t="e">
        <f t="shared" si="329"/>
        <v>#DIV/0!</v>
      </c>
      <c r="W2101" s="17" t="e">
        <f t="shared" si="330"/>
        <v>#DIV/0!</v>
      </c>
      <c r="X2101" s="17" t="e">
        <f t="shared" si="331"/>
        <v>#DIV/0!</v>
      </c>
      <c r="Y2101" s="19" t="e">
        <f t="shared" si="332"/>
        <v>#DIV/0!</v>
      </c>
      <c r="Z2101">
        <v>0</v>
      </c>
      <c r="AA2101">
        <v>0</v>
      </c>
      <c r="AB2101">
        <v>0</v>
      </c>
      <c r="AC2101">
        <v>100</v>
      </c>
      <c r="AD2101">
        <v>90</v>
      </c>
      <c r="AE2101">
        <v>0</v>
      </c>
      <c r="AF2101">
        <v>0</v>
      </c>
      <c r="AG2101">
        <v>257</v>
      </c>
      <c r="AH2101">
        <v>347</v>
      </c>
      <c r="AI2101">
        <v>510</v>
      </c>
      <c r="AJ2101">
        <v>0</v>
      </c>
      <c r="AK2101">
        <v>2350</v>
      </c>
      <c r="AL2101">
        <v>2860</v>
      </c>
      <c r="AM2101">
        <v>15</v>
      </c>
      <c r="AN2101">
        <v>0</v>
      </c>
      <c r="AO2101">
        <v>231</v>
      </c>
      <c r="AP2101">
        <v>101</v>
      </c>
      <c r="AQ2101">
        <v>246</v>
      </c>
      <c r="AR2101">
        <v>145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f t="shared" si="333"/>
        <v>7252</v>
      </c>
      <c r="BF2101">
        <v>3553</v>
      </c>
      <c r="BG2101">
        <v>3553</v>
      </c>
      <c r="BH2101" t="s">
        <v>190</v>
      </c>
      <c r="BI2101" t="s">
        <v>1032</v>
      </c>
      <c r="BJ2101">
        <v>100</v>
      </c>
      <c r="BK2101">
        <v>3453</v>
      </c>
      <c r="BL2101">
        <v>3553</v>
      </c>
      <c r="BM2101">
        <v>615</v>
      </c>
      <c r="BN2101">
        <v>0</v>
      </c>
      <c r="BO2101">
        <v>0</v>
      </c>
      <c r="BP2101">
        <v>2838</v>
      </c>
      <c r="BQ2101">
        <v>3453</v>
      </c>
      <c r="BR2101">
        <f t="shared" si="334"/>
        <v>-530</v>
      </c>
      <c r="BS2101">
        <f t="shared" si="335"/>
        <v>530</v>
      </c>
    </row>
    <row r="2102" spans="1:74" x14ac:dyDescent="0.25">
      <c r="A2102" s="5" t="s">
        <v>1135</v>
      </c>
      <c r="B2102" s="5" t="s">
        <v>207</v>
      </c>
      <c r="C2102" s="5" t="s">
        <v>359</v>
      </c>
      <c r="D2102" s="1" t="s">
        <v>84</v>
      </c>
      <c r="E2102">
        <v>0</v>
      </c>
      <c r="F2102">
        <v>280</v>
      </c>
      <c r="G2102">
        <v>0</v>
      </c>
      <c r="H2102">
        <v>0</v>
      </c>
      <c r="I2102">
        <v>410</v>
      </c>
      <c r="J2102">
        <v>6786</v>
      </c>
      <c r="K2102">
        <v>1262</v>
      </c>
      <c r="L2102">
        <v>165</v>
      </c>
      <c r="M2102">
        <v>0</v>
      </c>
      <c r="N2102">
        <v>0</v>
      </c>
      <c r="O2102">
        <v>0</v>
      </c>
      <c r="P2102">
        <v>315</v>
      </c>
      <c r="Q2102">
        <v>565</v>
      </c>
      <c r="R2102">
        <v>35</v>
      </c>
      <c r="S2102" s="18">
        <f t="shared" si="326"/>
        <v>9</v>
      </c>
      <c r="T2102" s="17">
        <f t="shared" si="327"/>
        <v>0</v>
      </c>
      <c r="U2102" s="17">
        <f t="shared" si="328"/>
        <v>0</v>
      </c>
      <c r="V2102" s="17">
        <f t="shared" si="329"/>
        <v>0</v>
      </c>
      <c r="W2102" s="17">
        <f t="shared" si="330"/>
        <v>35</v>
      </c>
      <c r="X2102" s="17">
        <f t="shared" si="331"/>
        <v>530</v>
      </c>
      <c r="Y2102" s="19">
        <f t="shared" si="332"/>
        <v>0</v>
      </c>
      <c r="Z2102">
        <v>280</v>
      </c>
      <c r="AA2102">
        <v>21</v>
      </c>
      <c r="AB2102">
        <v>210</v>
      </c>
      <c r="AC2102">
        <v>7250</v>
      </c>
      <c r="AD2102">
        <v>0</v>
      </c>
      <c r="AE2102">
        <v>0</v>
      </c>
      <c r="AF2102">
        <v>0</v>
      </c>
      <c r="AG2102">
        <v>410</v>
      </c>
      <c r="AH2102">
        <v>410</v>
      </c>
      <c r="AI2102">
        <v>0</v>
      </c>
      <c r="AJ2102">
        <v>0</v>
      </c>
      <c r="AK2102">
        <v>6786</v>
      </c>
      <c r="AL2102">
        <v>6786</v>
      </c>
      <c r="AM2102">
        <v>0</v>
      </c>
      <c r="AN2102">
        <v>0</v>
      </c>
      <c r="AO2102">
        <v>1262</v>
      </c>
      <c r="AP2102">
        <v>120</v>
      </c>
      <c r="AQ2102">
        <v>1262</v>
      </c>
      <c r="AR2102">
        <v>1142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165</v>
      </c>
      <c r="BA2102">
        <v>165</v>
      </c>
      <c r="BB2102">
        <v>0</v>
      </c>
      <c r="BC2102">
        <v>0</v>
      </c>
      <c r="BD2102">
        <v>0</v>
      </c>
      <c r="BE2102">
        <f t="shared" si="333"/>
        <v>25758</v>
      </c>
      <c r="BF2102">
        <v>16384</v>
      </c>
      <c r="BG2102">
        <v>16384</v>
      </c>
      <c r="BH2102" t="s">
        <v>82</v>
      </c>
      <c r="BI2102" t="s">
        <v>1293</v>
      </c>
      <c r="BJ2102">
        <v>7481</v>
      </c>
      <c r="BK2102">
        <v>8623</v>
      </c>
      <c r="BL2102">
        <v>16384</v>
      </c>
      <c r="BM2102">
        <v>0</v>
      </c>
      <c r="BN2102">
        <v>0</v>
      </c>
      <c r="BO2102">
        <v>0</v>
      </c>
      <c r="BP2102">
        <v>8938</v>
      </c>
      <c r="BQ2102">
        <v>8938</v>
      </c>
      <c r="BR2102">
        <f t="shared" si="334"/>
        <v>-530</v>
      </c>
      <c r="BS2102">
        <f t="shared" si="335"/>
        <v>600</v>
      </c>
    </row>
    <row r="2103" spans="1:74" x14ac:dyDescent="0.25">
      <c r="A2103" s="5" t="s">
        <v>2090</v>
      </c>
      <c r="B2103" s="5" t="s">
        <v>61</v>
      </c>
      <c r="C2103" s="5" t="s">
        <v>61</v>
      </c>
      <c r="D2103" s="1" t="s">
        <v>108</v>
      </c>
      <c r="E2103">
        <v>155</v>
      </c>
      <c r="F2103">
        <v>160</v>
      </c>
      <c r="G2103">
        <v>0</v>
      </c>
      <c r="H2103">
        <v>0</v>
      </c>
      <c r="I2103">
        <v>107</v>
      </c>
      <c r="J2103">
        <v>5017</v>
      </c>
      <c r="K2103">
        <v>300</v>
      </c>
      <c r="L2103">
        <v>10</v>
      </c>
      <c r="M2103">
        <v>0</v>
      </c>
      <c r="N2103">
        <v>0</v>
      </c>
      <c r="O2103">
        <v>0</v>
      </c>
      <c r="P2103">
        <v>360</v>
      </c>
      <c r="Q2103">
        <v>570</v>
      </c>
      <c r="R2103">
        <v>40</v>
      </c>
      <c r="S2103" s="18">
        <f t="shared" si="326"/>
        <v>9</v>
      </c>
      <c r="T2103" s="17">
        <f t="shared" si="327"/>
        <v>0</v>
      </c>
      <c r="U2103" s="17">
        <f t="shared" si="328"/>
        <v>0</v>
      </c>
      <c r="V2103" s="17">
        <f t="shared" si="329"/>
        <v>0</v>
      </c>
      <c r="W2103" s="17">
        <f t="shared" si="330"/>
        <v>40</v>
      </c>
      <c r="X2103" s="17">
        <f t="shared" si="331"/>
        <v>530</v>
      </c>
      <c r="Y2103" s="19">
        <f t="shared" si="332"/>
        <v>0</v>
      </c>
      <c r="Z2103">
        <v>160</v>
      </c>
      <c r="AA2103">
        <v>9.5</v>
      </c>
      <c r="AB2103">
        <v>194</v>
      </c>
      <c r="AC2103">
        <v>6000</v>
      </c>
      <c r="AD2103">
        <v>0</v>
      </c>
      <c r="AE2103">
        <v>0</v>
      </c>
      <c r="AF2103">
        <v>0</v>
      </c>
      <c r="AG2103">
        <v>107</v>
      </c>
      <c r="AH2103">
        <v>107</v>
      </c>
      <c r="AI2103">
        <v>0</v>
      </c>
      <c r="AJ2103">
        <v>0</v>
      </c>
      <c r="AK2103">
        <v>5017</v>
      </c>
      <c r="AL2103">
        <v>5017</v>
      </c>
      <c r="AM2103">
        <v>0</v>
      </c>
      <c r="AN2103">
        <v>0</v>
      </c>
      <c r="AO2103">
        <v>300</v>
      </c>
      <c r="AP2103">
        <v>10</v>
      </c>
      <c r="AQ2103">
        <v>300</v>
      </c>
      <c r="AR2103">
        <v>290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10</v>
      </c>
      <c r="BA2103">
        <v>10</v>
      </c>
      <c r="BB2103">
        <v>0</v>
      </c>
      <c r="BC2103">
        <v>0</v>
      </c>
      <c r="BD2103">
        <v>0</v>
      </c>
      <c r="BE2103">
        <f t="shared" si="333"/>
        <v>17168</v>
      </c>
      <c r="BF2103">
        <v>11952.5</v>
      </c>
      <c r="BG2103">
        <v>11952.5</v>
      </c>
      <c r="BH2103" t="s">
        <v>82</v>
      </c>
      <c r="BI2103" t="s">
        <v>851</v>
      </c>
      <c r="BJ2103">
        <v>6358.5</v>
      </c>
      <c r="BK2103">
        <v>5434</v>
      </c>
      <c r="BL2103">
        <v>11952.5</v>
      </c>
      <c r="BM2103">
        <v>0</v>
      </c>
      <c r="BN2103">
        <v>0</v>
      </c>
      <c r="BO2103">
        <v>0</v>
      </c>
      <c r="BP2103">
        <v>5794</v>
      </c>
      <c r="BQ2103">
        <v>5794</v>
      </c>
      <c r="BR2103">
        <f t="shared" si="334"/>
        <v>-530</v>
      </c>
      <c r="BS2103">
        <f t="shared" si="335"/>
        <v>610</v>
      </c>
    </row>
    <row r="2104" spans="1:74" x14ac:dyDescent="0.25">
      <c r="A2104" s="5" t="s">
        <v>1451</v>
      </c>
      <c r="B2104" s="5" t="s">
        <v>61</v>
      </c>
      <c r="C2104" s="5" t="s">
        <v>61</v>
      </c>
      <c r="D2104" s="1" t="s">
        <v>106</v>
      </c>
      <c r="E2104">
        <v>50</v>
      </c>
      <c r="F2104">
        <v>465</v>
      </c>
      <c r="G2104">
        <v>2500</v>
      </c>
      <c r="H2104">
        <v>0</v>
      </c>
      <c r="I2104">
        <v>1093</v>
      </c>
      <c r="J2104">
        <v>21940</v>
      </c>
      <c r="K2104">
        <v>2920</v>
      </c>
      <c r="L2104">
        <v>1929</v>
      </c>
      <c r="M2104">
        <v>612</v>
      </c>
      <c r="N2104">
        <v>0</v>
      </c>
      <c r="O2104">
        <v>0</v>
      </c>
      <c r="P2104">
        <v>990</v>
      </c>
      <c r="Q2104">
        <v>712</v>
      </c>
      <c r="R2104">
        <v>178</v>
      </c>
      <c r="S2104" s="18">
        <f t="shared" si="326"/>
        <v>9</v>
      </c>
      <c r="T2104" s="17">
        <f t="shared" si="327"/>
        <v>68</v>
      </c>
      <c r="U2104" s="17">
        <f t="shared" si="328"/>
        <v>0</v>
      </c>
      <c r="V2104" s="17">
        <f t="shared" si="329"/>
        <v>0</v>
      </c>
      <c r="W2104" s="17">
        <f t="shared" si="330"/>
        <v>110</v>
      </c>
      <c r="X2104" s="17">
        <f t="shared" si="331"/>
        <v>534</v>
      </c>
      <c r="Y2104" s="19">
        <f t="shared" si="332"/>
        <v>0</v>
      </c>
      <c r="Z2104">
        <v>465</v>
      </c>
      <c r="AA2104">
        <v>30</v>
      </c>
      <c r="AB2104">
        <v>0</v>
      </c>
      <c r="AC2104">
        <v>594</v>
      </c>
      <c r="AD2104">
        <v>0</v>
      </c>
      <c r="AE2104">
        <v>0</v>
      </c>
      <c r="AF2104">
        <v>0</v>
      </c>
      <c r="AG2104">
        <v>1093</v>
      </c>
      <c r="AH2104">
        <v>1093</v>
      </c>
      <c r="AI2104">
        <v>0</v>
      </c>
      <c r="AJ2104">
        <v>20440</v>
      </c>
      <c r="AK2104">
        <v>1500</v>
      </c>
      <c r="AL2104">
        <v>21940</v>
      </c>
      <c r="AM2104">
        <v>0</v>
      </c>
      <c r="AN2104">
        <v>2210</v>
      </c>
      <c r="AO2104">
        <v>710</v>
      </c>
      <c r="AP2104">
        <v>1635</v>
      </c>
      <c r="AQ2104">
        <v>2920</v>
      </c>
      <c r="AR2104">
        <v>1285</v>
      </c>
      <c r="AS2104">
        <v>0</v>
      </c>
      <c r="AT2104">
        <v>2500</v>
      </c>
      <c r="AU2104">
        <v>2500</v>
      </c>
      <c r="AV2104">
        <v>2500</v>
      </c>
      <c r="AW2104">
        <v>0</v>
      </c>
      <c r="AX2104">
        <v>0</v>
      </c>
      <c r="AY2104">
        <v>1129</v>
      </c>
      <c r="AZ2104">
        <v>800</v>
      </c>
      <c r="BA2104">
        <v>1929</v>
      </c>
      <c r="BB2104">
        <v>0</v>
      </c>
      <c r="BC2104">
        <v>0</v>
      </c>
      <c r="BD2104">
        <v>0</v>
      </c>
      <c r="BE2104">
        <f t="shared" si="333"/>
        <v>66778</v>
      </c>
      <c r="BF2104">
        <v>31521</v>
      </c>
      <c r="BG2104">
        <v>31521</v>
      </c>
      <c r="BH2104" t="s">
        <v>199</v>
      </c>
      <c r="BI2104" t="s">
        <v>1469</v>
      </c>
      <c r="BJ2104">
        <v>674</v>
      </c>
      <c r="BK2104">
        <v>30382</v>
      </c>
      <c r="BL2104">
        <v>31521</v>
      </c>
      <c r="BM2104">
        <v>612</v>
      </c>
      <c r="BN2104">
        <v>23779</v>
      </c>
      <c r="BO2104">
        <v>0</v>
      </c>
      <c r="BP2104">
        <v>7593</v>
      </c>
      <c r="BQ2104">
        <v>31984</v>
      </c>
      <c r="BR2104">
        <f t="shared" si="334"/>
        <v>-534</v>
      </c>
      <c r="BS2104">
        <f t="shared" si="335"/>
        <v>890</v>
      </c>
    </row>
    <row r="2105" spans="1:74" x14ac:dyDescent="0.25">
      <c r="A2105" s="5" t="s">
        <v>1946</v>
      </c>
      <c r="B2105" s="5" t="s">
        <v>61</v>
      </c>
      <c r="C2105" s="5" t="s">
        <v>61</v>
      </c>
      <c r="D2105" s="1" t="s">
        <v>88</v>
      </c>
      <c r="E2105">
        <v>0</v>
      </c>
      <c r="F2105">
        <v>1627</v>
      </c>
      <c r="G2105">
        <v>0</v>
      </c>
      <c r="H2105">
        <v>0</v>
      </c>
      <c r="I2105">
        <v>5700</v>
      </c>
      <c r="J2105">
        <v>0</v>
      </c>
      <c r="K2105">
        <v>1710</v>
      </c>
      <c r="L2105">
        <v>0</v>
      </c>
      <c r="M2105">
        <v>5859</v>
      </c>
      <c r="N2105">
        <v>0</v>
      </c>
      <c r="O2105">
        <v>0</v>
      </c>
      <c r="P2105">
        <v>0</v>
      </c>
      <c r="Q2105">
        <v>1185</v>
      </c>
      <c r="R2105">
        <v>651</v>
      </c>
      <c r="S2105" s="18">
        <f t="shared" si="326"/>
        <v>9</v>
      </c>
      <c r="T2105" s="17">
        <f t="shared" si="327"/>
        <v>651</v>
      </c>
      <c r="U2105" s="17">
        <f t="shared" si="328"/>
        <v>0</v>
      </c>
      <c r="V2105" s="17">
        <f t="shared" si="329"/>
        <v>0</v>
      </c>
      <c r="W2105" s="17">
        <f t="shared" si="330"/>
        <v>0</v>
      </c>
      <c r="X2105" s="17">
        <f t="shared" si="331"/>
        <v>534</v>
      </c>
      <c r="Y2105" s="19">
        <f t="shared" si="332"/>
        <v>0</v>
      </c>
      <c r="Z2105">
        <v>1627</v>
      </c>
      <c r="AA2105">
        <v>0</v>
      </c>
      <c r="AB2105">
        <v>0</v>
      </c>
      <c r="AC2105">
        <v>0</v>
      </c>
      <c r="AD2105">
        <v>5700</v>
      </c>
      <c r="AE2105">
        <v>0</v>
      </c>
      <c r="AF2105">
        <v>0</v>
      </c>
      <c r="AG2105">
        <v>0</v>
      </c>
      <c r="AH2105">
        <v>5700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1710</v>
      </c>
      <c r="AP2105">
        <v>0</v>
      </c>
      <c r="AQ2105">
        <v>1710</v>
      </c>
      <c r="AR2105">
        <v>1710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f t="shared" si="333"/>
        <v>16530</v>
      </c>
      <c r="BF2105">
        <v>9037</v>
      </c>
      <c r="BG2105">
        <v>9037</v>
      </c>
      <c r="BH2105" t="s">
        <v>109</v>
      </c>
      <c r="BI2105" t="s">
        <v>1959</v>
      </c>
      <c r="BJ2105">
        <v>0</v>
      </c>
      <c r="BK2105">
        <v>7410</v>
      </c>
      <c r="BL2105">
        <v>9037</v>
      </c>
      <c r="BM2105">
        <v>11559</v>
      </c>
      <c r="BN2105">
        <v>0</v>
      </c>
      <c r="BO2105">
        <v>0</v>
      </c>
      <c r="BP2105">
        <v>1710</v>
      </c>
      <c r="BQ2105">
        <v>13269</v>
      </c>
      <c r="BR2105">
        <f t="shared" si="334"/>
        <v>-534</v>
      </c>
      <c r="BS2105">
        <f t="shared" si="335"/>
        <v>1836</v>
      </c>
    </row>
    <row r="2106" spans="1:74" x14ac:dyDescent="0.25">
      <c r="A2106" s="5" t="s">
        <v>1337</v>
      </c>
      <c r="B2106" s="5" t="s">
        <v>207</v>
      </c>
      <c r="C2106" s="5" t="s">
        <v>61</v>
      </c>
      <c r="D2106" s="1" t="s">
        <v>131</v>
      </c>
      <c r="E2106">
        <v>0</v>
      </c>
      <c r="F2106">
        <v>1100</v>
      </c>
      <c r="G2106">
        <v>0</v>
      </c>
      <c r="H2106">
        <v>0</v>
      </c>
      <c r="I2106">
        <v>165</v>
      </c>
      <c r="J2106">
        <v>495</v>
      </c>
      <c r="K2106">
        <v>150</v>
      </c>
      <c r="L2106">
        <v>50</v>
      </c>
      <c r="M2106">
        <v>0</v>
      </c>
      <c r="N2106">
        <v>0</v>
      </c>
      <c r="O2106">
        <v>0</v>
      </c>
      <c r="P2106">
        <v>684</v>
      </c>
      <c r="Q2106">
        <v>613</v>
      </c>
      <c r="R2106">
        <v>76</v>
      </c>
      <c r="S2106" s="18">
        <f t="shared" si="326"/>
        <v>9</v>
      </c>
      <c r="T2106" s="17">
        <f t="shared" si="327"/>
        <v>0</v>
      </c>
      <c r="U2106" s="17">
        <f t="shared" si="328"/>
        <v>0</v>
      </c>
      <c r="V2106" s="17">
        <f t="shared" si="329"/>
        <v>0</v>
      </c>
      <c r="W2106" s="17">
        <f t="shared" si="330"/>
        <v>76</v>
      </c>
      <c r="X2106" s="17">
        <f t="shared" si="331"/>
        <v>537</v>
      </c>
      <c r="Y2106" s="19">
        <f t="shared" si="332"/>
        <v>0</v>
      </c>
      <c r="Z2106">
        <v>1100</v>
      </c>
      <c r="AA2106">
        <v>4</v>
      </c>
      <c r="AB2106">
        <v>0</v>
      </c>
      <c r="AC2106">
        <v>5000</v>
      </c>
      <c r="AD2106">
        <v>0</v>
      </c>
      <c r="AE2106">
        <v>0</v>
      </c>
      <c r="AF2106">
        <v>0</v>
      </c>
      <c r="AG2106">
        <v>165</v>
      </c>
      <c r="AH2106">
        <v>165</v>
      </c>
      <c r="AI2106">
        <v>0</v>
      </c>
      <c r="AJ2106">
        <v>0</v>
      </c>
      <c r="AK2106">
        <v>495</v>
      </c>
      <c r="AL2106">
        <v>495</v>
      </c>
      <c r="AM2106">
        <v>0</v>
      </c>
      <c r="AN2106">
        <v>0</v>
      </c>
      <c r="AO2106">
        <v>150</v>
      </c>
      <c r="AP2106">
        <v>50</v>
      </c>
      <c r="AQ2106">
        <v>150</v>
      </c>
      <c r="AR2106">
        <v>100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50</v>
      </c>
      <c r="BA2106">
        <v>50</v>
      </c>
      <c r="BB2106">
        <v>0</v>
      </c>
      <c r="BC2106">
        <v>0</v>
      </c>
      <c r="BD2106">
        <v>0</v>
      </c>
      <c r="BE2106">
        <f t="shared" si="333"/>
        <v>6870</v>
      </c>
      <c r="BF2106">
        <v>6964</v>
      </c>
      <c r="BG2106">
        <v>6964</v>
      </c>
      <c r="BH2106" t="s">
        <v>82</v>
      </c>
      <c r="BI2106" t="s">
        <v>1402</v>
      </c>
      <c r="BJ2106">
        <v>5004</v>
      </c>
      <c r="BK2106">
        <v>860</v>
      </c>
      <c r="BL2106">
        <v>6964</v>
      </c>
      <c r="BM2106">
        <v>0</v>
      </c>
      <c r="BN2106">
        <v>0</v>
      </c>
      <c r="BO2106">
        <v>0</v>
      </c>
      <c r="BP2106">
        <v>1544</v>
      </c>
      <c r="BQ2106">
        <v>1544</v>
      </c>
      <c r="BR2106">
        <f t="shared" si="334"/>
        <v>-537</v>
      </c>
      <c r="BS2106">
        <f t="shared" si="335"/>
        <v>689</v>
      </c>
    </row>
    <row r="2107" spans="1:74" x14ac:dyDescent="0.25">
      <c r="A2107" s="5" t="s">
        <v>1946</v>
      </c>
      <c r="B2107" s="5" t="s">
        <v>61</v>
      </c>
      <c r="C2107" s="5" t="s">
        <v>61</v>
      </c>
      <c r="D2107" s="1" t="s">
        <v>189</v>
      </c>
      <c r="E2107">
        <v>75</v>
      </c>
      <c r="F2107">
        <v>0</v>
      </c>
      <c r="G2107">
        <v>0</v>
      </c>
      <c r="H2107">
        <v>0</v>
      </c>
      <c r="I2107">
        <v>60</v>
      </c>
      <c r="J2107">
        <v>3300</v>
      </c>
      <c r="K2107">
        <v>1197</v>
      </c>
      <c r="L2107">
        <v>135</v>
      </c>
      <c r="M2107">
        <v>0</v>
      </c>
      <c r="N2107">
        <v>0</v>
      </c>
      <c r="O2107">
        <v>0</v>
      </c>
      <c r="P2107">
        <v>0</v>
      </c>
      <c r="Q2107">
        <v>537</v>
      </c>
      <c r="R2107">
        <v>0</v>
      </c>
      <c r="S2107" s="18" t="e">
        <f t="shared" si="326"/>
        <v>#DIV/0!</v>
      </c>
      <c r="T2107" s="17" t="e">
        <f t="shared" si="327"/>
        <v>#DIV/0!</v>
      </c>
      <c r="U2107" s="17" t="e">
        <f t="shared" si="328"/>
        <v>#DIV/0!</v>
      </c>
      <c r="V2107" s="17" t="e">
        <f t="shared" si="329"/>
        <v>#DIV/0!</v>
      </c>
      <c r="W2107" s="17" t="e">
        <f t="shared" si="330"/>
        <v>#DIV/0!</v>
      </c>
      <c r="X2107" s="17" t="e">
        <f t="shared" si="331"/>
        <v>#DIV/0!</v>
      </c>
      <c r="Y2107" s="19" t="e">
        <f t="shared" si="332"/>
        <v>#DIV/0!</v>
      </c>
      <c r="Z2107">
        <v>0</v>
      </c>
      <c r="AA2107">
        <v>10</v>
      </c>
      <c r="AB2107">
        <v>0</v>
      </c>
      <c r="AC2107">
        <v>4621</v>
      </c>
      <c r="AD2107">
        <v>0</v>
      </c>
      <c r="AE2107">
        <v>0</v>
      </c>
      <c r="AF2107">
        <v>0</v>
      </c>
      <c r="AG2107">
        <v>60</v>
      </c>
      <c r="AH2107">
        <v>60</v>
      </c>
      <c r="AI2107">
        <v>0</v>
      </c>
      <c r="AJ2107">
        <v>0</v>
      </c>
      <c r="AK2107">
        <v>3300</v>
      </c>
      <c r="AL2107">
        <v>3300</v>
      </c>
      <c r="AM2107">
        <v>0</v>
      </c>
      <c r="AN2107">
        <v>0</v>
      </c>
      <c r="AO2107">
        <v>1197</v>
      </c>
      <c r="AP2107">
        <v>347</v>
      </c>
      <c r="AQ2107">
        <v>1197</v>
      </c>
      <c r="AR2107">
        <v>850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135</v>
      </c>
      <c r="BA2107">
        <v>135</v>
      </c>
      <c r="BB2107">
        <v>0</v>
      </c>
      <c r="BC2107">
        <v>0</v>
      </c>
      <c r="BD2107">
        <v>0</v>
      </c>
      <c r="BE2107">
        <f t="shared" si="333"/>
        <v>15202</v>
      </c>
      <c r="BF2107">
        <v>9398</v>
      </c>
      <c r="BG2107">
        <v>9398</v>
      </c>
      <c r="BH2107" t="s">
        <v>82</v>
      </c>
      <c r="BI2107" t="s">
        <v>2005</v>
      </c>
      <c r="BJ2107">
        <v>4706</v>
      </c>
      <c r="BK2107">
        <v>4692</v>
      </c>
      <c r="BL2107">
        <v>9398</v>
      </c>
      <c r="BM2107">
        <v>0</v>
      </c>
      <c r="BN2107">
        <v>0</v>
      </c>
      <c r="BO2107">
        <v>0</v>
      </c>
      <c r="BP2107">
        <v>4692</v>
      </c>
      <c r="BQ2107">
        <v>4692</v>
      </c>
      <c r="BR2107">
        <f t="shared" si="334"/>
        <v>-537</v>
      </c>
      <c r="BS2107">
        <f t="shared" si="335"/>
        <v>537</v>
      </c>
    </row>
    <row r="2108" spans="1:74" x14ac:dyDescent="0.25">
      <c r="A2108" s="5" t="s">
        <v>61</v>
      </c>
      <c r="B2108" s="5" t="s">
        <v>61</v>
      </c>
      <c r="C2108" s="5" t="s">
        <v>61</v>
      </c>
      <c r="D2108" s="1" t="s">
        <v>119</v>
      </c>
      <c r="E2108">
        <v>0</v>
      </c>
      <c r="F2108">
        <v>93</v>
      </c>
      <c r="G2108">
        <v>0</v>
      </c>
      <c r="H2108">
        <v>0</v>
      </c>
      <c r="I2108">
        <v>3348</v>
      </c>
      <c r="J2108">
        <v>0</v>
      </c>
      <c r="K2108">
        <v>244</v>
      </c>
      <c r="L2108">
        <v>0</v>
      </c>
      <c r="M2108">
        <v>0</v>
      </c>
      <c r="N2108">
        <v>0</v>
      </c>
      <c r="O2108">
        <v>0</v>
      </c>
      <c r="P2108">
        <v>558</v>
      </c>
      <c r="Q2108">
        <v>600</v>
      </c>
      <c r="R2108">
        <v>62</v>
      </c>
      <c r="S2108" s="18">
        <f t="shared" si="326"/>
        <v>9</v>
      </c>
      <c r="T2108" s="17">
        <f t="shared" si="327"/>
        <v>0</v>
      </c>
      <c r="U2108" s="17">
        <f t="shared" si="328"/>
        <v>0</v>
      </c>
      <c r="V2108" s="17">
        <f t="shared" si="329"/>
        <v>0</v>
      </c>
      <c r="W2108" s="17">
        <f t="shared" si="330"/>
        <v>62</v>
      </c>
      <c r="X2108" s="17">
        <f t="shared" si="331"/>
        <v>538</v>
      </c>
      <c r="Y2108" s="19">
        <f t="shared" si="332"/>
        <v>0</v>
      </c>
      <c r="Z2108">
        <v>93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3348</v>
      </c>
      <c r="AH2108">
        <v>3348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244</v>
      </c>
      <c r="AP2108">
        <v>170</v>
      </c>
      <c r="AQ2108">
        <v>244</v>
      </c>
      <c r="AR2108">
        <v>74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f t="shared" si="333"/>
        <v>7428</v>
      </c>
      <c r="BF2108">
        <v>3685</v>
      </c>
      <c r="BG2108">
        <v>3685</v>
      </c>
      <c r="BH2108" t="s">
        <v>109</v>
      </c>
      <c r="BI2108" t="s">
        <v>120</v>
      </c>
      <c r="BJ2108">
        <v>0</v>
      </c>
      <c r="BK2108">
        <v>3592</v>
      </c>
      <c r="BL2108">
        <v>3685</v>
      </c>
      <c r="BM2108">
        <v>0</v>
      </c>
      <c r="BN2108">
        <v>0</v>
      </c>
      <c r="BO2108">
        <v>0</v>
      </c>
      <c r="BP2108">
        <v>4150</v>
      </c>
      <c r="BQ2108">
        <v>4150</v>
      </c>
      <c r="BR2108">
        <f t="shared" si="334"/>
        <v>-538</v>
      </c>
      <c r="BS2108">
        <f t="shared" si="335"/>
        <v>662</v>
      </c>
    </row>
    <row r="2109" spans="1:74" x14ac:dyDescent="0.25">
      <c r="A2109" s="5" t="s">
        <v>875</v>
      </c>
      <c r="B2109" s="5" t="s">
        <v>61</v>
      </c>
      <c r="C2109" s="5" t="s">
        <v>207</v>
      </c>
      <c r="D2109" s="1" t="s">
        <v>135</v>
      </c>
      <c r="E2109">
        <v>0</v>
      </c>
      <c r="F2109">
        <v>172</v>
      </c>
      <c r="G2109">
        <v>0</v>
      </c>
      <c r="H2109">
        <v>0</v>
      </c>
      <c r="I2109">
        <v>2365</v>
      </c>
      <c r="J2109">
        <v>0</v>
      </c>
      <c r="K2109">
        <v>390</v>
      </c>
      <c r="L2109">
        <v>0</v>
      </c>
      <c r="M2109">
        <v>135</v>
      </c>
      <c r="N2109">
        <v>0</v>
      </c>
      <c r="O2109">
        <v>0</v>
      </c>
      <c r="P2109">
        <v>252</v>
      </c>
      <c r="Q2109">
        <v>581</v>
      </c>
      <c r="R2109">
        <v>43</v>
      </c>
      <c r="S2109" s="18">
        <f t="shared" si="326"/>
        <v>9</v>
      </c>
      <c r="T2109" s="17">
        <f t="shared" si="327"/>
        <v>15</v>
      </c>
      <c r="U2109" s="17">
        <f t="shared" si="328"/>
        <v>0</v>
      </c>
      <c r="V2109" s="17">
        <f t="shared" si="329"/>
        <v>0</v>
      </c>
      <c r="W2109" s="17">
        <f t="shared" si="330"/>
        <v>28</v>
      </c>
      <c r="X2109" s="17">
        <f t="shared" si="331"/>
        <v>538</v>
      </c>
      <c r="Y2109" s="19">
        <f t="shared" si="332"/>
        <v>0</v>
      </c>
      <c r="Z2109">
        <v>172</v>
      </c>
      <c r="AA2109">
        <v>0</v>
      </c>
      <c r="AB2109">
        <v>0</v>
      </c>
      <c r="AC2109">
        <v>0</v>
      </c>
      <c r="AD2109">
        <v>905</v>
      </c>
      <c r="AE2109">
        <v>0</v>
      </c>
      <c r="AF2109">
        <v>0</v>
      </c>
      <c r="AG2109">
        <v>1460</v>
      </c>
      <c r="AH2109">
        <v>2365</v>
      </c>
      <c r="AI2109">
        <v>0</v>
      </c>
      <c r="AJ2109">
        <v>0</v>
      </c>
      <c r="AK2109">
        <v>0</v>
      </c>
      <c r="AL2109">
        <v>0</v>
      </c>
      <c r="AM2109">
        <v>50</v>
      </c>
      <c r="AN2109">
        <v>0</v>
      </c>
      <c r="AO2109">
        <v>340</v>
      </c>
      <c r="AP2109">
        <v>285</v>
      </c>
      <c r="AQ2109">
        <v>390</v>
      </c>
      <c r="AR2109">
        <v>105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f t="shared" si="333"/>
        <v>5900</v>
      </c>
      <c r="BF2109">
        <v>2927</v>
      </c>
      <c r="BG2109">
        <v>2927</v>
      </c>
      <c r="BH2109" t="s">
        <v>109</v>
      </c>
      <c r="BI2109" t="s">
        <v>907</v>
      </c>
      <c r="BJ2109">
        <v>0</v>
      </c>
      <c r="BK2109">
        <v>2755</v>
      </c>
      <c r="BL2109">
        <v>2927</v>
      </c>
      <c r="BM2109">
        <v>1090</v>
      </c>
      <c r="BN2109">
        <v>0</v>
      </c>
      <c r="BO2109">
        <v>0</v>
      </c>
      <c r="BP2109">
        <v>2052</v>
      </c>
      <c r="BQ2109">
        <v>3142</v>
      </c>
      <c r="BR2109">
        <f t="shared" si="334"/>
        <v>-538</v>
      </c>
      <c r="BS2109">
        <f t="shared" si="335"/>
        <v>624</v>
      </c>
    </row>
    <row r="2110" spans="1:74" x14ac:dyDescent="0.25">
      <c r="A2110" s="5" t="s">
        <v>1661</v>
      </c>
      <c r="B2110" s="5" t="s">
        <v>61</v>
      </c>
      <c r="C2110" s="5" t="s">
        <v>61</v>
      </c>
      <c r="D2110" s="1" t="s">
        <v>106</v>
      </c>
      <c r="E2110">
        <v>0</v>
      </c>
      <c r="F2110">
        <v>2571</v>
      </c>
      <c r="G2110">
        <v>0</v>
      </c>
      <c r="H2110">
        <v>0</v>
      </c>
      <c r="I2110">
        <v>855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5976</v>
      </c>
      <c r="Q2110">
        <v>1205</v>
      </c>
      <c r="R2110">
        <v>664</v>
      </c>
      <c r="S2110" s="18">
        <f t="shared" si="326"/>
        <v>9</v>
      </c>
      <c r="T2110" s="17">
        <f t="shared" si="327"/>
        <v>0</v>
      </c>
      <c r="U2110" s="17">
        <f t="shared" si="328"/>
        <v>0</v>
      </c>
      <c r="V2110" s="17">
        <f t="shared" si="329"/>
        <v>0</v>
      </c>
      <c r="W2110" s="17">
        <f t="shared" si="330"/>
        <v>664</v>
      </c>
      <c r="X2110" s="17">
        <f t="shared" si="331"/>
        <v>541</v>
      </c>
      <c r="Y2110" s="19">
        <f t="shared" si="332"/>
        <v>0</v>
      </c>
      <c r="Z2110">
        <v>2571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855</v>
      </c>
      <c r="AH2110">
        <v>855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f t="shared" si="333"/>
        <v>1710</v>
      </c>
      <c r="BF2110">
        <v>3426</v>
      </c>
      <c r="BG2110">
        <v>3426</v>
      </c>
      <c r="BH2110" t="s">
        <v>109</v>
      </c>
      <c r="BI2110" t="s">
        <v>1679</v>
      </c>
      <c r="BJ2110">
        <v>0</v>
      </c>
      <c r="BK2110">
        <v>855</v>
      </c>
      <c r="BL2110">
        <v>3426</v>
      </c>
      <c r="BM2110">
        <v>0</v>
      </c>
      <c r="BN2110">
        <v>0</v>
      </c>
      <c r="BO2110">
        <v>0</v>
      </c>
      <c r="BP2110">
        <v>6831</v>
      </c>
      <c r="BQ2110">
        <v>6831</v>
      </c>
      <c r="BR2110">
        <f t="shared" si="334"/>
        <v>-541</v>
      </c>
      <c r="BS2110">
        <f t="shared" si="335"/>
        <v>1869</v>
      </c>
    </row>
    <row r="2111" spans="1:74" x14ac:dyDescent="0.25">
      <c r="A2111" s="5" t="s">
        <v>2090</v>
      </c>
      <c r="B2111" s="5" t="s">
        <v>207</v>
      </c>
      <c r="C2111" s="5" t="s">
        <v>61</v>
      </c>
      <c r="D2111" s="1" t="s">
        <v>147</v>
      </c>
      <c r="E2111">
        <v>0</v>
      </c>
      <c r="F2111">
        <v>4164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2268</v>
      </c>
      <c r="N2111">
        <v>0</v>
      </c>
      <c r="O2111">
        <v>0</v>
      </c>
      <c r="P2111">
        <v>0</v>
      </c>
      <c r="Q2111">
        <v>796</v>
      </c>
      <c r="R2111">
        <v>252</v>
      </c>
      <c r="S2111" s="18">
        <f t="shared" si="326"/>
        <v>9</v>
      </c>
      <c r="T2111" s="17">
        <f t="shared" si="327"/>
        <v>252</v>
      </c>
      <c r="U2111" s="17">
        <f t="shared" si="328"/>
        <v>0</v>
      </c>
      <c r="V2111" s="17">
        <f t="shared" si="329"/>
        <v>0</v>
      </c>
      <c r="W2111" s="17">
        <f t="shared" si="330"/>
        <v>0</v>
      </c>
      <c r="X2111" s="17">
        <f t="shared" si="331"/>
        <v>544</v>
      </c>
      <c r="Y2111" s="19">
        <f t="shared" si="332"/>
        <v>0</v>
      </c>
      <c r="Z2111">
        <v>4164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f t="shared" si="333"/>
        <v>0</v>
      </c>
      <c r="BF2111">
        <v>4164</v>
      </c>
      <c r="BG2111">
        <v>4164</v>
      </c>
      <c r="BH2111" t="s">
        <v>109</v>
      </c>
      <c r="BI2111" t="s">
        <v>2252</v>
      </c>
      <c r="BJ2111">
        <v>0</v>
      </c>
      <c r="BK2111">
        <v>0</v>
      </c>
      <c r="BL2111">
        <v>4164</v>
      </c>
      <c r="BM2111">
        <v>2268</v>
      </c>
      <c r="BN2111">
        <v>0</v>
      </c>
      <c r="BO2111">
        <v>0</v>
      </c>
      <c r="BP2111">
        <v>0</v>
      </c>
      <c r="BQ2111">
        <v>2268</v>
      </c>
      <c r="BR2111">
        <f t="shared" si="334"/>
        <v>-544</v>
      </c>
      <c r="BS2111">
        <f t="shared" si="335"/>
        <v>1048</v>
      </c>
    </row>
    <row r="2112" spans="1:74" x14ac:dyDescent="0.25">
      <c r="A2112" s="5" t="s">
        <v>1946</v>
      </c>
      <c r="B2112" s="5" t="s">
        <v>61</v>
      </c>
      <c r="C2112" s="5" t="s">
        <v>61</v>
      </c>
      <c r="D2112" s="1" t="s">
        <v>75</v>
      </c>
      <c r="E2112">
        <v>0</v>
      </c>
      <c r="F2112">
        <v>0</v>
      </c>
      <c r="G2112">
        <v>0</v>
      </c>
      <c r="H2112">
        <v>0</v>
      </c>
      <c r="I2112">
        <v>3381</v>
      </c>
      <c r="J2112">
        <v>0</v>
      </c>
      <c r="K2112">
        <v>2610</v>
      </c>
      <c r="L2112">
        <v>65</v>
      </c>
      <c r="M2112">
        <v>0</v>
      </c>
      <c r="N2112">
        <v>0</v>
      </c>
      <c r="O2112">
        <v>0</v>
      </c>
      <c r="P2112">
        <v>0</v>
      </c>
      <c r="Q2112">
        <v>485</v>
      </c>
      <c r="R2112">
        <v>0</v>
      </c>
      <c r="S2112" s="18" t="e">
        <f t="shared" si="326"/>
        <v>#DIV/0!</v>
      </c>
      <c r="T2112" s="17" t="e">
        <f t="shared" si="327"/>
        <v>#DIV/0!</v>
      </c>
      <c r="U2112" s="17" t="e">
        <f t="shared" si="328"/>
        <v>#DIV/0!</v>
      </c>
      <c r="V2112" s="17" t="e">
        <f t="shared" si="329"/>
        <v>#DIV/0!</v>
      </c>
      <c r="W2112" s="17" t="e">
        <f t="shared" si="330"/>
        <v>#DIV/0!</v>
      </c>
      <c r="X2112" s="17" t="e">
        <f t="shared" si="331"/>
        <v>#DIV/0!</v>
      </c>
      <c r="Y2112" s="19" t="e">
        <f t="shared" si="332"/>
        <v>#DIV/0!</v>
      </c>
      <c r="Z2112">
        <v>0</v>
      </c>
      <c r="AA2112">
        <v>0</v>
      </c>
      <c r="AB2112">
        <v>0</v>
      </c>
      <c r="AC2112">
        <v>160</v>
      </c>
      <c r="AD2112">
        <v>0</v>
      </c>
      <c r="AE2112">
        <v>0</v>
      </c>
      <c r="AF2112">
        <v>0</v>
      </c>
      <c r="AG2112">
        <v>3381</v>
      </c>
      <c r="AH2112">
        <v>3381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2610</v>
      </c>
      <c r="AP2112">
        <v>1050</v>
      </c>
      <c r="AQ2112">
        <v>2610</v>
      </c>
      <c r="AR2112">
        <v>1560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65</v>
      </c>
      <c r="BA2112">
        <v>65</v>
      </c>
      <c r="BB2112">
        <v>0</v>
      </c>
      <c r="BC2112">
        <v>0</v>
      </c>
      <c r="BD2112">
        <v>0</v>
      </c>
      <c r="BE2112">
        <f t="shared" si="333"/>
        <v>14882</v>
      </c>
      <c r="BF2112">
        <v>6216</v>
      </c>
      <c r="BG2112">
        <v>6216</v>
      </c>
      <c r="BH2112" t="s">
        <v>63</v>
      </c>
      <c r="BI2112" t="s">
        <v>1953</v>
      </c>
      <c r="BJ2112">
        <v>160</v>
      </c>
      <c r="BK2112">
        <v>6056</v>
      </c>
      <c r="BL2112">
        <v>6216</v>
      </c>
      <c r="BM2112">
        <v>0</v>
      </c>
      <c r="BN2112">
        <v>0</v>
      </c>
      <c r="BO2112">
        <v>0</v>
      </c>
      <c r="BP2112">
        <v>6056</v>
      </c>
      <c r="BQ2112">
        <v>6056</v>
      </c>
      <c r="BR2112">
        <f t="shared" si="334"/>
        <v>-485</v>
      </c>
      <c r="BS2112">
        <f t="shared" si="335"/>
        <v>485</v>
      </c>
      <c r="BU2112">
        <f>R2112*9</f>
        <v>0</v>
      </c>
      <c r="BV2112">
        <f>IF(BU2112&gt;BG2112, 1, 0)</f>
        <v>0</v>
      </c>
    </row>
    <row r="2113" spans="1:74" x14ac:dyDescent="0.25">
      <c r="A2113" s="5" t="s">
        <v>1017</v>
      </c>
      <c r="B2113" s="5" t="s">
        <v>207</v>
      </c>
      <c r="C2113" s="5" t="s">
        <v>61</v>
      </c>
      <c r="D2113" s="1" t="s">
        <v>96</v>
      </c>
      <c r="E2113">
        <v>0</v>
      </c>
      <c r="F2113">
        <v>1738</v>
      </c>
      <c r="G2113">
        <v>0</v>
      </c>
      <c r="H2113">
        <v>0</v>
      </c>
      <c r="I2113">
        <v>404</v>
      </c>
      <c r="J2113">
        <v>9416</v>
      </c>
      <c r="K2113">
        <v>1470</v>
      </c>
      <c r="L2113">
        <v>130</v>
      </c>
      <c r="M2113">
        <v>1035</v>
      </c>
      <c r="N2113">
        <v>0</v>
      </c>
      <c r="O2113">
        <v>0</v>
      </c>
      <c r="P2113">
        <v>0</v>
      </c>
      <c r="Q2113">
        <v>663</v>
      </c>
      <c r="R2113">
        <v>115</v>
      </c>
      <c r="S2113" s="18">
        <f t="shared" si="326"/>
        <v>9</v>
      </c>
      <c r="T2113" s="17">
        <f t="shared" si="327"/>
        <v>115</v>
      </c>
      <c r="U2113" s="17">
        <f t="shared" si="328"/>
        <v>0</v>
      </c>
      <c r="V2113" s="17">
        <f t="shared" si="329"/>
        <v>0</v>
      </c>
      <c r="W2113" s="17">
        <f t="shared" si="330"/>
        <v>0</v>
      </c>
      <c r="X2113" s="17">
        <f t="shared" si="331"/>
        <v>548</v>
      </c>
      <c r="Y2113" s="19">
        <f t="shared" si="332"/>
        <v>0</v>
      </c>
      <c r="Z2113">
        <v>1738</v>
      </c>
      <c r="AA2113">
        <v>0</v>
      </c>
      <c r="AB2113">
        <v>0</v>
      </c>
      <c r="AC2113">
        <v>1510</v>
      </c>
      <c r="AD2113">
        <v>0</v>
      </c>
      <c r="AE2113">
        <v>0</v>
      </c>
      <c r="AF2113">
        <v>0</v>
      </c>
      <c r="AG2113">
        <v>404</v>
      </c>
      <c r="AH2113">
        <v>404</v>
      </c>
      <c r="AI2113">
        <v>0</v>
      </c>
      <c r="AJ2113">
        <v>0</v>
      </c>
      <c r="AK2113">
        <v>9416</v>
      </c>
      <c r="AL2113">
        <v>9416</v>
      </c>
      <c r="AM2113">
        <v>0</v>
      </c>
      <c r="AN2113">
        <v>0</v>
      </c>
      <c r="AO2113">
        <v>1470</v>
      </c>
      <c r="AP2113">
        <v>880</v>
      </c>
      <c r="AQ2113">
        <v>1470</v>
      </c>
      <c r="AR2113">
        <v>590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130</v>
      </c>
      <c r="BA2113">
        <v>130</v>
      </c>
      <c r="BB2113">
        <v>0</v>
      </c>
      <c r="BC2113">
        <v>0</v>
      </c>
      <c r="BD2113">
        <v>0</v>
      </c>
      <c r="BE2113">
        <f t="shared" si="333"/>
        <v>25820</v>
      </c>
      <c r="BF2113">
        <v>14668</v>
      </c>
      <c r="BG2113">
        <v>14668</v>
      </c>
      <c r="BH2113" t="s">
        <v>82</v>
      </c>
      <c r="BI2113" t="s">
        <v>1100</v>
      </c>
      <c r="BJ2113">
        <v>1510</v>
      </c>
      <c r="BK2113">
        <v>11420</v>
      </c>
      <c r="BL2113">
        <v>14668</v>
      </c>
      <c r="BM2113">
        <v>1035</v>
      </c>
      <c r="BN2113">
        <v>0</v>
      </c>
      <c r="BO2113">
        <v>0</v>
      </c>
      <c r="BP2113">
        <v>11420</v>
      </c>
      <c r="BQ2113">
        <v>12455</v>
      </c>
      <c r="BR2113">
        <f t="shared" si="334"/>
        <v>-548</v>
      </c>
      <c r="BS2113">
        <f t="shared" si="335"/>
        <v>778</v>
      </c>
    </row>
    <row r="2114" spans="1:74" x14ac:dyDescent="0.25">
      <c r="A2114" s="5" t="s">
        <v>1661</v>
      </c>
      <c r="B2114" s="5" t="s">
        <v>207</v>
      </c>
      <c r="C2114" s="5" t="s">
        <v>207</v>
      </c>
      <c r="D2114" s="1" t="s">
        <v>119</v>
      </c>
      <c r="E2114">
        <v>0</v>
      </c>
      <c r="F2114">
        <v>280</v>
      </c>
      <c r="G2114">
        <v>0</v>
      </c>
      <c r="H2114">
        <v>0</v>
      </c>
      <c r="I2114">
        <v>700</v>
      </c>
      <c r="J2114">
        <v>0</v>
      </c>
      <c r="K2114">
        <v>2761</v>
      </c>
      <c r="L2114">
        <v>50</v>
      </c>
      <c r="M2114">
        <v>0</v>
      </c>
      <c r="N2114">
        <v>0</v>
      </c>
      <c r="O2114">
        <v>0</v>
      </c>
      <c r="P2114">
        <v>720</v>
      </c>
      <c r="Q2114">
        <v>631</v>
      </c>
      <c r="R2114">
        <v>80</v>
      </c>
      <c r="S2114" s="18">
        <f t="shared" ref="S2114:S2177" si="336">(M2114+N2114+O2114+P2114)/R2114</f>
        <v>9</v>
      </c>
      <c r="T2114" s="17">
        <f t="shared" ref="T2114:T2177" si="337">M2114/$S2114</f>
        <v>0</v>
      </c>
      <c r="U2114" s="17">
        <f t="shared" ref="U2114:U2177" si="338">N2114/$S2114</f>
        <v>0</v>
      </c>
      <c r="V2114" s="17">
        <f t="shared" ref="V2114:V2177" si="339">O2114/$S2114</f>
        <v>0</v>
      </c>
      <c r="W2114" s="17">
        <f t="shared" ref="W2114:W2177" si="340">P2114/$S2114</f>
        <v>80</v>
      </c>
      <c r="X2114" s="17">
        <f t="shared" ref="X2114:X2177" si="341">Q2114-T2114-U2114-W2114</f>
        <v>551</v>
      </c>
      <c r="Y2114" s="19">
        <f t="shared" ref="Y2114:Y2177" si="342">V2114/X2114</f>
        <v>0</v>
      </c>
      <c r="Z2114">
        <v>280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700</v>
      </c>
      <c r="AH2114">
        <v>700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2761</v>
      </c>
      <c r="AP2114">
        <v>1832</v>
      </c>
      <c r="AQ2114">
        <v>2761</v>
      </c>
      <c r="AR2114">
        <v>929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50</v>
      </c>
      <c r="BA2114">
        <v>50</v>
      </c>
      <c r="BB2114">
        <v>0</v>
      </c>
      <c r="BC2114">
        <v>0</v>
      </c>
      <c r="BD2114">
        <v>0</v>
      </c>
      <c r="BE2114">
        <f t="shared" ref="BE2114:BE2177" si="343">SUM(AC2114:BD2114)</f>
        <v>9783</v>
      </c>
      <c r="BF2114">
        <v>3791</v>
      </c>
      <c r="BG2114">
        <v>3791</v>
      </c>
      <c r="BH2114" t="s">
        <v>109</v>
      </c>
      <c r="BI2114" t="s">
        <v>1683</v>
      </c>
      <c r="BJ2114">
        <v>0</v>
      </c>
      <c r="BK2114">
        <v>3511</v>
      </c>
      <c r="BL2114">
        <v>3791</v>
      </c>
      <c r="BM2114">
        <v>0</v>
      </c>
      <c r="BN2114">
        <v>0</v>
      </c>
      <c r="BO2114">
        <v>0</v>
      </c>
      <c r="BP2114">
        <v>4231</v>
      </c>
      <c r="BQ2114">
        <v>4231</v>
      </c>
      <c r="BR2114">
        <f t="shared" ref="BR2114:BR2177" si="344">R2114-Q2114</f>
        <v>-551</v>
      </c>
      <c r="BS2114">
        <f t="shared" ref="BS2114:BS2177" si="345">R2114+Q2114</f>
        <v>711</v>
      </c>
    </row>
    <row r="2115" spans="1:74" x14ac:dyDescent="0.25">
      <c r="A2115" s="5" t="s">
        <v>1017</v>
      </c>
      <c r="B2115" s="5" t="s">
        <v>61</v>
      </c>
      <c r="C2115" s="5" t="s">
        <v>61</v>
      </c>
      <c r="D2115" s="1" t="s">
        <v>111</v>
      </c>
      <c r="E2115">
        <v>30</v>
      </c>
      <c r="F2115">
        <v>0</v>
      </c>
      <c r="G2115">
        <v>0</v>
      </c>
      <c r="H2115">
        <v>0</v>
      </c>
      <c r="I2115">
        <v>589</v>
      </c>
      <c r="J2115">
        <v>11973</v>
      </c>
      <c r="K2115">
        <v>498</v>
      </c>
      <c r="L2115">
        <v>297</v>
      </c>
      <c r="M2115">
        <v>0</v>
      </c>
      <c r="N2115">
        <v>0</v>
      </c>
      <c r="O2115">
        <v>0</v>
      </c>
      <c r="P2115">
        <v>0</v>
      </c>
      <c r="Q2115">
        <v>552</v>
      </c>
      <c r="R2115">
        <v>0</v>
      </c>
      <c r="S2115" s="18" t="e">
        <f t="shared" si="336"/>
        <v>#DIV/0!</v>
      </c>
      <c r="T2115" s="17" t="e">
        <f t="shared" si="337"/>
        <v>#DIV/0!</v>
      </c>
      <c r="U2115" s="17" t="e">
        <f t="shared" si="338"/>
        <v>#DIV/0!</v>
      </c>
      <c r="V2115" s="17" t="e">
        <f t="shared" si="339"/>
        <v>#DIV/0!</v>
      </c>
      <c r="W2115" s="17" t="e">
        <f t="shared" si="340"/>
        <v>#DIV/0!</v>
      </c>
      <c r="X2115" s="17" t="e">
        <f t="shared" si="341"/>
        <v>#DIV/0!</v>
      </c>
      <c r="Y2115" s="19" t="e">
        <f t="shared" si="342"/>
        <v>#DIV/0!</v>
      </c>
      <c r="Z2115">
        <v>0</v>
      </c>
      <c r="AA2115">
        <v>4</v>
      </c>
      <c r="AB2115">
        <v>392</v>
      </c>
      <c r="AC2115">
        <v>3752</v>
      </c>
      <c r="AD2115">
        <v>0</v>
      </c>
      <c r="AE2115">
        <v>381</v>
      </c>
      <c r="AF2115">
        <v>0</v>
      </c>
      <c r="AG2115">
        <v>208</v>
      </c>
      <c r="AH2115">
        <v>589</v>
      </c>
      <c r="AI2115">
        <v>0</v>
      </c>
      <c r="AJ2115">
        <v>10873</v>
      </c>
      <c r="AK2115">
        <v>1100</v>
      </c>
      <c r="AL2115">
        <v>11973</v>
      </c>
      <c r="AM2115">
        <v>0</v>
      </c>
      <c r="AN2115">
        <v>473</v>
      </c>
      <c r="AO2115">
        <v>25</v>
      </c>
      <c r="AP2115">
        <v>365</v>
      </c>
      <c r="AQ2115">
        <v>498</v>
      </c>
      <c r="AR2115">
        <v>151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297</v>
      </c>
      <c r="BA2115">
        <v>297</v>
      </c>
      <c r="BB2115">
        <v>0</v>
      </c>
      <c r="BC2115">
        <v>0</v>
      </c>
      <c r="BD2115">
        <v>0</v>
      </c>
      <c r="BE2115">
        <f t="shared" si="343"/>
        <v>30982</v>
      </c>
      <c r="BF2115">
        <v>17535</v>
      </c>
      <c r="BG2115">
        <v>17535</v>
      </c>
      <c r="BH2115" t="s">
        <v>82</v>
      </c>
      <c r="BI2115" t="s">
        <v>1040</v>
      </c>
      <c r="BJ2115">
        <v>4178</v>
      </c>
      <c r="BK2115">
        <v>13357</v>
      </c>
      <c r="BL2115">
        <v>17535</v>
      </c>
      <c r="BM2115">
        <v>0</v>
      </c>
      <c r="BN2115">
        <v>11727</v>
      </c>
      <c r="BO2115">
        <v>0</v>
      </c>
      <c r="BP2115">
        <v>1630</v>
      </c>
      <c r="BQ2115">
        <v>13357</v>
      </c>
      <c r="BR2115">
        <f t="shared" si="344"/>
        <v>-552</v>
      </c>
      <c r="BS2115">
        <f t="shared" si="345"/>
        <v>552</v>
      </c>
    </row>
    <row r="2116" spans="1:74" x14ac:dyDescent="0.25">
      <c r="A2116" s="5" t="s">
        <v>1337</v>
      </c>
      <c r="B2116" s="5" t="s">
        <v>61</v>
      </c>
      <c r="C2116" s="5" t="s">
        <v>61</v>
      </c>
      <c r="D2116" s="1" t="s">
        <v>71</v>
      </c>
      <c r="E2116">
        <v>322</v>
      </c>
      <c r="F2116">
        <v>30</v>
      </c>
      <c r="G2116">
        <v>0</v>
      </c>
      <c r="H2116">
        <v>0</v>
      </c>
      <c r="I2116">
        <v>416</v>
      </c>
      <c r="J2116">
        <v>4926</v>
      </c>
      <c r="K2116">
        <v>1033</v>
      </c>
      <c r="L2116">
        <v>224</v>
      </c>
      <c r="M2116">
        <v>0</v>
      </c>
      <c r="N2116">
        <v>0</v>
      </c>
      <c r="O2116">
        <v>0</v>
      </c>
      <c r="P2116">
        <v>135</v>
      </c>
      <c r="Q2116">
        <v>568</v>
      </c>
      <c r="R2116">
        <v>15</v>
      </c>
      <c r="S2116" s="18">
        <f t="shared" si="336"/>
        <v>9</v>
      </c>
      <c r="T2116" s="17">
        <f t="shared" si="337"/>
        <v>0</v>
      </c>
      <c r="U2116" s="17">
        <f t="shared" si="338"/>
        <v>0</v>
      </c>
      <c r="V2116" s="17">
        <f t="shared" si="339"/>
        <v>0</v>
      </c>
      <c r="W2116" s="17">
        <f t="shared" si="340"/>
        <v>15</v>
      </c>
      <c r="X2116" s="17">
        <f t="shared" si="341"/>
        <v>553</v>
      </c>
      <c r="Y2116" s="19">
        <f t="shared" si="342"/>
        <v>0</v>
      </c>
      <c r="Z2116">
        <v>30</v>
      </c>
      <c r="AA2116">
        <v>156</v>
      </c>
      <c r="AB2116">
        <v>443</v>
      </c>
      <c r="AC2116">
        <v>5924</v>
      </c>
      <c r="AD2116">
        <v>0</v>
      </c>
      <c r="AE2116">
        <v>416</v>
      </c>
      <c r="AF2116">
        <v>0</v>
      </c>
      <c r="AG2116">
        <v>0</v>
      </c>
      <c r="AH2116">
        <v>416</v>
      </c>
      <c r="AI2116">
        <v>0</v>
      </c>
      <c r="AJ2116">
        <v>4926</v>
      </c>
      <c r="AK2116">
        <v>0</v>
      </c>
      <c r="AL2116">
        <v>4926</v>
      </c>
      <c r="AM2116">
        <v>0</v>
      </c>
      <c r="AN2116">
        <v>707</v>
      </c>
      <c r="AO2116">
        <v>326</v>
      </c>
      <c r="AP2116">
        <v>789</v>
      </c>
      <c r="AQ2116">
        <v>1033</v>
      </c>
      <c r="AR2116">
        <v>244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38</v>
      </c>
      <c r="AZ2116">
        <v>186</v>
      </c>
      <c r="BA2116">
        <v>224</v>
      </c>
      <c r="BB2116">
        <v>0</v>
      </c>
      <c r="BC2116">
        <v>0</v>
      </c>
      <c r="BD2116">
        <v>0</v>
      </c>
      <c r="BE2116">
        <f t="shared" si="343"/>
        <v>20155</v>
      </c>
      <c r="BF2116">
        <v>13474</v>
      </c>
      <c r="BG2116">
        <v>13474</v>
      </c>
      <c r="BH2116" t="s">
        <v>82</v>
      </c>
      <c r="BI2116" t="s">
        <v>1342</v>
      </c>
      <c r="BJ2116">
        <v>6845</v>
      </c>
      <c r="BK2116">
        <v>6599</v>
      </c>
      <c r="BL2116">
        <v>13474</v>
      </c>
      <c r="BM2116">
        <v>0</v>
      </c>
      <c r="BN2116">
        <v>6087</v>
      </c>
      <c r="BO2116">
        <v>0</v>
      </c>
      <c r="BP2116">
        <v>647</v>
      </c>
      <c r="BQ2116">
        <v>6734</v>
      </c>
      <c r="BR2116">
        <f t="shared" si="344"/>
        <v>-553</v>
      </c>
      <c r="BS2116">
        <f t="shared" si="345"/>
        <v>583</v>
      </c>
    </row>
    <row r="2117" spans="1:74" x14ac:dyDescent="0.25">
      <c r="A2117" s="5" t="s">
        <v>1661</v>
      </c>
      <c r="B2117" s="5" t="s">
        <v>359</v>
      </c>
      <c r="C2117" s="5" t="s">
        <v>359</v>
      </c>
      <c r="D2117" s="1" t="s">
        <v>125</v>
      </c>
      <c r="E2117">
        <v>0</v>
      </c>
      <c r="F2117">
        <v>8503</v>
      </c>
      <c r="G2117">
        <v>0</v>
      </c>
      <c r="H2117">
        <v>0</v>
      </c>
      <c r="I2117">
        <v>3116</v>
      </c>
      <c r="J2117">
        <v>2917</v>
      </c>
      <c r="K2117">
        <v>184</v>
      </c>
      <c r="L2117">
        <v>0</v>
      </c>
      <c r="M2117">
        <v>0</v>
      </c>
      <c r="N2117">
        <v>0</v>
      </c>
      <c r="O2117">
        <v>0</v>
      </c>
      <c r="P2117">
        <v>2331</v>
      </c>
      <c r="Q2117">
        <v>812</v>
      </c>
      <c r="R2117">
        <v>259</v>
      </c>
      <c r="S2117" s="18">
        <f t="shared" si="336"/>
        <v>9</v>
      </c>
      <c r="T2117" s="17">
        <f t="shared" si="337"/>
        <v>0</v>
      </c>
      <c r="U2117" s="17">
        <f t="shared" si="338"/>
        <v>0</v>
      </c>
      <c r="V2117" s="17">
        <f t="shared" si="339"/>
        <v>0</v>
      </c>
      <c r="W2117" s="17">
        <f t="shared" si="340"/>
        <v>259</v>
      </c>
      <c r="X2117" s="17">
        <f t="shared" si="341"/>
        <v>553</v>
      </c>
      <c r="Y2117" s="19">
        <f t="shared" si="342"/>
        <v>0</v>
      </c>
      <c r="Z2117">
        <v>8503</v>
      </c>
      <c r="AA2117">
        <v>8</v>
      </c>
      <c r="AB2117">
        <v>0</v>
      </c>
      <c r="AC2117">
        <v>4963</v>
      </c>
      <c r="AD2117">
        <v>0</v>
      </c>
      <c r="AE2117">
        <v>0</v>
      </c>
      <c r="AF2117">
        <v>0</v>
      </c>
      <c r="AG2117">
        <v>3116</v>
      </c>
      <c r="AH2117">
        <v>3116</v>
      </c>
      <c r="AI2117">
        <v>0</v>
      </c>
      <c r="AJ2117">
        <v>0</v>
      </c>
      <c r="AK2117">
        <v>2917</v>
      </c>
      <c r="AL2117">
        <v>2917</v>
      </c>
      <c r="AM2117">
        <v>0</v>
      </c>
      <c r="AN2117">
        <v>0</v>
      </c>
      <c r="AO2117">
        <v>184</v>
      </c>
      <c r="AP2117">
        <v>0</v>
      </c>
      <c r="AQ2117">
        <v>184</v>
      </c>
      <c r="AR2117">
        <v>184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f t="shared" si="343"/>
        <v>17581</v>
      </c>
      <c r="BF2117">
        <v>19691</v>
      </c>
      <c r="BG2117">
        <v>19691</v>
      </c>
      <c r="BH2117" t="s">
        <v>82</v>
      </c>
      <c r="BI2117" t="s">
        <v>1943</v>
      </c>
      <c r="BJ2117">
        <v>4971</v>
      </c>
      <c r="BK2117">
        <v>6217</v>
      </c>
      <c r="BL2117">
        <v>19691</v>
      </c>
      <c r="BM2117">
        <v>0</v>
      </c>
      <c r="BN2117">
        <v>0</v>
      </c>
      <c r="BO2117">
        <v>0</v>
      </c>
      <c r="BP2117">
        <v>8548</v>
      </c>
      <c r="BQ2117">
        <v>8548</v>
      </c>
      <c r="BR2117">
        <f t="shared" si="344"/>
        <v>-553</v>
      </c>
      <c r="BS2117">
        <f t="shared" si="345"/>
        <v>1071</v>
      </c>
    </row>
    <row r="2118" spans="1:74" x14ac:dyDescent="0.25">
      <c r="A2118" s="5" t="s">
        <v>1946</v>
      </c>
      <c r="B2118" s="5" t="s">
        <v>61</v>
      </c>
      <c r="C2118" s="5" t="s">
        <v>61</v>
      </c>
      <c r="D2118" s="1" t="s">
        <v>84</v>
      </c>
      <c r="E2118">
        <v>22</v>
      </c>
      <c r="F2118">
        <v>0</v>
      </c>
      <c r="G2118">
        <v>0</v>
      </c>
      <c r="H2118">
        <v>0</v>
      </c>
      <c r="I2118">
        <v>850</v>
      </c>
      <c r="J2118">
        <v>4389</v>
      </c>
      <c r="K2118">
        <v>3472</v>
      </c>
      <c r="L2118">
        <v>470</v>
      </c>
      <c r="M2118">
        <v>0</v>
      </c>
      <c r="N2118">
        <v>0</v>
      </c>
      <c r="O2118">
        <v>0</v>
      </c>
      <c r="P2118">
        <v>0</v>
      </c>
      <c r="Q2118">
        <v>487</v>
      </c>
      <c r="R2118">
        <v>0</v>
      </c>
      <c r="S2118" s="18" t="e">
        <f t="shared" si="336"/>
        <v>#DIV/0!</v>
      </c>
      <c r="T2118" s="17" t="e">
        <f t="shared" si="337"/>
        <v>#DIV/0!</v>
      </c>
      <c r="U2118" s="17" t="e">
        <f t="shared" si="338"/>
        <v>#DIV/0!</v>
      </c>
      <c r="V2118" s="17" t="e">
        <f t="shared" si="339"/>
        <v>#DIV/0!</v>
      </c>
      <c r="W2118" s="17" t="e">
        <f t="shared" si="340"/>
        <v>#DIV/0!</v>
      </c>
      <c r="X2118" s="17" t="e">
        <f t="shared" si="341"/>
        <v>#DIV/0!</v>
      </c>
      <c r="Y2118" s="19" t="e">
        <f t="shared" si="342"/>
        <v>#DIV/0!</v>
      </c>
      <c r="Z2118">
        <v>0</v>
      </c>
      <c r="AA2118">
        <v>0</v>
      </c>
      <c r="AB2118">
        <v>0</v>
      </c>
      <c r="AC2118">
        <v>12000</v>
      </c>
      <c r="AD2118">
        <v>0</v>
      </c>
      <c r="AE2118">
        <v>0</v>
      </c>
      <c r="AF2118">
        <v>0</v>
      </c>
      <c r="AG2118">
        <v>850</v>
      </c>
      <c r="AH2118">
        <v>850</v>
      </c>
      <c r="AI2118">
        <v>0</v>
      </c>
      <c r="AJ2118">
        <v>1630</v>
      </c>
      <c r="AK2118">
        <v>2759</v>
      </c>
      <c r="AL2118">
        <v>4389</v>
      </c>
      <c r="AM2118">
        <v>0</v>
      </c>
      <c r="AN2118">
        <v>0</v>
      </c>
      <c r="AO2118">
        <v>3472</v>
      </c>
      <c r="AP2118">
        <v>972</v>
      </c>
      <c r="AQ2118">
        <v>3472</v>
      </c>
      <c r="AR2118">
        <v>2500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470</v>
      </c>
      <c r="BA2118">
        <v>470</v>
      </c>
      <c r="BB2118">
        <v>0</v>
      </c>
      <c r="BC2118">
        <v>0</v>
      </c>
      <c r="BD2118">
        <v>0</v>
      </c>
      <c r="BE2118">
        <f t="shared" si="343"/>
        <v>33834</v>
      </c>
      <c r="BF2118">
        <v>21203</v>
      </c>
      <c r="BG2118">
        <v>21203</v>
      </c>
      <c r="BH2118" t="s">
        <v>63</v>
      </c>
      <c r="BI2118" t="s">
        <v>1957</v>
      </c>
      <c r="BJ2118">
        <v>12022</v>
      </c>
      <c r="BK2118">
        <v>9181</v>
      </c>
      <c r="BL2118">
        <v>21203</v>
      </c>
      <c r="BM2118">
        <v>0</v>
      </c>
      <c r="BN2118">
        <v>1630</v>
      </c>
      <c r="BO2118">
        <v>0</v>
      </c>
      <c r="BP2118">
        <v>7551</v>
      </c>
      <c r="BQ2118">
        <v>9181</v>
      </c>
      <c r="BR2118">
        <f t="shared" si="344"/>
        <v>-487</v>
      </c>
      <c r="BS2118">
        <f t="shared" si="345"/>
        <v>487</v>
      </c>
      <c r="BU2118">
        <f>R2118*9</f>
        <v>0</v>
      </c>
      <c r="BV2118">
        <f>IF(BU2118&gt;BG2118, 1, 0)</f>
        <v>0</v>
      </c>
    </row>
    <row r="2119" spans="1:74" x14ac:dyDescent="0.25">
      <c r="A2119" s="5" t="s">
        <v>61</v>
      </c>
      <c r="B2119" s="5" t="s">
        <v>207</v>
      </c>
      <c r="C2119" s="5" t="s">
        <v>61</v>
      </c>
      <c r="D2119" s="1" t="s">
        <v>81</v>
      </c>
      <c r="E2119">
        <v>0</v>
      </c>
      <c r="F2119">
        <v>142</v>
      </c>
      <c r="G2119">
        <v>0</v>
      </c>
      <c r="H2119">
        <v>0</v>
      </c>
      <c r="I2119">
        <v>2713</v>
      </c>
      <c r="J2119">
        <v>0</v>
      </c>
      <c r="K2119">
        <v>130</v>
      </c>
      <c r="L2119">
        <v>0</v>
      </c>
      <c r="M2119">
        <v>1125</v>
      </c>
      <c r="N2119">
        <v>0</v>
      </c>
      <c r="O2119">
        <v>0</v>
      </c>
      <c r="P2119">
        <v>153</v>
      </c>
      <c r="Q2119">
        <v>699</v>
      </c>
      <c r="R2119">
        <v>142</v>
      </c>
      <c r="S2119" s="18">
        <f t="shared" si="336"/>
        <v>9</v>
      </c>
      <c r="T2119" s="17">
        <f t="shared" si="337"/>
        <v>125</v>
      </c>
      <c r="U2119" s="17">
        <f t="shared" si="338"/>
        <v>0</v>
      </c>
      <c r="V2119" s="17">
        <f t="shared" si="339"/>
        <v>0</v>
      </c>
      <c r="W2119" s="17">
        <f t="shared" si="340"/>
        <v>17</v>
      </c>
      <c r="X2119" s="17">
        <f t="shared" si="341"/>
        <v>557</v>
      </c>
      <c r="Y2119" s="19">
        <f t="shared" si="342"/>
        <v>0</v>
      </c>
      <c r="Z2119">
        <v>142</v>
      </c>
      <c r="AA2119">
        <v>0</v>
      </c>
      <c r="AB2119">
        <v>0</v>
      </c>
      <c r="AC2119">
        <v>0</v>
      </c>
      <c r="AD2119">
        <v>1428</v>
      </c>
      <c r="AE2119">
        <v>0</v>
      </c>
      <c r="AF2119">
        <v>0</v>
      </c>
      <c r="AG2119">
        <v>1285</v>
      </c>
      <c r="AH2119">
        <v>2713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130</v>
      </c>
      <c r="AP2119">
        <v>65</v>
      </c>
      <c r="AQ2119">
        <v>130</v>
      </c>
      <c r="AR2119">
        <v>65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f t="shared" si="343"/>
        <v>5816</v>
      </c>
      <c r="BF2119">
        <v>2985</v>
      </c>
      <c r="BG2119">
        <v>2985</v>
      </c>
      <c r="BH2119" t="s">
        <v>109</v>
      </c>
      <c r="BI2119" t="s">
        <v>217</v>
      </c>
      <c r="BJ2119">
        <v>0</v>
      </c>
      <c r="BK2119">
        <v>2843</v>
      </c>
      <c r="BL2119">
        <v>2985</v>
      </c>
      <c r="BM2119">
        <v>2553</v>
      </c>
      <c r="BN2119">
        <v>0</v>
      </c>
      <c r="BO2119">
        <v>0</v>
      </c>
      <c r="BP2119">
        <v>1568</v>
      </c>
      <c r="BQ2119">
        <v>4121</v>
      </c>
      <c r="BR2119">
        <f t="shared" si="344"/>
        <v>-557</v>
      </c>
      <c r="BS2119">
        <f t="shared" si="345"/>
        <v>841</v>
      </c>
    </row>
    <row r="2120" spans="1:74" x14ac:dyDescent="0.25">
      <c r="A2120" s="5" t="s">
        <v>1661</v>
      </c>
      <c r="B2120" s="5" t="s">
        <v>61</v>
      </c>
      <c r="C2120" s="5" t="s">
        <v>627</v>
      </c>
      <c r="D2120" s="1" t="s">
        <v>67</v>
      </c>
      <c r="E2120">
        <v>127</v>
      </c>
      <c r="F2120">
        <v>2150</v>
      </c>
      <c r="G2120">
        <v>0</v>
      </c>
      <c r="H2120">
        <v>0</v>
      </c>
      <c r="I2120">
        <v>1056</v>
      </c>
      <c r="J2120">
        <v>12850</v>
      </c>
      <c r="K2120">
        <v>9365</v>
      </c>
      <c r="L2120">
        <v>240</v>
      </c>
      <c r="M2120">
        <v>0</v>
      </c>
      <c r="N2120">
        <v>4518</v>
      </c>
      <c r="O2120">
        <v>0</v>
      </c>
      <c r="P2120">
        <v>558</v>
      </c>
      <c r="Q2120">
        <v>1121</v>
      </c>
      <c r="R2120">
        <v>564</v>
      </c>
      <c r="S2120" s="18">
        <f t="shared" si="336"/>
        <v>9</v>
      </c>
      <c r="T2120" s="17">
        <f t="shared" si="337"/>
        <v>0</v>
      </c>
      <c r="U2120" s="17">
        <f t="shared" si="338"/>
        <v>502</v>
      </c>
      <c r="V2120" s="17">
        <f t="shared" si="339"/>
        <v>0</v>
      </c>
      <c r="W2120" s="17">
        <f t="shared" si="340"/>
        <v>62</v>
      </c>
      <c r="X2120" s="17">
        <f t="shared" si="341"/>
        <v>557</v>
      </c>
      <c r="Y2120" s="19">
        <f t="shared" si="342"/>
        <v>0</v>
      </c>
      <c r="Z2120">
        <v>2150</v>
      </c>
      <c r="AA2120">
        <v>150</v>
      </c>
      <c r="AB2120">
        <v>410</v>
      </c>
      <c r="AC2120">
        <v>19716</v>
      </c>
      <c r="AD2120">
        <v>0</v>
      </c>
      <c r="AE2120">
        <v>805</v>
      </c>
      <c r="AF2120">
        <v>0</v>
      </c>
      <c r="AG2120">
        <v>251</v>
      </c>
      <c r="AH2120">
        <v>1056</v>
      </c>
      <c r="AI2120">
        <v>0</v>
      </c>
      <c r="AJ2120">
        <v>11500</v>
      </c>
      <c r="AK2120">
        <v>1350</v>
      </c>
      <c r="AL2120">
        <v>12850</v>
      </c>
      <c r="AM2120">
        <v>0</v>
      </c>
      <c r="AN2120">
        <v>5575</v>
      </c>
      <c r="AO2120">
        <v>3790</v>
      </c>
      <c r="AP2120">
        <v>7515</v>
      </c>
      <c r="AQ2120">
        <v>9365</v>
      </c>
      <c r="AR2120">
        <v>1850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240</v>
      </c>
      <c r="AZ2120">
        <v>0</v>
      </c>
      <c r="BA2120">
        <v>240</v>
      </c>
      <c r="BB2120">
        <v>0</v>
      </c>
      <c r="BC2120">
        <v>0</v>
      </c>
      <c r="BD2120">
        <v>0</v>
      </c>
      <c r="BE2120">
        <f t="shared" si="343"/>
        <v>76103</v>
      </c>
      <c r="BF2120">
        <v>46064</v>
      </c>
      <c r="BG2120">
        <v>46064</v>
      </c>
      <c r="BH2120" t="s">
        <v>82</v>
      </c>
      <c r="BI2120" t="s">
        <v>1753</v>
      </c>
      <c r="BJ2120">
        <v>20403</v>
      </c>
      <c r="BK2120">
        <v>23511</v>
      </c>
      <c r="BL2120">
        <v>46064</v>
      </c>
      <c r="BM2120">
        <v>0</v>
      </c>
      <c r="BN2120">
        <v>22638</v>
      </c>
      <c r="BO2120">
        <v>0</v>
      </c>
      <c r="BP2120">
        <v>5949</v>
      </c>
      <c r="BQ2120">
        <v>28587</v>
      </c>
      <c r="BR2120">
        <f t="shared" si="344"/>
        <v>-557</v>
      </c>
      <c r="BS2120">
        <f t="shared" si="345"/>
        <v>1685</v>
      </c>
    </row>
    <row r="2121" spans="1:74" x14ac:dyDescent="0.25">
      <c r="A2121" s="5" t="s">
        <v>1946</v>
      </c>
      <c r="B2121" s="5" t="s">
        <v>61</v>
      </c>
      <c r="C2121" s="5" t="s">
        <v>61</v>
      </c>
      <c r="D2121" s="1" t="s">
        <v>135</v>
      </c>
      <c r="E2121">
        <v>0</v>
      </c>
      <c r="F2121">
        <v>1080</v>
      </c>
      <c r="G2121">
        <v>0</v>
      </c>
      <c r="H2121">
        <v>0</v>
      </c>
      <c r="I2121">
        <v>4651</v>
      </c>
      <c r="J2121">
        <v>0</v>
      </c>
      <c r="K2121">
        <v>841</v>
      </c>
      <c r="L2121">
        <v>0</v>
      </c>
      <c r="M2121">
        <v>540</v>
      </c>
      <c r="N2121">
        <v>0</v>
      </c>
      <c r="O2121">
        <v>0</v>
      </c>
      <c r="P2121">
        <v>5580</v>
      </c>
      <c r="Q2121">
        <v>1237</v>
      </c>
      <c r="R2121">
        <v>680</v>
      </c>
      <c r="S2121" s="18">
        <f t="shared" si="336"/>
        <v>9</v>
      </c>
      <c r="T2121" s="17">
        <f t="shared" si="337"/>
        <v>60</v>
      </c>
      <c r="U2121" s="17">
        <f t="shared" si="338"/>
        <v>0</v>
      </c>
      <c r="V2121" s="17">
        <f t="shared" si="339"/>
        <v>0</v>
      </c>
      <c r="W2121" s="17">
        <f t="shared" si="340"/>
        <v>620</v>
      </c>
      <c r="X2121" s="17">
        <f t="shared" si="341"/>
        <v>557</v>
      </c>
      <c r="Y2121" s="19">
        <f t="shared" si="342"/>
        <v>0</v>
      </c>
      <c r="Z2121">
        <v>1080</v>
      </c>
      <c r="AA2121">
        <v>0</v>
      </c>
      <c r="AB2121">
        <v>0</v>
      </c>
      <c r="AC2121">
        <v>0</v>
      </c>
      <c r="AD2121">
        <v>905</v>
      </c>
      <c r="AE2121">
        <v>0</v>
      </c>
      <c r="AF2121">
        <v>0</v>
      </c>
      <c r="AG2121">
        <v>3746</v>
      </c>
      <c r="AH2121">
        <v>4651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841</v>
      </c>
      <c r="AP2121">
        <v>456</v>
      </c>
      <c r="AQ2121">
        <v>841</v>
      </c>
      <c r="AR2121">
        <v>385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f t="shared" si="343"/>
        <v>11825</v>
      </c>
      <c r="BF2121">
        <v>6572</v>
      </c>
      <c r="BG2121">
        <v>6572</v>
      </c>
      <c r="BH2121" t="s">
        <v>109</v>
      </c>
      <c r="BI2121" t="s">
        <v>1980</v>
      </c>
      <c r="BJ2121">
        <v>0</v>
      </c>
      <c r="BK2121">
        <v>5492</v>
      </c>
      <c r="BL2121">
        <v>6572</v>
      </c>
      <c r="BM2121">
        <v>1445</v>
      </c>
      <c r="BN2121">
        <v>0</v>
      </c>
      <c r="BO2121">
        <v>0</v>
      </c>
      <c r="BP2121">
        <v>10167</v>
      </c>
      <c r="BQ2121">
        <v>11612</v>
      </c>
      <c r="BR2121">
        <f t="shared" si="344"/>
        <v>-557</v>
      </c>
      <c r="BS2121">
        <f t="shared" si="345"/>
        <v>1917</v>
      </c>
    </row>
    <row r="2122" spans="1:74" x14ac:dyDescent="0.25">
      <c r="A2122" s="5" t="s">
        <v>1946</v>
      </c>
      <c r="B2122" s="5" t="s">
        <v>207</v>
      </c>
      <c r="C2122" s="5" t="s">
        <v>207</v>
      </c>
      <c r="D2122" s="1" t="s">
        <v>77</v>
      </c>
      <c r="E2122">
        <v>0</v>
      </c>
      <c r="F2122">
        <v>0</v>
      </c>
      <c r="G2122">
        <v>0</v>
      </c>
      <c r="H2122">
        <v>0</v>
      </c>
      <c r="I2122">
        <v>1350</v>
      </c>
      <c r="J2122">
        <v>5960</v>
      </c>
      <c r="K2122">
        <v>45</v>
      </c>
      <c r="L2122">
        <v>960</v>
      </c>
      <c r="M2122">
        <v>0</v>
      </c>
      <c r="N2122">
        <v>0</v>
      </c>
      <c r="O2122">
        <v>0</v>
      </c>
      <c r="P2122">
        <v>0</v>
      </c>
      <c r="Q2122">
        <v>499</v>
      </c>
      <c r="R2122">
        <v>0</v>
      </c>
      <c r="S2122" s="18" t="e">
        <f t="shared" si="336"/>
        <v>#DIV/0!</v>
      </c>
      <c r="T2122" s="17" t="e">
        <f t="shared" si="337"/>
        <v>#DIV/0!</v>
      </c>
      <c r="U2122" s="17" t="e">
        <f t="shared" si="338"/>
        <v>#DIV/0!</v>
      </c>
      <c r="V2122" s="17" t="e">
        <f t="shared" si="339"/>
        <v>#DIV/0!</v>
      </c>
      <c r="W2122" s="17" t="e">
        <f t="shared" si="340"/>
        <v>#DIV/0!</v>
      </c>
      <c r="X2122" s="17" t="e">
        <f t="shared" si="341"/>
        <v>#DIV/0!</v>
      </c>
      <c r="Y2122" s="19" t="e">
        <f t="shared" si="342"/>
        <v>#DIV/0!</v>
      </c>
      <c r="Z2122">
        <v>0</v>
      </c>
      <c r="AA2122">
        <v>0</v>
      </c>
      <c r="AB2122">
        <v>0</v>
      </c>
      <c r="AC2122">
        <v>620</v>
      </c>
      <c r="AD2122">
        <v>0</v>
      </c>
      <c r="AE2122">
        <v>0</v>
      </c>
      <c r="AF2122">
        <v>0</v>
      </c>
      <c r="AG2122">
        <v>1350</v>
      </c>
      <c r="AH2122">
        <v>1350</v>
      </c>
      <c r="AI2122">
        <v>0</v>
      </c>
      <c r="AJ2122">
        <v>0</v>
      </c>
      <c r="AK2122">
        <v>5960</v>
      </c>
      <c r="AL2122">
        <v>5960</v>
      </c>
      <c r="AM2122">
        <v>0</v>
      </c>
      <c r="AN2122">
        <v>0</v>
      </c>
      <c r="AO2122">
        <v>45</v>
      </c>
      <c r="AP2122">
        <v>0</v>
      </c>
      <c r="AQ2122">
        <v>45</v>
      </c>
      <c r="AR2122">
        <v>45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960</v>
      </c>
      <c r="BA2122">
        <v>960</v>
      </c>
      <c r="BB2122">
        <v>0</v>
      </c>
      <c r="BC2122">
        <v>0</v>
      </c>
      <c r="BD2122">
        <v>0</v>
      </c>
      <c r="BE2122">
        <f t="shared" si="343"/>
        <v>17295</v>
      </c>
      <c r="BF2122">
        <v>8935</v>
      </c>
      <c r="BG2122">
        <v>8935</v>
      </c>
      <c r="BH2122" t="s">
        <v>63</v>
      </c>
      <c r="BI2122" t="s">
        <v>2047</v>
      </c>
      <c r="BJ2122">
        <v>620</v>
      </c>
      <c r="BK2122">
        <v>8315</v>
      </c>
      <c r="BL2122">
        <v>8935</v>
      </c>
      <c r="BM2122">
        <v>0</v>
      </c>
      <c r="BN2122">
        <v>0</v>
      </c>
      <c r="BO2122">
        <v>0</v>
      </c>
      <c r="BP2122">
        <v>8315</v>
      </c>
      <c r="BQ2122">
        <v>8315</v>
      </c>
      <c r="BR2122">
        <f t="shared" si="344"/>
        <v>-499</v>
      </c>
      <c r="BS2122">
        <f t="shared" si="345"/>
        <v>499</v>
      </c>
      <c r="BU2122">
        <f>R2122*9</f>
        <v>0</v>
      </c>
      <c r="BV2122">
        <f>IF(BU2122&gt;BG2122, 1, 0)</f>
        <v>0</v>
      </c>
    </row>
    <row r="2123" spans="1:74" x14ac:dyDescent="0.25">
      <c r="A2123" s="5" t="s">
        <v>1451</v>
      </c>
      <c r="B2123" s="5" t="s">
        <v>359</v>
      </c>
      <c r="C2123" s="5" t="s">
        <v>61</v>
      </c>
      <c r="D2123" s="1" t="s">
        <v>100</v>
      </c>
      <c r="E2123">
        <v>0</v>
      </c>
      <c r="F2123">
        <v>340</v>
      </c>
      <c r="G2123">
        <v>0</v>
      </c>
      <c r="H2123">
        <v>0</v>
      </c>
      <c r="I2123">
        <v>2315</v>
      </c>
      <c r="J2123">
        <v>980</v>
      </c>
      <c r="K2123">
        <v>1949</v>
      </c>
      <c r="L2123">
        <v>40</v>
      </c>
      <c r="M2123">
        <v>1530</v>
      </c>
      <c r="N2123">
        <v>0</v>
      </c>
      <c r="O2123">
        <v>0</v>
      </c>
      <c r="P2123">
        <v>0</v>
      </c>
      <c r="Q2123">
        <v>731</v>
      </c>
      <c r="R2123">
        <v>170</v>
      </c>
      <c r="S2123" s="18">
        <f t="shared" si="336"/>
        <v>9</v>
      </c>
      <c r="T2123" s="17">
        <f t="shared" si="337"/>
        <v>170</v>
      </c>
      <c r="U2123" s="17">
        <f t="shared" si="338"/>
        <v>0</v>
      </c>
      <c r="V2123" s="17">
        <f t="shared" si="339"/>
        <v>0</v>
      </c>
      <c r="W2123" s="17">
        <f t="shared" si="340"/>
        <v>0</v>
      </c>
      <c r="X2123" s="17">
        <f t="shared" si="341"/>
        <v>561</v>
      </c>
      <c r="Y2123" s="19">
        <f t="shared" si="342"/>
        <v>0</v>
      </c>
      <c r="Z2123">
        <v>340</v>
      </c>
      <c r="AA2123">
        <v>0</v>
      </c>
      <c r="AB2123">
        <v>0</v>
      </c>
      <c r="AC2123">
        <v>457</v>
      </c>
      <c r="AD2123">
        <v>385</v>
      </c>
      <c r="AE2123">
        <v>0</v>
      </c>
      <c r="AF2123">
        <v>0</v>
      </c>
      <c r="AG2123">
        <v>1930</v>
      </c>
      <c r="AH2123">
        <v>2315</v>
      </c>
      <c r="AI2123">
        <v>0</v>
      </c>
      <c r="AJ2123">
        <v>0</v>
      </c>
      <c r="AK2123">
        <v>980</v>
      </c>
      <c r="AL2123">
        <v>980</v>
      </c>
      <c r="AM2123">
        <v>446</v>
      </c>
      <c r="AN2123">
        <v>0</v>
      </c>
      <c r="AO2123">
        <v>1503</v>
      </c>
      <c r="AP2123">
        <v>1191</v>
      </c>
      <c r="AQ2123">
        <v>1949</v>
      </c>
      <c r="AR2123">
        <v>758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40</v>
      </c>
      <c r="BA2123">
        <v>40</v>
      </c>
      <c r="BB2123">
        <v>0</v>
      </c>
      <c r="BC2123">
        <v>0</v>
      </c>
      <c r="BD2123">
        <v>0</v>
      </c>
      <c r="BE2123">
        <f t="shared" si="343"/>
        <v>12974</v>
      </c>
      <c r="BF2123">
        <v>6081</v>
      </c>
      <c r="BG2123">
        <v>6081</v>
      </c>
      <c r="BH2123" t="s">
        <v>109</v>
      </c>
      <c r="BI2123" t="s">
        <v>1617</v>
      </c>
      <c r="BJ2123">
        <v>457</v>
      </c>
      <c r="BK2123">
        <v>5284</v>
      </c>
      <c r="BL2123">
        <v>6081</v>
      </c>
      <c r="BM2123">
        <v>2361</v>
      </c>
      <c r="BN2123">
        <v>0</v>
      </c>
      <c r="BO2123">
        <v>0</v>
      </c>
      <c r="BP2123">
        <v>4453</v>
      </c>
      <c r="BQ2123">
        <v>6814</v>
      </c>
      <c r="BR2123">
        <f t="shared" si="344"/>
        <v>-561</v>
      </c>
      <c r="BS2123">
        <f t="shared" si="345"/>
        <v>901</v>
      </c>
    </row>
    <row r="2124" spans="1:74" x14ac:dyDescent="0.25">
      <c r="A2124" s="5" t="s">
        <v>875</v>
      </c>
      <c r="B2124" s="5" t="s">
        <v>61</v>
      </c>
      <c r="C2124" s="5" t="s">
        <v>207</v>
      </c>
      <c r="D2124" s="1" t="s">
        <v>159</v>
      </c>
      <c r="E2124">
        <v>0</v>
      </c>
      <c r="F2124">
        <v>660</v>
      </c>
      <c r="G2124">
        <v>0</v>
      </c>
      <c r="H2124">
        <v>0</v>
      </c>
      <c r="I2124">
        <v>696</v>
      </c>
      <c r="J2124">
        <v>1652</v>
      </c>
      <c r="K2124">
        <v>527</v>
      </c>
      <c r="L2124">
        <v>0</v>
      </c>
      <c r="M2124">
        <v>1485</v>
      </c>
      <c r="N2124">
        <v>0</v>
      </c>
      <c r="O2124">
        <v>0</v>
      </c>
      <c r="P2124">
        <v>0</v>
      </c>
      <c r="Q2124">
        <v>727</v>
      </c>
      <c r="R2124">
        <v>165</v>
      </c>
      <c r="S2124" s="18">
        <f t="shared" si="336"/>
        <v>9</v>
      </c>
      <c r="T2124" s="17">
        <f t="shared" si="337"/>
        <v>165</v>
      </c>
      <c r="U2124" s="17">
        <f t="shared" si="338"/>
        <v>0</v>
      </c>
      <c r="V2124" s="17">
        <f t="shared" si="339"/>
        <v>0</v>
      </c>
      <c r="W2124" s="17">
        <f t="shared" si="340"/>
        <v>0</v>
      </c>
      <c r="X2124" s="17">
        <f t="shared" si="341"/>
        <v>562</v>
      </c>
      <c r="Y2124" s="19">
        <f t="shared" si="342"/>
        <v>0</v>
      </c>
      <c r="Z2124">
        <v>660</v>
      </c>
      <c r="AA2124">
        <v>0</v>
      </c>
      <c r="AB2124">
        <v>0</v>
      </c>
      <c r="AC2124">
        <v>0</v>
      </c>
      <c r="AD2124">
        <v>346</v>
      </c>
      <c r="AE2124">
        <v>0</v>
      </c>
      <c r="AF2124">
        <v>0</v>
      </c>
      <c r="AG2124">
        <v>350</v>
      </c>
      <c r="AH2124">
        <v>696</v>
      </c>
      <c r="AI2124">
        <v>0</v>
      </c>
      <c r="AJ2124">
        <v>0</v>
      </c>
      <c r="AK2124">
        <v>1652</v>
      </c>
      <c r="AL2124">
        <v>1652</v>
      </c>
      <c r="AM2124">
        <v>0</v>
      </c>
      <c r="AN2124">
        <v>0</v>
      </c>
      <c r="AO2124">
        <v>527</v>
      </c>
      <c r="AP2124">
        <v>400</v>
      </c>
      <c r="AQ2124">
        <v>527</v>
      </c>
      <c r="AR2124">
        <v>127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f t="shared" si="343"/>
        <v>6277</v>
      </c>
      <c r="BF2124">
        <v>3535</v>
      </c>
      <c r="BG2124">
        <v>3535</v>
      </c>
      <c r="BH2124" t="s">
        <v>109</v>
      </c>
      <c r="BI2124" t="s">
        <v>919</v>
      </c>
      <c r="BJ2124">
        <v>0</v>
      </c>
      <c r="BK2124">
        <v>2875</v>
      </c>
      <c r="BL2124">
        <v>3535</v>
      </c>
      <c r="BM2124">
        <v>1831</v>
      </c>
      <c r="BN2124">
        <v>0</v>
      </c>
      <c r="BO2124">
        <v>0</v>
      </c>
      <c r="BP2124">
        <v>2529</v>
      </c>
      <c r="BQ2124">
        <v>4360</v>
      </c>
      <c r="BR2124">
        <f t="shared" si="344"/>
        <v>-562</v>
      </c>
      <c r="BS2124">
        <f t="shared" si="345"/>
        <v>892</v>
      </c>
    </row>
    <row r="2125" spans="1:74" x14ac:dyDescent="0.25">
      <c r="A2125" s="5" t="s">
        <v>1661</v>
      </c>
      <c r="B2125" s="5" t="s">
        <v>61</v>
      </c>
      <c r="C2125" s="5" t="s">
        <v>61</v>
      </c>
      <c r="D2125" s="1" t="s">
        <v>100</v>
      </c>
      <c r="E2125">
        <v>0</v>
      </c>
      <c r="F2125">
        <v>10850</v>
      </c>
      <c r="G2125">
        <v>0</v>
      </c>
      <c r="H2125">
        <v>0</v>
      </c>
      <c r="I2125">
        <v>2848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6588</v>
      </c>
      <c r="Q2125">
        <v>1294</v>
      </c>
      <c r="R2125">
        <v>732</v>
      </c>
      <c r="S2125" s="18">
        <f t="shared" si="336"/>
        <v>9</v>
      </c>
      <c r="T2125" s="17">
        <f t="shared" si="337"/>
        <v>0</v>
      </c>
      <c r="U2125" s="17">
        <f t="shared" si="338"/>
        <v>0</v>
      </c>
      <c r="V2125" s="17">
        <f t="shared" si="339"/>
        <v>0</v>
      </c>
      <c r="W2125" s="17">
        <f t="shared" si="340"/>
        <v>732</v>
      </c>
      <c r="X2125" s="17">
        <f t="shared" si="341"/>
        <v>562</v>
      </c>
      <c r="Y2125" s="19">
        <f t="shared" si="342"/>
        <v>0</v>
      </c>
      <c r="Z2125">
        <v>10850</v>
      </c>
      <c r="AA2125">
        <v>0</v>
      </c>
      <c r="AB2125">
        <v>0</v>
      </c>
      <c r="AC2125">
        <v>1492</v>
      </c>
      <c r="AD2125">
        <v>0</v>
      </c>
      <c r="AE2125">
        <v>0</v>
      </c>
      <c r="AF2125">
        <v>0</v>
      </c>
      <c r="AG2125">
        <v>2848</v>
      </c>
      <c r="AH2125">
        <v>2848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f t="shared" si="343"/>
        <v>7188</v>
      </c>
      <c r="BF2125">
        <v>16546</v>
      </c>
      <c r="BG2125">
        <v>16546</v>
      </c>
      <c r="BH2125" t="s">
        <v>82</v>
      </c>
      <c r="BI2125" t="s">
        <v>1676</v>
      </c>
      <c r="BJ2125">
        <v>1492</v>
      </c>
      <c r="BK2125">
        <v>2848</v>
      </c>
      <c r="BL2125">
        <v>15190</v>
      </c>
      <c r="BM2125">
        <v>0</v>
      </c>
      <c r="BN2125">
        <v>0</v>
      </c>
      <c r="BO2125">
        <v>0</v>
      </c>
      <c r="BP2125">
        <v>9436</v>
      </c>
      <c r="BQ2125">
        <v>9436</v>
      </c>
      <c r="BR2125">
        <f t="shared" si="344"/>
        <v>-562</v>
      </c>
      <c r="BS2125">
        <f t="shared" si="345"/>
        <v>2026</v>
      </c>
    </row>
    <row r="2126" spans="1:74" x14ac:dyDescent="0.25">
      <c r="A2126" s="5" t="s">
        <v>2090</v>
      </c>
      <c r="B2126" s="5" t="s">
        <v>61</v>
      </c>
      <c r="C2126" s="5" t="s">
        <v>61</v>
      </c>
      <c r="D2126" s="1" t="s">
        <v>2189</v>
      </c>
      <c r="E2126">
        <v>0</v>
      </c>
      <c r="F2126">
        <v>0</v>
      </c>
      <c r="G2126">
        <v>0</v>
      </c>
      <c r="H2126">
        <v>0</v>
      </c>
      <c r="I2126">
        <v>129</v>
      </c>
      <c r="J2126">
        <v>705</v>
      </c>
      <c r="K2126">
        <v>309</v>
      </c>
      <c r="L2126">
        <v>209</v>
      </c>
      <c r="M2126">
        <v>0</v>
      </c>
      <c r="N2126">
        <v>0</v>
      </c>
      <c r="O2126">
        <v>0</v>
      </c>
      <c r="P2126">
        <v>0</v>
      </c>
      <c r="Q2126">
        <v>564</v>
      </c>
      <c r="R2126">
        <v>0</v>
      </c>
      <c r="S2126" s="18" t="e">
        <f t="shared" si="336"/>
        <v>#DIV/0!</v>
      </c>
      <c r="T2126" s="17" t="e">
        <f t="shared" si="337"/>
        <v>#DIV/0!</v>
      </c>
      <c r="U2126" s="17" t="e">
        <f t="shared" si="338"/>
        <v>#DIV/0!</v>
      </c>
      <c r="V2126" s="17" t="e">
        <f t="shared" si="339"/>
        <v>#DIV/0!</v>
      </c>
      <c r="W2126" s="17" t="e">
        <f t="shared" si="340"/>
        <v>#DIV/0!</v>
      </c>
      <c r="X2126" s="17" t="e">
        <f t="shared" si="341"/>
        <v>#DIV/0!</v>
      </c>
      <c r="Y2126" s="19" t="e">
        <f t="shared" si="342"/>
        <v>#DIV/0!</v>
      </c>
      <c r="Z2126">
        <v>0</v>
      </c>
      <c r="AA2126">
        <v>0</v>
      </c>
      <c r="AB2126">
        <v>0</v>
      </c>
      <c r="AC2126">
        <v>640</v>
      </c>
      <c r="AD2126">
        <v>0</v>
      </c>
      <c r="AE2126">
        <v>0</v>
      </c>
      <c r="AF2126">
        <v>0</v>
      </c>
      <c r="AG2126">
        <v>129</v>
      </c>
      <c r="AH2126">
        <v>129</v>
      </c>
      <c r="AI2126">
        <v>0</v>
      </c>
      <c r="AJ2126">
        <v>0</v>
      </c>
      <c r="AK2126">
        <v>705</v>
      </c>
      <c r="AL2126">
        <v>705</v>
      </c>
      <c r="AM2126">
        <v>0</v>
      </c>
      <c r="AN2126">
        <v>0</v>
      </c>
      <c r="AO2126">
        <v>309</v>
      </c>
      <c r="AP2126">
        <v>31</v>
      </c>
      <c r="AQ2126">
        <v>309</v>
      </c>
      <c r="AR2126">
        <v>278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209</v>
      </c>
      <c r="BA2126">
        <v>209</v>
      </c>
      <c r="BB2126">
        <v>0</v>
      </c>
      <c r="BC2126">
        <v>0</v>
      </c>
      <c r="BD2126">
        <v>0</v>
      </c>
      <c r="BE2126">
        <f t="shared" si="343"/>
        <v>3653</v>
      </c>
      <c r="BF2126">
        <v>1992</v>
      </c>
      <c r="BG2126">
        <v>1992</v>
      </c>
      <c r="BH2126" t="s">
        <v>82</v>
      </c>
      <c r="BI2126" t="s">
        <v>2190</v>
      </c>
      <c r="BJ2126">
        <v>640</v>
      </c>
      <c r="BK2126">
        <v>1352</v>
      </c>
      <c r="BL2126">
        <v>1992</v>
      </c>
      <c r="BM2126">
        <v>0</v>
      </c>
      <c r="BN2126">
        <v>0</v>
      </c>
      <c r="BO2126">
        <v>0</v>
      </c>
      <c r="BP2126">
        <v>1352</v>
      </c>
      <c r="BQ2126">
        <v>1352</v>
      </c>
      <c r="BR2126">
        <f t="shared" si="344"/>
        <v>-564</v>
      </c>
      <c r="BS2126">
        <f t="shared" si="345"/>
        <v>564</v>
      </c>
    </row>
    <row r="2127" spans="1:74" x14ac:dyDescent="0.25">
      <c r="A2127" s="5" t="s">
        <v>875</v>
      </c>
      <c r="B2127" s="5" t="s">
        <v>207</v>
      </c>
      <c r="C2127" s="5" t="s">
        <v>61</v>
      </c>
      <c r="D2127" s="1" t="s">
        <v>151</v>
      </c>
      <c r="E2127">
        <v>1706</v>
      </c>
      <c r="F2127">
        <v>85</v>
      </c>
      <c r="G2127">
        <v>0</v>
      </c>
      <c r="H2127">
        <v>0</v>
      </c>
      <c r="I2127">
        <v>330</v>
      </c>
      <c r="J2127">
        <v>6730</v>
      </c>
      <c r="K2127">
        <v>140</v>
      </c>
      <c r="L2127">
        <v>185</v>
      </c>
      <c r="M2127">
        <v>0</v>
      </c>
      <c r="N2127">
        <v>0</v>
      </c>
      <c r="O2127">
        <v>0</v>
      </c>
      <c r="P2127">
        <v>459</v>
      </c>
      <c r="Q2127">
        <v>617</v>
      </c>
      <c r="R2127">
        <v>51</v>
      </c>
      <c r="S2127" s="18">
        <f t="shared" si="336"/>
        <v>9</v>
      </c>
      <c r="T2127" s="17">
        <f t="shared" si="337"/>
        <v>0</v>
      </c>
      <c r="U2127" s="17">
        <f t="shared" si="338"/>
        <v>0</v>
      </c>
      <c r="V2127" s="17">
        <f t="shared" si="339"/>
        <v>0</v>
      </c>
      <c r="W2127" s="17">
        <f t="shared" si="340"/>
        <v>51</v>
      </c>
      <c r="X2127" s="17">
        <f t="shared" si="341"/>
        <v>566</v>
      </c>
      <c r="Y2127" s="19">
        <f t="shared" si="342"/>
        <v>0</v>
      </c>
      <c r="Z2127">
        <v>85</v>
      </c>
      <c r="AA2127">
        <v>127</v>
      </c>
      <c r="AB2127">
        <v>420</v>
      </c>
      <c r="AC2127">
        <v>4389</v>
      </c>
      <c r="AD2127">
        <v>0</v>
      </c>
      <c r="AE2127">
        <v>330</v>
      </c>
      <c r="AF2127">
        <v>0</v>
      </c>
      <c r="AG2127">
        <v>0</v>
      </c>
      <c r="AH2127">
        <v>330</v>
      </c>
      <c r="AI2127">
        <v>0</v>
      </c>
      <c r="AJ2127">
        <v>6690</v>
      </c>
      <c r="AK2127">
        <v>40</v>
      </c>
      <c r="AL2127">
        <v>6730</v>
      </c>
      <c r="AM2127">
        <v>0</v>
      </c>
      <c r="AN2127">
        <v>60</v>
      </c>
      <c r="AO2127">
        <v>80</v>
      </c>
      <c r="AP2127">
        <v>30</v>
      </c>
      <c r="AQ2127">
        <v>140</v>
      </c>
      <c r="AR2127">
        <v>110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185</v>
      </c>
      <c r="AZ2127">
        <v>0</v>
      </c>
      <c r="BA2127">
        <v>185</v>
      </c>
      <c r="BB2127">
        <v>0</v>
      </c>
      <c r="BC2127">
        <v>0</v>
      </c>
      <c r="BD2127">
        <v>0</v>
      </c>
      <c r="BE2127">
        <f t="shared" si="343"/>
        <v>19299</v>
      </c>
      <c r="BF2127">
        <v>14112</v>
      </c>
      <c r="BG2127">
        <v>14112</v>
      </c>
      <c r="BH2127" t="s">
        <v>82</v>
      </c>
      <c r="BI2127" t="s">
        <v>1008</v>
      </c>
      <c r="BJ2127">
        <v>6642</v>
      </c>
      <c r="BK2127">
        <v>7385</v>
      </c>
      <c r="BL2127">
        <v>14112</v>
      </c>
      <c r="BM2127">
        <v>0</v>
      </c>
      <c r="BN2127">
        <v>7265</v>
      </c>
      <c r="BO2127">
        <v>0</v>
      </c>
      <c r="BP2127">
        <v>579</v>
      </c>
      <c r="BQ2127">
        <v>7844</v>
      </c>
      <c r="BR2127">
        <f t="shared" si="344"/>
        <v>-566</v>
      </c>
      <c r="BS2127">
        <f t="shared" si="345"/>
        <v>668</v>
      </c>
    </row>
    <row r="2128" spans="1:74" x14ac:dyDescent="0.25">
      <c r="A2128" s="5" t="s">
        <v>1017</v>
      </c>
      <c r="B2128" s="5" t="s">
        <v>359</v>
      </c>
      <c r="C2128" s="5" t="s">
        <v>61</v>
      </c>
      <c r="D2128" s="1" t="s">
        <v>84</v>
      </c>
      <c r="E2128">
        <v>0</v>
      </c>
      <c r="F2128">
        <v>0</v>
      </c>
      <c r="G2128">
        <v>0</v>
      </c>
      <c r="H2128">
        <v>0</v>
      </c>
      <c r="I2128">
        <v>826</v>
      </c>
      <c r="J2128">
        <v>9821</v>
      </c>
      <c r="K2128">
        <v>1116</v>
      </c>
      <c r="L2128">
        <v>175</v>
      </c>
      <c r="M2128">
        <v>0</v>
      </c>
      <c r="N2128">
        <v>0</v>
      </c>
      <c r="O2128">
        <v>0</v>
      </c>
      <c r="P2128">
        <v>0</v>
      </c>
      <c r="Q2128">
        <v>566</v>
      </c>
      <c r="R2128">
        <v>0</v>
      </c>
      <c r="S2128" s="18" t="e">
        <f t="shared" si="336"/>
        <v>#DIV/0!</v>
      </c>
      <c r="T2128" s="17" t="e">
        <f t="shared" si="337"/>
        <v>#DIV/0!</v>
      </c>
      <c r="U2128" s="17" t="e">
        <f t="shared" si="338"/>
        <v>#DIV/0!</v>
      </c>
      <c r="V2128" s="17" t="e">
        <f t="shared" si="339"/>
        <v>#DIV/0!</v>
      </c>
      <c r="W2128" s="17" t="e">
        <f t="shared" si="340"/>
        <v>#DIV/0!</v>
      </c>
      <c r="X2128" s="17" t="e">
        <f t="shared" si="341"/>
        <v>#DIV/0!</v>
      </c>
      <c r="Y2128" s="19" t="e">
        <f t="shared" si="342"/>
        <v>#DIV/0!</v>
      </c>
      <c r="Z2128">
        <v>0</v>
      </c>
      <c r="AA2128">
        <v>24</v>
      </c>
      <c r="AB2128">
        <v>195</v>
      </c>
      <c r="AC2128">
        <v>4476</v>
      </c>
      <c r="AD2128">
        <v>0</v>
      </c>
      <c r="AE2128">
        <v>0</v>
      </c>
      <c r="AF2128">
        <v>0</v>
      </c>
      <c r="AG2128">
        <v>826</v>
      </c>
      <c r="AH2128">
        <v>826</v>
      </c>
      <c r="AI2128">
        <v>0</v>
      </c>
      <c r="AJ2128">
        <v>0</v>
      </c>
      <c r="AK2128">
        <v>9821</v>
      </c>
      <c r="AL2128">
        <v>9821</v>
      </c>
      <c r="AM2128">
        <v>0</v>
      </c>
      <c r="AN2128">
        <v>0</v>
      </c>
      <c r="AO2128">
        <v>1116</v>
      </c>
      <c r="AP2128">
        <v>300</v>
      </c>
      <c r="AQ2128">
        <v>1116</v>
      </c>
      <c r="AR2128">
        <v>816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175</v>
      </c>
      <c r="BA2128">
        <v>175</v>
      </c>
      <c r="BB2128">
        <v>0</v>
      </c>
      <c r="BC2128">
        <v>0</v>
      </c>
      <c r="BD2128">
        <v>0</v>
      </c>
      <c r="BE2128">
        <f t="shared" si="343"/>
        <v>29468</v>
      </c>
      <c r="BF2128">
        <v>16633</v>
      </c>
      <c r="BG2128">
        <v>16633</v>
      </c>
      <c r="BH2128" t="s">
        <v>82</v>
      </c>
      <c r="BI2128" t="s">
        <v>1128</v>
      </c>
      <c r="BJ2128">
        <v>4695</v>
      </c>
      <c r="BK2128">
        <v>11938</v>
      </c>
      <c r="BL2128">
        <v>16633</v>
      </c>
      <c r="BM2128">
        <v>0</v>
      </c>
      <c r="BN2128">
        <v>0</v>
      </c>
      <c r="BO2128">
        <v>0</v>
      </c>
      <c r="BP2128">
        <v>11938</v>
      </c>
      <c r="BQ2128">
        <v>11938</v>
      </c>
      <c r="BR2128">
        <f t="shared" si="344"/>
        <v>-566</v>
      </c>
      <c r="BS2128">
        <f t="shared" si="345"/>
        <v>566</v>
      </c>
    </row>
    <row r="2129" spans="1:71" x14ac:dyDescent="0.25">
      <c r="A2129" s="5" t="s">
        <v>1946</v>
      </c>
      <c r="B2129" s="5" t="s">
        <v>61</v>
      </c>
      <c r="C2129" s="5" t="s">
        <v>61</v>
      </c>
      <c r="D2129" s="1" t="s">
        <v>86</v>
      </c>
      <c r="E2129">
        <v>0</v>
      </c>
      <c r="F2129">
        <v>0</v>
      </c>
      <c r="G2129">
        <v>0</v>
      </c>
      <c r="H2129">
        <v>0</v>
      </c>
      <c r="I2129">
        <v>150</v>
      </c>
      <c r="J2129">
        <v>0</v>
      </c>
      <c r="K2129">
        <v>1650</v>
      </c>
      <c r="L2129">
        <v>126</v>
      </c>
      <c r="M2129">
        <v>0</v>
      </c>
      <c r="N2129">
        <v>0</v>
      </c>
      <c r="O2129">
        <v>0</v>
      </c>
      <c r="P2129">
        <v>0</v>
      </c>
      <c r="Q2129">
        <v>568</v>
      </c>
      <c r="R2129">
        <v>0</v>
      </c>
      <c r="S2129" s="18" t="e">
        <f t="shared" si="336"/>
        <v>#DIV/0!</v>
      </c>
      <c r="T2129" s="17" t="e">
        <f t="shared" si="337"/>
        <v>#DIV/0!</v>
      </c>
      <c r="U2129" s="17" t="e">
        <f t="shared" si="338"/>
        <v>#DIV/0!</v>
      </c>
      <c r="V2129" s="17" t="e">
        <f t="shared" si="339"/>
        <v>#DIV/0!</v>
      </c>
      <c r="W2129" s="17" t="e">
        <f t="shared" si="340"/>
        <v>#DIV/0!</v>
      </c>
      <c r="X2129" s="17" t="e">
        <f t="shared" si="341"/>
        <v>#DIV/0!</v>
      </c>
      <c r="Y2129" s="19" t="e">
        <f t="shared" si="342"/>
        <v>#DIV/0!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150</v>
      </c>
      <c r="AH2129">
        <v>150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1650</v>
      </c>
      <c r="AP2129">
        <v>1215</v>
      </c>
      <c r="AQ2129">
        <v>1650</v>
      </c>
      <c r="AR2129">
        <v>435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126</v>
      </c>
      <c r="BA2129">
        <v>126</v>
      </c>
      <c r="BB2129">
        <v>0</v>
      </c>
      <c r="BC2129">
        <v>0</v>
      </c>
      <c r="BD2129">
        <v>0</v>
      </c>
      <c r="BE2129">
        <f t="shared" si="343"/>
        <v>5502</v>
      </c>
      <c r="BF2129">
        <v>1926</v>
      </c>
      <c r="BG2129">
        <v>1926</v>
      </c>
      <c r="BH2129" t="s">
        <v>109</v>
      </c>
      <c r="BI2129" t="s">
        <v>1958</v>
      </c>
      <c r="BJ2129">
        <v>0</v>
      </c>
      <c r="BK2129">
        <v>1926</v>
      </c>
      <c r="BL2129">
        <v>1926</v>
      </c>
      <c r="BM2129">
        <v>0</v>
      </c>
      <c r="BN2129">
        <v>0</v>
      </c>
      <c r="BO2129">
        <v>0</v>
      </c>
      <c r="BP2129">
        <v>1926</v>
      </c>
      <c r="BQ2129">
        <v>1926</v>
      </c>
      <c r="BR2129">
        <f t="shared" si="344"/>
        <v>-568</v>
      </c>
      <c r="BS2129">
        <f t="shared" si="345"/>
        <v>568</v>
      </c>
    </row>
    <row r="2130" spans="1:71" x14ac:dyDescent="0.25">
      <c r="A2130" s="5" t="s">
        <v>2294</v>
      </c>
      <c r="B2130" s="5" t="s">
        <v>207</v>
      </c>
      <c r="C2130" s="5" t="s">
        <v>61</v>
      </c>
      <c r="D2130" s="1" t="s">
        <v>98</v>
      </c>
      <c r="E2130">
        <v>112</v>
      </c>
      <c r="F2130">
        <v>37</v>
      </c>
      <c r="G2130">
        <v>0</v>
      </c>
      <c r="H2130">
        <v>0</v>
      </c>
      <c r="I2130">
        <v>670</v>
      </c>
      <c r="J2130">
        <v>6840</v>
      </c>
      <c r="K2130">
        <v>550</v>
      </c>
      <c r="L2130">
        <v>158</v>
      </c>
      <c r="M2130">
        <v>0</v>
      </c>
      <c r="N2130">
        <v>0</v>
      </c>
      <c r="O2130">
        <v>0</v>
      </c>
      <c r="P2130">
        <v>333</v>
      </c>
      <c r="Q2130">
        <v>609</v>
      </c>
      <c r="R2130">
        <v>37</v>
      </c>
      <c r="S2130" s="18">
        <f t="shared" si="336"/>
        <v>9</v>
      </c>
      <c r="T2130" s="17">
        <f t="shared" si="337"/>
        <v>0</v>
      </c>
      <c r="U2130" s="17">
        <f t="shared" si="338"/>
        <v>0</v>
      </c>
      <c r="V2130" s="17">
        <f t="shared" si="339"/>
        <v>0</v>
      </c>
      <c r="W2130" s="17">
        <f t="shared" si="340"/>
        <v>37</v>
      </c>
      <c r="X2130" s="17">
        <f t="shared" si="341"/>
        <v>572</v>
      </c>
      <c r="Y2130" s="19">
        <f t="shared" si="342"/>
        <v>0</v>
      </c>
      <c r="Z2130">
        <v>37</v>
      </c>
      <c r="AA2130">
        <v>6</v>
      </c>
      <c r="AB2130">
        <v>402</v>
      </c>
      <c r="AC2130">
        <v>3314</v>
      </c>
      <c r="AD2130">
        <v>0</v>
      </c>
      <c r="AE2130">
        <v>0</v>
      </c>
      <c r="AF2130">
        <v>0</v>
      </c>
      <c r="AG2130">
        <v>670</v>
      </c>
      <c r="AH2130">
        <v>670</v>
      </c>
      <c r="AI2130">
        <v>0</v>
      </c>
      <c r="AJ2130">
        <v>0</v>
      </c>
      <c r="AK2130">
        <v>6840</v>
      </c>
      <c r="AL2130">
        <v>6840</v>
      </c>
      <c r="AM2130">
        <v>0</v>
      </c>
      <c r="AN2130">
        <v>0</v>
      </c>
      <c r="AO2130">
        <v>550</v>
      </c>
      <c r="AP2130">
        <v>472</v>
      </c>
      <c r="AQ2130">
        <v>550</v>
      </c>
      <c r="AR2130">
        <v>78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255</v>
      </c>
      <c r="BA2130">
        <v>255</v>
      </c>
      <c r="BB2130">
        <v>0</v>
      </c>
      <c r="BC2130">
        <v>0</v>
      </c>
      <c r="BD2130">
        <v>0</v>
      </c>
      <c r="BE2130">
        <f t="shared" si="343"/>
        <v>20494</v>
      </c>
      <c r="BF2130">
        <v>12186</v>
      </c>
      <c r="BG2130">
        <v>12186</v>
      </c>
      <c r="BH2130" t="s">
        <v>82</v>
      </c>
      <c r="BI2130" t="s">
        <v>2339</v>
      </c>
      <c r="BJ2130">
        <v>3834</v>
      </c>
      <c r="BK2130">
        <v>8315</v>
      </c>
      <c r="BL2130">
        <v>12186</v>
      </c>
      <c r="BM2130">
        <v>0</v>
      </c>
      <c r="BN2130">
        <v>0</v>
      </c>
      <c r="BO2130">
        <v>0</v>
      </c>
      <c r="BP2130">
        <v>8648</v>
      </c>
      <c r="BQ2130">
        <v>8648</v>
      </c>
      <c r="BR2130">
        <f t="shared" si="344"/>
        <v>-572</v>
      </c>
      <c r="BS2130">
        <f t="shared" si="345"/>
        <v>646</v>
      </c>
    </row>
    <row r="2131" spans="1:71" x14ac:dyDescent="0.25">
      <c r="A2131" s="5" t="s">
        <v>1017</v>
      </c>
      <c r="B2131" s="5" t="s">
        <v>61</v>
      </c>
      <c r="C2131" s="5" t="s">
        <v>61</v>
      </c>
      <c r="D2131" s="1" t="s">
        <v>79</v>
      </c>
      <c r="E2131">
        <v>0</v>
      </c>
      <c r="F2131">
        <v>60</v>
      </c>
      <c r="G2131">
        <v>0</v>
      </c>
      <c r="H2131">
        <v>0</v>
      </c>
      <c r="I2131">
        <v>678</v>
      </c>
      <c r="J2131">
        <v>2760</v>
      </c>
      <c r="K2131">
        <v>533</v>
      </c>
      <c r="L2131">
        <v>189</v>
      </c>
      <c r="M2131">
        <v>252</v>
      </c>
      <c r="N2131">
        <v>0</v>
      </c>
      <c r="O2131">
        <v>0</v>
      </c>
      <c r="P2131">
        <v>0</v>
      </c>
      <c r="Q2131">
        <v>610</v>
      </c>
      <c r="R2131">
        <v>28</v>
      </c>
      <c r="S2131" s="18">
        <f t="shared" si="336"/>
        <v>9</v>
      </c>
      <c r="T2131" s="17">
        <f t="shared" si="337"/>
        <v>28</v>
      </c>
      <c r="U2131" s="17">
        <f t="shared" si="338"/>
        <v>0</v>
      </c>
      <c r="V2131" s="17">
        <f t="shared" si="339"/>
        <v>0</v>
      </c>
      <c r="W2131" s="17">
        <f t="shared" si="340"/>
        <v>0</v>
      </c>
      <c r="X2131" s="17">
        <f t="shared" si="341"/>
        <v>582</v>
      </c>
      <c r="Y2131" s="19">
        <f t="shared" si="342"/>
        <v>0</v>
      </c>
      <c r="Z2131">
        <v>60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678</v>
      </c>
      <c r="AH2131">
        <v>678</v>
      </c>
      <c r="AI2131">
        <v>0</v>
      </c>
      <c r="AJ2131">
        <v>0</v>
      </c>
      <c r="AK2131">
        <v>2760</v>
      </c>
      <c r="AL2131">
        <v>2760</v>
      </c>
      <c r="AM2131">
        <v>0</v>
      </c>
      <c r="AN2131">
        <v>0</v>
      </c>
      <c r="AO2131">
        <v>533</v>
      </c>
      <c r="AP2131">
        <v>111</v>
      </c>
      <c r="AQ2131">
        <v>533</v>
      </c>
      <c r="AR2131">
        <v>422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189</v>
      </c>
      <c r="BA2131">
        <v>189</v>
      </c>
      <c r="BB2131">
        <v>0</v>
      </c>
      <c r="BC2131">
        <v>0</v>
      </c>
      <c r="BD2131">
        <v>0</v>
      </c>
      <c r="BE2131">
        <f t="shared" si="343"/>
        <v>8853</v>
      </c>
      <c r="BF2131">
        <v>4220</v>
      </c>
      <c r="BG2131">
        <v>4220</v>
      </c>
      <c r="BH2131" t="s">
        <v>109</v>
      </c>
      <c r="BI2131" t="s">
        <v>1025</v>
      </c>
      <c r="BJ2131">
        <v>0</v>
      </c>
      <c r="BK2131">
        <v>4160</v>
      </c>
      <c r="BL2131">
        <v>4220</v>
      </c>
      <c r="BM2131">
        <v>252</v>
      </c>
      <c r="BN2131">
        <v>0</v>
      </c>
      <c r="BO2131">
        <v>0</v>
      </c>
      <c r="BP2131">
        <v>4160</v>
      </c>
      <c r="BQ2131">
        <v>4412</v>
      </c>
      <c r="BR2131">
        <f t="shared" si="344"/>
        <v>-582</v>
      </c>
      <c r="BS2131">
        <f t="shared" si="345"/>
        <v>638</v>
      </c>
    </row>
    <row r="2132" spans="1:71" x14ac:dyDescent="0.25">
      <c r="A2132" s="5" t="s">
        <v>1451</v>
      </c>
      <c r="B2132" s="5" t="s">
        <v>359</v>
      </c>
      <c r="C2132" s="5" t="s">
        <v>61</v>
      </c>
      <c r="D2132" s="1" t="s">
        <v>133</v>
      </c>
      <c r="E2132">
        <v>110</v>
      </c>
      <c r="F2132">
        <v>120</v>
      </c>
      <c r="G2132">
        <v>0</v>
      </c>
      <c r="H2132">
        <v>0</v>
      </c>
      <c r="I2132">
        <v>120</v>
      </c>
      <c r="J2132">
        <v>9780</v>
      </c>
      <c r="K2132">
        <v>1206</v>
      </c>
      <c r="L2132">
        <v>257</v>
      </c>
      <c r="M2132">
        <v>0</v>
      </c>
      <c r="N2132">
        <v>0</v>
      </c>
      <c r="O2132">
        <v>0</v>
      </c>
      <c r="P2132">
        <v>828</v>
      </c>
      <c r="Q2132">
        <v>676</v>
      </c>
      <c r="R2132">
        <v>92</v>
      </c>
      <c r="S2132" s="18">
        <f t="shared" si="336"/>
        <v>9</v>
      </c>
      <c r="T2132" s="17">
        <f t="shared" si="337"/>
        <v>0</v>
      </c>
      <c r="U2132" s="17">
        <f t="shared" si="338"/>
        <v>0</v>
      </c>
      <c r="V2132" s="17">
        <f t="shared" si="339"/>
        <v>0</v>
      </c>
      <c r="W2132" s="17">
        <f t="shared" si="340"/>
        <v>92</v>
      </c>
      <c r="X2132" s="17">
        <f t="shared" si="341"/>
        <v>584</v>
      </c>
      <c r="Y2132" s="19">
        <f t="shared" si="342"/>
        <v>0</v>
      </c>
      <c r="Z2132">
        <v>120</v>
      </c>
      <c r="AA2132">
        <v>32</v>
      </c>
      <c r="AB2132">
        <v>250</v>
      </c>
      <c r="AC2132">
        <v>4350</v>
      </c>
      <c r="AD2132">
        <v>0</v>
      </c>
      <c r="AE2132">
        <v>0</v>
      </c>
      <c r="AF2132">
        <v>0</v>
      </c>
      <c r="AG2132">
        <v>120</v>
      </c>
      <c r="AH2132">
        <v>120</v>
      </c>
      <c r="AI2132">
        <v>0</v>
      </c>
      <c r="AJ2132">
        <v>0</v>
      </c>
      <c r="AK2132">
        <v>9780</v>
      </c>
      <c r="AL2132">
        <v>9780</v>
      </c>
      <c r="AM2132">
        <v>0</v>
      </c>
      <c r="AN2132">
        <v>0</v>
      </c>
      <c r="AO2132">
        <v>1206</v>
      </c>
      <c r="AP2132">
        <v>946</v>
      </c>
      <c r="AQ2132">
        <v>1206</v>
      </c>
      <c r="AR2132">
        <v>260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257</v>
      </c>
      <c r="BA2132">
        <v>257</v>
      </c>
      <c r="BB2132">
        <v>0</v>
      </c>
      <c r="BC2132">
        <v>0</v>
      </c>
      <c r="BD2132">
        <v>0</v>
      </c>
      <c r="BE2132">
        <f t="shared" si="343"/>
        <v>28282</v>
      </c>
      <c r="BF2132">
        <v>16225</v>
      </c>
      <c r="BG2132">
        <v>16225</v>
      </c>
      <c r="BH2132" t="s">
        <v>82</v>
      </c>
      <c r="BI2132" t="s">
        <v>1629</v>
      </c>
      <c r="BJ2132">
        <v>4742</v>
      </c>
      <c r="BK2132">
        <v>11363</v>
      </c>
      <c r="BL2132">
        <v>16225</v>
      </c>
      <c r="BM2132">
        <v>0</v>
      </c>
      <c r="BN2132">
        <v>0</v>
      </c>
      <c r="BO2132">
        <v>0</v>
      </c>
      <c r="BP2132">
        <v>12191</v>
      </c>
      <c r="BQ2132">
        <v>12191</v>
      </c>
      <c r="BR2132">
        <f t="shared" si="344"/>
        <v>-584</v>
      </c>
      <c r="BS2132">
        <f t="shared" si="345"/>
        <v>768</v>
      </c>
    </row>
    <row r="2133" spans="1:71" x14ac:dyDescent="0.25">
      <c r="A2133" s="5" t="s">
        <v>1661</v>
      </c>
      <c r="B2133" s="5" t="s">
        <v>359</v>
      </c>
      <c r="C2133" s="5" t="s">
        <v>61</v>
      </c>
      <c r="D2133" s="1" t="s">
        <v>123</v>
      </c>
      <c r="E2133">
        <v>0</v>
      </c>
      <c r="F2133">
        <v>151</v>
      </c>
      <c r="G2133">
        <v>0</v>
      </c>
      <c r="H2133">
        <v>0</v>
      </c>
      <c r="I2133">
        <v>1028</v>
      </c>
      <c r="J2133">
        <v>6455</v>
      </c>
      <c r="K2133">
        <v>205</v>
      </c>
      <c r="L2133">
        <v>16</v>
      </c>
      <c r="M2133">
        <v>0</v>
      </c>
      <c r="N2133">
        <v>0</v>
      </c>
      <c r="O2133">
        <v>0</v>
      </c>
      <c r="P2133">
        <v>630</v>
      </c>
      <c r="Q2133">
        <v>654</v>
      </c>
      <c r="R2133">
        <v>70</v>
      </c>
      <c r="S2133" s="18">
        <f t="shared" si="336"/>
        <v>9</v>
      </c>
      <c r="T2133" s="17">
        <f t="shared" si="337"/>
        <v>0</v>
      </c>
      <c r="U2133" s="17">
        <f t="shared" si="338"/>
        <v>0</v>
      </c>
      <c r="V2133" s="17">
        <f t="shared" si="339"/>
        <v>0</v>
      </c>
      <c r="W2133" s="17">
        <f t="shared" si="340"/>
        <v>70</v>
      </c>
      <c r="X2133" s="17">
        <f t="shared" si="341"/>
        <v>584</v>
      </c>
      <c r="Y2133" s="19">
        <f t="shared" si="342"/>
        <v>0</v>
      </c>
      <c r="Z2133">
        <v>151</v>
      </c>
      <c r="AA2133">
        <v>18</v>
      </c>
      <c r="AB2133">
        <v>510</v>
      </c>
      <c r="AC2133">
        <v>4100</v>
      </c>
      <c r="AD2133">
        <v>0</v>
      </c>
      <c r="AE2133">
        <v>0</v>
      </c>
      <c r="AF2133">
        <v>0</v>
      </c>
      <c r="AG2133">
        <v>1028</v>
      </c>
      <c r="AH2133">
        <v>1028</v>
      </c>
      <c r="AI2133">
        <v>0</v>
      </c>
      <c r="AJ2133">
        <v>0</v>
      </c>
      <c r="AK2133">
        <v>6455</v>
      </c>
      <c r="AL2133">
        <v>6455</v>
      </c>
      <c r="AM2133">
        <v>0</v>
      </c>
      <c r="AN2133">
        <v>0</v>
      </c>
      <c r="AO2133">
        <v>205</v>
      </c>
      <c r="AP2133">
        <v>114</v>
      </c>
      <c r="AQ2133">
        <v>205</v>
      </c>
      <c r="AR2133">
        <v>91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16</v>
      </c>
      <c r="BA2133">
        <v>16</v>
      </c>
      <c r="BB2133">
        <v>0</v>
      </c>
      <c r="BC2133">
        <v>0</v>
      </c>
      <c r="BD2133">
        <v>0</v>
      </c>
      <c r="BE2133">
        <f t="shared" si="343"/>
        <v>19713</v>
      </c>
      <c r="BF2133">
        <v>12483</v>
      </c>
      <c r="BG2133">
        <v>12483</v>
      </c>
      <c r="BH2133" t="s">
        <v>82</v>
      </c>
      <c r="BI2133" t="s">
        <v>807</v>
      </c>
      <c r="BJ2133">
        <v>4628</v>
      </c>
      <c r="BK2133">
        <v>7704</v>
      </c>
      <c r="BL2133">
        <v>12483</v>
      </c>
      <c r="BM2133">
        <v>0</v>
      </c>
      <c r="BN2133">
        <v>0</v>
      </c>
      <c r="BO2133">
        <v>0</v>
      </c>
      <c r="BP2133">
        <v>8334</v>
      </c>
      <c r="BQ2133">
        <v>8334</v>
      </c>
      <c r="BR2133">
        <f t="shared" si="344"/>
        <v>-584</v>
      </c>
      <c r="BS2133">
        <f t="shared" si="345"/>
        <v>724</v>
      </c>
    </row>
    <row r="2134" spans="1:71" x14ac:dyDescent="0.25">
      <c r="A2134" s="5" t="s">
        <v>1017</v>
      </c>
      <c r="B2134" s="5" t="s">
        <v>359</v>
      </c>
      <c r="C2134" s="5" t="s">
        <v>61</v>
      </c>
      <c r="D2134" s="1" t="s">
        <v>90</v>
      </c>
      <c r="E2134">
        <v>17</v>
      </c>
      <c r="F2134">
        <v>0</v>
      </c>
      <c r="G2134">
        <v>0</v>
      </c>
      <c r="H2134">
        <v>0</v>
      </c>
      <c r="I2134">
        <v>660</v>
      </c>
      <c r="J2134">
        <v>4220</v>
      </c>
      <c r="K2134">
        <v>600</v>
      </c>
      <c r="L2134">
        <v>343</v>
      </c>
      <c r="M2134">
        <v>0</v>
      </c>
      <c r="N2134">
        <v>0</v>
      </c>
      <c r="O2134">
        <v>0</v>
      </c>
      <c r="P2134">
        <v>0</v>
      </c>
      <c r="Q2134">
        <v>586</v>
      </c>
      <c r="R2134">
        <v>0</v>
      </c>
      <c r="S2134" s="18" t="e">
        <f t="shared" si="336"/>
        <v>#DIV/0!</v>
      </c>
      <c r="T2134" s="17" t="e">
        <f t="shared" si="337"/>
        <v>#DIV/0!</v>
      </c>
      <c r="U2134" s="17" t="e">
        <f t="shared" si="338"/>
        <v>#DIV/0!</v>
      </c>
      <c r="V2134" s="17" t="e">
        <f t="shared" si="339"/>
        <v>#DIV/0!</v>
      </c>
      <c r="W2134" s="17" t="e">
        <f t="shared" si="340"/>
        <v>#DIV/0!</v>
      </c>
      <c r="X2134" s="17" t="e">
        <f t="shared" si="341"/>
        <v>#DIV/0!</v>
      </c>
      <c r="Y2134" s="19" t="e">
        <f t="shared" si="342"/>
        <v>#DIV/0!</v>
      </c>
      <c r="Z2134">
        <v>0</v>
      </c>
      <c r="AA2134">
        <v>4</v>
      </c>
      <c r="AB2134">
        <v>176</v>
      </c>
      <c r="AC2134">
        <v>3483</v>
      </c>
      <c r="AD2134">
        <v>0</v>
      </c>
      <c r="AE2134">
        <v>0</v>
      </c>
      <c r="AF2134">
        <v>0</v>
      </c>
      <c r="AG2134">
        <v>660</v>
      </c>
      <c r="AH2134">
        <v>660</v>
      </c>
      <c r="AI2134">
        <v>0</v>
      </c>
      <c r="AJ2134">
        <v>0</v>
      </c>
      <c r="AK2134">
        <v>4220</v>
      </c>
      <c r="AL2134">
        <v>4220</v>
      </c>
      <c r="AM2134">
        <v>0</v>
      </c>
      <c r="AN2134">
        <v>0</v>
      </c>
      <c r="AO2134">
        <v>600</v>
      </c>
      <c r="AP2134">
        <v>0</v>
      </c>
      <c r="AQ2134">
        <v>600</v>
      </c>
      <c r="AR2134">
        <v>600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343</v>
      </c>
      <c r="BA2134">
        <v>343</v>
      </c>
      <c r="BB2134">
        <v>0</v>
      </c>
      <c r="BC2134">
        <v>0</v>
      </c>
      <c r="BD2134">
        <v>0</v>
      </c>
      <c r="BE2134">
        <f t="shared" si="343"/>
        <v>15729</v>
      </c>
      <c r="BF2134">
        <v>9503</v>
      </c>
      <c r="BG2134">
        <v>9503</v>
      </c>
      <c r="BH2134" t="s">
        <v>82</v>
      </c>
      <c r="BI2134" t="s">
        <v>1131</v>
      </c>
      <c r="BJ2134">
        <v>3680</v>
      </c>
      <c r="BK2134">
        <v>5823</v>
      </c>
      <c r="BL2134">
        <v>9503</v>
      </c>
      <c r="BM2134">
        <v>0</v>
      </c>
      <c r="BN2134">
        <v>0</v>
      </c>
      <c r="BO2134">
        <v>0</v>
      </c>
      <c r="BP2134">
        <v>5823</v>
      </c>
      <c r="BQ2134">
        <v>5823</v>
      </c>
      <c r="BR2134">
        <f t="shared" si="344"/>
        <v>-586</v>
      </c>
      <c r="BS2134">
        <f t="shared" si="345"/>
        <v>586</v>
      </c>
    </row>
    <row r="2135" spans="1:71" x14ac:dyDescent="0.25">
      <c r="A2135" s="5" t="s">
        <v>875</v>
      </c>
      <c r="B2135" s="5" t="s">
        <v>207</v>
      </c>
      <c r="C2135" s="5" t="s">
        <v>61</v>
      </c>
      <c r="D2135" s="1" t="s">
        <v>145</v>
      </c>
      <c r="E2135">
        <v>90</v>
      </c>
      <c r="F2135">
        <v>0</v>
      </c>
      <c r="G2135">
        <v>0</v>
      </c>
      <c r="H2135">
        <v>0</v>
      </c>
      <c r="I2135">
        <v>380</v>
      </c>
      <c r="J2135">
        <v>2900</v>
      </c>
      <c r="K2135">
        <v>505</v>
      </c>
      <c r="L2135">
        <v>235</v>
      </c>
      <c r="M2135">
        <v>0</v>
      </c>
      <c r="N2135">
        <v>0</v>
      </c>
      <c r="O2135">
        <v>0</v>
      </c>
      <c r="P2135">
        <v>0</v>
      </c>
      <c r="Q2135">
        <v>591</v>
      </c>
      <c r="R2135">
        <v>0</v>
      </c>
      <c r="S2135" s="18" t="e">
        <f t="shared" si="336"/>
        <v>#DIV/0!</v>
      </c>
      <c r="T2135" s="17" t="e">
        <f t="shared" si="337"/>
        <v>#DIV/0!</v>
      </c>
      <c r="U2135" s="17" t="e">
        <f t="shared" si="338"/>
        <v>#DIV/0!</v>
      </c>
      <c r="V2135" s="17" t="e">
        <f t="shared" si="339"/>
        <v>#DIV/0!</v>
      </c>
      <c r="W2135" s="17" t="e">
        <f t="shared" si="340"/>
        <v>#DIV/0!</v>
      </c>
      <c r="X2135" s="17" t="e">
        <f t="shared" si="341"/>
        <v>#DIV/0!</v>
      </c>
      <c r="Y2135" s="19" t="e">
        <f t="shared" si="342"/>
        <v>#DIV/0!</v>
      </c>
      <c r="Z2135">
        <v>0</v>
      </c>
      <c r="AA2135">
        <v>4</v>
      </c>
      <c r="AB2135">
        <v>125</v>
      </c>
      <c r="AC2135">
        <v>11522</v>
      </c>
      <c r="AD2135">
        <v>0</v>
      </c>
      <c r="AE2135">
        <v>0</v>
      </c>
      <c r="AF2135">
        <v>0</v>
      </c>
      <c r="AG2135">
        <v>380</v>
      </c>
      <c r="AH2135">
        <v>380</v>
      </c>
      <c r="AI2135">
        <v>0</v>
      </c>
      <c r="AJ2135">
        <v>0</v>
      </c>
      <c r="AK2135">
        <v>2900</v>
      </c>
      <c r="AL2135">
        <v>2900</v>
      </c>
      <c r="AM2135">
        <v>0</v>
      </c>
      <c r="AN2135">
        <v>0</v>
      </c>
      <c r="AO2135">
        <v>505</v>
      </c>
      <c r="AP2135">
        <v>115</v>
      </c>
      <c r="AQ2135">
        <v>505</v>
      </c>
      <c r="AR2135">
        <v>390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235</v>
      </c>
      <c r="BA2135">
        <v>235</v>
      </c>
      <c r="BB2135">
        <v>0</v>
      </c>
      <c r="BC2135">
        <v>0</v>
      </c>
      <c r="BD2135">
        <v>0</v>
      </c>
      <c r="BE2135">
        <f t="shared" si="343"/>
        <v>20067</v>
      </c>
      <c r="BF2135">
        <v>15761</v>
      </c>
      <c r="BG2135">
        <v>15761</v>
      </c>
      <c r="BH2135" t="s">
        <v>82</v>
      </c>
      <c r="BI2135" t="s">
        <v>1005</v>
      </c>
      <c r="BJ2135">
        <v>11741</v>
      </c>
      <c r="BK2135">
        <v>4020</v>
      </c>
      <c r="BL2135">
        <v>15761</v>
      </c>
      <c r="BM2135">
        <v>0</v>
      </c>
      <c r="BN2135">
        <v>0</v>
      </c>
      <c r="BO2135">
        <v>0</v>
      </c>
      <c r="BP2135">
        <v>4020</v>
      </c>
      <c r="BQ2135">
        <v>4020</v>
      </c>
      <c r="BR2135">
        <f t="shared" si="344"/>
        <v>-591</v>
      </c>
      <c r="BS2135">
        <f t="shared" si="345"/>
        <v>591</v>
      </c>
    </row>
    <row r="2136" spans="1:71" x14ac:dyDescent="0.25">
      <c r="A2136" s="5" t="s">
        <v>1451</v>
      </c>
      <c r="B2136" s="5" t="s">
        <v>359</v>
      </c>
      <c r="C2136" s="5" t="s">
        <v>207</v>
      </c>
      <c r="D2136" s="1" t="s">
        <v>77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33534</v>
      </c>
      <c r="O2136">
        <v>0</v>
      </c>
      <c r="P2136">
        <v>9846</v>
      </c>
      <c r="Q2136">
        <v>5414</v>
      </c>
      <c r="R2136">
        <v>4820</v>
      </c>
      <c r="S2136" s="18">
        <f t="shared" si="336"/>
        <v>9</v>
      </c>
      <c r="T2136" s="17">
        <f t="shared" si="337"/>
        <v>0</v>
      </c>
      <c r="U2136" s="17">
        <f t="shared" si="338"/>
        <v>3726</v>
      </c>
      <c r="V2136" s="17">
        <f t="shared" si="339"/>
        <v>0</v>
      </c>
      <c r="W2136" s="17">
        <f t="shared" si="340"/>
        <v>1094</v>
      </c>
      <c r="X2136" s="17">
        <f t="shared" si="341"/>
        <v>594</v>
      </c>
      <c r="Y2136" s="19">
        <f t="shared" si="342"/>
        <v>0</v>
      </c>
      <c r="Z2136">
        <v>7320</v>
      </c>
      <c r="AA2136">
        <v>30</v>
      </c>
      <c r="AB2136">
        <v>0</v>
      </c>
      <c r="AC2136">
        <v>24447</v>
      </c>
      <c r="AD2136">
        <v>0</v>
      </c>
      <c r="AE2136">
        <v>860</v>
      </c>
      <c r="AF2136">
        <v>0</v>
      </c>
      <c r="AG2136">
        <v>1452</v>
      </c>
      <c r="AH2136">
        <v>2312</v>
      </c>
      <c r="AI2136">
        <v>0</v>
      </c>
      <c r="AJ2136">
        <v>0</v>
      </c>
      <c r="AK2136">
        <v>3448</v>
      </c>
      <c r="AL2136">
        <v>3448</v>
      </c>
      <c r="AM2136">
        <v>0</v>
      </c>
      <c r="AN2136">
        <v>1087</v>
      </c>
      <c r="AO2136">
        <v>5114</v>
      </c>
      <c r="AP2136">
        <v>4566</v>
      </c>
      <c r="AQ2136">
        <v>6201</v>
      </c>
      <c r="AR2136">
        <v>1635</v>
      </c>
      <c r="AS2136">
        <v>1091</v>
      </c>
      <c r="AT2136">
        <v>0</v>
      </c>
      <c r="AU2136">
        <v>1091</v>
      </c>
      <c r="AV2136">
        <v>1091</v>
      </c>
      <c r="AW2136">
        <v>0</v>
      </c>
      <c r="AX2136">
        <v>0</v>
      </c>
      <c r="AY2136">
        <v>0</v>
      </c>
      <c r="AZ2136">
        <v>458</v>
      </c>
      <c r="BA2136">
        <v>458</v>
      </c>
      <c r="BB2136">
        <v>0</v>
      </c>
      <c r="BC2136">
        <v>0</v>
      </c>
      <c r="BD2136">
        <v>0</v>
      </c>
      <c r="BE2136">
        <f t="shared" si="343"/>
        <v>58759</v>
      </c>
      <c r="BF2136">
        <v>45787</v>
      </c>
      <c r="BG2136">
        <v>45787</v>
      </c>
      <c r="BH2136" t="s">
        <v>226</v>
      </c>
      <c r="BI2136" t="s">
        <v>1655</v>
      </c>
      <c r="BJ2136">
        <v>24477</v>
      </c>
      <c r="BK2136">
        <v>13510</v>
      </c>
      <c r="BL2136">
        <v>45307</v>
      </c>
      <c r="BM2136">
        <v>0</v>
      </c>
      <c r="BN2136">
        <v>36572</v>
      </c>
      <c r="BO2136">
        <v>0</v>
      </c>
      <c r="BP2136">
        <v>20318</v>
      </c>
      <c r="BQ2136">
        <v>56890</v>
      </c>
      <c r="BR2136">
        <f t="shared" si="344"/>
        <v>-594</v>
      </c>
      <c r="BS2136">
        <f t="shared" si="345"/>
        <v>10234</v>
      </c>
    </row>
    <row r="2137" spans="1:71" x14ac:dyDescent="0.25">
      <c r="A2137" s="5" t="s">
        <v>61</v>
      </c>
      <c r="B2137" s="5" t="s">
        <v>207</v>
      </c>
      <c r="C2137" s="5" t="s">
        <v>61</v>
      </c>
      <c r="D2137" s="1" t="s">
        <v>102</v>
      </c>
      <c r="E2137">
        <v>0</v>
      </c>
      <c r="F2137">
        <v>357</v>
      </c>
      <c r="G2137">
        <v>0</v>
      </c>
      <c r="H2137">
        <v>0</v>
      </c>
      <c r="I2137">
        <v>218</v>
      </c>
      <c r="J2137">
        <v>2120</v>
      </c>
      <c r="K2137">
        <v>1453</v>
      </c>
      <c r="L2137">
        <v>85</v>
      </c>
      <c r="M2137">
        <v>0</v>
      </c>
      <c r="N2137">
        <v>0</v>
      </c>
      <c r="O2137">
        <v>0</v>
      </c>
      <c r="P2137">
        <v>594</v>
      </c>
      <c r="Q2137">
        <v>661</v>
      </c>
      <c r="R2137">
        <v>66</v>
      </c>
      <c r="S2137" s="18">
        <f t="shared" si="336"/>
        <v>9</v>
      </c>
      <c r="T2137" s="17">
        <f t="shared" si="337"/>
        <v>0</v>
      </c>
      <c r="U2137" s="17">
        <f t="shared" si="338"/>
        <v>0</v>
      </c>
      <c r="V2137" s="17">
        <f t="shared" si="339"/>
        <v>0</v>
      </c>
      <c r="W2137" s="17">
        <f t="shared" si="340"/>
        <v>66</v>
      </c>
      <c r="X2137" s="17">
        <f t="shared" si="341"/>
        <v>595</v>
      </c>
      <c r="Y2137" s="19">
        <f t="shared" si="342"/>
        <v>0</v>
      </c>
      <c r="Z2137">
        <v>357</v>
      </c>
      <c r="AA2137">
        <v>0</v>
      </c>
      <c r="AB2137">
        <v>0</v>
      </c>
      <c r="AC2137">
        <v>2398</v>
      </c>
      <c r="AD2137">
        <v>0</v>
      </c>
      <c r="AE2137">
        <v>0</v>
      </c>
      <c r="AF2137">
        <v>0</v>
      </c>
      <c r="AG2137">
        <v>218</v>
      </c>
      <c r="AH2137">
        <v>218</v>
      </c>
      <c r="AI2137">
        <v>0</v>
      </c>
      <c r="AJ2137">
        <v>0</v>
      </c>
      <c r="AK2137">
        <v>2120</v>
      </c>
      <c r="AL2137">
        <v>2120</v>
      </c>
      <c r="AM2137">
        <v>0</v>
      </c>
      <c r="AN2137">
        <v>0</v>
      </c>
      <c r="AO2137">
        <v>1453</v>
      </c>
      <c r="AP2137">
        <v>865</v>
      </c>
      <c r="AQ2137">
        <v>1453</v>
      </c>
      <c r="AR2137">
        <v>588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85</v>
      </c>
      <c r="BA2137">
        <v>85</v>
      </c>
      <c r="BB2137">
        <v>0</v>
      </c>
      <c r="BC2137">
        <v>0</v>
      </c>
      <c r="BD2137">
        <v>0</v>
      </c>
      <c r="BE2137">
        <f t="shared" si="343"/>
        <v>11603</v>
      </c>
      <c r="BF2137">
        <v>6631</v>
      </c>
      <c r="BG2137">
        <v>6631</v>
      </c>
      <c r="BH2137" t="s">
        <v>82</v>
      </c>
      <c r="BI2137" t="s">
        <v>228</v>
      </c>
      <c r="BJ2137">
        <v>2398</v>
      </c>
      <c r="BK2137">
        <v>3876</v>
      </c>
      <c r="BL2137">
        <v>6631</v>
      </c>
      <c r="BM2137">
        <v>0</v>
      </c>
      <c r="BN2137">
        <v>0</v>
      </c>
      <c r="BO2137">
        <v>0</v>
      </c>
      <c r="BP2137">
        <v>4470</v>
      </c>
      <c r="BQ2137">
        <v>4470</v>
      </c>
      <c r="BR2137">
        <f t="shared" si="344"/>
        <v>-595</v>
      </c>
      <c r="BS2137">
        <f t="shared" si="345"/>
        <v>727</v>
      </c>
    </row>
    <row r="2138" spans="1:71" x14ac:dyDescent="0.25">
      <c r="A2138" s="5" t="s">
        <v>61</v>
      </c>
      <c r="B2138" s="5" t="s">
        <v>359</v>
      </c>
      <c r="C2138" s="5" t="s">
        <v>61</v>
      </c>
      <c r="D2138" s="1" t="s">
        <v>196</v>
      </c>
      <c r="E2138">
        <v>0</v>
      </c>
      <c r="F2138">
        <v>77</v>
      </c>
      <c r="G2138">
        <v>0</v>
      </c>
      <c r="H2138">
        <v>0</v>
      </c>
      <c r="I2138">
        <v>3100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693</v>
      </c>
      <c r="Q2138">
        <v>676</v>
      </c>
      <c r="R2138">
        <v>77</v>
      </c>
      <c r="S2138" s="18">
        <f t="shared" si="336"/>
        <v>9</v>
      </c>
      <c r="T2138" s="17">
        <f t="shared" si="337"/>
        <v>0</v>
      </c>
      <c r="U2138" s="17">
        <f t="shared" si="338"/>
        <v>0</v>
      </c>
      <c r="V2138" s="17">
        <f t="shared" si="339"/>
        <v>0</v>
      </c>
      <c r="W2138" s="17">
        <f t="shared" si="340"/>
        <v>77</v>
      </c>
      <c r="X2138" s="17">
        <f t="shared" si="341"/>
        <v>599</v>
      </c>
      <c r="Y2138" s="19">
        <f t="shared" si="342"/>
        <v>0</v>
      </c>
      <c r="Z2138">
        <v>77</v>
      </c>
      <c r="AA2138">
        <v>0</v>
      </c>
      <c r="AB2138">
        <v>0</v>
      </c>
      <c r="AC2138">
        <v>22</v>
      </c>
      <c r="AD2138">
        <v>0</v>
      </c>
      <c r="AE2138">
        <v>0</v>
      </c>
      <c r="AF2138">
        <v>0</v>
      </c>
      <c r="AG2138">
        <v>3100</v>
      </c>
      <c r="AH2138">
        <v>3100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f t="shared" si="343"/>
        <v>6222</v>
      </c>
      <c r="BF2138">
        <v>3199</v>
      </c>
      <c r="BG2138">
        <v>3199</v>
      </c>
      <c r="BH2138" t="s">
        <v>109</v>
      </c>
      <c r="BI2138" t="s">
        <v>425</v>
      </c>
      <c r="BJ2138">
        <v>22</v>
      </c>
      <c r="BK2138">
        <v>3100</v>
      </c>
      <c r="BL2138">
        <v>3199</v>
      </c>
      <c r="BM2138">
        <v>0</v>
      </c>
      <c r="BN2138">
        <v>0</v>
      </c>
      <c r="BO2138">
        <v>0</v>
      </c>
      <c r="BP2138">
        <v>3793</v>
      </c>
      <c r="BQ2138">
        <v>3793</v>
      </c>
      <c r="BR2138">
        <f t="shared" si="344"/>
        <v>-599</v>
      </c>
      <c r="BS2138">
        <f t="shared" si="345"/>
        <v>753</v>
      </c>
    </row>
    <row r="2139" spans="1:71" x14ac:dyDescent="0.25">
      <c r="A2139" s="5" t="s">
        <v>1135</v>
      </c>
      <c r="B2139" s="5" t="s">
        <v>359</v>
      </c>
      <c r="C2139" s="5" t="s">
        <v>61</v>
      </c>
      <c r="D2139" s="1" t="s">
        <v>81</v>
      </c>
      <c r="E2139">
        <v>0</v>
      </c>
      <c r="F2139">
        <v>3240</v>
      </c>
      <c r="G2139">
        <v>0</v>
      </c>
      <c r="H2139">
        <v>0</v>
      </c>
      <c r="I2139">
        <v>1688</v>
      </c>
      <c r="J2139">
        <v>359</v>
      </c>
      <c r="K2139">
        <v>122</v>
      </c>
      <c r="L2139">
        <v>0</v>
      </c>
      <c r="M2139">
        <v>3060</v>
      </c>
      <c r="N2139">
        <v>0</v>
      </c>
      <c r="O2139">
        <v>0</v>
      </c>
      <c r="P2139">
        <v>0</v>
      </c>
      <c r="Q2139">
        <v>939</v>
      </c>
      <c r="R2139">
        <v>340</v>
      </c>
      <c r="S2139" s="18">
        <f t="shared" si="336"/>
        <v>9</v>
      </c>
      <c r="T2139" s="17">
        <f t="shared" si="337"/>
        <v>340</v>
      </c>
      <c r="U2139" s="17">
        <f t="shared" si="338"/>
        <v>0</v>
      </c>
      <c r="V2139" s="17">
        <f t="shared" si="339"/>
        <v>0</v>
      </c>
      <c r="W2139" s="17">
        <f t="shared" si="340"/>
        <v>0</v>
      </c>
      <c r="X2139" s="17">
        <f t="shared" si="341"/>
        <v>599</v>
      </c>
      <c r="Y2139" s="19">
        <f t="shared" si="342"/>
        <v>0</v>
      </c>
      <c r="Z2139">
        <v>3240</v>
      </c>
      <c r="AA2139">
        <v>0</v>
      </c>
      <c r="AB2139">
        <v>0</v>
      </c>
      <c r="AC2139">
        <v>0</v>
      </c>
      <c r="AD2139">
        <v>1688</v>
      </c>
      <c r="AE2139">
        <v>0</v>
      </c>
      <c r="AF2139">
        <v>0</v>
      </c>
      <c r="AG2139">
        <v>0</v>
      </c>
      <c r="AH2139">
        <v>1688</v>
      </c>
      <c r="AI2139">
        <v>0</v>
      </c>
      <c r="AJ2139">
        <v>0</v>
      </c>
      <c r="AK2139">
        <v>359</v>
      </c>
      <c r="AL2139">
        <v>359</v>
      </c>
      <c r="AM2139">
        <v>43</v>
      </c>
      <c r="AN2139">
        <v>0</v>
      </c>
      <c r="AO2139">
        <v>79</v>
      </c>
      <c r="AP2139">
        <v>82</v>
      </c>
      <c r="AQ2139">
        <v>122</v>
      </c>
      <c r="AR2139">
        <v>40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f t="shared" si="343"/>
        <v>4460</v>
      </c>
      <c r="BF2139">
        <v>5409</v>
      </c>
      <c r="BG2139">
        <v>5409</v>
      </c>
      <c r="BH2139" t="s">
        <v>109</v>
      </c>
      <c r="BI2139" t="s">
        <v>1317</v>
      </c>
      <c r="BJ2139">
        <v>0</v>
      </c>
      <c r="BK2139">
        <v>2169</v>
      </c>
      <c r="BL2139">
        <v>5409</v>
      </c>
      <c r="BM2139">
        <v>4791</v>
      </c>
      <c r="BN2139">
        <v>0</v>
      </c>
      <c r="BO2139">
        <v>0</v>
      </c>
      <c r="BP2139">
        <v>438</v>
      </c>
      <c r="BQ2139">
        <v>5229</v>
      </c>
      <c r="BR2139">
        <f t="shared" si="344"/>
        <v>-599</v>
      </c>
      <c r="BS2139">
        <f t="shared" si="345"/>
        <v>1279</v>
      </c>
    </row>
    <row r="2140" spans="1:71" x14ac:dyDescent="0.25">
      <c r="A2140" s="5" t="s">
        <v>1451</v>
      </c>
      <c r="B2140" s="5" t="s">
        <v>61</v>
      </c>
      <c r="C2140" s="5" t="s">
        <v>627</v>
      </c>
      <c r="D2140" s="1" t="s">
        <v>111</v>
      </c>
      <c r="E2140">
        <v>0</v>
      </c>
      <c r="F2140">
        <v>83</v>
      </c>
      <c r="G2140">
        <v>0</v>
      </c>
      <c r="H2140">
        <v>0</v>
      </c>
      <c r="I2140">
        <v>730</v>
      </c>
      <c r="J2140">
        <v>5380</v>
      </c>
      <c r="K2140">
        <v>500</v>
      </c>
      <c r="L2140">
        <v>180</v>
      </c>
      <c r="M2140">
        <v>0</v>
      </c>
      <c r="N2140">
        <v>0</v>
      </c>
      <c r="O2140">
        <v>0</v>
      </c>
      <c r="P2140">
        <v>747</v>
      </c>
      <c r="Q2140">
        <v>683</v>
      </c>
      <c r="R2140">
        <v>83</v>
      </c>
      <c r="S2140" s="18">
        <f t="shared" si="336"/>
        <v>9</v>
      </c>
      <c r="T2140" s="17">
        <f t="shared" si="337"/>
        <v>0</v>
      </c>
      <c r="U2140" s="17">
        <f t="shared" si="338"/>
        <v>0</v>
      </c>
      <c r="V2140" s="17">
        <f t="shared" si="339"/>
        <v>0</v>
      </c>
      <c r="W2140" s="17">
        <f t="shared" si="340"/>
        <v>83</v>
      </c>
      <c r="X2140" s="17">
        <f t="shared" si="341"/>
        <v>600</v>
      </c>
      <c r="Y2140" s="19">
        <f t="shared" si="342"/>
        <v>0</v>
      </c>
      <c r="Z2140">
        <v>83</v>
      </c>
      <c r="AA2140">
        <v>12</v>
      </c>
      <c r="AB2140">
        <v>140</v>
      </c>
      <c r="AC2140">
        <v>1697</v>
      </c>
      <c r="AD2140">
        <v>0</v>
      </c>
      <c r="AE2140">
        <v>0</v>
      </c>
      <c r="AF2140">
        <v>0</v>
      </c>
      <c r="AG2140">
        <v>730</v>
      </c>
      <c r="AH2140">
        <v>730</v>
      </c>
      <c r="AI2140">
        <v>0</v>
      </c>
      <c r="AJ2140">
        <v>0</v>
      </c>
      <c r="AK2140">
        <v>5380</v>
      </c>
      <c r="AL2140">
        <v>5380</v>
      </c>
      <c r="AM2140">
        <v>0</v>
      </c>
      <c r="AN2140">
        <v>0</v>
      </c>
      <c r="AO2140">
        <v>500</v>
      </c>
      <c r="AP2140">
        <v>250</v>
      </c>
      <c r="AQ2140">
        <v>500</v>
      </c>
      <c r="AR2140">
        <v>250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180</v>
      </c>
      <c r="BA2140">
        <v>180</v>
      </c>
      <c r="BB2140">
        <v>0</v>
      </c>
      <c r="BC2140">
        <v>0</v>
      </c>
      <c r="BD2140">
        <v>0</v>
      </c>
      <c r="BE2140">
        <f t="shared" si="343"/>
        <v>15777</v>
      </c>
      <c r="BF2140">
        <v>8722</v>
      </c>
      <c r="BG2140">
        <v>8722</v>
      </c>
      <c r="BH2140" t="s">
        <v>82</v>
      </c>
      <c r="BI2140" t="s">
        <v>1531</v>
      </c>
      <c r="BJ2140">
        <v>1849</v>
      </c>
      <c r="BK2140">
        <v>6790</v>
      </c>
      <c r="BL2140">
        <v>8722</v>
      </c>
      <c r="BM2140">
        <v>0</v>
      </c>
      <c r="BN2140">
        <v>0</v>
      </c>
      <c r="BO2140">
        <v>0</v>
      </c>
      <c r="BP2140">
        <v>7537</v>
      </c>
      <c r="BQ2140">
        <v>7537</v>
      </c>
      <c r="BR2140">
        <f t="shared" si="344"/>
        <v>-600</v>
      </c>
      <c r="BS2140">
        <f t="shared" si="345"/>
        <v>766</v>
      </c>
    </row>
    <row r="2141" spans="1:71" x14ac:dyDescent="0.25">
      <c r="A2141" s="5" t="s">
        <v>1337</v>
      </c>
      <c r="B2141" s="5" t="s">
        <v>359</v>
      </c>
      <c r="C2141" s="5" t="s">
        <v>61</v>
      </c>
      <c r="D2141" s="1" t="s">
        <v>92</v>
      </c>
      <c r="E2141">
        <v>0</v>
      </c>
      <c r="F2141">
        <v>14</v>
      </c>
      <c r="G2141">
        <v>0</v>
      </c>
      <c r="H2141">
        <v>0</v>
      </c>
      <c r="I2141">
        <v>2432</v>
      </c>
      <c r="J2141">
        <v>0</v>
      </c>
      <c r="K2141">
        <v>0</v>
      </c>
      <c r="L2141">
        <v>0</v>
      </c>
      <c r="M2141">
        <v>0</v>
      </c>
      <c r="N2141">
        <v>126</v>
      </c>
      <c r="O2141">
        <v>0</v>
      </c>
      <c r="P2141">
        <v>0</v>
      </c>
      <c r="Q2141">
        <v>615</v>
      </c>
      <c r="R2141">
        <v>14</v>
      </c>
      <c r="S2141" s="18">
        <f t="shared" si="336"/>
        <v>9</v>
      </c>
      <c r="T2141" s="17">
        <f t="shared" si="337"/>
        <v>0</v>
      </c>
      <c r="U2141" s="17">
        <f t="shared" si="338"/>
        <v>14</v>
      </c>
      <c r="V2141" s="17">
        <f t="shared" si="339"/>
        <v>0</v>
      </c>
      <c r="W2141" s="17">
        <f t="shared" si="340"/>
        <v>0</v>
      </c>
      <c r="X2141" s="17">
        <f t="shared" si="341"/>
        <v>601</v>
      </c>
      <c r="Y2141" s="19">
        <f t="shared" si="342"/>
        <v>0</v>
      </c>
      <c r="Z2141">
        <v>14</v>
      </c>
      <c r="AA2141">
        <v>0</v>
      </c>
      <c r="AB2141">
        <v>0</v>
      </c>
      <c r="AC2141">
        <v>140</v>
      </c>
      <c r="AD2141">
        <v>30</v>
      </c>
      <c r="AE2141">
        <v>2161</v>
      </c>
      <c r="AF2141">
        <v>0</v>
      </c>
      <c r="AG2141">
        <v>241</v>
      </c>
      <c r="AH2141">
        <v>2432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f t="shared" si="343"/>
        <v>5004</v>
      </c>
      <c r="BF2141">
        <v>2586</v>
      </c>
      <c r="BG2141">
        <v>2586</v>
      </c>
      <c r="BH2141" t="s">
        <v>109</v>
      </c>
      <c r="BI2141" t="s">
        <v>1426</v>
      </c>
      <c r="BJ2141">
        <v>140</v>
      </c>
      <c r="BK2141">
        <v>2432</v>
      </c>
      <c r="BL2141">
        <v>2586</v>
      </c>
      <c r="BM2141">
        <v>30</v>
      </c>
      <c r="BN2141">
        <v>2287</v>
      </c>
      <c r="BO2141">
        <v>0</v>
      </c>
      <c r="BP2141">
        <v>241</v>
      </c>
      <c r="BQ2141">
        <v>2558</v>
      </c>
      <c r="BR2141">
        <f t="shared" si="344"/>
        <v>-601</v>
      </c>
      <c r="BS2141">
        <f t="shared" si="345"/>
        <v>629</v>
      </c>
    </row>
    <row r="2142" spans="1:71" x14ac:dyDescent="0.25">
      <c r="A2142" s="5" t="s">
        <v>1661</v>
      </c>
      <c r="B2142" s="5" t="s">
        <v>359</v>
      </c>
      <c r="C2142" s="5" t="s">
        <v>61</v>
      </c>
      <c r="D2142" s="1" t="s">
        <v>117</v>
      </c>
      <c r="E2142">
        <v>0</v>
      </c>
      <c r="F2142">
        <v>0</v>
      </c>
      <c r="G2142">
        <v>0</v>
      </c>
      <c r="H2142">
        <v>0</v>
      </c>
      <c r="I2142">
        <v>211</v>
      </c>
      <c r="J2142">
        <v>6650</v>
      </c>
      <c r="K2142">
        <v>200</v>
      </c>
      <c r="L2142">
        <v>16</v>
      </c>
      <c r="M2142">
        <v>0</v>
      </c>
      <c r="N2142">
        <v>0</v>
      </c>
      <c r="O2142">
        <v>0</v>
      </c>
      <c r="P2142">
        <v>0</v>
      </c>
      <c r="Q2142">
        <v>601</v>
      </c>
      <c r="R2142">
        <v>0</v>
      </c>
      <c r="S2142" s="18" t="e">
        <f t="shared" si="336"/>
        <v>#DIV/0!</v>
      </c>
      <c r="T2142" s="17" t="e">
        <f t="shared" si="337"/>
        <v>#DIV/0!</v>
      </c>
      <c r="U2142" s="17" t="e">
        <f t="shared" si="338"/>
        <v>#DIV/0!</v>
      </c>
      <c r="V2142" s="17" t="e">
        <f t="shared" si="339"/>
        <v>#DIV/0!</v>
      </c>
      <c r="W2142" s="17" t="e">
        <f t="shared" si="340"/>
        <v>#DIV/0!</v>
      </c>
      <c r="X2142" s="17" t="e">
        <f t="shared" si="341"/>
        <v>#DIV/0!</v>
      </c>
      <c r="Y2142" s="19" t="e">
        <f t="shared" si="342"/>
        <v>#DIV/0!</v>
      </c>
      <c r="Z2142">
        <v>0</v>
      </c>
      <c r="AA2142">
        <v>8</v>
      </c>
      <c r="AB2142">
        <v>450</v>
      </c>
      <c r="AC2142">
        <v>4620</v>
      </c>
      <c r="AD2142">
        <v>0</v>
      </c>
      <c r="AE2142">
        <v>0</v>
      </c>
      <c r="AF2142">
        <v>0</v>
      </c>
      <c r="AG2142">
        <v>211</v>
      </c>
      <c r="AH2142">
        <v>211</v>
      </c>
      <c r="AI2142">
        <v>0</v>
      </c>
      <c r="AJ2142">
        <v>0</v>
      </c>
      <c r="AK2142">
        <v>6650</v>
      </c>
      <c r="AL2142">
        <v>6650</v>
      </c>
      <c r="AM2142">
        <v>0</v>
      </c>
      <c r="AN2142">
        <v>0</v>
      </c>
      <c r="AO2142">
        <v>200</v>
      </c>
      <c r="AP2142">
        <v>30</v>
      </c>
      <c r="AQ2142">
        <v>200</v>
      </c>
      <c r="AR2142">
        <v>170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16</v>
      </c>
      <c r="BA2142">
        <v>16</v>
      </c>
      <c r="BB2142">
        <v>0</v>
      </c>
      <c r="BC2142">
        <v>0</v>
      </c>
      <c r="BD2142">
        <v>0</v>
      </c>
      <c r="BE2142">
        <f t="shared" si="343"/>
        <v>18974</v>
      </c>
      <c r="BF2142">
        <v>12155</v>
      </c>
      <c r="BG2142">
        <v>12155</v>
      </c>
      <c r="BH2142" t="s">
        <v>82</v>
      </c>
      <c r="BI2142" t="s">
        <v>1877</v>
      </c>
      <c r="BJ2142">
        <v>5078</v>
      </c>
      <c r="BK2142">
        <v>7077</v>
      </c>
      <c r="BL2142">
        <v>12155</v>
      </c>
      <c r="BM2142">
        <v>0</v>
      </c>
      <c r="BN2142">
        <v>0</v>
      </c>
      <c r="BO2142">
        <v>0</v>
      </c>
      <c r="BP2142">
        <v>7077</v>
      </c>
      <c r="BQ2142">
        <v>7077</v>
      </c>
      <c r="BR2142">
        <f t="shared" si="344"/>
        <v>-601</v>
      </c>
      <c r="BS2142">
        <f t="shared" si="345"/>
        <v>601</v>
      </c>
    </row>
    <row r="2143" spans="1:71" x14ac:dyDescent="0.25">
      <c r="A2143" s="5" t="s">
        <v>359</v>
      </c>
      <c r="B2143" s="5" t="s">
        <v>359</v>
      </c>
      <c r="C2143" s="5" t="s">
        <v>61</v>
      </c>
      <c r="D2143" s="1" t="s">
        <v>111</v>
      </c>
      <c r="E2143">
        <v>184</v>
      </c>
      <c r="F2143">
        <v>214</v>
      </c>
      <c r="G2143">
        <v>0</v>
      </c>
      <c r="H2143">
        <v>0</v>
      </c>
      <c r="I2143">
        <v>1151</v>
      </c>
      <c r="J2143">
        <v>3336</v>
      </c>
      <c r="K2143">
        <v>989</v>
      </c>
      <c r="L2143">
        <v>0</v>
      </c>
      <c r="M2143">
        <v>0</v>
      </c>
      <c r="N2143">
        <v>0</v>
      </c>
      <c r="O2143">
        <v>0</v>
      </c>
      <c r="P2143">
        <v>1296</v>
      </c>
      <c r="Q2143">
        <v>749</v>
      </c>
      <c r="R2143">
        <v>144</v>
      </c>
      <c r="S2143" s="18">
        <f t="shared" si="336"/>
        <v>9</v>
      </c>
      <c r="T2143" s="17">
        <f t="shared" si="337"/>
        <v>0</v>
      </c>
      <c r="U2143" s="17">
        <f t="shared" si="338"/>
        <v>0</v>
      </c>
      <c r="V2143" s="17">
        <f t="shared" si="339"/>
        <v>0</v>
      </c>
      <c r="W2143" s="17">
        <f t="shared" si="340"/>
        <v>144</v>
      </c>
      <c r="X2143" s="17">
        <f t="shared" si="341"/>
        <v>605</v>
      </c>
      <c r="Y2143" s="19">
        <f t="shared" si="342"/>
        <v>0</v>
      </c>
      <c r="Z2143">
        <v>214</v>
      </c>
      <c r="AA2143">
        <v>0</v>
      </c>
      <c r="AB2143">
        <v>562</v>
      </c>
      <c r="AC2143">
        <v>3700</v>
      </c>
      <c r="AD2143">
        <v>0</v>
      </c>
      <c r="AE2143">
        <v>0</v>
      </c>
      <c r="AF2143">
        <v>0</v>
      </c>
      <c r="AG2143">
        <v>1151</v>
      </c>
      <c r="AH2143">
        <v>1151</v>
      </c>
      <c r="AI2143">
        <v>0</v>
      </c>
      <c r="AJ2143">
        <v>0</v>
      </c>
      <c r="AK2143">
        <v>3336</v>
      </c>
      <c r="AL2143">
        <v>3336</v>
      </c>
      <c r="AM2143">
        <v>0</v>
      </c>
      <c r="AN2143">
        <v>0</v>
      </c>
      <c r="AO2143">
        <v>989</v>
      </c>
      <c r="AP2143">
        <v>739</v>
      </c>
      <c r="AQ2143">
        <v>989</v>
      </c>
      <c r="AR2143">
        <v>250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f t="shared" si="343"/>
        <v>15641</v>
      </c>
      <c r="BF2143">
        <v>10136</v>
      </c>
      <c r="BG2143">
        <v>10136</v>
      </c>
      <c r="BH2143" t="s">
        <v>82</v>
      </c>
      <c r="BI2143" t="s">
        <v>779</v>
      </c>
      <c r="BJ2143">
        <v>4446</v>
      </c>
      <c r="BK2143">
        <v>5476</v>
      </c>
      <c r="BL2143">
        <v>10136</v>
      </c>
      <c r="BM2143">
        <v>0</v>
      </c>
      <c r="BN2143">
        <v>0</v>
      </c>
      <c r="BO2143">
        <v>0</v>
      </c>
      <c r="BP2143">
        <v>6772</v>
      </c>
      <c r="BQ2143">
        <v>6772</v>
      </c>
      <c r="BR2143">
        <f t="shared" si="344"/>
        <v>-605</v>
      </c>
      <c r="BS2143">
        <f t="shared" si="345"/>
        <v>893</v>
      </c>
    </row>
    <row r="2144" spans="1:71" x14ac:dyDescent="0.25">
      <c r="A2144" s="5" t="s">
        <v>1337</v>
      </c>
      <c r="B2144" s="5" t="s">
        <v>61</v>
      </c>
      <c r="C2144" s="5" t="s">
        <v>61</v>
      </c>
      <c r="D2144" s="1" t="s">
        <v>75</v>
      </c>
      <c r="E2144">
        <v>0</v>
      </c>
      <c r="F2144">
        <v>8</v>
      </c>
      <c r="G2144">
        <v>0</v>
      </c>
      <c r="H2144">
        <v>0</v>
      </c>
      <c r="I2144">
        <v>2608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72</v>
      </c>
      <c r="Q2144">
        <v>615</v>
      </c>
      <c r="R2144">
        <v>8</v>
      </c>
      <c r="S2144" s="18">
        <f t="shared" si="336"/>
        <v>9</v>
      </c>
      <c r="T2144" s="17">
        <f t="shared" si="337"/>
        <v>0</v>
      </c>
      <c r="U2144" s="17">
        <f t="shared" si="338"/>
        <v>0</v>
      </c>
      <c r="V2144" s="17">
        <f t="shared" si="339"/>
        <v>0</v>
      </c>
      <c r="W2144" s="17">
        <f t="shared" si="340"/>
        <v>8</v>
      </c>
      <c r="X2144" s="17">
        <f t="shared" si="341"/>
        <v>607</v>
      </c>
      <c r="Y2144" s="19">
        <f t="shared" si="342"/>
        <v>0</v>
      </c>
      <c r="Z2144">
        <v>8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2608</v>
      </c>
      <c r="AH2144">
        <v>2608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f t="shared" si="343"/>
        <v>5216</v>
      </c>
      <c r="BF2144">
        <v>2616</v>
      </c>
      <c r="BG2144">
        <v>2616</v>
      </c>
      <c r="BH2144" t="s">
        <v>109</v>
      </c>
      <c r="BI2144" t="s">
        <v>1344</v>
      </c>
      <c r="BJ2144">
        <v>0</v>
      </c>
      <c r="BK2144">
        <v>2608</v>
      </c>
      <c r="BL2144">
        <v>2616</v>
      </c>
      <c r="BM2144">
        <v>0</v>
      </c>
      <c r="BN2144">
        <v>0</v>
      </c>
      <c r="BO2144">
        <v>0</v>
      </c>
      <c r="BP2144">
        <v>2680</v>
      </c>
      <c r="BQ2144">
        <v>2680</v>
      </c>
      <c r="BR2144">
        <f t="shared" si="344"/>
        <v>-607</v>
      </c>
      <c r="BS2144">
        <f t="shared" si="345"/>
        <v>623</v>
      </c>
    </row>
    <row r="2145" spans="1:74" x14ac:dyDescent="0.25">
      <c r="A2145" s="5" t="s">
        <v>875</v>
      </c>
      <c r="B2145" s="5" t="s">
        <v>207</v>
      </c>
      <c r="C2145" s="5" t="s">
        <v>61</v>
      </c>
      <c r="D2145" s="1" t="s">
        <v>147</v>
      </c>
      <c r="E2145">
        <v>0</v>
      </c>
      <c r="F2145">
        <v>0</v>
      </c>
      <c r="G2145">
        <v>0</v>
      </c>
      <c r="H2145">
        <v>0</v>
      </c>
      <c r="I2145">
        <v>73</v>
      </c>
      <c r="J2145">
        <v>3900</v>
      </c>
      <c r="K2145">
        <v>120</v>
      </c>
      <c r="L2145">
        <v>15</v>
      </c>
      <c r="M2145">
        <v>0</v>
      </c>
      <c r="N2145">
        <v>0</v>
      </c>
      <c r="O2145">
        <v>0</v>
      </c>
      <c r="P2145">
        <v>0</v>
      </c>
      <c r="Q2145">
        <v>608</v>
      </c>
      <c r="R2145">
        <v>0</v>
      </c>
      <c r="S2145" s="18" t="e">
        <f t="shared" si="336"/>
        <v>#DIV/0!</v>
      </c>
      <c r="T2145" s="17" t="e">
        <f t="shared" si="337"/>
        <v>#DIV/0!</v>
      </c>
      <c r="U2145" s="17" t="e">
        <f t="shared" si="338"/>
        <v>#DIV/0!</v>
      </c>
      <c r="V2145" s="17" t="e">
        <f t="shared" si="339"/>
        <v>#DIV/0!</v>
      </c>
      <c r="W2145" s="17" t="e">
        <f t="shared" si="340"/>
        <v>#DIV/0!</v>
      </c>
      <c r="X2145" s="17" t="e">
        <f t="shared" si="341"/>
        <v>#DIV/0!</v>
      </c>
      <c r="Y2145" s="19" t="e">
        <f t="shared" si="342"/>
        <v>#DIV/0!</v>
      </c>
      <c r="Z2145">
        <v>0</v>
      </c>
      <c r="AA2145">
        <v>0</v>
      </c>
      <c r="AB2145">
        <v>0</v>
      </c>
      <c r="AC2145">
        <v>4500</v>
      </c>
      <c r="AD2145">
        <v>0</v>
      </c>
      <c r="AE2145">
        <v>0</v>
      </c>
      <c r="AF2145">
        <v>0</v>
      </c>
      <c r="AG2145">
        <v>73</v>
      </c>
      <c r="AH2145">
        <v>73</v>
      </c>
      <c r="AI2145">
        <v>0</v>
      </c>
      <c r="AJ2145">
        <v>0</v>
      </c>
      <c r="AK2145">
        <v>3900</v>
      </c>
      <c r="AL2145">
        <v>3900</v>
      </c>
      <c r="AM2145">
        <v>0</v>
      </c>
      <c r="AN2145">
        <v>0</v>
      </c>
      <c r="AO2145">
        <v>120</v>
      </c>
      <c r="AP2145">
        <v>66</v>
      </c>
      <c r="AQ2145">
        <v>120</v>
      </c>
      <c r="AR2145">
        <v>54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15</v>
      </c>
      <c r="BA2145">
        <v>15</v>
      </c>
      <c r="BB2145">
        <v>0</v>
      </c>
      <c r="BC2145">
        <v>0</v>
      </c>
      <c r="BD2145">
        <v>0</v>
      </c>
      <c r="BE2145">
        <f t="shared" si="343"/>
        <v>12836</v>
      </c>
      <c r="BF2145">
        <v>8608</v>
      </c>
      <c r="BG2145">
        <v>8608</v>
      </c>
      <c r="BH2145" t="s">
        <v>82</v>
      </c>
      <c r="BI2145" t="s">
        <v>1006</v>
      </c>
      <c r="BJ2145">
        <v>4500</v>
      </c>
      <c r="BK2145">
        <v>4108</v>
      </c>
      <c r="BL2145">
        <v>8608</v>
      </c>
      <c r="BM2145">
        <v>0</v>
      </c>
      <c r="BN2145">
        <v>0</v>
      </c>
      <c r="BO2145">
        <v>0</v>
      </c>
      <c r="BP2145">
        <v>4108</v>
      </c>
      <c r="BQ2145">
        <v>4108</v>
      </c>
      <c r="BR2145">
        <f t="shared" si="344"/>
        <v>-608</v>
      </c>
      <c r="BS2145">
        <f t="shared" si="345"/>
        <v>608</v>
      </c>
    </row>
    <row r="2146" spans="1:74" x14ac:dyDescent="0.25">
      <c r="A2146" s="5" t="s">
        <v>1451</v>
      </c>
      <c r="B2146" s="5" t="s">
        <v>61</v>
      </c>
      <c r="C2146" s="5" t="s">
        <v>61</v>
      </c>
      <c r="D2146" s="1" t="s">
        <v>100</v>
      </c>
      <c r="E2146">
        <v>0</v>
      </c>
      <c r="F2146">
        <v>2576</v>
      </c>
      <c r="G2146">
        <v>0</v>
      </c>
      <c r="H2146">
        <v>0</v>
      </c>
      <c r="I2146">
        <v>2653</v>
      </c>
      <c r="J2146">
        <v>0</v>
      </c>
      <c r="K2146">
        <v>0</v>
      </c>
      <c r="L2146">
        <v>0</v>
      </c>
      <c r="M2146">
        <v>5634</v>
      </c>
      <c r="N2146">
        <v>0</v>
      </c>
      <c r="O2146">
        <v>0</v>
      </c>
      <c r="P2146">
        <v>0</v>
      </c>
      <c r="Q2146">
        <v>1235</v>
      </c>
      <c r="R2146">
        <v>626</v>
      </c>
      <c r="S2146" s="18">
        <f t="shared" si="336"/>
        <v>9</v>
      </c>
      <c r="T2146" s="17">
        <f t="shared" si="337"/>
        <v>626</v>
      </c>
      <c r="U2146" s="17">
        <f t="shared" si="338"/>
        <v>0</v>
      </c>
      <c r="V2146" s="17">
        <f t="shared" si="339"/>
        <v>0</v>
      </c>
      <c r="W2146" s="17">
        <f t="shared" si="340"/>
        <v>0</v>
      </c>
      <c r="X2146" s="17">
        <f t="shared" si="341"/>
        <v>609</v>
      </c>
      <c r="Y2146" s="19">
        <f t="shared" si="342"/>
        <v>0</v>
      </c>
      <c r="Z2146">
        <v>2576</v>
      </c>
      <c r="AA2146">
        <v>0</v>
      </c>
      <c r="AB2146">
        <v>0</v>
      </c>
      <c r="AC2146">
        <v>0</v>
      </c>
      <c r="AD2146">
        <v>2653</v>
      </c>
      <c r="AE2146">
        <v>0</v>
      </c>
      <c r="AF2146">
        <v>0</v>
      </c>
      <c r="AG2146">
        <v>0</v>
      </c>
      <c r="AH2146">
        <v>2653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f t="shared" si="343"/>
        <v>5306</v>
      </c>
      <c r="BF2146">
        <v>5229</v>
      </c>
      <c r="BG2146">
        <v>5229</v>
      </c>
      <c r="BH2146" t="s">
        <v>109</v>
      </c>
      <c r="BI2146" t="s">
        <v>1466</v>
      </c>
      <c r="BJ2146">
        <v>0</v>
      </c>
      <c r="BK2146">
        <v>2653</v>
      </c>
      <c r="BL2146">
        <v>5229</v>
      </c>
      <c r="BM2146">
        <v>8287</v>
      </c>
      <c r="BN2146">
        <v>0</v>
      </c>
      <c r="BO2146">
        <v>0</v>
      </c>
      <c r="BP2146">
        <v>0</v>
      </c>
      <c r="BQ2146">
        <v>8287</v>
      </c>
      <c r="BR2146">
        <f t="shared" si="344"/>
        <v>-609</v>
      </c>
      <c r="BS2146">
        <f t="shared" si="345"/>
        <v>1861</v>
      </c>
    </row>
    <row r="2147" spans="1:74" x14ac:dyDescent="0.25">
      <c r="A2147" s="5" t="s">
        <v>1946</v>
      </c>
      <c r="B2147" s="5" t="s">
        <v>207</v>
      </c>
      <c r="C2147" s="5" t="s">
        <v>61</v>
      </c>
      <c r="D2147" s="1" t="s">
        <v>131</v>
      </c>
      <c r="E2147">
        <v>150</v>
      </c>
      <c r="F2147">
        <v>140</v>
      </c>
      <c r="G2147">
        <v>0</v>
      </c>
      <c r="H2147">
        <v>0</v>
      </c>
      <c r="I2147">
        <v>700</v>
      </c>
      <c r="J2147">
        <v>9954</v>
      </c>
      <c r="K2147">
        <v>530</v>
      </c>
      <c r="L2147">
        <v>450</v>
      </c>
      <c r="M2147">
        <v>0</v>
      </c>
      <c r="N2147">
        <v>0</v>
      </c>
      <c r="O2147">
        <v>0</v>
      </c>
      <c r="P2147">
        <v>315</v>
      </c>
      <c r="Q2147">
        <v>644</v>
      </c>
      <c r="R2147">
        <v>35</v>
      </c>
      <c r="S2147" s="18">
        <f t="shared" si="336"/>
        <v>9</v>
      </c>
      <c r="T2147" s="17">
        <f t="shared" si="337"/>
        <v>0</v>
      </c>
      <c r="U2147" s="17">
        <f t="shared" si="338"/>
        <v>0</v>
      </c>
      <c r="V2147" s="17">
        <f t="shared" si="339"/>
        <v>0</v>
      </c>
      <c r="W2147" s="17">
        <f t="shared" si="340"/>
        <v>35</v>
      </c>
      <c r="X2147" s="17">
        <f t="shared" si="341"/>
        <v>609</v>
      </c>
      <c r="Y2147" s="19">
        <f t="shared" si="342"/>
        <v>0</v>
      </c>
      <c r="Z2147">
        <v>140</v>
      </c>
      <c r="AA2147">
        <v>223</v>
      </c>
      <c r="AB2147">
        <v>500</v>
      </c>
      <c r="AC2147">
        <v>12411</v>
      </c>
      <c r="AD2147">
        <v>0</v>
      </c>
      <c r="AE2147">
        <v>575</v>
      </c>
      <c r="AF2147">
        <v>0</v>
      </c>
      <c r="AG2147">
        <v>125</v>
      </c>
      <c r="AH2147">
        <v>700</v>
      </c>
      <c r="AI2147">
        <v>0</v>
      </c>
      <c r="AJ2147">
        <v>9396</v>
      </c>
      <c r="AK2147">
        <v>558</v>
      </c>
      <c r="AL2147">
        <v>9954</v>
      </c>
      <c r="AM2147">
        <v>0</v>
      </c>
      <c r="AN2147">
        <v>0</v>
      </c>
      <c r="AO2147">
        <v>530</v>
      </c>
      <c r="AP2147">
        <v>180</v>
      </c>
      <c r="AQ2147">
        <v>530</v>
      </c>
      <c r="AR2147">
        <v>350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450</v>
      </c>
      <c r="BA2147">
        <v>450</v>
      </c>
      <c r="BB2147">
        <v>0</v>
      </c>
      <c r="BC2147">
        <v>0</v>
      </c>
      <c r="BD2147">
        <v>0</v>
      </c>
      <c r="BE2147">
        <f t="shared" si="343"/>
        <v>36209</v>
      </c>
      <c r="BF2147">
        <v>25058</v>
      </c>
      <c r="BG2147">
        <v>25058</v>
      </c>
      <c r="BH2147" t="s">
        <v>82</v>
      </c>
      <c r="BI2147" t="s">
        <v>730</v>
      </c>
      <c r="BJ2147">
        <v>13284</v>
      </c>
      <c r="BK2147">
        <v>11634</v>
      </c>
      <c r="BL2147">
        <v>25058</v>
      </c>
      <c r="BM2147">
        <v>0</v>
      </c>
      <c r="BN2147">
        <v>9971</v>
      </c>
      <c r="BO2147">
        <v>0</v>
      </c>
      <c r="BP2147">
        <v>1978</v>
      </c>
      <c r="BQ2147">
        <v>11949</v>
      </c>
      <c r="BR2147">
        <f t="shared" si="344"/>
        <v>-609</v>
      </c>
      <c r="BS2147">
        <f t="shared" si="345"/>
        <v>679</v>
      </c>
    </row>
    <row r="2148" spans="1:74" x14ac:dyDescent="0.25">
      <c r="A2148" s="5" t="s">
        <v>1946</v>
      </c>
      <c r="B2148" s="5" t="s">
        <v>61</v>
      </c>
      <c r="C2148" s="5" t="s">
        <v>61</v>
      </c>
      <c r="D2148" s="1" t="s">
        <v>141</v>
      </c>
      <c r="E2148">
        <v>0</v>
      </c>
      <c r="F2148">
        <v>0</v>
      </c>
      <c r="G2148">
        <v>0</v>
      </c>
      <c r="H2148">
        <v>0</v>
      </c>
      <c r="I2148">
        <v>3800</v>
      </c>
      <c r="J2148">
        <v>1756</v>
      </c>
      <c r="K2148">
        <v>1129</v>
      </c>
      <c r="L2148">
        <v>475</v>
      </c>
      <c r="M2148">
        <v>0</v>
      </c>
      <c r="N2148">
        <v>0</v>
      </c>
      <c r="O2148">
        <v>0</v>
      </c>
      <c r="P2148">
        <v>0</v>
      </c>
      <c r="Q2148">
        <v>610</v>
      </c>
      <c r="R2148">
        <v>0</v>
      </c>
      <c r="S2148" s="18" t="e">
        <f t="shared" si="336"/>
        <v>#DIV/0!</v>
      </c>
      <c r="T2148" s="17" t="e">
        <f t="shared" si="337"/>
        <v>#DIV/0!</v>
      </c>
      <c r="U2148" s="17" t="e">
        <f t="shared" si="338"/>
        <v>#DIV/0!</v>
      </c>
      <c r="V2148" s="17" t="e">
        <f t="shared" si="339"/>
        <v>#DIV/0!</v>
      </c>
      <c r="W2148" s="17" t="e">
        <f t="shared" si="340"/>
        <v>#DIV/0!</v>
      </c>
      <c r="X2148" s="17" t="e">
        <f t="shared" si="341"/>
        <v>#DIV/0!</v>
      </c>
      <c r="Y2148" s="19" t="e">
        <f t="shared" si="342"/>
        <v>#DIV/0!</v>
      </c>
      <c r="Z2148">
        <v>0</v>
      </c>
      <c r="AA2148">
        <v>0</v>
      </c>
      <c r="AB2148">
        <v>0</v>
      </c>
      <c r="AC2148">
        <v>475</v>
      </c>
      <c r="AD2148">
        <v>1600</v>
      </c>
      <c r="AE2148">
        <v>0</v>
      </c>
      <c r="AF2148">
        <v>0</v>
      </c>
      <c r="AG2148">
        <v>2200</v>
      </c>
      <c r="AH2148">
        <v>3800</v>
      </c>
      <c r="AI2148">
        <v>0</v>
      </c>
      <c r="AJ2148">
        <v>1508</v>
      </c>
      <c r="AK2148">
        <v>248</v>
      </c>
      <c r="AL2148">
        <v>1756</v>
      </c>
      <c r="AM2148">
        <v>0</v>
      </c>
      <c r="AN2148">
        <v>0</v>
      </c>
      <c r="AO2148">
        <v>1129</v>
      </c>
      <c r="AP2148">
        <v>988</v>
      </c>
      <c r="AQ2148">
        <v>1129</v>
      </c>
      <c r="AR2148">
        <v>141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475</v>
      </c>
      <c r="BA2148">
        <v>475</v>
      </c>
      <c r="BB2148">
        <v>0</v>
      </c>
      <c r="BC2148">
        <v>0</v>
      </c>
      <c r="BD2148">
        <v>0</v>
      </c>
      <c r="BE2148">
        <f t="shared" si="343"/>
        <v>15924</v>
      </c>
      <c r="BF2148">
        <v>7635</v>
      </c>
      <c r="BG2148">
        <v>7635</v>
      </c>
      <c r="BH2148" t="s">
        <v>560</v>
      </c>
      <c r="BI2148" t="s">
        <v>1983</v>
      </c>
      <c r="BJ2148">
        <v>475</v>
      </c>
      <c r="BK2148">
        <v>7160</v>
      </c>
      <c r="BL2148">
        <v>7635</v>
      </c>
      <c r="BM2148">
        <v>1600</v>
      </c>
      <c r="BN2148">
        <v>1508</v>
      </c>
      <c r="BO2148">
        <v>0</v>
      </c>
      <c r="BP2148">
        <v>4052</v>
      </c>
      <c r="BQ2148">
        <v>7160</v>
      </c>
      <c r="BR2148">
        <f t="shared" si="344"/>
        <v>-610</v>
      </c>
      <c r="BS2148">
        <f t="shared" si="345"/>
        <v>610</v>
      </c>
    </row>
    <row r="2149" spans="1:74" x14ac:dyDescent="0.25">
      <c r="A2149" s="5" t="s">
        <v>875</v>
      </c>
      <c r="B2149" s="5" t="s">
        <v>61</v>
      </c>
      <c r="C2149" s="5" t="s">
        <v>207</v>
      </c>
      <c r="D2149" s="1" t="s">
        <v>955</v>
      </c>
      <c r="E2149">
        <v>0</v>
      </c>
      <c r="F2149">
        <v>172</v>
      </c>
      <c r="G2149">
        <v>0</v>
      </c>
      <c r="H2149">
        <v>0</v>
      </c>
      <c r="I2149">
        <v>1021</v>
      </c>
      <c r="J2149">
        <v>6165</v>
      </c>
      <c r="K2149">
        <v>1665</v>
      </c>
      <c r="L2149">
        <v>400</v>
      </c>
      <c r="M2149">
        <v>0</v>
      </c>
      <c r="N2149">
        <v>0</v>
      </c>
      <c r="O2149">
        <v>0</v>
      </c>
      <c r="P2149">
        <v>387</v>
      </c>
      <c r="Q2149">
        <v>654</v>
      </c>
      <c r="R2149">
        <v>43</v>
      </c>
      <c r="S2149" s="18">
        <f t="shared" si="336"/>
        <v>9</v>
      </c>
      <c r="T2149" s="17">
        <f t="shared" si="337"/>
        <v>0</v>
      </c>
      <c r="U2149" s="17">
        <f t="shared" si="338"/>
        <v>0</v>
      </c>
      <c r="V2149" s="17">
        <f t="shared" si="339"/>
        <v>0</v>
      </c>
      <c r="W2149" s="17">
        <f t="shared" si="340"/>
        <v>43</v>
      </c>
      <c r="X2149" s="17">
        <f t="shared" si="341"/>
        <v>611</v>
      </c>
      <c r="Y2149" s="19">
        <f t="shared" si="342"/>
        <v>0</v>
      </c>
      <c r="Z2149">
        <v>372</v>
      </c>
      <c r="AA2149">
        <v>4</v>
      </c>
      <c r="AB2149">
        <v>0</v>
      </c>
      <c r="AC2149">
        <v>3804</v>
      </c>
      <c r="AD2149">
        <v>0</v>
      </c>
      <c r="AE2149">
        <v>0</v>
      </c>
      <c r="AF2149">
        <v>0</v>
      </c>
      <c r="AG2149">
        <v>1021</v>
      </c>
      <c r="AH2149">
        <v>1021</v>
      </c>
      <c r="AI2149">
        <v>0</v>
      </c>
      <c r="AJ2149">
        <v>0</v>
      </c>
      <c r="AK2149">
        <v>6165</v>
      </c>
      <c r="AL2149">
        <v>6165</v>
      </c>
      <c r="AM2149">
        <v>0</v>
      </c>
      <c r="AN2149">
        <v>0</v>
      </c>
      <c r="AO2149">
        <v>1665</v>
      </c>
      <c r="AP2149">
        <v>521</v>
      </c>
      <c r="AQ2149">
        <v>1665</v>
      </c>
      <c r="AR2149">
        <v>1088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400</v>
      </c>
      <c r="BA2149">
        <v>400</v>
      </c>
      <c r="BB2149">
        <v>0</v>
      </c>
      <c r="BC2149">
        <v>0</v>
      </c>
      <c r="BD2149">
        <v>0</v>
      </c>
      <c r="BE2149">
        <f t="shared" si="343"/>
        <v>23915</v>
      </c>
      <c r="BF2149">
        <v>13131</v>
      </c>
      <c r="BG2149">
        <v>13131</v>
      </c>
      <c r="BH2149" t="s">
        <v>82</v>
      </c>
      <c r="BI2149" t="s">
        <v>956</v>
      </c>
      <c r="BJ2149">
        <v>3808</v>
      </c>
      <c r="BK2149">
        <v>9251</v>
      </c>
      <c r="BL2149">
        <v>13431</v>
      </c>
      <c r="BM2149">
        <v>0</v>
      </c>
      <c r="BN2149">
        <v>0</v>
      </c>
      <c r="BO2149">
        <v>0</v>
      </c>
      <c r="BP2149">
        <v>9638</v>
      </c>
      <c r="BQ2149">
        <v>9638</v>
      </c>
      <c r="BR2149">
        <f t="shared" si="344"/>
        <v>-611</v>
      </c>
      <c r="BS2149">
        <f t="shared" si="345"/>
        <v>697</v>
      </c>
    </row>
    <row r="2150" spans="1:74" x14ac:dyDescent="0.25">
      <c r="A2150" s="5" t="s">
        <v>1017</v>
      </c>
      <c r="B2150" s="5" t="s">
        <v>207</v>
      </c>
      <c r="C2150" s="5" t="s">
        <v>61</v>
      </c>
      <c r="D2150" s="1" t="s">
        <v>98</v>
      </c>
      <c r="E2150">
        <v>100</v>
      </c>
      <c r="F2150">
        <v>0</v>
      </c>
      <c r="G2150">
        <v>0</v>
      </c>
      <c r="H2150">
        <v>0</v>
      </c>
      <c r="I2150">
        <v>1675</v>
      </c>
      <c r="J2150">
        <v>11185</v>
      </c>
      <c r="K2150">
        <v>1244</v>
      </c>
      <c r="L2150">
        <v>571</v>
      </c>
      <c r="M2150">
        <v>0</v>
      </c>
      <c r="N2150">
        <v>0</v>
      </c>
      <c r="O2150">
        <v>0</v>
      </c>
      <c r="P2150">
        <v>0</v>
      </c>
      <c r="Q2150">
        <v>612</v>
      </c>
      <c r="R2150">
        <v>0</v>
      </c>
      <c r="S2150" s="18" t="e">
        <f t="shared" si="336"/>
        <v>#DIV/0!</v>
      </c>
      <c r="T2150" s="17" t="e">
        <f t="shared" si="337"/>
        <v>#DIV/0!</v>
      </c>
      <c r="U2150" s="17" t="e">
        <f t="shared" si="338"/>
        <v>#DIV/0!</v>
      </c>
      <c r="V2150" s="17" t="e">
        <f t="shared" si="339"/>
        <v>#DIV/0!</v>
      </c>
      <c r="W2150" s="17" t="e">
        <f t="shared" si="340"/>
        <v>#DIV/0!</v>
      </c>
      <c r="X2150" s="17" t="e">
        <f t="shared" si="341"/>
        <v>#DIV/0!</v>
      </c>
      <c r="Y2150" s="19" t="e">
        <f t="shared" si="342"/>
        <v>#DIV/0!</v>
      </c>
      <c r="Z2150">
        <v>0</v>
      </c>
      <c r="AA2150">
        <v>0</v>
      </c>
      <c r="AB2150">
        <v>148</v>
      </c>
      <c r="AC2150">
        <v>4350</v>
      </c>
      <c r="AD2150">
        <v>0</v>
      </c>
      <c r="AE2150">
        <v>0</v>
      </c>
      <c r="AF2150">
        <v>0</v>
      </c>
      <c r="AG2150">
        <v>1675</v>
      </c>
      <c r="AH2150">
        <v>1675</v>
      </c>
      <c r="AI2150">
        <v>0</v>
      </c>
      <c r="AJ2150">
        <v>0</v>
      </c>
      <c r="AK2150">
        <v>11185</v>
      </c>
      <c r="AL2150">
        <v>11185</v>
      </c>
      <c r="AM2150">
        <v>0</v>
      </c>
      <c r="AN2150">
        <v>0</v>
      </c>
      <c r="AO2150">
        <v>1244</v>
      </c>
      <c r="AP2150">
        <v>286</v>
      </c>
      <c r="AQ2150">
        <v>1244</v>
      </c>
      <c r="AR2150">
        <v>958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571</v>
      </c>
      <c r="BA2150">
        <v>571</v>
      </c>
      <c r="BB2150">
        <v>0</v>
      </c>
      <c r="BC2150">
        <v>0</v>
      </c>
      <c r="BD2150">
        <v>0</v>
      </c>
      <c r="BE2150">
        <f t="shared" si="343"/>
        <v>34944</v>
      </c>
      <c r="BF2150">
        <v>19273</v>
      </c>
      <c r="BG2150">
        <v>19273</v>
      </c>
      <c r="BH2150" t="s">
        <v>82</v>
      </c>
      <c r="BI2150" t="s">
        <v>1101</v>
      </c>
      <c r="BJ2150">
        <v>4598</v>
      </c>
      <c r="BK2150">
        <v>14675</v>
      </c>
      <c r="BL2150">
        <v>19273</v>
      </c>
      <c r="BM2150">
        <v>0</v>
      </c>
      <c r="BN2150">
        <v>0</v>
      </c>
      <c r="BO2150">
        <v>0</v>
      </c>
      <c r="BP2150">
        <v>14675</v>
      </c>
      <c r="BQ2150">
        <v>14675</v>
      </c>
      <c r="BR2150">
        <f t="shared" si="344"/>
        <v>-612</v>
      </c>
      <c r="BS2150">
        <f t="shared" si="345"/>
        <v>612</v>
      </c>
    </row>
    <row r="2151" spans="1:74" x14ac:dyDescent="0.25">
      <c r="A2151" s="5" t="s">
        <v>61</v>
      </c>
      <c r="B2151" s="5" t="s">
        <v>61</v>
      </c>
      <c r="C2151" s="5" t="s">
        <v>61</v>
      </c>
      <c r="D2151" s="1" t="s">
        <v>108</v>
      </c>
      <c r="E2151">
        <v>0</v>
      </c>
      <c r="F2151">
        <v>325</v>
      </c>
      <c r="G2151">
        <v>0</v>
      </c>
      <c r="H2151">
        <v>0</v>
      </c>
      <c r="I2151">
        <v>1369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1791</v>
      </c>
      <c r="Q2151">
        <v>812</v>
      </c>
      <c r="R2151">
        <v>199</v>
      </c>
      <c r="S2151" s="18">
        <f t="shared" si="336"/>
        <v>9</v>
      </c>
      <c r="T2151" s="17">
        <f t="shared" si="337"/>
        <v>0</v>
      </c>
      <c r="U2151" s="17">
        <f t="shared" si="338"/>
        <v>0</v>
      </c>
      <c r="V2151" s="17">
        <f t="shared" si="339"/>
        <v>0</v>
      </c>
      <c r="W2151" s="17">
        <f t="shared" si="340"/>
        <v>199</v>
      </c>
      <c r="X2151" s="17">
        <f t="shared" si="341"/>
        <v>613</v>
      </c>
      <c r="Y2151" s="19">
        <f t="shared" si="342"/>
        <v>0</v>
      </c>
      <c r="Z2151">
        <v>325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1369</v>
      </c>
      <c r="AH2151">
        <v>1369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f t="shared" si="343"/>
        <v>2738</v>
      </c>
      <c r="BF2151">
        <v>1694</v>
      </c>
      <c r="BG2151">
        <v>1694</v>
      </c>
      <c r="BH2151" t="s">
        <v>109</v>
      </c>
      <c r="BI2151" t="s">
        <v>110</v>
      </c>
      <c r="BJ2151">
        <v>0</v>
      </c>
      <c r="BK2151">
        <v>1369</v>
      </c>
      <c r="BL2151">
        <v>1694</v>
      </c>
      <c r="BM2151">
        <v>0</v>
      </c>
      <c r="BN2151">
        <v>0</v>
      </c>
      <c r="BO2151">
        <v>0</v>
      </c>
      <c r="BP2151">
        <v>3160</v>
      </c>
      <c r="BQ2151">
        <v>3160</v>
      </c>
      <c r="BR2151">
        <f t="shared" si="344"/>
        <v>-613</v>
      </c>
      <c r="BS2151">
        <f t="shared" si="345"/>
        <v>1011</v>
      </c>
    </row>
    <row r="2152" spans="1:74" x14ac:dyDescent="0.25">
      <c r="A2152" s="5" t="s">
        <v>627</v>
      </c>
      <c r="B2152" s="5" t="s">
        <v>359</v>
      </c>
      <c r="C2152" s="5" t="s">
        <v>61</v>
      </c>
      <c r="D2152" s="1" t="s">
        <v>79</v>
      </c>
      <c r="E2152">
        <v>39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450</v>
      </c>
      <c r="Q2152">
        <v>665</v>
      </c>
      <c r="R2152">
        <v>50</v>
      </c>
      <c r="S2152" s="18">
        <f t="shared" si="336"/>
        <v>9</v>
      </c>
      <c r="T2152" s="17">
        <f t="shared" si="337"/>
        <v>0</v>
      </c>
      <c r="U2152" s="17">
        <f t="shared" si="338"/>
        <v>0</v>
      </c>
      <c r="V2152" s="17">
        <f t="shared" si="339"/>
        <v>0</v>
      </c>
      <c r="W2152" s="17">
        <f t="shared" si="340"/>
        <v>50</v>
      </c>
      <c r="X2152" s="17">
        <f t="shared" si="341"/>
        <v>615</v>
      </c>
      <c r="Y2152" s="19">
        <f t="shared" si="342"/>
        <v>0</v>
      </c>
      <c r="Z2152">
        <v>50</v>
      </c>
      <c r="AA2152">
        <v>51</v>
      </c>
      <c r="AB2152">
        <v>250</v>
      </c>
      <c r="AC2152">
        <v>4394</v>
      </c>
      <c r="AD2152">
        <v>0</v>
      </c>
      <c r="AE2152">
        <v>0</v>
      </c>
      <c r="AF2152">
        <v>0</v>
      </c>
      <c r="AG2152">
        <v>327</v>
      </c>
      <c r="AH2152">
        <v>327</v>
      </c>
      <c r="AI2152">
        <v>0</v>
      </c>
      <c r="AJ2152">
        <v>0</v>
      </c>
      <c r="AK2152">
        <v>7226</v>
      </c>
      <c r="AL2152">
        <v>7226</v>
      </c>
      <c r="AM2152">
        <v>0</v>
      </c>
      <c r="AN2152">
        <v>0</v>
      </c>
      <c r="AO2152">
        <v>882</v>
      </c>
      <c r="AP2152">
        <v>0</v>
      </c>
      <c r="AQ2152">
        <v>882</v>
      </c>
      <c r="AR2152">
        <v>882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90</v>
      </c>
      <c r="BA2152">
        <v>90</v>
      </c>
      <c r="BB2152">
        <v>0</v>
      </c>
      <c r="BC2152">
        <v>0</v>
      </c>
      <c r="BD2152">
        <v>0</v>
      </c>
      <c r="BE2152">
        <f t="shared" si="343"/>
        <v>22326</v>
      </c>
      <c r="BF2152">
        <v>13309</v>
      </c>
      <c r="BG2152">
        <v>13309</v>
      </c>
      <c r="BH2152" t="s">
        <v>226</v>
      </c>
      <c r="BI2152" t="s">
        <v>854</v>
      </c>
      <c r="BJ2152">
        <v>4734</v>
      </c>
      <c r="BK2152">
        <v>8525</v>
      </c>
      <c r="BL2152">
        <v>13309</v>
      </c>
      <c r="BM2152">
        <v>0</v>
      </c>
      <c r="BN2152">
        <v>0</v>
      </c>
      <c r="BO2152">
        <v>0</v>
      </c>
      <c r="BP2152">
        <v>8975</v>
      </c>
      <c r="BQ2152">
        <v>8975</v>
      </c>
      <c r="BR2152">
        <f t="shared" si="344"/>
        <v>-615</v>
      </c>
      <c r="BS2152">
        <f t="shared" si="345"/>
        <v>715</v>
      </c>
    </row>
    <row r="2153" spans="1:74" x14ac:dyDescent="0.25">
      <c r="A2153" s="5" t="s">
        <v>2090</v>
      </c>
      <c r="B2153" s="5" t="s">
        <v>61</v>
      </c>
      <c r="C2153" s="5" t="s">
        <v>61</v>
      </c>
      <c r="D2153" s="1" t="s">
        <v>171</v>
      </c>
      <c r="E2153">
        <v>30</v>
      </c>
      <c r="F2153">
        <v>0</v>
      </c>
      <c r="G2153">
        <v>0</v>
      </c>
      <c r="H2153">
        <v>0</v>
      </c>
      <c r="I2153">
        <v>1100</v>
      </c>
      <c r="J2153">
        <v>3000</v>
      </c>
      <c r="K2153">
        <v>400</v>
      </c>
      <c r="L2153">
        <v>75</v>
      </c>
      <c r="M2153">
        <v>0</v>
      </c>
      <c r="N2153">
        <v>0</v>
      </c>
      <c r="O2153">
        <v>0</v>
      </c>
      <c r="P2153">
        <v>0</v>
      </c>
      <c r="Q2153">
        <v>620</v>
      </c>
      <c r="R2153">
        <v>0</v>
      </c>
      <c r="S2153" s="18" t="e">
        <f t="shared" si="336"/>
        <v>#DIV/0!</v>
      </c>
      <c r="T2153" s="17" t="e">
        <f t="shared" si="337"/>
        <v>#DIV/0!</v>
      </c>
      <c r="U2153" s="17" t="e">
        <f t="shared" si="338"/>
        <v>#DIV/0!</v>
      </c>
      <c r="V2153" s="17" t="e">
        <f t="shared" si="339"/>
        <v>#DIV/0!</v>
      </c>
      <c r="W2153" s="17" t="e">
        <f t="shared" si="340"/>
        <v>#DIV/0!</v>
      </c>
      <c r="X2153" s="17" t="e">
        <f t="shared" si="341"/>
        <v>#DIV/0!</v>
      </c>
      <c r="Y2153" s="19" t="e">
        <f t="shared" si="342"/>
        <v>#DIV/0!</v>
      </c>
      <c r="Z2153">
        <v>0</v>
      </c>
      <c r="AA2153">
        <v>65</v>
      </c>
      <c r="AB2153">
        <v>200</v>
      </c>
      <c r="AC2153">
        <v>3200</v>
      </c>
      <c r="AD2153">
        <v>0</v>
      </c>
      <c r="AE2153">
        <v>0</v>
      </c>
      <c r="AF2153">
        <v>0</v>
      </c>
      <c r="AG2153">
        <v>1100</v>
      </c>
      <c r="AH2153">
        <v>1100</v>
      </c>
      <c r="AI2153">
        <v>0</v>
      </c>
      <c r="AJ2153">
        <v>0</v>
      </c>
      <c r="AK2153">
        <v>3000</v>
      </c>
      <c r="AL2153">
        <v>3000</v>
      </c>
      <c r="AM2153">
        <v>0</v>
      </c>
      <c r="AN2153">
        <v>0</v>
      </c>
      <c r="AO2153">
        <v>400</v>
      </c>
      <c r="AP2153">
        <v>236</v>
      </c>
      <c r="AQ2153">
        <v>400</v>
      </c>
      <c r="AR2153">
        <v>164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75</v>
      </c>
      <c r="BA2153">
        <v>75</v>
      </c>
      <c r="BB2153">
        <v>0</v>
      </c>
      <c r="BC2153">
        <v>0</v>
      </c>
      <c r="BD2153">
        <v>0</v>
      </c>
      <c r="BE2153">
        <f t="shared" si="343"/>
        <v>12750</v>
      </c>
      <c r="BF2153">
        <v>8070</v>
      </c>
      <c r="BG2153">
        <v>8070</v>
      </c>
      <c r="BH2153" t="s">
        <v>82</v>
      </c>
      <c r="BI2153" t="s">
        <v>2141</v>
      </c>
      <c r="BJ2153">
        <v>3495</v>
      </c>
      <c r="BK2153">
        <v>4575</v>
      </c>
      <c r="BL2153">
        <v>8070</v>
      </c>
      <c r="BM2153">
        <v>0</v>
      </c>
      <c r="BN2153">
        <v>0</v>
      </c>
      <c r="BO2153">
        <v>0</v>
      </c>
      <c r="BP2153">
        <v>4575</v>
      </c>
      <c r="BQ2153">
        <v>4575</v>
      </c>
      <c r="BR2153">
        <f t="shared" si="344"/>
        <v>-620</v>
      </c>
      <c r="BS2153">
        <f t="shared" si="345"/>
        <v>620</v>
      </c>
    </row>
    <row r="2154" spans="1:74" x14ac:dyDescent="0.25">
      <c r="A2154" s="5" t="s">
        <v>207</v>
      </c>
      <c r="B2154" s="5" t="s">
        <v>627</v>
      </c>
      <c r="C2154" s="5" t="s">
        <v>61</v>
      </c>
      <c r="D2154" s="1" t="s">
        <v>108</v>
      </c>
      <c r="E2154">
        <v>0</v>
      </c>
      <c r="F2154">
        <v>0</v>
      </c>
      <c r="G2154">
        <v>0</v>
      </c>
      <c r="H2154">
        <v>0</v>
      </c>
      <c r="I2154">
        <v>52</v>
      </c>
      <c r="J2154">
        <v>2520</v>
      </c>
      <c r="K2154">
        <v>226</v>
      </c>
      <c r="L2154">
        <v>35</v>
      </c>
      <c r="M2154">
        <v>0</v>
      </c>
      <c r="N2154">
        <v>0</v>
      </c>
      <c r="O2154">
        <v>0</v>
      </c>
      <c r="P2154">
        <v>0</v>
      </c>
      <c r="Q2154">
        <v>621</v>
      </c>
      <c r="R2154">
        <v>0</v>
      </c>
      <c r="S2154" s="18" t="e">
        <f t="shared" si="336"/>
        <v>#DIV/0!</v>
      </c>
      <c r="T2154" s="17" t="e">
        <f t="shared" si="337"/>
        <v>#DIV/0!</v>
      </c>
      <c r="U2154" s="17" t="e">
        <f t="shared" si="338"/>
        <v>#DIV/0!</v>
      </c>
      <c r="V2154" s="17" t="e">
        <f t="shared" si="339"/>
        <v>#DIV/0!</v>
      </c>
      <c r="W2154" s="17" t="e">
        <f t="shared" si="340"/>
        <v>#DIV/0!</v>
      </c>
      <c r="X2154" s="17" t="e">
        <f t="shared" si="341"/>
        <v>#DIV/0!</v>
      </c>
      <c r="Y2154" s="19" t="e">
        <f t="shared" si="342"/>
        <v>#DIV/0!</v>
      </c>
      <c r="Z2154">
        <v>0</v>
      </c>
      <c r="AA2154">
        <v>6</v>
      </c>
      <c r="AB2154">
        <v>0</v>
      </c>
      <c r="AC2154">
        <v>365</v>
      </c>
      <c r="AD2154">
        <v>0</v>
      </c>
      <c r="AE2154">
        <v>52</v>
      </c>
      <c r="AF2154">
        <v>0</v>
      </c>
      <c r="AG2154">
        <v>0</v>
      </c>
      <c r="AH2154">
        <v>52</v>
      </c>
      <c r="AI2154">
        <v>0</v>
      </c>
      <c r="AJ2154">
        <v>1920</v>
      </c>
      <c r="AK2154">
        <v>600</v>
      </c>
      <c r="AL2154">
        <v>2520</v>
      </c>
      <c r="AM2154">
        <v>0</v>
      </c>
      <c r="AN2154">
        <v>226</v>
      </c>
      <c r="AO2154">
        <v>30</v>
      </c>
      <c r="AP2154">
        <v>156</v>
      </c>
      <c r="AQ2154">
        <v>226</v>
      </c>
      <c r="AR2154">
        <v>70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35</v>
      </c>
      <c r="BA2154">
        <v>35</v>
      </c>
      <c r="BB2154">
        <v>0</v>
      </c>
      <c r="BC2154">
        <v>0</v>
      </c>
      <c r="BD2154">
        <v>0</v>
      </c>
      <c r="BE2154">
        <f t="shared" si="343"/>
        <v>6287</v>
      </c>
      <c r="BF2154">
        <v>4271</v>
      </c>
      <c r="BG2154">
        <v>4271</v>
      </c>
      <c r="BH2154" t="s">
        <v>82</v>
      </c>
      <c r="BI2154" t="s">
        <v>648</v>
      </c>
      <c r="BJ2154">
        <v>371</v>
      </c>
      <c r="BK2154">
        <v>2833</v>
      </c>
      <c r="BL2154">
        <v>3204</v>
      </c>
      <c r="BM2154">
        <v>0</v>
      </c>
      <c r="BN2154">
        <v>2198</v>
      </c>
      <c r="BO2154">
        <v>0</v>
      </c>
      <c r="BP2154">
        <v>665</v>
      </c>
      <c r="BQ2154">
        <v>2863</v>
      </c>
      <c r="BR2154">
        <f t="shared" si="344"/>
        <v>-621</v>
      </c>
      <c r="BS2154">
        <f t="shared" si="345"/>
        <v>621</v>
      </c>
    </row>
    <row r="2155" spans="1:74" x14ac:dyDescent="0.25">
      <c r="A2155" s="5" t="s">
        <v>359</v>
      </c>
      <c r="B2155" s="5" t="s">
        <v>61</v>
      </c>
      <c r="C2155" s="5" t="s">
        <v>61</v>
      </c>
      <c r="D2155" s="1" t="s">
        <v>104</v>
      </c>
      <c r="E2155">
        <v>0</v>
      </c>
      <c r="F2155">
        <v>18</v>
      </c>
      <c r="G2155">
        <v>0</v>
      </c>
      <c r="H2155">
        <v>0</v>
      </c>
      <c r="I2155">
        <v>800</v>
      </c>
      <c r="J2155">
        <v>0</v>
      </c>
      <c r="K2155">
        <v>1040</v>
      </c>
      <c r="L2155">
        <v>0</v>
      </c>
      <c r="M2155">
        <v>72</v>
      </c>
      <c r="N2155">
        <v>0</v>
      </c>
      <c r="O2155">
        <v>0</v>
      </c>
      <c r="P2155">
        <v>0</v>
      </c>
      <c r="Q2155">
        <v>630</v>
      </c>
      <c r="R2155">
        <v>8</v>
      </c>
      <c r="S2155" s="18">
        <f t="shared" si="336"/>
        <v>9</v>
      </c>
      <c r="T2155" s="17">
        <f t="shared" si="337"/>
        <v>8</v>
      </c>
      <c r="U2155" s="17">
        <f t="shared" si="338"/>
        <v>0</v>
      </c>
      <c r="V2155" s="17">
        <f t="shared" si="339"/>
        <v>0</v>
      </c>
      <c r="W2155" s="17">
        <f t="shared" si="340"/>
        <v>0</v>
      </c>
      <c r="X2155" s="17">
        <f t="shared" si="341"/>
        <v>622</v>
      </c>
      <c r="Y2155" s="19">
        <f t="shared" si="342"/>
        <v>0</v>
      </c>
      <c r="Z2155">
        <v>18</v>
      </c>
      <c r="AA2155">
        <v>0</v>
      </c>
      <c r="AB2155">
        <v>0</v>
      </c>
      <c r="AC2155">
        <v>0</v>
      </c>
      <c r="AD2155">
        <v>280</v>
      </c>
      <c r="AE2155">
        <v>0</v>
      </c>
      <c r="AF2155">
        <v>0</v>
      </c>
      <c r="AG2155">
        <v>520</v>
      </c>
      <c r="AH2155">
        <v>800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1040</v>
      </c>
      <c r="AP2155">
        <v>390</v>
      </c>
      <c r="AQ2155">
        <v>1040</v>
      </c>
      <c r="AR2155">
        <v>650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f t="shared" si="343"/>
        <v>4720</v>
      </c>
      <c r="BF2155">
        <v>1858</v>
      </c>
      <c r="BG2155">
        <v>1858</v>
      </c>
      <c r="BH2155" t="s">
        <v>109</v>
      </c>
      <c r="BI2155" t="s">
        <v>715</v>
      </c>
      <c r="BJ2155">
        <v>0</v>
      </c>
      <c r="BK2155">
        <v>1840</v>
      </c>
      <c r="BL2155">
        <v>1858</v>
      </c>
      <c r="BM2155">
        <v>352</v>
      </c>
      <c r="BN2155">
        <v>0</v>
      </c>
      <c r="BO2155">
        <v>0</v>
      </c>
      <c r="BP2155">
        <v>1560</v>
      </c>
      <c r="BQ2155">
        <v>1912</v>
      </c>
      <c r="BR2155">
        <f t="shared" si="344"/>
        <v>-622</v>
      </c>
      <c r="BS2155">
        <f t="shared" si="345"/>
        <v>638</v>
      </c>
    </row>
    <row r="2156" spans="1:74" x14ac:dyDescent="0.25">
      <c r="A2156" s="5" t="s">
        <v>359</v>
      </c>
      <c r="B2156" s="5" t="s">
        <v>61</v>
      </c>
      <c r="C2156" s="5" t="s">
        <v>61</v>
      </c>
      <c r="D2156" s="1" t="s">
        <v>115</v>
      </c>
      <c r="E2156">
        <v>379</v>
      </c>
      <c r="F2156">
        <v>19</v>
      </c>
      <c r="G2156">
        <v>0</v>
      </c>
      <c r="H2156">
        <v>0</v>
      </c>
      <c r="I2156">
        <v>2046</v>
      </c>
      <c r="J2156">
        <v>1919</v>
      </c>
      <c r="K2156">
        <v>2560</v>
      </c>
      <c r="L2156">
        <v>971</v>
      </c>
      <c r="M2156">
        <v>0</v>
      </c>
      <c r="N2156">
        <v>54</v>
      </c>
      <c r="O2156">
        <v>0</v>
      </c>
      <c r="P2156">
        <v>0</v>
      </c>
      <c r="Q2156">
        <v>629</v>
      </c>
      <c r="R2156">
        <v>6</v>
      </c>
      <c r="S2156" s="18">
        <f t="shared" si="336"/>
        <v>9</v>
      </c>
      <c r="T2156" s="17">
        <f t="shared" si="337"/>
        <v>0</v>
      </c>
      <c r="U2156" s="17">
        <f t="shared" si="338"/>
        <v>6</v>
      </c>
      <c r="V2156" s="17">
        <f t="shared" si="339"/>
        <v>0</v>
      </c>
      <c r="W2156" s="17">
        <f t="shared" si="340"/>
        <v>0</v>
      </c>
      <c r="X2156" s="17">
        <f t="shared" si="341"/>
        <v>623</v>
      </c>
      <c r="Y2156" s="19">
        <f t="shared" si="342"/>
        <v>0</v>
      </c>
      <c r="Z2156">
        <v>19</v>
      </c>
      <c r="AA2156">
        <v>2</v>
      </c>
      <c r="AB2156">
        <v>0</v>
      </c>
      <c r="AC2156">
        <v>14850</v>
      </c>
      <c r="AD2156">
        <v>0</v>
      </c>
      <c r="AE2156">
        <v>2046</v>
      </c>
      <c r="AF2156">
        <v>0</v>
      </c>
      <c r="AG2156">
        <v>0</v>
      </c>
      <c r="AH2156">
        <v>2046</v>
      </c>
      <c r="AI2156">
        <v>0</v>
      </c>
      <c r="AJ2156">
        <v>1919</v>
      </c>
      <c r="AK2156">
        <v>0</v>
      </c>
      <c r="AL2156">
        <v>1919</v>
      </c>
      <c r="AM2156">
        <v>0</v>
      </c>
      <c r="AN2156">
        <v>2560</v>
      </c>
      <c r="AO2156">
        <v>0</v>
      </c>
      <c r="AP2156">
        <v>1268</v>
      </c>
      <c r="AQ2156">
        <v>2560</v>
      </c>
      <c r="AR2156">
        <v>1292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971</v>
      </c>
      <c r="AZ2156">
        <v>0</v>
      </c>
      <c r="BA2156">
        <v>971</v>
      </c>
      <c r="BB2156">
        <v>0</v>
      </c>
      <c r="BC2156">
        <v>0</v>
      </c>
      <c r="BD2156">
        <v>0</v>
      </c>
      <c r="BE2156">
        <f t="shared" si="343"/>
        <v>32402</v>
      </c>
      <c r="BF2156">
        <v>22746</v>
      </c>
      <c r="BG2156">
        <v>22746</v>
      </c>
      <c r="BH2156" t="s">
        <v>199</v>
      </c>
      <c r="BI2156" t="s">
        <v>720</v>
      </c>
      <c r="BJ2156">
        <v>15231</v>
      </c>
      <c r="BK2156">
        <v>7496</v>
      </c>
      <c r="BL2156">
        <v>22746</v>
      </c>
      <c r="BM2156">
        <v>0</v>
      </c>
      <c r="BN2156">
        <v>7550</v>
      </c>
      <c r="BO2156">
        <v>0</v>
      </c>
      <c r="BP2156">
        <v>0</v>
      </c>
      <c r="BQ2156">
        <v>7550</v>
      </c>
      <c r="BR2156">
        <f t="shared" si="344"/>
        <v>-623</v>
      </c>
      <c r="BS2156">
        <f t="shared" si="345"/>
        <v>635</v>
      </c>
    </row>
    <row r="2157" spans="1:74" x14ac:dyDescent="0.25">
      <c r="A2157" s="5" t="s">
        <v>1661</v>
      </c>
      <c r="B2157" s="5" t="s">
        <v>359</v>
      </c>
      <c r="C2157" s="5" t="s">
        <v>61</v>
      </c>
      <c r="D2157" s="1" t="s">
        <v>106</v>
      </c>
      <c r="E2157">
        <v>0</v>
      </c>
      <c r="F2157">
        <v>0</v>
      </c>
      <c r="G2157">
        <v>0</v>
      </c>
      <c r="H2157">
        <v>0</v>
      </c>
      <c r="I2157">
        <v>326</v>
      </c>
      <c r="J2157">
        <v>7763</v>
      </c>
      <c r="K2157">
        <v>1137</v>
      </c>
      <c r="L2157">
        <v>70</v>
      </c>
      <c r="M2157">
        <v>0</v>
      </c>
      <c r="N2157">
        <v>0</v>
      </c>
      <c r="O2157">
        <v>0</v>
      </c>
      <c r="P2157">
        <v>0</v>
      </c>
      <c r="Q2157">
        <v>624</v>
      </c>
      <c r="R2157">
        <v>0</v>
      </c>
      <c r="S2157" s="18" t="e">
        <f t="shared" si="336"/>
        <v>#DIV/0!</v>
      </c>
      <c r="T2157" s="17" t="e">
        <f t="shared" si="337"/>
        <v>#DIV/0!</v>
      </c>
      <c r="U2157" s="17" t="e">
        <f t="shared" si="338"/>
        <v>#DIV/0!</v>
      </c>
      <c r="V2157" s="17" t="e">
        <f t="shared" si="339"/>
        <v>#DIV/0!</v>
      </c>
      <c r="W2157" s="17" t="e">
        <f t="shared" si="340"/>
        <v>#DIV/0!</v>
      </c>
      <c r="X2157" s="17" t="e">
        <f t="shared" si="341"/>
        <v>#DIV/0!</v>
      </c>
      <c r="Y2157" s="19" t="e">
        <f t="shared" si="342"/>
        <v>#DIV/0!</v>
      </c>
      <c r="Z2157">
        <v>0</v>
      </c>
      <c r="AA2157">
        <v>18</v>
      </c>
      <c r="AB2157">
        <v>375</v>
      </c>
      <c r="AC2157">
        <v>6380</v>
      </c>
      <c r="AD2157">
        <v>0</v>
      </c>
      <c r="AE2157">
        <v>0</v>
      </c>
      <c r="AF2157">
        <v>0</v>
      </c>
      <c r="AG2157">
        <v>326</v>
      </c>
      <c r="AH2157">
        <v>326</v>
      </c>
      <c r="AI2157">
        <v>0</v>
      </c>
      <c r="AJ2157">
        <v>0</v>
      </c>
      <c r="AK2157">
        <v>7763</v>
      </c>
      <c r="AL2157">
        <v>7763</v>
      </c>
      <c r="AM2157">
        <v>0</v>
      </c>
      <c r="AN2157">
        <v>0</v>
      </c>
      <c r="AO2157">
        <v>1137</v>
      </c>
      <c r="AP2157">
        <v>887</v>
      </c>
      <c r="AQ2157">
        <v>1137</v>
      </c>
      <c r="AR2157">
        <v>250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70</v>
      </c>
      <c r="BA2157">
        <v>70</v>
      </c>
      <c r="BB2157">
        <v>0</v>
      </c>
      <c r="BC2157">
        <v>0</v>
      </c>
      <c r="BD2157">
        <v>0</v>
      </c>
      <c r="BE2157">
        <f t="shared" si="343"/>
        <v>26109</v>
      </c>
      <c r="BF2157">
        <v>16069</v>
      </c>
      <c r="BG2157">
        <v>16069</v>
      </c>
      <c r="BH2157" t="s">
        <v>82</v>
      </c>
      <c r="BI2157" t="s">
        <v>1873</v>
      </c>
      <c r="BJ2157">
        <v>6773</v>
      </c>
      <c r="BK2157">
        <v>9296</v>
      </c>
      <c r="BL2157">
        <v>16069</v>
      </c>
      <c r="BM2157">
        <v>0</v>
      </c>
      <c r="BN2157">
        <v>0</v>
      </c>
      <c r="BO2157">
        <v>0</v>
      </c>
      <c r="BP2157">
        <v>9296</v>
      </c>
      <c r="BQ2157">
        <v>9296</v>
      </c>
      <c r="BR2157">
        <f t="shared" si="344"/>
        <v>-624</v>
      </c>
      <c r="BS2157">
        <f t="shared" si="345"/>
        <v>624</v>
      </c>
    </row>
    <row r="2158" spans="1:74" x14ac:dyDescent="0.25">
      <c r="A2158" s="5" t="s">
        <v>1135</v>
      </c>
      <c r="B2158" s="5" t="s">
        <v>61</v>
      </c>
      <c r="C2158" s="5" t="s">
        <v>61</v>
      </c>
      <c r="D2158" s="1" t="s">
        <v>117</v>
      </c>
      <c r="E2158">
        <v>310</v>
      </c>
      <c r="F2158">
        <v>11156</v>
      </c>
      <c r="G2158">
        <v>0</v>
      </c>
      <c r="H2158">
        <v>0</v>
      </c>
      <c r="I2158">
        <v>1300</v>
      </c>
      <c r="J2158">
        <v>13254</v>
      </c>
      <c r="K2158">
        <v>5775</v>
      </c>
      <c r="L2158">
        <v>795</v>
      </c>
      <c r="M2158">
        <v>0</v>
      </c>
      <c r="N2158">
        <v>0</v>
      </c>
      <c r="O2158">
        <v>0</v>
      </c>
      <c r="P2158">
        <v>10404</v>
      </c>
      <c r="Q2158">
        <v>1782</v>
      </c>
      <c r="R2158">
        <v>1156</v>
      </c>
      <c r="S2158" s="18">
        <f t="shared" si="336"/>
        <v>9</v>
      </c>
      <c r="T2158" s="17">
        <f t="shared" si="337"/>
        <v>0</v>
      </c>
      <c r="U2158" s="17">
        <f t="shared" si="338"/>
        <v>0</v>
      </c>
      <c r="V2158" s="17">
        <f t="shared" si="339"/>
        <v>0</v>
      </c>
      <c r="W2158" s="17">
        <f t="shared" si="340"/>
        <v>1156</v>
      </c>
      <c r="X2158" s="17">
        <f t="shared" si="341"/>
        <v>626</v>
      </c>
      <c r="Y2158" s="19">
        <f t="shared" si="342"/>
        <v>0</v>
      </c>
      <c r="Z2158">
        <v>11156</v>
      </c>
      <c r="AA2158">
        <v>20</v>
      </c>
      <c r="AB2158">
        <v>466</v>
      </c>
      <c r="AC2158">
        <v>9881</v>
      </c>
      <c r="AD2158">
        <v>0</v>
      </c>
      <c r="AE2158">
        <v>0</v>
      </c>
      <c r="AF2158">
        <v>0</v>
      </c>
      <c r="AG2158">
        <v>1300</v>
      </c>
      <c r="AH2158">
        <v>1300</v>
      </c>
      <c r="AI2158">
        <v>0</v>
      </c>
      <c r="AJ2158">
        <v>0</v>
      </c>
      <c r="AK2158">
        <v>13254</v>
      </c>
      <c r="AL2158">
        <v>13254</v>
      </c>
      <c r="AM2158">
        <v>0</v>
      </c>
      <c r="AN2158">
        <v>0</v>
      </c>
      <c r="AO2158">
        <v>5775</v>
      </c>
      <c r="AP2158">
        <v>4075</v>
      </c>
      <c r="AQ2158">
        <v>5775</v>
      </c>
      <c r="AR2158">
        <v>1700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795</v>
      </c>
      <c r="BA2158">
        <v>795</v>
      </c>
      <c r="BB2158">
        <v>0</v>
      </c>
      <c r="BC2158">
        <v>0</v>
      </c>
      <c r="BD2158">
        <v>0</v>
      </c>
      <c r="BE2158">
        <f t="shared" si="343"/>
        <v>57904</v>
      </c>
      <c r="BF2158">
        <v>42957</v>
      </c>
      <c r="BG2158">
        <v>42957</v>
      </c>
      <c r="BH2158" t="s">
        <v>82</v>
      </c>
      <c r="BI2158" t="s">
        <v>1157</v>
      </c>
      <c r="BJ2158">
        <v>10677</v>
      </c>
      <c r="BK2158">
        <v>21124</v>
      </c>
      <c r="BL2158">
        <v>42957</v>
      </c>
      <c r="BM2158">
        <v>0</v>
      </c>
      <c r="BN2158">
        <v>0</v>
      </c>
      <c r="BO2158">
        <v>0</v>
      </c>
      <c r="BP2158">
        <v>31528</v>
      </c>
      <c r="BQ2158">
        <v>31528</v>
      </c>
      <c r="BR2158">
        <f t="shared" si="344"/>
        <v>-626</v>
      </c>
      <c r="BS2158">
        <f t="shared" si="345"/>
        <v>2938</v>
      </c>
    </row>
    <row r="2159" spans="1:74" x14ac:dyDescent="0.25">
      <c r="A2159" s="5" t="s">
        <v>1017</v>
      </c>
      <c r="B2159" s="5" t="s">
        <v>61</v>
      </c>
      <c r="C2159" s="5" t="s">
        <v>61</v>
      </c>
      <c r="D2159" s="1" t="s">
        <v>65</v>
      </c>
      <c r="E2159">
        <v>0</v>
      </c>
      <c r="F2159">
        <v>0</v>
      </c>
      <c r="G2159">
        <v>0</v>
      </c>
      <c r="H2159">
        <v>0</v>
      </c>
      <c r="I2159">
        <v>543</v>
      </c>
      <c r="J2159">
        <v>16427</v>
      </c>
      <c r="K2159">
        <v>0</v>
      </c>
      <c r="L2159">
        <v>1045</v>
      </c>
      <c r="M2159">
        <v>0</v>
      </c>
      <c r="N2159">
        <v>0</v>
      </c>
      <c r="O2159">
        <v>0</v>
      </c>
      <c r="P2159">
        <v>0</v>
      </c>
      <c r="Q2159">
        <v>514</v>
      </c>
      <c r="R2159">
        <v>0</v>
      </c>
      <c r="S2159" s="18" t="e">
        <f t="shared" si="336"/>
        <v>#DIV/0!</v>
      </c>
      <c r="T2159" s="17" t="e">
        <f t="shared" si="337"/>
        <v>#DIV/0!</v>
      </c>
      <c r="U2159" s="17" t="e">
        <f t="shared" si="338"/>
        <v>#DIV/0!</v>
      </c>
      <c r="V2159" s="17" t="e">
        <f t="shared" si="339"/>
        <v>#DIV/0!</v>
      </c>
      <c r="W2159" s="17" t="e">
        <f t="shared" si="340"/>
        <v>#DIV/0!</v>
      </c>
      <c r="X2159" s="17" t="e">
        <f t="shared" si="341"/>
        <v>#DIV/0!</v>
      </c>
      <c r="Y2159" s="19" t="e">
        <f t="shared" si="342"/>
        <v>#DIV/0!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543</v>
      </c>
      <c r="AH2159">
        <v>543</v>
      </c>
      <c r="AI2159">
        <v>0</v>
      </c>
      <c r="AJ2159">
        <v>0</v>
      </c>
      <c r="AK2159">
        <v>16427</v>
      </c>
      <c r="AL2159">
        <v>16427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1045</v>
      </c>
      <c r="BA2159">
        <v>1045</v>
      </c>
      <c r="BB2159">
        <v>0</v>
      </c>
      <c r="BC2159">
        <v>0</v>
      </c>
      <c r="BD2159">
        <v>0</v>
      </c>
      <c r="BE2159">
        <f t="shared" si="343"/>
        <v>36030</v>
      </c>
      <c r="BF2159">
        <v>18015</v>
      </c>
      <c r="BG2159">
        <v>18015</v>
      </c>
      <c r="BH2159" t="s">
        <v>63</v>
      </c>
      <c r="BI2159" t="s">
        <v>1019</v>
      </c>
      <c r="BJ2159">
        <v>0</v>
      </c>
      <c r="BK2159">
        <v>18015</v>
      </c>
      <c r="BL2159">
        <v>18015</v>
      </c>
      <c r="BM2159">
        <v>0</v>
      </c>
      <c r="BN2159">
        <v>0</v>
      </c>
      <c r="BO2159">
        <v>0</v>
      </c>
      <c r="BP2159">
        <v>18015</v>
      </c>
      <c r="BQ2159">
        <v>18015</v>
      </c>
      <c r="BR2159">
        <f t="shared" si="344"/>
        <v>-514</v>
      </c>
      <c r="BS2159">
        <f t="shared" si="345"/>
        <v>514</v>
      </c>
      <c r="BU2159">
        <f>R2159*9</f>
        <v>0</v>
      </c>
      <c r="BV2159">
        <f>IF(BU2159&gt;BG2159, 1, 0)</f>
        <v>0</v>
      </c>
    </row>
    <row r="2160" spans="1:74" x14ac:dyDescent="0.25">
      <c r="A2160" s="5" t="s">
        <v>1337</v>
      </c>
      <c r="B2160" s="5" t="s">
        <v>359</v>
      </c>
      <c r="C2160" s="5" t="s">
        <v>61</v>
      </c>
      <c r="D2160" s="1" t="s">
        <v>145</v>
      </c>
      <c r="E2160">
        <v>0</v>
      </c>
      <c r="F2160">
        <v>4003</v>
      </c>
      <c r="G2160">
        <v>0</v>
      </c>
      <c r="H2160">
        <v>0</v>
      </c>
      <c r="I2160">
        <v>306</v>
      </c>
      <c r="J2160">
        <v>0</v>
      </c>
      <c r="K2160">
        <v>525</v>
      </c>
      <c r="L2160">
        <v>0</v>
      </c>
      <c r="M2160">
        <v>0</v>
      </c>
      <c r="N2160">
        <v>35109</v>
      </c>
      <c r="O2160">
        <v>0</v>
      </c>
      <c r="P2160">
        <v>918</v>
      </c>
      <c r="Q2160">
        <v>4635</v>
      </c>
      <c r="R2160">
        <v>4003</v>
      </c>
      <c r="S2160" s="18">
        <f t="shared" si="336"/>
        <v>9</v>
      </c>
      <c r="T2160" s="17">
        <f t="shared" si="337"/>
        <v>0</v>
      </c>
      <c r="U2160" s="17">
        <f t="shared" si="338"/>
        <v>3901</v>
      </c>
      <c r="V2160" s="17">
        <f t="shared" si="339"/>
        <v>0</v>
      </c>
      <c r="W2160" s="17">
        <f t="shared" si="340"/>
        <v>102</v>
      </c>
      <c r="X2160" s="17">
        <f t="shared" si="341"/>
        <v>632</v>
      </c>
      <c r="Y2160" s="19">
        <f t="shared" si="342"/>
        <v>0</v>
      </c>
      <c r="Z2160">
        <v>4003</v>
      </c>
      <c r="AA2160">
        <v>0</v>
      </c>
      <c r="AB2160">
        <v>0</v>
      </c>
      <c r="AC2160">
        <v>30</v>
      </c>
      <c r="AD2160">
        <v>0</v>
      </c>
      <c r="AE2160">
        <v>0</v>
      </c>
      <c r="AF2160">
        <v>0</v>
      </c>
      <c r="AG2160">
        <v>306</v>
      </c>
      <c r="AH2160">
        <v>306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225</v>
      </c>
      <c r="AO2160">
        <v>300</v>
      </c>
      <c r="AP2160">
        <v>325</v>
      </c>
      <c r="AQ2160">
        <v>525</v>
      </c>
      <c r="AR2160">
        <v>200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f t="shared" si="343"/>
        <v>2217</v>
      </c>
      <c r="BF2160">
        <v>4864</v>
      </c>
      <c r="BG2160">
        <v>4864</v>
      </c>
      <c r="BH2160" t="s">
        <v>109</v>
      </c>
      <c r="BI2160" t="s">
        <v>1449</v>
      </c>
      <c r="BJ2160">
        <v>30</v>
      </c>
      <c r="BK2160">
        <v>831</v>
      </c>
      <c r="BL2160">
        <v>4864</v>
      </c>
      <c r="BM2160">
        <v>0</v>
      </c>
      <c r="BN2160">
        <v>35334</v>
      </c>
      <c r="BO2160">
        <v>0</v>
      </c>
      <c r="BP2160">
        <v>1524</v>
      </c>
      <c r="BQ2160">
        <v>36858</v>
      </c>
      <c r="BR2160">
        <f t="shared" si="344"/>
        <v>-632</v>
      </c>
      <c r="BS2160">
        <f t="shared" si="345"/>
        <v>8638</v>
      </c>
    </row>
    <row r="2161" spans="1:74" x14ac:dyDescent="0.25">
      <c r="A2161" s="5" t="s">
        <v>1451</v>
      </c>
      <c r="B2161" s="5" t="s">
        <v>359</v>
      </c>
      <c r="C2161" s="5" t="s">
        <v>61</v>
      </c>
      <c r="D2161" s="1" t="s">
        <v>119</v>
      </c>
      <c r="E2161">
        <v>0</v>
      </c>
      <c r="F2161">
        <v>0</v>
      </c>
      <c r="G2161">
        <v>0</v>
      </c>
      <c r="H2161">
        <v>0</v>
      </c>
      <c r="I2161">
        <v>290</v>
      </c>
      <c r="J2161">
        <v>6230</v>
      </c>
      <c r="K2161">
        <v>958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632</v>
      </c>
      <c r="R2161">
        <v>0</v>
      </c>
      <c r="S2161" s="18" t="e">
        <f t="shared" si="336"/>
        <v>#DIV/0!</v>
      </c>
      <c r="T2161" s="17" t="e">
        <f t="shared" si="337"/>
        <v>#DIV/0!</v>
      </c>
      <c r="U2161" s="17" t="e">
        <f t="shared" si="338"/>
        <v>#DIV/0!</v>
      </c>
      <c r="V2161" s="17" t="e">
        <f t="shared" si="339"/>
        <v>#DIV/0!</v>
      </c>
      <c r="W2161" s="17" t="e">
        <f t="shared" si="340"/>
        <v>#DIV/0!</v>
      </c>
      <c r="X2161" s="17" t="e">
        <f t="shared" si="341"/>
        <v>#DIV/0!</v>
      </c>
      <c r="Y2161" s="19" t="e">
        <f t="shared" si="342"/>
        <v>#DIV/0!</v>
      </c>
      <c r="Z2161">
        <v>0</v>
      </c>
      <c r="AA2161">
        <v>35</v>
      </c>
      <c r="AB2161">
        <v>390</v>
      </c>
      <c r="AC2161">
        <v>3780</v>
      </c>
      <c r="AD2161">
        <v>0</v>
      </c>
      <c r="AE2161">
        <v>0</v>
      </c>
      <c r="AF2161">
        <v>0</v>
      </c>
      <c r="AG2161">
        <v>290</v>
      </c>
      <c r="AH2161">
        <v>290</v>
      </c>
      <c r="AI2161">
        <v>0</v>
      </c>
      <c r="AJ2161">
        <v>0</v>
      </c>
      <c r="AK2161">
        <v>6230</v>
      </c>
      <c r="AL2161">
        <v>6230</v>
      </c>
      <c r="AM2161">
        <v>0</v>
      </c>
      <c r="AN2161">
        <v>0</v>
      </c>
      <c r="AO2161">
        <v>958</v>
      </c>
      <c r="AP2161">
        <v>218</v>
      </c>
      <c r="AQ2161">
        <v>958</v>
      </c>
      <c r="AR2161">
        <v>740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f t="shared" si="343"/>
        <v>19694</v>
      </c>
      <c r="BF2161">
        <v>11683</v>
      </c>
      <c r="BG2161">
        <v>11683</v>
      </c>
      <c r="BH2161" t="s">
        <v>82</v>
      </c>
      <c r="BI2161" t="s">
        <v>1623</v>
      </c>
      <c r="BJ2161">
        <v>4205</v>
      </c>
      <c r="BK2161">
        <v>7478</v>
      </c>
      <c r="BL2161">
        <v>11683</v>
      </c>
      <c r="BM2161">
        <v>0</v>
      </c>
      <c r="BN2161">
        <v>0</v>
      </c>
      <c r="BO2161">
        <v>0</v>
      </c>
      <c r="BP2161">
        <v>7478</v>
      </c>
      <c r="BQ2161">
        <v>7478</v>
      </c>
      <c r="BR2161">
        <f t="shared" si="344"/>
        <v>-632</v>
      </c>
      <c r="BS2161">
        <f t="shared" si="345"/>
        <v>632</v>
      </c>
    </row>
    <row r="2162" spans="1:74" x14ac:dyDescent="0.25">
      <c r="A2162" s="5" t="s">
        <v>61</v>
      </c>
      <c r="B2162" s="5" t="s">
        <v>207</v>
      </c>
      <c r="C2162" s="5" t="s">
        <v>207</v>
      </c>
      <c r="D2162" s="1" t="s">
        <v>75</v>
      </c>
      <c r="E2162">
        <v>0</v>
      </c>
      <c r="F2162">
        <v>0</v>
      </c>
      <c r="G2162">
        <v>0</v>
      </c>
      <c r="H2162">
        <v>0</v>
      </c>
      <c r="I2162">
        <v>3662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633</v>
      </c>
      <c r="R2162">
        <v>0</v>
      </c>
      <c r="S2162" s="18" t="e">
        <f t="shared" si="336"/>
        <v>#DIV/0!</v>
      </c>
      <c r="T2162" s="17" t="e">
        <f t="shared" si="337"/>
        <v>#DIV/0!</v>
      </c>
      <c r="U2162" s="17" t="e">
        <f t="shared" si="338"/>
        <v>#DIV/0!</v>
      </c>
      <c r="V2162" s="17" t="e">
        <f t="shared" si="339"/>
        <v>#DIV/0!</v>
      </c>
      <c r="W2162" s="17" t="e">
        <f t="shared" si="340"/>
        <v>#DIV/0!</v>
      </c>
      <c r="X2162" s="17" t="e">
        <f t="shared" si="341"/>
        <v>#DIV/0!</v>
      </c>
      <c r="Y2162" s="19" t="e">
        <f t="shared" si="342"/>
        <v>#DIV/0!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3662</v>
      </c>
      <c r="AH2162">
        <v>3662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f t="shared" si="343"/>
        <v>7324</v>
      </c>
      <c r="BF2162">
        <v>3662</v>
      </c>
      <c r="BG2162">
        <v>3662</v>
      </c>
      <c r="BH2162" t="s">
        <v>109</v>
      </c>
      <c r="BI2162" t="s">
        <v>285</v>
      </c>
      <c r="BJ2162">
        <v>0</v>
      </c>
      <c r="BK2162">
        <v>3662</v>
      </c>
      <c r="BL2162">
        <v>3662</v>
      </c>
      <c r="BM2162">
        <v>0</v>
      </c>
      <c r="BN2162">
        <v>0</v>
      </c>
      <c r="BO2162">
        <v>0</v>
      </c>
      <c r="BP2162">
        <v>3662</v>
      </c>
      <c r="BQ2162">
        <v>3662</v>
      </c>
      <c r="BR2162">
        <f t="shared" si="344"/>
        <v>-633</v>
      </c>
      <c r="BS2162">
        <f t="shared" si="345"/>
        <v>633</v>
      </c>
    </row>
    <row r="2163" spans="1:74" x14ac:dyDescent="0.25">
      <c r="A2163" s="5" t="s">
        <v>359</v>
      </c>
      <c r="B2163" s="5" t="s">
        <v>359</v>
      </c>
      <c r="C2163" s="5" t="s">
        <v>61</v>
      </c>
      <c r="D2163" s="1" t="s">
        <v>106</v>
      </c>
      <c r="E2163">
        <v>0</v>
      </c>
      <c r="F2163">
        <v>0</v>
      </c>
      <c r="G2163">
        <v>0</v>
      </c>
      <c r="H2163">
        <v>0</v>
      </c>
      <c r="I2163">
        <v>433</v>
      </c>
      <c r="J2163">
        <v>6091</v>
      </c>
      <c r="K2163">
        <v>832</v>
      </c>
      <c r="L2163">
        <v>49</v>
      </c>
      <c r="M2163">
        <v>0</v>
      </c>
      <c r="N2163">
        <v>0</v>
      </c>
      <c r="O2163">
        <v>0</v>
      </c>
      <c r="P2163">
        <v>0</v>
      </c>
      <c r="Q2163">
        <v>635</v>
      </c>
      <c r="R2163">
        <v>0</v>
      </c>
      <c r="S2163" s="18" t="e">
        <f t="shared" si="336"/>
        <v>#DIV/0!</v>
      </c>
      <c r="T2163" s="17" t="e">
        <f t="shared" si="337"/>
        <v>#DIV/0!</v>
      </c>
      <c r="U2163" s="17" t="e">
        <f t="shared" si="338"/>
        <v>#DIV/0!</v>
      </c>
      <c r="V2163" s="17" t="e">
        <f t="shared" si="339"/>
        <v>#DIV/0!</v>
      </c>
      <c r="W2163" s="17" t="e">
        <f t="shared" si="340"/>
        <v>#DIV/0!</v>
      </c>
      <c r="X2163" s="17" t="e">
        <f t="shared" si="341"/>
        <v>#DIV/0!</v>
      </c>
      <c r="Y2163" s="19" t="e">
        <f t="shared" si="342"/>
        <v>#DIV/0!</v>
      </c>
      <c r="Z2163">
        <v>0</v>
      </c>
      <c r="AA2163">
        <v>0</v>
      </c>
      <c r="AB2163">
        <v>0</v>
      </c>
      <c r="AC2163">
        <v>4498</v>
      </c>
      <c r="AD2163">
        <v>0</v>
      </c>
      <c r="AE2163">
        <v>0</v>
      </c>
      <c r="AF2163">
        <v>0</v>
      </c>
      <c r="AG2163">
        <v>433</v>
      </c>
      <c r="AH2163">
        <v>433</v>
      </c>
      <c r="AI2163">
        <v>0</v>
      </c>
      <c r="AJ2163">
        <v>0</v>
      </c>
      <c r="AK2163">
        <v>6091</v>
      </c>
      <c r="AL2163">
        <v>6091</v>
      </c>
      <c r="AM2163">
        <v>0</v>
      </c>
      <c r="AN2163">
        <v>0</v>
      </c>
      <c r="AO2163">
        <v>832</v>
      </c>
      <c r="AP2163">
        <v>358</v>
      </c>
      <c r="AQ2163">
        <v>832</v>
      </c>
      <c r="AR2163">
        <v>474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49</v>
      </c>
      <c r="BA2163">
        <v>49</v>
      </c>
      <c r="BB2163">
        <v>0</v>
      </c>
      <c r="BC2163">
        <v>0</v>
      </c>
      <c r="BD2163">
        <v>0</v>
      </c>
      <c r="BE2163">
        <f t="shared" si="343"/>
        <v>20140</v>
      </c>
      <c r="BF2163">
        <v>11903</v>
      </c>
      <c r="BG2163">
        <v>11903</v>
      </c>
      <c r="BH2163" t="s">
        <v>82</v>
      </c>
      <c r="BI2163" t="s">
        <v>777</v>
      </c>
      <c r="BJ2163">
        <v>4498</v>
      </c>
      <c r="BK2163">
        <v>7405</v>
      </c>
      <c r="BL2163">
        <v>11903</v>
      </c>
      <c r="BM2163">
        <v>0</v>
      </c>
      <c r="BN2163">
        <v>0</v>
      </c>
      <c r="BO2163">
        <v>0</v>
      </c>
      <c r="BP2163">
        <v>7405</v>
      </c>
      <c r="BQ2163">
        <v>7405</v>
      </c>
      <c r="BR2163">
        <f t="shared" si="344"/>
        <v>-635</v>
      </c>
      <c r="BS2163">
        <f t="shared" si="345"/>
        <v>635</v>
      </c>
    </row>
    <row r="2164" spans="1:74" x14ac:dyDescent="0.25">
      <c r="A2164" s="5" t="s">
        <v>61</v>
      </c>
      <c r="B2164" s="5" t="s">
        <v>61</v>
      </c>
      <c r="C2164" s="5" t="s">
        <v>61</v>
      </c>
      <c r="D2164" s="1" t="s">
        <v>123</v>
      </c>
      <c r="E2164">
        <v>0</v>
      </c>
      <c r="F2164">
        <v>290</v>
      </c>
      <c r="G2164">
        <v>0</v>
      </c>
      <c r="H2164">
        <v>0</v>
      </c>
      <c r="I2164">
        <v>1171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1530</v>
      </c>
      <c r="Q2164">
        <v>806</v>
      </c>
      <c r="R2164">
        <v>170</v>
      </c>
      <c r="S2164" s="18">
        <f t="shared" si="336"/>
        <v>9</v>
      </c>
      <c r="T2164" s="17">
        <f t="shared" si="337"/>
        <v>0</v>
      </c>
      <c r="U2164" s="17">
        <f t="shared" si="338"/>
        <v>0</v>
      </c>
      <c r="V2164" s="17">
        <f t="shared" si="339"/>
        <v>0</v>
      </c>
      <c r="W2164" s="17">
        <f t="shared" si="340"/>
        <v>170</v>
      </c>
      <c r="X2164" s="17">
        <f t="shared" si="341"/>
        <v>636</v>
      </c>
      <c r="Y2164" s="19">
        <f t="shared" si="342"/>
        <v>0</v>
      </c>
      <c r="Z2164">
        <v>290</v>
      </c>
      <c r="AA2164">
        <v>0</v>
      </c>
      <c r="AB2164">
        <v>0</v>
      </c>
      <c r="AC2164">
        <v>30</v>
      </c>
      <c r="AD2164">
        <v>0</v>
      </c>
      <c r="AE2164">
        <v>0</v>
      </c>
      <c r="AF2164">
        <v>0</v>
      </c>
      <c r="AG2164">
        <v>1171</v>
      </c>
      <c r="AH2164">
        <v>1171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f t="shared" si="343"/>
        <v>2372</v>
      </c>
      <c r="BF2164">
        <v>1491</v>
      </c>
      <c r="BG2164">
        <v>1491</v>
      </c>
      <c r="BH2164" t="s">
        <v>109</v>
      </c>
      <c r="BI2164" t="s">
        <v>124</v>
      </c>
      <c r="BJ2164">
        <v>30</v>
      </c>
      <c r="BK2164">
        <v>1171</v>
      </c>
      <c r="BL2164">
        <v>1491</v>
      </c>
      <c r="BM2164">
        <v>0</v>
      </c>
      <c r="BN2164">
        <v>0</v>
      </c>
      <c r="BO2164">
        <v>0</v>
      </c>
      <c r="BP2164">
        <v>2701</v>
      </c>
      <c r="BQ2164">
        <v>2701</v>
      </c>
      <c r="BR2164">
        <f t="shared" si="344"/>
        <v>-636</v>
      </c>
      <c r="BS2164">
        <f t="shared" si="345"/>
        <v>976</v>
      </c>
    </row>
    <row r="2165" spans="1:74" x14ac:dyDescent="0.25">
      <c r="A2165" s="5" t="s">
        <v>1135</v>
      </c>
      <c r="B2165" s="5" t="s">
        <v>359</v>
      </c>
      <c r="C2165" s="5" t="s">
        <v>61</v>
      </c>
      <c r="D2165" s="1" t="s">
        <v>79</v>
      </c>
      <c r="E2165">
        <v>0</v>
      </c>
      <c r="F2165">
        <v>0</v>
      </c>
      <c r="G2165">
        <v>0</v>
      </c>
      <c r="H2165">
        <v>0</v>
      </c>
      <c r="I2165">
        <v>211</v>
      </c>
      <c r="J2165">
        <v>10284</v>
      </c>
      <c r="K2165">
        <v>155</v>
      </c>
      <c r="L2165">
        <v>160</v>
      </c>
      <c r="M2165">
        <v>0</v>
      </c>
      <c r="N2165">
        <v>0</v>
      </c>
      <c r="O2165">
        <v>0</v>
      </c>
      <c r="P2165">
        <v>0</v>
      </c>
      <c r="Q2165">
        <v>637</v>
      </c>
      <c r="R2165">
        <v>0</v>
      </c>
      <c r="S2165" s="18" t="e">
        <f t="shared" si="336"/>
        <v>#DIV/0!</v>
      </c>
      <c r="T2165" s="17" t="e">
        <f t="shared" si="337"/>
        <v>#DIV/0!</v>
      </c>
      <c r="U2165" s="17" t="e">
        <f t="shared" si="338"/>
        <v>#DIV/0!</v>
      </c>
      <c r="V2165" s="17" t="e">
        <f t="shared" si="339"/>
        <v>#DIV/0!</v>
      </c>
      <c r="W2165" s="17" t="e">
        <f t="shared" si="340"/>
        <v>#DIV/0!</v>
      </c>
      <c r="X2165" s="17" t="e">
        <f t="shared" si="341"/>
        <v>#DIV/0!</v>
      </c>
      <c r="Y2165" s="19" t="e">
        <f t="shared" si="342"/>
        <v>#DIV/0!</v>
      </c>
      <c r="Z2165">
        <v>0</v>
      </c>
      <c r="AA2165">
        <v>4</v>
      </c>
      <c r="AB2165">
        <v>0</v>
      </c>
      <c r="AC2165">
        <v>5357</v>
      </c>
      <c r="AD2165">
        <v>0</v>
      </c>
      <c r="AE2165">
        <v>0</v>
      </c>
      <c r="AF2165">
        <v>0</v>
      </c>
      <c r="AG2165">
        <v>211</v>
      </c>
      <c r="AH2165">
        <v>211</v>
      </c>
      <c r="AI2165">
        <v>0</v>
      </c>
      <c r="AJ2165">
        <v>0</v>
      </c>
      <c r="AK2165">
        <v>10284</v>
      </c>
      <c r="AL2165">
        <v>10284</v>
      </c>
      <c r="AM2165">
        <v>0</v>
      </c>
      <c r="AN2165">
        <v>0</v>
      </c>
      <c r="AO2165">
        <v>155</v>
      </c>
      <c r="AP2165">
        <v>105</v>
      </c>
      <c r="AQ2165">
        <v>155</v>
      </c>
      <c r="AR2165">
        <v>50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160</v>
      </c>
      <c r="BA2165">
        <v>160</v>
      </c>
      <c r="BB2165">
        <v>0</v>
      </c>
      <c r="BC2165">
        <v>0</v>
      </c>
      <c r="BD2165">
        <v>0</v>
      </c>
      <c r="BE2165">
        <f t="shared" si="343"/>
        <v>27132</v>
      </c>
      <c r="BF2165">
        <v>16171</v>
      </c>
      <c r="BG2165">
        <v>16171</v>
      </c>
      <c r="BH2165" t="s">
        <v>82</v>
      </c>
      <c r="BI2165" t="s">
        <v>1316</v>
      </c>
      <c r="BJ2165">
        <v>5361</v>
      </c>
      <c r="BK2165">
        <v>10810</v>
      </c>
      <c r="BL2165">
        <v>16171</v>
      </c>
      <c r="BM2165">
        <v>0</v>
      </c>
      <c r="BN2165">
        <v>0</v>
      </c>
      <c r="BO2165">
        <v>0</v>
      </c>
      <c r="BP2165">
        <v>10810</v>
      </c>
      <c r="BQ2165">
        <v>10810</v>
      </c>
      <c r="BR2165">
        <f t="shared" si="344"/>
        <v>-637</v>
      </c>
      <c r="BS2165">
        <f t="shared" si="345"/>
        <v>637</v>
      </c>
    </row>
    <row r="2166" spans="1:74" x14ac:dyDescent="0.25">
      <c r="A2166" s="5" t="s">
        <v>1451</v>
      </c>
      <c r="B2166" s="5" t="s">
        <v>61</v>
      </c>
      <c r="C2166" s="5" t="s">
        <v>627</v>
      </c>
      <c r="D2166" s="1" t="s">
        <v>73</v>
      </c>
      <c r="E2166">
        <v>0</v>
      </c>
      <c r="F2166">
        <v>0</v>
      </c>
      <c r="G2166">
        <v>0</v>
      </c>
      <c r="H2166">
        <v>0</v>
      </c>
      <c r="I2166">
        <v>1561</v>
      </c>
      <c r="J2166">
        <v>7000</v>
      </c>
      <c r="K2166">
        <v>680</v>
      </c>
      <c r="L2166">
        <v>30</v>
      </c>
      <c r="M2166">
        <v>0</v>
      </c>
      <c r="N2166">
        <v>0</v>
      </c>
      <c r="O2166">
        <v>0</v>
      </c>
      <c r="P2166">
        <v>0</v>
      </c>
      <c r="Q2166">
        <v>515</v>
      </c>
      <c r="R2166">
        <v>0</v>
      </c>
      <c r="S2166" s="18" t="e">
        <f t="shared" si="336"/>
        <v>#DIV/0!</v>
      </c>
      <c r="T2166" s="17" t="e">
        <f t="shared" si="337"/>
        <v>#DIV/0!</v>
      </c>
      <c r="U2166" s="17" t="e">
        <f t="shared" si="338"/>
        <v>#DIV/0!</v>
      </c>
      <c r="V2166" s="17" t="e">
        <f t="shared" si="339"/>
        <v>#DIV/0!</v>
      </c>
      <c r="W2166" s="17" t="e">
        <f t="shared" si="340"/>
        <v>#DIV/0!</v>
      </c>
      <c r="X2166" s="17" t="e">
        <f t="shared" si="341"/>
        <v>#DIV/0!</v>
      </c>
      <c r="Y2166" s="19" t="e">
        <f t="shared" si="342"/>
        <v>#DIV/0!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1561</v>
      </c>
      <c r="AH2166">
        <v>1561</v>
      </c>
      <c r="AI2166">
        <v>0</v>
      </c>
      <c r="AJ2166">
        <v>0</v>
      </c>
      <c r="AK2166">
        <v>7000</v>
      </c>
      <c r="AL2166">
        <v>7000</v>
      </c>
      <c r="AM2166">
        <v>0</v>
      </c>
      <c r="AN2166">
        <v>0</v>
      </c>
      <c r="AO2166">
        <v>680</v>
      </c>
      <c r="AP2166">
        <v>420</v>
      </c>
      <c r="AQ2166">
        <v>680</v>
      </c>
      <c r="AR2166">
        <v>260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30</v>
      </c>
      <c r="BA2166">
        <v>30</v>
      </c>
      <c r="BB2166">
        <v>0</v>
      </c>
      <c r="BC2166">
        <v>0</v>
      </c>
      <c r="BD2166">
        <v>0</v>
      </c>
      <c r="BE2166">
        <f t="shared" si="343"/>
        <v>19222</v>
      </c>
      <c r="BF2166">
        <v>9271</v>
      </c>
      <c r="BG2166">
        <v>9271</v>
      </c>
      <c r="BH2166" t="s">
        <v>63</v>
      </c>
      <c r="BI2166" t="s">
        <v>1514</v>
      </c>
      <c r="BJ2166">
        <v>0</v>
      </c>
      <c r="BK2166">
        <v>9271</v>
      </c>
      <c r="BL2166">
        <v>9271</v>
      </c>
      <c r="BM2166">
        <v>0</v>
      </c>
      <c r="BN2166">
        <v>0</v>
      </c>
      <c r="BO2166">
        <v>0</v>
      </c>
      <c r="BP2166">
        <v>9271</v>
      </c>
      <c r="BQ2166">
        <v>9271</v>
      </c>
      <c r="BR2166">
        <f t="shared" si="344"/>
        <v>-515</v>
      </c>
      <c r="BS2166">
        <f t="shared" si="345"/>
        <v>515</v>
      </c>
      <c r="BU2166">
        <f>R2166*9</f>
        <v>0</v>
      </c>
      <c r="BV2166">
        <f>IF(BU2166&gt;BG2166, 1, 0)</f>
        <v>0</v>
      </c>
    </row>
    <row r="2167" spans="1:74" x14ac:dyDescent="0.25">
      <c r="A2167" s="5" t="s">
        <v>2090</v>
      </c>
      <c r="B2167" s="5" t="s">
        <v>207</v>
      </c>
      <c r="C2167" s="5" t="s">
        <v>61</v>
      </c>
      <c r="D2167" s="1" t="s">
        <v>189</v>
      </c>
      <c r="E2167">
        <v>233</v>
      </c>
      <c r="F2167">
        <v>0</v>
      </c>
      <c r="G2167">
        <v>0</v>
      </c>
      <c r="H2167">
        <v>0</v>
      </c>
      <c r="I2167">
        <v>367</v>
      </c>
      <c r="J2167">
        <v>5932</v>
      </c>
      <c r="K2167">
        <v>520</v>
      </c>
      <c r="L2167">
        <v>65</v>
      </c>
      <c r="M2167">
        <v>0</v>
      </c>
      <c r="N2167">
        <v>0</v>
      </c>
      <c r="O2167">
        <v>0</v>
      </c>
      <c r="P2167">
        <v>0</v>
      </c>
      <c r="Q2167">
        <v>646</v>
      </c>
      <c r="R2167">
        <v>0</v>
      </c>
      <c r="S2167" s="18" t="e">
        <f t="shared" si="336"/>
        <v>#DIV/0!</v>
      </c>
      <c r="T2167" s="17" t="e">
        <f t="shared" si="337"/>
        <v>#DIV/0!</v>
      </c>
      <c r="U2167" s="17" t="e">
        <f t="shared" si="338"/>
        <v>#DIV/0!</v>
      </c>
      <c r="V2167" s="17" t="e">
        <f t="shared" si="339"/>
        <v>#DIV/0!</v>
      </c>
      <c r="W2167" s="17" t="e">
        <f t="shared" si="340"/>
        <v>#DIV/0!</v>
      </c>
      <c r="X2167" s="17" t="e">
        <f t="shared" si="341"/>
        <v>#DIV/0!</v>
      </c>
      <c r="Y2167" s="19" t="e">
        <f t="shared" si="342"/>
        <v>#DIV/0!</v>
      </c>
      <c r="Z2167">
        <v>0</v>
      </c>
      <c r="AA2167">
        <v>6</v>
      </c>
      <c r="AB2167">
        <v>320</v>
      </c>
      <c r="AC2167">
        <v>7018</v>
      </c>
      <c r="AD2167">
        <v>0</v>
      </c>
      <c r="AE2167">
        <v>0</v>
      </c>
      <c r="AF2167">
        <v>0</v>
      </c>
      <c r="AG2167">
        <v>367</v>
      </c>
      <c r="AH2167">
        <v>367</v>
      </c>
      <c r="AI2167">
        <v>0</v>
      </c>
      <c r="AJ2167">
        <v>0</v>
      </c>
      <c r="AK2167">
        <v>5932</v>
      </c>
      <c r="AL2167">
        <v>5932</v>
      </c>
      <c r="AM2167">
        <v>0</v>
      </c>
      <c r="AN2167">
        <v>0</v>
      </c>
      <c r="AO2167">
        <v>520</v>
      </c>
      <c r="AP2167">
        <v>120</v>
      </c>
      <c r="AQ2167">
        <v>520</v>
      </c>
      <c r="AR2167">
        <v>400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65</v>
      </c>
      <c r="BA2167">
        <v>65</v>
      </c>
      <c r="BB2167">
        <v>0</v>
      </c>
      <c r="BC2167">
        <v>0</v>
      </c>
      <c r="BD2167">
        <v>0</v>
      </c>
      <c r="BE2167">
        <f t="shared" si="343"/>
        <v>21306</v>
      </c>
      <c r="BF2167">
        <v>14461</v>
      </c>
      <c r="BG2167">
        <v>14461</v>
      </c>
      <c r="BH2167" t="s">
        <v>82</v>
      </c>
      <c r="BI2167" t="s">
        <v>723</v>
      </c>
      <c r="BJ2167">
        <v>7577</v>
      </c>
      <c r="BK2167">
        <v>6884</v>
      </c>
      <c r="BL2167">
        <v>14461</v>
      </c>
      <c r="BM2167">
        <v>0</v>
      </c>
      <c r="BN2167">
        <v>0</v>
      </c>
      <c r="BO2167">
        <v>0</v>
      </c>
      <c r="BP2167">
        <v>6884</v>
      </c>
      <c r="BQ2167">
        <v>6884</v>
      </c>
      <c r="BR2167">
        <f t="shared" si="344"/>
        <v>-646</v>
      </c>
      <c r="BS2167">
        <f t="shared" si="345"/>
        <v>646</v>
      </c>
    </row>
    <row r="2168" spans="1:74" x14ac:dyDescent="0.25">
      <c r="A2168" s="5" t="s">
        <v>1337</v>
      </c>
      <c r="B2168" s="5" t="s">
        <v>207</v>
      </c>
      <c r="C2168" s="5" t="s">
        <v>61</v>
      </c>
      <c r="D2168" s="1" t="s">
        <v>98</v>
      </c>
      <c r="E2168">
        <v>0</v>
      </c>
      <c r="F2168">
        <v>168</v>
      </c>
      <c r="G2168">
        <v>0</v>
      </c>
      <c r="H2168">
        <v>0</v>
      </c>
      <c r="I2168">
        <v>1557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1332</v>
      </c>
      <c r="Q2168">
        <v>797</v>
      </c>
      <c r="R2168">
        <v>148</v>
      </c>
      <c r="S2168" s="18">
        <f t="shared" si="336"/>
        <v>9</v>
      </c>
      <c r="T2168" s="17">
        <f t="shared" si="337"/>
        <v>0</v>
      </c>
      <c r="U2168" s="17">
        <f t="shared" si="338"/>
        <v>0</v>
      </c>
      <c r="V2168" s="17">
        <f t="shared" si="339"/>
        <v>0</v>
      </c>
      <c r="W2168" s="17">
        <f t="shared" si="340"/>
        <v>148</v>
      </c>
      <c r="X2168" s="17">
        <f t="shared" si="341"/>
        <v>649</v>
      </c>
      <c r="Y2168" s="19">
        <f t="shared" si="342"/>
        <v>0</v>
      </c>
      <c r="Z2168">
        <v>168</v>
      </c>
      <c r="AA2168">
        <v>0</v>
      </c>
      <c r="AB2168">
        <v>0</v>
      </c>
      <c r="AC2168">
        <v>0</v>
      </c>
      <c r="AD2168">
        <v>47</v>
      </c>
      <c r="AE2168">
        <v>0</v>
      </c>
      <c r="AF2168">
        <v>0</v>
      </c>
      <c r="AG2168">
        <v>1510</v>
      </c>
      <c r="AH2168">
        <v>1557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f t="shared" si="343"/>
        <v>3114</v>
      </c>
      <c r="BF2168">
        <v>1725</v>
      </c>
      <c r="BG2168">
        <v>1725</v>
      </c>
      <c r="BH2168" t="s">
        <v>109</v>
      </c>
      <c r="BI2168" t="s">
        <v>1387</v>
      </c>
      <c r="BJ2168">
        <v>0</v>
      </c>
      <c r="BK2168">
        <v>1557</v>
      </c>
      <c r="BL2168">
        <v>1725</v>
      </c>
      <c r="BM2168">
        <v>47</v>
      </c>
      <c r="BN2168">
        <v>0</v>
      </c>
      <c r="BO2168">
        <v>0</v>
      </c>
      <c r="BP2168">
        <v>2842</v>
      </c>
      <c r="BQ2168">
        <v>2889</v>
      </c>
      <c r="BR2168">
        <f t="shared" si="344"/>
        <v>-649</v>
      </c>
      <c r="BS2168">
        <f t="shared" si="345"/>
        <v>945</v>
      </c>
    </row>
    <row r="2169" spans="1:74" x14ac:dyDescent="0.25">
      <c r="A2169" s="5" t="s">
        <v>207</v>
      </c>
      <c r="B2169" s="5" t="s">
        <v>61</v>
      </c>
      <c r="C2169" s="5" t="s">
        <v>207</v>
      </c>
      <c r="D2169" s="1" t="s">
        <v>137</v>
      </c>
      <c r="E2169">
        <v>0</v>
      </c>
      <c r="F2169">
        <v>0</v>
      </c>
      <c r="G2169">
        <v>0</v>
      </c>
      <c r="H2169">
        <v>0</v>
      </c>
      <c r="I2169">
        <v>1087</v>
      </c>
      <c r="J2169">
        <v>17083</v>
      </c>
      <c r="K2169">
        <v>964</v>
      </c>
      <c r="L2169">
        <v>353</v>
      </c>
      <c r="M2169">
        <v>0</v>
      </c>
      <c r="N2169">
        <v>0</v>
      </c>
      <c r="O2169">
        <v>0</v>
      </c>
      <c r="P2169">
        <v>0</v>
      </c>
      <c r="Q2169">
        <v>650</v>
      </c>
      <c r="R2169">
        <v>0</v>
      </c>
      <c r="S2169" s="18" t="e">
        <f t="shared" si="336"/>
        <v>#DIV/0!</v>
      </c>
      <c r="T2169" s="17" t="e">
        <f t="shared" si="337"/>
        <v>#DIV/0!</v>
      </c>
      <c r="U2169" s="17" t="e">
        <f t="shared" si="338"/>
        <v>#DIV/0!</v>
      </c>
      <c r="V2169" s="17" t="e">
        <f t="shared" si="339"/>
        <v>#DIV/0!</v>
      </c>
      <c r="W2169" s="17" t="e">
        <f t="shared" si="340"/>
        <v>#DIV/0!</v>
      </c>
      <c r="X2169" s="17" t="e">
        <f t="shared" si="341"/>
        <v>#DIV/0!</v>
      </c>
      <c r="Y2169" s="19" t="e">
        <f t="shared" si="342"/>
        <v>#DIV/0!</v>
      </c>
      <c r="Z2169">
        <v>0</v>
      </c>
      <c r="AA2169">
        <v>24</v>
      </c>
      <c r="AB2169">
        <v>500</v>
      </c>
      <c r="AC2169">
        <v>10555</v>
      </c>
      <c r="AD2169">
        <v>0</v>
      </c>
      <c r="AE2169">
        <v>0</v>
      </c>
      <c r="AF2169">
        <v>0</v>
      </c>
      <c r="AG2169">
        <v>1087</v>
      </c>
      <c r="AH2169">
        <v>1087</v>
      </c>
      <c r="AI2169">
        <v>0</v>
      </c>
      <c r="AJ2169">
        <v>0</v>
      </c>
      <c r="AK2169">
        <v>17083</v>
      </c>
      <c r="AL2169">
        <v>17083</v>
      </c>
      <c r="AM2169">
        <v>0</v>
      </c>
      <c r="AN2169">
        <v>0</v>
      </c>
      <c r="AO2169">
        <v>964</v>
      </c>
      <c r="AP2169">
        <v>520</v>
      </c>
      <c r="AQ2169">
        <v>964</v>
      </c>
      <c r="AR2169">
        <v>444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353</v>
      </c>
      <c r="BA2169">
        <v>353</v>
      </c>
      <c r="BB2169">
        <v>0</v>
      </c>
      <c r="BC2169">
        <v>0</v>
      </c>
      <c r="BD2169">
        <v>0</v>
      </c>
      <c r="BE2169">
        <f t="shared" si="343"/>
        <v>50493</v>
      </c>
      <c r="BF2169">
        <v>30566</v>
      </c>
      <c r="BG2169">
        <v>30566</v>
      </c>
      <c r="BH2169" t="s">
        <v>82</v>
      </c>
      <c r="BI2169" t="s">
        <v>498</v>
      </c>
      <c r="BJ2169">
        <v>11079</v>
      </c>
      <c r="BK2169">
        <v>19487</v>
      </c>
      <c r="BL2169">
        <v>30566</v>
      </c>
      <c r="BM2169">
        <v>0</v>
      </c>
      <c r="BN2169">
        <v>0</v>
      </c>
      <c r="BO2169">
        <v>0</v>
      </c>
      <c r="BP2169">
        <v>19487</v>
      </c>
      <c r="BQ2169">
        <v>19487</v>
      </c>
      <c r="BR2169">
        <f t="shared" si="344"/>
        <v>-650</v>
      </c>
      <c r="BS2169">
        <f t="shared" si="345"/>
        <v>650</v>
      </c>
    </row>
    <row r="2170" spans="1:74" x14ac:dyDescent="0.25">
      <c r="A2170" s="5" t="s">
        <v>1946</v>
      </c>
      <c r="B2170" s="5" t="s">
        <v>207</v>
      </c>
      <c r="C2170" s="5" t="s">
        <v>61</v>
      </c>
      <c r="D2170" s="1" t="s">
        <v>77</v>
      </c>
      <c r="E2170">
        <v>0</v>
      </c>
      <c r="F2170">
        <v>0</v>
      </c>
      <c r="G2170">
        <v>0</v>
      </c>
      <c r="H2170">
        <v>0</v>
      </c>
      <c r="I2170">
        <v>1950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650</v>
      </c>
      <c r="R2170">
        <v>0</v>
      </c>
      <c r="S2170" s="18" t="e">
        <f t="shared" si="336"/>
        <v>#DIV/0!</v>
      </c>
      <c r="T2170" s="17" t="e">
        <f t="shared" si="337"/>
        <v>#DIV/0!</v>
      </c>
      <c r="U2170" s="17" t="e">
        <f t="shared" si="338"/>
        <v>#DIV/0!</v>
      </c>
      <c r="V2170" s="17" t="e">
        <f t="shared" si="339"/>
        <v>#DIV/0!</v>
      </c>
      <c r="W2170" s="17" t="e">
        <f t="shared" si="340"/>
        <v>#DIV/0!</v>
      </c>
      <c r="X2170" s="17" t="e">
        <f t="shared" si="341"/>
        <v>#DIV/0!</v>
      </c>
      <c r="Y2170" s="19" t="e">
        <f t="shared" si="342"/>
        <v>#DIV/0!</v>
      </c>
      <c r="Z2170">
        <v>0</v>
      </c>
      <c r="AA2170">
        <v>0</v>
      </c>
      <c r="AB2170">
        <v>0</v>
      </c>
      <c r="AC2170">
        <v>0</v>
      </c>
      <c r="AD2170">
        <v>1750</v>
      </c>
      <c r="AE2170">
        <v>0</v>
      </c>
      <c r="AF2170">
        <v>0</v>
      </c>
      <c r="AG2170">
        <v>200</v>
      </c>
      <c r="AH2170">
        <v>1950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f t="shared" si="343"/>
        <v>3900</v>
      </c>
      <c r="BF2170">
        <v>1950</v>
      </c>
      <c r="BG2170">
        <v>1950</v>
      </c>
      <c r="BH2170" t="s">
        <v>109</v>
      </c>
      <c r="BI2170" t="s">
        <v>2016</v>
      </c>
      <c r="BJ2170">
        <v>0</v>
      </c>
      <c r="BK2170">
        <v>1950</v>
      </c>
      <c r="BL2170">
        <v>1950</v>
      </c>
      <c r="BM2170">
        <v>1750</v>
      </c>
      <c r="BN2170">
        <v>0</v>
      </c>
      <c r="BO2170">
        <v>0</v>
      </c>
      <c r="BP2170">
        <v>200</v>
      </c>
      <c r="BQ2170">
        <v>1950</v>
      </c>
      <c r="BR2170">
        <f t="shared" si="344"/>
        <v>-650</v>
      </c>
      <c r="BS2170">
        <f t="shared" si="345"/>
        <v>650</v>
      </c>
    </row>
    <row r="2171" spans="1:74" x14ac:dyDescent="0.25">
      <c r="A2171" s="5" t="s">
        <v>1451</v>
      </c>
      <c r="B2171" s="5" t="s">
        <v>61</v>
      </c>
      <c r="C2171" s="5" t="s">
        <v>207</v>
      </c>
      <c r="D2171" s="1" t="s">
        <v>65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7280</v>
      </c>
      <c r="K2171">
        <v>700</v>
      </c>
      <c r="L2171">
        <v>40</v>
      </c>
      <c r="M2171">
        <v>0</v>
      </c>
      <c r="N2171">
        <v>0</v>
      </c>
      <c r="O2171">
        <v>0</v>
      </c>
      <c r="P2171">
        <v>0</v>
      </c>
      <c r="Q2171">
        <v>528</v>
      </c>
      <c r="R2171">
        <v>0</v>
      </c>
      <c r="S2171" s="18" t="e">
        <f t="shared" si="336"/>
        <v>#DIV/0!</v>
      </c>
      <c r="T2171" s="17" t="e">
        <f t="shared" si="337"/>
        <v>#DIV/0!</v>
      </c>
      <c r="U2171" s="17" t="e">
        <f t="shared" si="338"/>
        <v>#DIV/0!</v>
      </c>
      <c r="V2171" s="17" t="e">
        <f t="shared" si="339"/>
        <v>#DIV/0!</v>
      </c>
      <c r="W2171" s="17" t="e">
        <f t="shared" si="340"/>
        <v>#DIV/0!</v>
      </c>
      <c r="X2171" s="17" t="e">
        <f t="shared" si="341"/>
        <v>#DIV/0!</v>
      </c>
      <c r="Y2171" s="19" t="e">
        <f t="shared" si="342"/>
        <v>#DIV/0!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7280</v>
      </c>
      <c r="AL2171">
        <v>7280</v>
      </c>
      <c r="AM2171">
        <v>0</v>
      </c>
      <c r="AN2171">
        <v>0</v>
      </c>
      <c r="AO2171">
        <v>700</v>
      </c>
      <c r="AP2171">
        <v>650</v>
      </c>
      <c r="AQ2171">
        <v>700</v>
      </c>
      <c r="AR2171">
        <v>50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40</v>
      </c>
      <c r="BA2171">
        <v>40</v>
      </c>
      <c r="BB2171">
        <v>0</v>
      </c>
      <c r="BC2171">
        <v>0</v>
      </c>
      <c r="BD2171">
        <v>0</v>
      </c>
      <c r="BE2171">
        <f t="shared" si="343"/>
        <v>16740</v>
      </c>
      <c r="BF2171">
        <v>8020</v>
      </c>
      <c r="BG2171">
        <v>8020</v>
      </c>
      <c r="BH2171" t="s">
        <v>63</v>
      </c>
      <c r="BI2171" t="s">
        <v>1471</v>
      </c>
      <c r="BJ2171">
        <v>0</v>
      </c>
      <c r="BK2171">
        <v>8020</v>
      </c>
      <c r="BL2171">
        <v>8020</v>
      </c>
      <c r="BM2171">
        <v>0</v>
      </c>
      <c r="BN2171">
        <v>0</v>
      </c>
      <c r="BO2171">
        <v>0</v>
      </c>
      <c r="BP2171">
        <v>8020</v>
      </c>
      <c r="BQ2171">
        <v>8020</v>
      </c>
      <c r="BR2171">
        <f t="shared" si="344"/>
        <v>-528</v>
      </c>
      <c r="BS2171">
        <f t="shared" si="345"/>
        <v>528</v>
      </c>
      <c r="BU2171">
        <f>R2171*9</f>
        <v>0</v>
      </c>
      <c r="BV2171">
        <f>IF(BU2171&gt;BG2171, 1, 0)</f>
        <v>0</v>
      </c>
    </row>
    <row r="2172" spans="1:74" x14ac:dyDescent="0.25">
      <c r="A2172" s="5" t="s">
        <v>359</v>
      </c>
      <c r="B2172" s="5" t="s">
        <v>207</v>
      </c>
      <c r="C2172" s="5" t="s">
        <v>61</v>
      </c>
      <c r="D2172" s="1" t="s">
        <v>94</v>
      </c>
      <c r="E2172">
        <v>0</v>
      </c>
      <c r="F2172">
        <v>0</v>
      </c>
      <c r="G2172">
        <v>0</v>
      </c>
      <c r="H2172">
        <v>0</v>
      </c>
      <c r="I2172">
        <v>1435</v>
      </c>
      <c r="J2172">
        <v>4651</v>
      </c>
      <c r="K2172">
        <v>576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656</v>
      </c>
      <c r="R2172">
        <v>0</v>
      </c>
      <c r="S2172" s="18" t="e">
        <f t="shared" si="336"/>
        <v>#DIV/0!</v>
      </c>
      <c r="T2172" s="17" t="e">
        <f t="shared" si="337"/>
        <v>#DIV/0!</v>
      </c>
      <c r="U2172" s="17" t="e">
        <f t="shared" si="338"/>
        <v>#DIV/0!</v>
      </c>
      <c r="V2172" s="17" t="e">
        <f t="shared" si="339"/>
        <v>#DIV/0!</v>
      </c>
      <c r="W2172" s="17" t="e">
        <f t="shared" si="340"/>
        <v>#DIV/0!</v>
      </c>
      <c r="X2172" s="17" t="e">
        <f t="shared" si="341"/>
        <v>#DIV/0!</v>
      </c>
      <c r="Y2172" s="19" t="e">
        <f t="shared" si="342"/>
        <v>#DIV/0!</v>
      </c>
      <c r="Z2172">
        <v>0</v>
      </c>
      <c r="AA2172">
        <v>2</v>
      </c>
      <c r="AB2172">
        <v>65</v>
      </c>
      <c r="AC2172">
        <v>7015</v>
      </c>
      <c r="AD2172">
        <v>0</v>
      </c>
      <c r="AE2172">
        <v>0</v>
      </c>
      <c r="AF2172">
        <v>0</v>
      </c>
      <c r="AG2172">
        <v>1435</v>
      </c>
      <c r="AH2172">
        <v>1435</v>
      </c>
      <c r="AI2172">
        <v>0</v>
      </c>
      <c r="AJ2172">
        <v>0</v>
      </c>
      <c r="AK2172">
        <v>4651</v>
      </c>
      <c r="AL2172">
        <v>4651</v>
      </c>
      <c r="AM2172">
        <v>0</v>
      </c>
      <c r="AN2172">
        <v>0</v>
      </c>
      <c r="AO2172">
        <v>576</v>
      </c>
      <c r="AP2172">
        <v>0</v>
      </c>
      <c r="AQ2172">
        <v>576</v>
      </c>
      <c r="AR2172">
        <v>576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f t="shared" si="343"/>
        <v>20915</v>
      </c>
      <c r="BF2172">
        <v>13744</v>
      </c>
      <c r="BG2172">
        <v>13744</v>
      </c>
      <c r="BH2172" t="s">
        <v>82</v>
      </c>
      <c r="BI2172" t="s">
        <v>745</v>
      </c>
      <c r="BJ2172">
        <v>7082</v>
      </c>
      <c r="BK2172">
        <v>6662</v>
      </c>
      <c r="BL2172">
        <v>13744</v>
      </c>
      <c r="BM2172">
        <v>0</v>
      </c>
      <c r="BN2172">
        <v>0</v>
      </c>
      <c r="BO2172">
        <v>0</v>
      </c>
      <c r="BP2172">
        <v>6662</v>
      </c>
      <c r="BQ2172">
        <v>6662</v>
      </c>
      <c r="BR2172">
        <f t="shared" si="344"/>
        <v>-656</v>
      </c>
      <c r="BS2172">
        <f t="shared" si="345"/>
        <v>656</v>
      </c>
    </row>
    <row r="2173" spans="1:74" x14ac:dyDescent="0.25">
      <c r="A2173" s="5" t="s">
        <v>1661</v>
      </c>
      <c r="B2173" s="5" t="s">
        <v>61</v>
      </c>
      <c r="C2173" s="5" t="s">
        <v>359</v>
      </c>
      <c r="D2173" s="1" t="s">
        <v>88</v>
      </c>
      <c r="E2173">
        <v>8</v>
      </c>
      <c r="F2173">
        <v>220</v>
      </c>
      <c r="G2173">
        <v>0</v>
      </c>
      <c r="H2173">
        <v>0</v>
      </c>
      <c r="I2173">
        <v>3000</v>
      </c>
      <c r="J2173">
        <v>0</v>
      </c>
      <c r="K2173">
        <v>32</v>
      </c>
      <c r="L2173">
        <v>0</v>
      </c>
      <c r="M2173">
        <v>0</v>
      </c>
      <c r="N2173">
        <v>0</v>
      </c>
      <c r="O2173">
        <v>0</v>
      </c>
      <c r="P2173">
        <v>504</v>
      </c>
      <c r="Q2173">
        <v>713</v>
      </c>
      <c r="R2173">
        <v>56</v>
      </c>
      <c r="S2173" s="18">
        <f t="shared" si="336"/>
        <v>9</v>
      </c>
      <c r="T2173" s="17">
        <f t="shared" si="337"/>
        <v>0</v>
      </c>
      <c r="U2173" s="17">
        <f t="shared" si="338"/>
        <v>0</v>
      </c>
      <c r="V2173" s="17">
        <f t="shared" si="339"/>
        <v>0</v>
      </c>
      <c r="W2173" s="17">
        <f t="shared" si="340"/>
        <v>56</v>
      </c>
      <c r="X2173" s="17">
        <f t="shared" si="341"/>
        <v>657</v>
      </c>
      <c r="Y2173" s="19">
        <f t="shared" si="342"/>
        <v>0</v>
      </c>
      <c r="Z2173">
        <v>220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3000</v>
      </c>
      <c r="AH2173">
        <v>3000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32</v>
      </c>
      <c r="AP2173">
        <v>0</v>
      </c>
      <c r="AQ2173">
        <v>32</v>
      </c>
      <c r="AR2173">
        <v>32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f t="shared" si="343"/>
        <v>6096</v>
      </c>
      <c r="BF2173">
        <v>3260</v>
      </c>
      <c r="BG2173">
        <v>3260</v>
      </c>
      <c r="BH2173" t="s">
        <v>109</v>
      </c>
      <c r="BI2173" t="s">
        <v>1724</v>
      </c>
      <c r="BJ2173">
        <v>8</v>
      </c>
      <c r="BK2173">
        <v>3032</v>
      </c>
      <c r="BL2173">
        <v>3260</v>
      </c>
      <c r="BM2173">
        <v>0</v>
      </c>
      <c r="BN2173">
        <v>0</v>
      </c>
      <c r="BO2173">
        <v>0</v>
      </c>
      <c r="BP2173">
        <v>3536</v>
      </c>
      <c r="BQ2173">
        <v>3536</v>
      </c>
      <c r="BR2173">
        <f t="shared" si="344"/>
        <v>-657</v>
      </c>
      <c r="BS2173">
        <f t="shared" si="345"/>
        <v>769</v>
      </c>
    </row>
    <row r="2174" spans="1:74" x14ac:dyDescent="0.25">
      <c r="A2174" s="5" t="s">
        <v>1946</v>
      </c>
      <c r="B2174" s="5" t="s">
        <v>61</v>
      </c>
      <c r="C2174" s="5" t="s">
        <v>61</v>
      </c>
      <c r="D2174" s="1" t="s">
        <v>117</v>
      </c>
      <c r="E2174">
        <v>117</v>
      </c>
      <c r="F2174">
        <v>0</v>
      </c>
      <c r="G2174">
        <v>0</v>
      </c>
      <c r="H2174">
        <v>0</v>
      </c>
      <c r="I2174">
        <v>850</v>
      </c>
      <c r="J2174">
        <v>14356</v>
      </c>
      <c r="K2174">
        <v>885</v>
      </c>
      <c r="L2174">
        <v>150</v>
      </c>
      <c r="M2174">
        <v>0</v>
      </c>
      <c r="N2174">
        <v>0</v>
      </c>
      <c r="O2174">
        <v>0</v>
      </c>
      <c r="P2174">
        <v>0</v>
      </c>
      <c r="Q2174">
        <v>659</v>
      </c>
      <c r="R2174">
        <v>0</v>
      </c>
      <c r="S2174" s="18" t="e">
        <f t="shared" si="336"/>
        <v>#DIV/0!</v>
      </c>
      <c r="T2174" s="17" t="e">
        <f t="shared" si="337"/>
        <v>#DIV/0!</v>
      </c>
      <c r="U2174" s="17" t="e">
        <f t="shared" si="338"/>
        <v>#DIV/0!</v>
      </c>
      <c r="V2174" s="17" t="e">
        <f t="shared" si="339"/>
        <v>#DIV/0!</v>
      </c>
      <c r="W2174" s="17" t="e">
        <f t="shared" si="340"/>
        <v>#DIV/0!</v>
      </c>
      <c r="X2174" s="17" t="e">
        <f t="shared" si="341"/>
        <v>#DIV/0!</v>
      </c>
      <c r="Y2174" s="19" t="e">
        <f t="shared" si="342"/>
        <v>#DIV/0!</v>
      </c>
      <c r="Z2174">
        <v>0</v>
      </c>
      <c r="AA2174">
        <v>8</v>
      </c>
      <c r="AB2174">
        <v>530</v>
      </c>
      <c r="AC2174">
        <v>4296</v>
      </c>
      <c r="AD2174">
        <v>0</v>
      </c>
      <c r="AE2174">
        <v>0</v>
      </c>
      <c r="AF2174">
        <v>0</v>
      </c>
      <c r="AG2174">
        <v>850</v>
      </c>
      <c r="AH2174">
        <v>850</v>
      </c>
      <c r="AI2174">
        <v>0</v>
      </c>
      <c r="AJ2174">
        <v>0</v>
      </c>
      <c r="AK2174">
        <v>14356</v>
      </c>
      <c r="AL2174">
        <v>14356</v>
      </c>
      <c r="AM2174">
        <v>0</v>
      </c>
      <c r="AN2174">
        <v>0</v>
      </c>
      <c r="AO2174">
        <v>885</v>
      </c>
      <c r="AP2174">
        <v>435</v>
      </c>
      <c r="AQ2174">
        <v>885</v>
      </c>
      <c r="AR2174">
        <v>450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150</v>
      </c>
      <c r="BA2174">
        <v>150</v>
      </c>
      <c r="BB2174">
        <v>0</v>
      </c>
      <c r="BC2174">
        <v>0</v>
      </c>
      <c r="BD2174">
        <v>0</v>
      </c>
      <c r="BE2174">
        <f t="shared" si="343"/>
        <v>37663</v>
      </c>
      <c r="BF2174">
        <v>21192</v>
      </c>
      <c r="BG2174">
        <v>21192</v>
      </c>
      <c r="BH2174" t="s">
        <v>82</v>
      </c>
      <c r="BI2174" t="s">
        <v>1971</v>
      </c>
      <c r="BJ2174">
        <v>4951</v>
      </c>
      <c r="BK2174">
        <v>16241</v>
      </c>
      <c r="BL2174">
        <v>21192</v>
      </c>
      <c r="BM2174">
        <v>0</v>
      </c>
      <c r="BN2174">
        <v>0</v>
      </c>
      <c r="BO2174">
        <v>0</v>
      </c>
      <c r="BP2174">
        <v>16241</v>
      </c>
      <c r="BQ2174">
        <v>16241</v>
      </c>
      <c r="BR2174">
        <f t="shared" si="344"/>
        <v>-659</v>
      </c>
      <c r="BS2174">
        <f t="shared" si="345"/>
        <v>659</v>
      </c>
    </row>
    <row r="2175" spans="1:74" x14ac:dyDescent="0.25">
      <c r="A2175" s="5" t="s">
        <v>1661</v>
      </c>
      <c r="B2175" s="5" t="s">
        <v>207</v>
      </c>
      <c r="C2175" s="5" t="s">
        <v>61</v>
      </c>
      <c r="D2175" s="1" t="s">
        <v>125</v>
      </c>
      <c r="E2175">
        <v>153</v>
      </c>
      <c r="F2175">
        <v>837</v>
      </c>
      <c r="G2175">
        <v>0</v>
      </c>
      <c r="H2175">
        <v>0</v>
      </c>
      <c r="I2175">
        <v>870</v>
      </c>
      <c r="J2175">
        <v>7566</v>
      </c>
      <c r="K2175">
        <v>750</v>
      </c>
      <c r="L2175">
        <v>50</v>
      </c>
      <c r="M2175">
        <v>0</v>
      </c>
      <c r="N2175">
        <v>0</v>
      </c>
      <c r="O2175">
        <v>0</v>
      </c>
      <c r="P2175">
        <v>2871</v>
      </c>
      <c r="Q2175">
        <v>988</v>
      </c>
      <c r="R2175">
        <v>319</v>
      </c>
      <c r="S2175" s="18">
        <f t="shared" si="336"/>
        <v>9</v>
      </c>
      <c r="T2175" s="17">
        <f t="shared" si="337"/>
        <v>0</v>
      </c>
      <c r="U2175" s="17">
        <f t="shared" si="338"/>
        <v>0</v>
      </c>
      <c r="V2175" s="17">
        <f t="shared" si="339"/>
        <v>0</v>
      </c>
      <c r="W2175" s="17">
        <f t="shared" si="340"/>
        <v>319</v>
      </c>
      <c r="X2175" s="17">
        <f t="shared" si="341"/>
        <v>669</v>
      </c>
      <c r="Y2175" s="19">
        <f t="shared" si="342"/>
        <v>0</v>
      </c>
      <c r="Z2175">
        <v>837</v>
      </c>
      <c r="AA2175">
        <v>6</v>
      </c>
      <c r="AB2175">
        <v>470</v>
      </c>
      <c r="AC2175">
        <v>13113</v>
      </c>
      <c r="AD2175">
        <v>0</v>
      </c>
      <c r="AE2175">
        <v>0</v>
      </c>
      <c r="AF2175">
        <v>0</v>
      </c>
      <c r="AG2175">
        <v>870</v>
      </c>
      <c r="AH2175">
        <v>870</v>
      </c>
      <c r="AI2175">
        <v>0</v>
      </c>
      <c r="AJ2175">
        <v>0</v>
      </c>
      <c r="AK2175">
        <v>7566</v>
      </c>
      <c r="AL2175">
        <v>7566</v>
      </c>
      <c r="AM2175">
        <v>0</v>
      </c>
      <c r="AN2175">
        <v>0</v>
      </c>
      <c r="AO2175">
        <v>750</v>
      </c>
      <c r="AP2175">
        <v>93</v>
      </c>
      <c r="AQ2175">
        <v>750</v>
      </c>
      <c r="AR2175">
        <v>657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50</v>
      </c>
      <c r="BA2175">
        <v>50</v>
      </c>
      <c r="BB2175">
        <v>0</v>
      </c>
      <c r="BC2175">
        <v>0</v>
      </c>
      <c r="BD2175">
        <v>0</v>
      </c>
      <c r="BE2175">
        <f t="shared" si="343"/>
        <v>32335</v>
      </c>
      <c r="BF2175">
        <v>23815</v>
      </c>
      <c r="BG2175">
        <v>23815</v>
      </c>
      <c r="BH2175" t="s">
        <v>82</v>
      </c>
      <c r="BI2175" t="s">
        <v>1786</v>
      </c>
      <c r="BJ2175">
        <v>13742</v>
      </c>
      <c r="BK2175">
        <v>9236</v>
      </c>
      <c r="BL2175">
        <v>23815</v>
      </c>
      <c r="BM2175">
        <v>0</v>
      </c>
      <c r="BN2175">
        <v>0</v>
      </c>
      <c r="BO2175">
        <v>0</v>
      </c>
      <c r="BP2175">
        <v>12107</v>
      </c>
      <c r="BQ2175">
        <v>12107</v>
      </c>
      <c r="BR2175">
        <f t="shared" si="344"/>
        <v>-669</v>
      </c>
      <c r="BS2175">
        <f t="shared" si="345"/>
        <v>1307</v>
      </c>
    </row>
    <row r="2176" spans="1:74" x14ac:dyDescent="0.25">
      <c r="A2176" s="5" t="s">
        <v>1451</v>
      </c>
      <c r="B2176" s="5" t="s">
        <v>207</v>
      </c>
      <c r="C2176" s="5" t="s">
        <v>207</v>
      </c>
      <c r="D2176" s="1" t="s">
        <v>69</v>
      </c>
      <c r="E2176">
        <v>0</v>
      </c>
      <c r="F2176">
        <v>0</v>
      </c>
      <c r="G2176">
        <v>0</v>
      </c>
      <c r="H2176">
        <v>0</v>
      </c>
      <c r="I2176">
        <v>1055</v>
      </c>
      <c r="J2176">
        <v>5625</v>
      </c>
      <c r="K2176">
        <v>1430</v>
      </c>
      <c r="L2176">
        <v>331</v>
      </c>
      <c r="M2176">
        <v>0</v>
      </c>
      <c r="N2176">
        <v>0</v>
      </c>
      <c r="O2176">
        <v>0</v>
      </c>
      <c r="P2176">
        <v>0</v>
      </c>
      <c r="Q2176">
        <v>546</v>
      </c>
      <c r="R2176">
        <v>0</v>
      </c>
      <c r="S2176" s="18" t="e">
        <f t="shared" si="336"/>
        <v>#DIV/0!</v>
      </c>
      <c r="T2176" s="17" t="e">
        <f t="shared" si="337"/>
        <v>#DIV/0!</v>
      </c>
      <c r="U2176" s="17" t="e">
        <f t="shared" si="338"/>
        <v>#DIV/0!</v>
      </c>
      <c r="V2176" s="17" t="e">
        <f t="shared" si="339"/>
        <v>#DIV/0!</v>
      </c>
      <c r="W2176" s="17" t="e">
        <f t="shared" si="340"/>
        <v>#DIV/0!</v>
      </c>
      <c r="X2176" s="17" t="e">
        <f t="shared" si="341"/>
        <v>#DIV/0!</v>
      </c>
      <c r="Y2176" s="19" t="e">
        <f t="shared" si="342"/>
        <v>#DIV/0!</v>
      </c>
      <c r="Z2176">
        <v>0</v>
      </c>
      <c r="AA2176">
        <v>0</v>
      </c>
      <c r="AB2176">
        <v>0</v>
      </c>
      <c r="AC2176">
        <v>0</v>
      </c>
      <c r="AD2176">
        <v>1055</v>
      </c>
      <c r="AE2176">
        <v>0</v>
      </c>
      <c r="AF2176">
        <v>0</v>
      </c>
      <c r="AG2176">
        <v>0</v>
      </c>
      <c r="AH2176">
        <v>1055</v>
      </c>
      <c r="AI2176">
        <v>0</v>
      </c>
      <c r="AJ2176">
        <v>0</v>
      </c>
      <c r="AK2176">
        <v>5625</v>
      </c>
      <c r="AL2176">
        <v>5625</v>
      </c>
      <c r="AM2176">
        <v>1430</v>
      </c>
      <c r="AN2176">
        <v>0</v>
      </c>
      <c r="AO2176">
        <v>0</v>
      </c>
      <c r="AP2176">
        <v>150</v>
      </c>
      <c r="AQ2176">
        <v>1430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331</v>
      </c>
      <c r="BA2176">
        <v>331</v>
      </c>
      <c r="BB2176">
        <v>0</v>
      </c>
      <c r="BC2176">
        <v>0</v>
      </c>
      <c r="BD2176">
        <v>0</v>
      </c>
      <c r="BE2176">
        <f t="shared" si="343"/>
        <v>17032</v>
      </c>
      <c r="BF2176">
        <v>8441</v>
      </c>
      <c r="BG2176">
        <v>8441</v>
      </c>
      <c r="BH2176" t="s">
        <v>63</v>
      </c>
      <c r="BI2176" t="s">
        <v>1562</v>
      </c>
      <c r="BJ2176">
        <v>0</v>
      </c>
      <c r="BK2176">
        <v>8441</v>
      </c>
      <c r="BL2176">
        <v>8441</v>
      </c>
      <c r="BM2176">
        <v>2485</v>
      </c>
      <c r="BN2176">
        <v>0</v>
      </c>
      <c r="BO2176">
        <v>0</v>
      </c>
      <c r="BP2176">
        <v>5956</v>
      </c>
      <c r="BQ2176">
        <v>8441</v>
      </c>
      <c r="BR2176">
        <f t="shared" si="344"/>
        <v>-546</v>
      </c>
      <c r="BS2176">
        <f t="shared" si="345"/>
        <v>546</v>
      </c>
      <c r="BU2176">
        <f>R2176*9</f>
        <v>0</v>
      </c>
      <c r="BV2176">
        <f>IF(BU2176&gt;BG2176, 1, 0)</f>
        <v>0</v>
      </c>
    </row>
    <row r="2177" spans="1:74" x14ac:dyDescent="0.25">
      <c r="A2177" s="5" t="s">
        <v>1946</v>
      </c>
      <c r="B2177" s="6" t="s">
        <v>61</v>
      </c>
      <c r="C2177" s="6" t="s">
        <v>61</v>
      </c>
      <c r="D2177" s="1" t="s">
        <v>139</v>
      </c>
      <c r="E2177">
        <v>0</v>
      </c>
      <c r="F2177">
        <v>0</v>
      </c>
      <c r="G2177">
        <v>0</v>
      </c>
      <c r="H2177">
        <v>0</v>
      </c>
      <c r="I2177">
        <v>3750</v>
      </c>
      <c r="J2177">
        <v>1752</v>
      </c>
      <c r="K2177">
        <v>443</v>
      </c>
      <c r="L2177">
        <v>460</v>
      </c>
      <c r="M2177">
        <v>0</v>
      </c>
      <c r="N2177">
        <v>0</v>
      </c>
      <c r="O2177">
        <v>0</v>
      </c>
      <c r="P2177">
        <v>0</v>
      </c>
      <c r="Q2177">
        <v>670</v>
      </c>
      <c r="R2177">
        <v>0</v>
      </c>
      <c r="S2177" s="18" t="e">
        <f t="shared" si="336"/>
        <v>#DIV/0!</v>
      </c>
      <c r="T2177" s="17" t="e">
        <f t="shared" si="337"/>
        <v>#DIV/0!</v>
      </c>
      <c r="U2177" s="17" t="e">
        <f t="shared" si="338"/>
        <v>#DIV/0!</v>
      </c>
      <c r="V2177" s="17" t="e">
        <f t="shared" si="339"/>
        <v>#DIV/0!</v>
      </c>
      <c r="W2177" s="17" t="e">
        <f t="shared" si="340"/>
        <v>#DIV/0!</v>
      </c>
      <c r="X2177" s="17" t="e">
        <f t="shared" si="341"/>
        <v>#DIV/0!</v>
      </c>
      <c r="Y2177" s="19" t="e">
        <f t="shared" si="342"/>
        <v>#DIV/0!</v>
      </c>
      <c r="Z2177">
        <v>0</v>
      </c>
      <c r="AA2177">
        <v>0</v>
      </c>
      <c r="AB2177">
        <v>0</v>
      </c>
      <c r="AC2177">
        <v>4885</v>
      </c>
      <c r="AD2177">
        <v>500</v>
      </c>
      <c r="AE2177">
        <v>0</v>
      </c>
      <c r="AF2177">
        <v>0</v>
      </c>
      <c r="AG2177">
        <v>3250</v>
      </c>
      <c r="AH2177">
        <v>3750</v>
      </c>
      <c r="AI2177">
        <v>0</v>
      </c>
      <c r="AJ2177">
        <v>1752</v>
      </c>
      <c r="AK2177">
        <v>0</v>
      </c>
      <c r="AL2177">
        <v>1752</v>
      </c>
      <c r="AM2177">
        <v>0</v>
      </c>
      <c r="AN2177">
        <v>0</v>
      </c>
      <c r="AO2177">
        <v>443</v>
      </c>
      <c r="AP2177">
        <v>314</v>
      </c>
      <c r="AQ2177">
        <v>443</v>
      </c>
      <c r="AR2177">
        <v>129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460</v>
      </c>
      <c r="AZ2177">
        <v>0</v>
      </c>
      <c r="BA2177">
        <v>460</v>
      </c>
      <c r="BB2177">
        <v>0</v>
      </c>
      <c r="BC2177">
        <v>0</v>
      </c>
      <c r="BD2177">
        <v>0</v>
      </c>
      <c r="BE2177">
        <f t="shared" si="343"/>
        <v>18138</v>
      </c>
      <c r="BF2177">
        <v>11290</v>
      </c>
      <c r="BG2177">
        <v>11290</v>
      </c>
      <c r="BH2177" t="s">
        <v>560</v>
      </c>
      <c r="BI2177" t="s">
        <v>1982</v>
      </c>
      <c r="BJ2177">
        <v>4885</v>
      </c>
      <c r="BK2177">
        <v>6405</v>
      </c>
      <c r="BL2177">
        <v>11290</v>
      </c>
      <c r="BM2177">
        <v>500</v>
      </c>
      <c r="BN2177">
        <v>2212</v>
      </c>
      <c r="BO2177">
        <v>0</v>
      </c>
      <c r="BP2177">
        <v>3693</v>
      </c>
      <c r="BQ2177">
        <v>6405</v>
      </c>
      <c r="BR2177">
        <f t="shared" si="344"/>
        <v>-670</v>
      </c>
      <c r="BS2177">
        <f t="shared" si="345"/>
        <v>670</v>
      </c>
    </row>
    <row r="2178" spans="1:74" x14ac:dyDescent="0.25">
      <c r="A2178" s="5" t="s">
        <v>207</v>
      </c>
      <c r="B2178" s="7" t="s">
        <v>627</v>
      </c>
      <c r="C2178" s="7" t="s">
        <v>61</v>
      </c>
      <c r="D2178" s="1" t="s">
        <v>106</v>
      </c>
      <c r="E2178">
        <v>80</v>
      </c>
      <c r="F2178">
        <v>0</v>
      </c>
      <c r="G2178">
        <v>0</v>
      </c>
      <c r="H2178">
        <v>0</v>
      </c>
      <c r="I2178">
        <v>60</v>
      </c>
      <c r="J2178">
        <v>7310</v>
      </c>
      <c r="K2178">
        <v>965</v>
      </c>
      <c r="L2178">
        <v>362</v>
      </c>
      <c r="M2178">
        <v>0</v>
      </c>
      <c r="N2178">
        <v>0</v>
      </c>
      <c r="O2178">
        <v>0</v>
      </c>
      <c r="P2178">
        <v>0</v>
      </c>
      <c r="Q2178">
        <v>672</v>
      </c>
      <c r="R2178">
        <v>0</v>
      </c>
      <c r="S2178" s="18" t="e">
        <f t="shared" ref="S2178:S2241" si="346">(M2178+N2178+O2178+P2178)/R2178</f>
        <v>#DIV/0!</v>
      </c>
      <c r="T2178" s="17" t="e">
        <f t="shared" ref="T2178:T2241" si="347">M2178/$S2178</f>
        <v>#DIV/0!</v>
      </c>
      <c r="U2178" s="17" t="e">
        <f t="shared" ref="U2178:U2241" si="348">N2178/$S2178</f>
        <v>#DIV/0!</v>
      </c>
      <c r="V2178" s="17" t="e">
        <f t="shared" ref="V2178:V2241" si="349">O2178/$S2178</f>
        <v>#DIV/0!</v>
      </c>
      <c r="W2178" s="17" t="e">
        <f t="shared" ref="W2178:W2241" si="350">P2178/$S2178</f>
        <v>#DIV/0!</v>
      </c>
      <c r="X2178" s="17" t="e">
        <f t="shared" ref="X2178:X2241" si="351">Q2178-T2178-U2178-W2178</f>
        <v>#DIV/0!</v>
      </c>
      <c r="Y2178" s="19" t="e">
        <f t="shared" ref="Y2178:Y2241" si="352">V2178/X2178</f>
        <v>#DIV/0!</v>
      </c>
      <c r="Z2178">
        <v>0</v>
      </c>
      <c r="AA2178">
        <v>4</v>
      </c>
      <c r="AB2178">
        <v>0</v>
      </c>
      <c r="AC2178">
        <v>5234</v>
      </c>
      <c r="AD2178">
        <v>0</v>
      </c>
      <c r="AE2178">
        <v>0</v>
      </c>
      <c r="AF2178">
        <v>0</v>
      </c>
      <c r="AG2178">
        <v>60</v>
      </c>
      <c r="AH2178">
        <v>60</v>
      </c>
      <c r="AI2178">
        <v>0</v>
      </c>
      <c r="AJ2178">
        <v>0</v>
      </c>
      <c r="AK2178">
        <v>7310</v>
      </c>
      <c r="AL2178">
        <v>7310</v>
      </c>
      <c r="AM2178">
        <v>0</v>
      </c>
      <c r="AN2178">
        <v>0</v>
      </c>
      <c r="AO2178">
        <v>965</v>
      </c>
      <c r="AP2178">
        <v>50</v>
      </c>
      <c r="AQ2178">
        <v>965</v>
      </c>
      <c r="AR2178">
        <v>915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362</v>
      </c>
      <c r="BA2178">
        <v>362</v>
      </c>
      <c r="BB2178">
        <v>0</v>
      </c>
      <c r="BC2178">
        <v>0</v>
      </c>
      <c r="BD2178">
        <v>0</v>
      </c>
      <c r="BE2178">
        <f t="shared" ref="BE2178:BE2241" si="353">SUM(AC2178:BD2178)</f>
        <v>23593</v>
      </c>
      <c r="BF2178">
        <v>14015</v>
      </c>
      <c r="BG2178">
        <v>14015</v>
      </c>
      <c r="BH2178" t="s">
        <v>82</v>
      </c>
      <c r="BI2178" t="s">
        <v>647</v>
      </c>
      <c r="BJ2178">
        <v>5318</v>
      </c>
      <c r="BK2178">
        <v>8697</v>
      </c>
      <c r="BL2178">
        <v>14015</v>
      </c>
      <c r="BM2178">
        <v>0</v>
      </c>
      <c r="BN2178">
        <v>0</v>
      </c>
      <c r="BO2178">
        <v>0</v>
      </c>
      <c r="BP2178">
        <v>8697</v>
      </c>
      <c r="BQ2178">
        <v>8697</v>
      </c>
      <c r="BR2178">
        <f t="shared" ref="BR2178:BR2241" si="354">R2178-Q2178</f>
        <v>-672</v>
      </c>
      <c r="BS2178">
        <f t="shared" ref="BS2178:BS2241" si="355">R2178+Q2178</f>
        <v>672</v>
      </c>
    </row>
    <row r="2179" spans="1:74" x14ac:dyDescent="0.25">
      <c r="A2179" s="5" t="s">
        <v>627</v>
      </c>
      <c r="B2179" s="5" t="s">
        <v>207</v>
      </c>
      <c r="C2179" s="5" t="s">
        <v>61</v>
      </c>
      <c r="D2179" s="1" t="s">
        <v>90</v>
      </c>
      <c r="E2179">
        <v>29</v>
      </c>
      <c r="F2179">
        <v>50</v>
      </c>
      <c r="G2179">
        <v>0</v>
      </c>
      <c r="H2179">
        <v>0</v>
      </c>
      <c r="I2179">
        <v>348</v>
      </c>
      <c r="J2179">
        <v>5730</v>
      </c>
      <c r="K2179">
        <v>1003</v>
      </c>
      <c r="L2179">
        <v>188</v>
      </c>
      <c r="M2179">
        <v>0</v>
      </c>
      <c r="N2179">
        <v>0</v>
      </c>
      <c r="O2179">
        <v>0</v>
      </c>
      <c r="P2179">
        <v>315</v>
      </c>
      <c r="Q2179">
        <v>709</v>
      </c>
      <c r="R2179">
        <v>35</v>
      </c>
      <c r="S2179" s="18">
        <f t="shared" si="346"/>
        <v>9</v>
      </c>
      <c r="T2179" s="17">
        <f t="shared" si="347"/>
        <v>0</v>
      </c>
      <c r="U2179" s="17">
        <f t="shared" si="348"/>
        <v>0</v>
      </c>
      <c r="V2179" s="17">
        <f t="shared" si="349"/>
        <v>0</v>
      </c>
      <c r="W2179" s="17">
        <f t="shared" si="350"/>
        <v>35</v>
      </c>
      <c r="X2179" s="17">
        <f t="shared" si="351"/>
        <v>674</v>
      </c>
      <c r="Y2179" s="19">
        <f t="shared" si="352"/>
        <v>0</v>
      </c>
      <c r="Z2179">
        <v>50</v>
      </c>
      <c r="AA2179">
        <v>0</v>
      </c>
      <c r="AB2179">
        <v>324</v>
      </c>
      <c r="AC2179">
        <v>4048</v>
      </c>
      <c r="AD2179">
        <v>0</v>
      </c>
      <c r="AE2179">
        <v>0</v>
      </c>
      <c r="AF2179">
        <v>0</v>
      </c>
      <c r="AG2179">
        <v>348</v>
      </c>
      <c r="AH2179">
        <v>348</v>
      </c>
      <c r="AI2179">
        <v>0</v>
      </c>
      <c r="AJ2179">
        <v>0</v>
      </c>
      <c r="AK2179">
        <v>5730</v>
      </c>
      <c r="AL2179">
        <v>5730</v>
      </c>
      <c r="AM2179">
        <v>0</v>
      </c>
      <c r="AN2179">
        <v>0</v>
      </c>
      <c r="AO2179">
        <v>1003</v>
      </c>
      <c r="AP2179">
        <v>33</v>
      </c>
      <c r="AQ2179">
        <v>1003</v>
      </c>
      <c r="AR2179">
        <v>970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188</v>
      </c>
      <c r="BA2179">
        <v>188</v>
      </c>
      <c r="BB2179">
        <v>0</v>
      </c>
      <c r="BC2179">
        <v>0</v>
      </c>
      <c r="BD2179">
        <v>0</v>
      </c>
      <c r="BE2179">
        <f t="shared" si="353"/>
        <v>19589</v>
      </c>
      <c r="BF2179">
        <v>11720</v>
      </c>
      <c r="BG2179">
        <v>11720</v>
      </c>
      <c r="BH2179" t="s">
        <v>82</v>
      </c>
      <c r="BI2179" t="s">
        <v>843</v>
      </c>
      <c r="BJ2179">
        <v>4401</v>
      </c>
      <c r="BK2179">
        <v>7269</v>
      </c>
      <c r="BL2179">
        <v>11720</v>
      </c>
      <c r="BM2179">
        <v>0</v>
      </c>
      <c r="BN2179">
        <v>0</v>
      </c>
      <c r="BO2179">
        <v>0</v>
      </c>
      <c r="BP2179">
        <v>7584</v>
      </c>
      <c r="BQ2179">
        <v>7584</v>
      </c>
      <c r="BR2179">
        <f t="shared" si="354"/>
        <v>-674</v>
      </c>
      <c r="BS2179">
        <f t="shared" si="355"/>
        <v>744</v>
      </c>
    </row>
    <row r="2180" spans="1:74" x14ac:dyDescent="0.25">
      <c r="A2180" s="5" t="s">
        <v>359</v>
      </c>
      <c r="B2180" s="5" t="s">
        <v>359</v>
      </c>
      <c r="C2180" s="5" t="s">
        <v>61</v>
      </c>
      <c r="D2180" s="1" t="s">
        <v>77</v>
      </c>
      <c r="E2180">
        <v>0</v>
      </c>
      <c r="F2180">
        <v>0</v>
      </c>
      <c r="G2180">
        <v>0</v>
      </c>
      <c r="H2180">
        <v>0</v>
      </c>
      <c r="I2180">
        <v>2300</v>
      </c>
      <c r="J2180">
        <v>0</v>
      </c>
      <c r="K2180">
        <v>155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556</v>
      </c>
      <c r="R2180">
        <v>0</v>
      </c>
      <c r="S2180" s="18" t="e">
        <f t="shared" si="346"/>
        <v>#DIV/0!</v>
      </c>
      <c r="T2180" s="17" t="e">
        <f t="shared" si="347"/>
        <v>#DIV/0!</v>
      </c>
      <c r="U2180" s="17" t="e">
        <f t="shared" si="348"/>
        <v>#DIV/0!</v>
      </c>
      <c r="V2180" s="17" t="e">
        <f t="shared" si="349"/>
        <v>#DIV/0!</v>
      </c>
      <c r="W2180" s="17" t="e">
        <f t="shared" si="350"/>
        <v>#DIV/0!</v>
      </c>
      <c r="X2180" s="17" t="e">
        <f t="shared" si="351"/>
        <v>#DIV/0!</v>
      </c>
      <c r="Y2180" s="19" t="e">
        <f t="shared" si="352"/>
        <v>#DIV/0!</v>
      </c>
      <c r="Z2180">
        <v>0</v>
      </c>
      <c r="AA2180">
        <v>0</v>
      </c>
      <c r="AB2180">
        <v>0</v>
      </c>
      <c r="AC2180">
        <v>0</v>
      </c>
      <c r="AD2180">
        <v>2300</v>
      </c>
      <c r="AE2180">
        <v>0</v>
      </c>
      <c r="AF2180">
        <v>0</v>
      </c>
      <c r="AG2180">
        <v>0</v>
      </c>
      <c r="AH2180">
        <v>2300</v>
      </c>
      <c r="AI2180">
        <v>0</v>
      </c>
      <c r="AJ2180">
        <v>0</v>
      </c>
      <c r="AK2180">
        <v>0</v>
      </c>
      <c r="AL2180">
        <v>0</v>
      </c>
      <c r="AM2180">
        <v>155</v>
      </c>
      <c r="AN2180">
        <v>0</v>
      </c>
      <c r="AO2180">
        <v>0</v>
      </c>
      <c r="AP2180">
        <v>40</v>
      </c>
      <c r="AQ2180">
        <v>155</v>
      </c>
      <c r="AR2180">
        <v>115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f t="shared" si="353"/>
        <v>5065</v>
      </c>
      <c r="BF2180">
        <v>2455</v>
      </c>
      <c r="BG2180">
        <v>2455</v>
      </c>
      <c r="BH2180" t="s">
        <v>63</v>
      </c>
      <c r="BI2180" t="s">
        <v>763</v>
      </c>
      <c r="BJ2180">
        <v>0</v>
      </c>
      <c r="BK2180">
        <v>2455</v>
      </c>
      <c r="BL2180">
        <v>2455</v>
      </c>
      <c r="BM2180">
        <v>2455</v>
      </c>
      <c r="BN2180">
        <v>0</v>
      </c>
      <c r="BO2180">
        <v>0</v>
      </c>
      <c r="BP2180">
        <v>0</v>
      </c>
      <c r="BQ2180">
        <v>2455</v>
      </c>
      <c r="BR2180">
        <f t="shared" si="354"/>
        <v>-556</v>
      </c>
      <c r="BS2180">
        <f t="shared" si="355"/>
        <v>556</v>
      </c>
      <c r="BU2180">
        <f>R2180*9</f>
        <v>0</v>
      </c>
      <c r="BV2180">
        <f>IF(BU2180&gt;BG2180, 1, 0)</f>
        <v>0</v>
      </c>
    </row>
    <row r="2181" spans="1:74" x14ac:dyDescent="0.25">
      <c r="A2181" s="5" t="s">
        <v>1946</v>
      </c>
      <c r="B2181" s="5" t="s">
        <v>61</v>
      </c>
      <c r="C2181" s="5" t="s">
        <v>61</v>
      </c>
      <c r="D2181" s="1" t="s">
        <v>73</v>
      </c>
      <c r="E2181">
        <v>0</v>
      </c>
      <c r="F2181">
        <v>0</v>
      </c>
      <c r="G2181">
        <v>0</v>
      </c>
      <c r="H2181">
        <v>0</v>
      </c>
      <c r="I2181">
        <v>1300</v>
      </c>
      <c r="J2181">
        <v>6500</v>
      </c>
      <c r="K2181">
        <v>2890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560</v>
      </c>
      <c r="R2181">
        <v>0</v>
      </c>
      <c r="S2181" s="18" t="e">
        <f t="shared" si="346"/>
        <v>#DIV/0!</v>
      </c>
      <c r="T2181" s="17" t="e">
        <f t="shared" si="347"/>
        <v>#DIV/0!</v>
      </c>
      <c r="U2181" s="17" t="e">
        <f t="shared" si="348"/>
        <v>#DIV/0!</v>
      </c>
      <c r="V2181" s="17" t="e">
        <f t="shared" si="349"/>
        <v>#DIV/0!</v>
      </c>
      <c r="W2181" s="17" t="e">
        <f t="shared" si="350"/>
        <v>#DIV/0!</v>
      </c>
      <c r="X2181" s="17" t="e">
        <f t="shared" si="351"/>
        <v>#DIV/0!</v>
      </c>
      <c r="Y2181" s="19" t="e">
        <f t="shared" si="352"/>
        <v>#DIV/0!</v>
      </c>
      <c r="Z2181">
        <v>0</v>
      </c>
      <c r="AA2181">
        <v>0</v>
      </c>
      <c r="AB2181">
        <v>0</v>
      </c>
      <c r="AC2181">
        <v>350</v>
      </c>
      <c r="AD2181">
        <v>0</v>
      </c>
      <c r="AE2181">
        <v>0</v>
      </c>
      <c r="AF2181">
        <v>0</v>
      </c>
      <c r="AG2181">
        <v>1300</v>
      </c>
      <c r="AH2181">
        <v>1300</v>
      </c>
      <c r="AI2181">
        <v>0</v>
      </c>
      <c r="AJ2181">
        <v>6300</v>
      </c>
      <c r="AK2181">
        <v>200</v>
      </c>
      <c r="AL2181">
        <v>6500</v>
      </c>
      <c r="AM2181">
        <v>0</v>
      </c>
      <c r="AN2181">
        <v>0</v>
      </c>
      <c r="AO2181">
        <v>2890</v>
      </c>
      <c r="AP2181">
        <v>0</v>
      </c>
      <c r="AQ2181">
        <v>2890</v>
      </c>
      <c r="AR2181">
        <v>2890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f t="shared" si="353"/>
        <v>24620</v>
      </c>
      <c r="BF2181">
        <v>11040</v>
      </c>
      <c r="BG2181">
        <v>11040</v>
      </c>
      <c r="BH2181" t="s">
        <v>63</v>
      </c>
      <c r="BI2181" t="s">
        <v>1952</v>
      </c>
      <c r="BJ2181">
        <v>350</v>
      </c>
      <c r="BK2181">
        <v>10690</v>
      </c>
      <c r="BL2181">
        <v>11040</v>
      </c>
      <c r="BM2181">
        <v>0</v>
      </c>
      <c r="BN2181">
        <v>6300</v>
      </c>
      <c r="BO2181">
        <v>0</v>
      </c>
      <c r="BP2181">
        <v>4390</v>
      </c>
      <c r="BQ2181">
        <v>10690</v>
      </c>
      <c r="BR2181">
        <f t="shared" si="354"/>
        <v>-560</v>
      </c>
      <c r="BS2181">
        <f t="shared" si="355"/>
        <v>560</v>
      </c>
      <c r="BU2181">
        <f>R2181*9</f>
        <v>0</v>
      </c>
      <c r="BV2181">
        <f>IF(BU2181&gt;BG2181, 1, 0)</f>
        <v>0</v>
      </c>
    </row>
    <row r="2182" spans="1:74" x14ac:dyDescent="0.25">
      <c r="A2182" s="5" t="s">
        <v>207</v>
      </c>
      <c r="B2182" s="5" t="s">
        <v>61</v>
      </c>
      <c r="C2182" s="5" t="s">
        <v>207</v>
      </c>
      <c r="D2182" s="1" t="s">
        <v>73</v>
      </c>
      <c r="E2182">
        <v>0</v>
      </c>
      <c r="F2182">
        <v>0</v>
      </c>
      <c r="G2182">
        <v>0</v>
      </c>
      <c r="H2182">
        <v>0</v>
      </c>
      <c r="I2182">
        <v>9300</v>
      </c>
      <c r="J2182">
        <v>0</v>
      </c>
      <c r="K2182">
        <v>0</v>
      </c>
      <c r="L2182">
        <v>102</v>
      </c>
      <c r="M2182">
        <v>0</v>
      </c>
      <c r="N2182">
        <v>0</v>
      </c>
      <c r="O2182">
        <v>0</v>
      </c>
      <c r="P2182">
        <v>0</v>
      </c>
      <c r="Q2182">
        <v>628</v>
      </c>
      <c r="R2182">
        <v>0</v>
      </c>
      <c r="S2182" s="18" t="e">
        <f t="shared" si="346"/>
        <v>#DIV/0!</v>
      </c>
      <c r="T2182" s="17" t="e">
        <f t="shared" si="347"/>
        <v>#DIV/0!</v>
      </c>
      <c r="U2182" s="17" t="e">
        <f t="shared" si="348"/>
        <v>#DIV/0!</v>
      </c>
      <c r="V2182" s="17" t="e">
        <f t="shared" si="349"/>
        <v>#DIV/0!</v>
      </c>
      <c r="W2182" s="17" t="e">
        <f t="shared" si="350"/>
        <v>#DIV/0!</v>
      </c>
      <c r="X2182" s="17" t="e">
        <f t="shared" si="351"/>
        <v>#DIV/0!</v>
      </c>
      <c r="Y2182" s="19" t="e">
        <f t="shared" si="352"/>
        <v>#DIV/0!</v>
      </c>
      <c r="Z2182">
        <v>0</v>
      </c>
      <c r="AA2182">
        <v>0</v>
      </c>
      <c r="AB2182">
        <v>0</v>
      </c>
      <c r="AC2182">
        <v>102</v>
      </c>
      <c r="AD2182">
        <v>2800</v>
      </c>
      <c r="AE2182">
        <v>0</v>
      </c>
      <c r="AF2182">
        <v>0</v>
      </c>
      <c r="AG2182">
        <v>6500</v>
      </c>
      <c r="AH2182">
        <v>9300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102</v>
      </c>
      <c r="AY2182">
        <v>0</v>
      </c>
      <c r="AZ2182">
        <v>0</v>
      </c>
      <c r="BA2182">
        <v>102</v>
      </c>
      <c r="BB2182">
        <v>0</v>
      </c>
      <c r="BC2182">
        <v>0</v>
      </c>
      <c r="BD2182">
        <v>0</v>
      </c>
      <c r="BE2182">
        <f t="shared" si="353"/>
        <v>18906</v>
      </c>
      <c r="BF2182">
        <v>9504</v>
      </c>
      <c r="BG2182">
        <v>9504</v>
      </c>
      <c r="BH2182" t="s">
        <v>63</v>
      </c>
      <c r="BI2182" t="s">
        <v>467</v>
      </c>
      <c r="BJ2182">
        <v>102</v>
      </c>
      <c r="BK2182">
        <v>9402</v>
      </c>
      <c r="BL2182">
        <v>9504</v>
      </c>
      <c r="BM2182">
        <v>2902</v>
      </c>
      <c r="BN2182">
        <v>0</v>
      </c>
      <c r="BO2182">
        <v>0</v>
      </c>
      <c r="BP2182">
        <v>6500</v>
      </c>
      <c r="BQ2182">
        <v>9402</v>
      </c>
      <c r="BR2182">
        <f t="shared" si="354"/>
        <v>-628</v>
      </c>
      <c r="BS2182">
        <f t="shared" si="355"/>
        <v>628</v>
      </c>
      <c r="BU2182">
        <f>R2182*9</f>
        <v>0</v>
      </c>
      <c r="BV2182">
        <f>IF(BU2182&gt;BG2182, 1, 0)</f>
        <v>0</v>
      </c>
    </row>
    <row r="2183" spans="1:74" x14ac:dyDescent="0.25">
      <c r="A2183" s="5" t="s">
        <v>627</v>
      </c>
      <c r="B2183" s="5" t="s">
        <v>359</v>
      </c>
      <c r="C2183" s="5" t="s">
        <v>61</v>
      </c>
      <c r="D2183" s="1" t="s">
        <v>67</v>
      </c>
      <c r="E2183">
        <v>0</v>
      </c>
      <c r="F2183">
        <v>0</v>
      </c>
      <c r="G2183">
        <v>0</v>
      </c>
      <c r="H2183">
        <v>0</v>
      </c>
      <c r="I2183">
        <v>2755</v>
      </c>
      <c r="J2183">
        <v>7029</v>
      </c>
      <c r="K2183">
        <v>0</v>
      </c>
      <c r="L2183">
        <v>84</v>
      </c>
      <c r="M2183">
        <v>0</v>
      </c>
      <c r="N2183">
        <v>0</v>
      </c>
      <c r="O2183">
        <v>0</v>
      </c>
      <c r="P2183">
        <v>0</v>
      </c>
      <c r="Q2183">
        <v>638</v>
      </c>
      <c r="R2183">
        <v>0</v>
      </c>
      <c r="S2183" s="18" t="e">
        <f t="shared" si="346"/>
        <v>#DIV/0!</v>
      </c>
      <c r="T2183" s="17" t="e">
        <f t="shared" si="347"/>
        <v>#DIV/0!</v>
      </c>
      <c r="U2183" s="17" t="e">
        <f t="shared" si="348"/>
        <v>#DIV/0!</v>
      </c>
      <c r="V2183" s="17" t="e">
        <f t="shared" si="349"/>
        <v>#DIV/0!</v>
      </c>
      <c r="W2183" s="17" t="e">
        <f t="shared" si="350"/>
        <v>#DIV/0!</v>
      </c>
      <c r="X2183" s="17" t="e">
        <f t="shared" si="351"/>
        <v>#DIV/0!</v>
      </c>
      <c r="Y2183" s="19" t="e">
        <f t="shared" si="352"/>
        <v>#DIV/0!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2363</v>
      </c>
      <c r="AF2183">
        <v>0</v>
      </c>
      <c r="AG2183">
        <v>392</v>
      </c>
      <c r="AH2183">
        <v>2755</v>
      </c>
      <c r="AI2183">
        <v>0</v>
      </c>
      <c r="AJ2183">
        <v>6561</v>
      </c>
      <c r="AK2183">
        <v>468</v>
      </c>
      <c r="AL2183">
        <v>7029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84</v>
      </c>
      <c r="AZ2183">
        <v>0</v>
      </c>
      <c r="BA2183">
        <v>84</v>
      </c>
      <c r="BB2183">
        <v>0</v>
      </c>
      <c r="BC2183">
        <v>0</v>
      </c>
      <c r="BD2183">
        <v>0</v>
      </c>
      <c r="BE2183">
        <f t="shared" si="353"/>
        <v>19736</v>
      </c>
      <c r="BF2183">
        <v>9868</v>
      </c>
      <c r="BG2183">
        <v>9868</v>
      </c>
      <c r="BH2183" t="s">
        <v>63</v>
      </c>
      <c r="BI2183" t="s">
        <v>848</v>
      </c>
      <c r="BJ2183">
        <v>0</v>
      </c>
      <c r="BK2183">
        <v>9868</v>
      </c>
      <c r="BL2183">
        <v>9868</v>
      </c>
      <c r="BM2183">
        <v>0</v>
      </c>
      <c r="BN2183">
        <v>9008</v>
      </c>
      <c r="BO2183">
        <v>0</v>
      </c>
      <c r="BP2183">
        <v>860</v>
      </c>
      <c r="BQ2183">
        <v>9868</v>
      </c>
      <c r="BR2183">
        <f t="shared" si="354"/>
        <v>-638</v>
      </c>
      <c r="BS2183">
        <f t="shared" si="355"/>
        <v>638</v>
      </c>
      <c r="BU2183">
        <f>R2183*9</f>
        <v>0</v>
      </c>
      <c r="BV2183">
        <f>IF(BU2183&gt;BG2183, 1, 0)</f>
        <v>0</v>
      </c>
    </row>
    <row r="2184" spans="1:74" x14ac:dyDescent="0.25">
      <c r="A2184" s="5" t="s">
        <v>1661</v>
      </c>
      <c r="B2184" s="5" t="s">
        <v>207</v>
      </c>
      <c r="C2184" s="5" t="s">
        <v>207</v>
      </c>
      <c r="D2184" s="1" t="s">
        <v>115</v>
      </c>
      <c r="E2184">
        <v>7</v>
      </c>
      <c r="F2184">
        <v>644</v>
      </c>
      <c r="G2184">
        <v>0</v>
      </c>
      <c r="H2184">
        <v>0</v>
      </c>
      <c r="I2184">
        <v>1600</v>
      </c>
      <c r="J2184">
        <v>320</v>
      </c>
      <c r="K2184">
        <v>1800</v>
      </c>
      <c r="L2184">
        <v>25</v>
      </c>
      <c r="M2184">
        <v>0</v>
      </c>
      <c r="N2184">
        <v>0</v>
      </c>
      <c r="O2184">
        <v>0</v>
      </c>
      <c r="P2184">
        <v>3204</v>
      </c>
      <c r="Q2184">
        <v>1037</v>
      </c>
      <c r="R2184">
        <v>356</v>
      </c>
      <c r="S2184" s="18">
        <f t="shared" si="346"/>
        <v>9</v>
      </c>
      <c r="T2184" s="17">
        <f t="shared" si="347"/>
        <v>0</v>
      </c>
      <c r="U2184" s="17">
        <f t="shared" si="348"/>
        <v>0</v>
      </c>
      <c r="V2184" s="17">
        <f t="shared" si="349"/>
        <v>0</v>
      </c>
      <c r="W2184" s="17">
        <f t="shared" si="350"/>
        <v>356</v>
      </c>
      <c r="X2184" s="17">
        <f t="shared" si="351"/>
        <v>681</v>
      </c>
      <c r="Y2184" s="19">
        <f t="shared" si="352"/>
        <v>0</v>
      </c>
      <c r="Z2184">
        <v>644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1600</v>
      </c>
      <c r="AH2184">
        <v>1600</v>
      </c>
      <c r="AI2184">
        <v>0</v>
      </c>
      <c r="AJ2184">
        <v>0</v>
      </c>
      <c r="AK2184">
        <v>320</v>
      </c>
      <c r="AL2184">
        <v>320</v>
      </c>
      <c r="AM2184">
        <v>0</v>
      </c>
      <c r="AN2184">
        <v>0</v>
      </c>
      <c r="AO2184">
        <v>1800</v>
      </c>
      <c r="AP2184">
        <v>700</v>
      </c>
      <c r="AQ2184">
        <v>1800</v>
      </c>
      <c r="AR2184">
        <v>1100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25</v>
      </c>
      <c r="BA2184">
        <v>25</v>
      </c>
      <c r="BB2184">
        <v>0</v>
      </c>
      <c r="BC2184">
        <v>0</v>
      </c>
      <c r="BD2184">
        <v>0</v>
      </c>
      <c r="BE2184">
        <f t="shared" si="353"/>
        <v>9290</v>
      </c>
      <c r="BF2184">
        <v>4396</v>
      </c>
      <c r="BG2184">
        <v>4396</v>
      </c>
      <c r="BH2184" t="s">
        <v>109</v>
      </c>
      <c r="BI2184" t="s">
        <v>1816</v>
      </c>
      <c r="BJ2184">
        <v>7</v>
      </c>
      <c r="BK2184">
        <v>3745</v>
      </c>
      <c r="BL2184">
        <v>4396</v>
      </c>
      <c r="BM2184">
        <v>0</v>
      </c>
      <c r="BN2184">
        <v>0</v>
      </c>
      <c r="BO2184">
        <v>0</v>
      </c>
      <c r="BP2184">
        <v>6949</v>
      </c>
      <c r="BQ2184">
        <v>6949</v>
      </c>
      <c r="BR2184">
        <f t="shared" si="354"/>
        <v>-681</v>
      </c>
      <c r="BS2184">
        <f t="shared" si="355"/>
        <v>1393</v>
      </c>
    </row>
    <row r="2185" spans="1:74" x14ac:dyDescent="0.25">
      <c r="A2185" s="5" t="s">
        <v>1661</v>
      </c>
      <c r="B2185" s="5" t="s">
        <v>207</v>
      </c>
      <c r="C2185" s="5" t="s">
        <v>207</v>
      </c>
      <c r="D2185" s="1" t="s">
        <v>181</v>
      </c>
      <c r="E2185">
        <v>0</v>
      </c>
      <c r="F2185">
        <v>3240</v>
      </c>
      <c r="G2185">
        <v>0</v>
      </c>
      <c r="H2185">
        <v>0</v>
      </c>
      <c r="I2185">
        <v>535</v>
      </c>
      <c r="J2185">
        <v>14193</v>
      </c>
      <c r="K2185">
        <v>2637</v>
      </c>
      <c r="L2185">
        <v>244</v>
      </c>
      <c r="M2185">
        <v>0</v>
      </c>
      <c r="N2185">
        <v>0</v>
      </c>
      <c r="O2185">
        <v>0</v>
      </c>
      <c r="P2185">
        <v>6930</v>
      </c>
      <c r="Q2185">
        <v>1453</v>
      </c>
      <c r="R2185">
        <v>770</v>
      </c>
      <c r="S2185" s="18">
        <f t="shared" si="346"/>
        <v>9</v>
      </c>
      <c r="T2185" s="17">
        <f t="shared" si="347"/>
        <v>0</v>
      </c>
      <c r="U2185" s="17">
        <f t="shared" si="348"/>
        <v>0</v>
      </c>
      <c r="V2185" s="17">
        <f t="shared" si="349"/>
        <v>0</v>
      </c>
      <c r="W2185" s="17">
        <f t="shared" si="350"/>
        <v>770</v>
      </c>
      <c r="X2185" s="17">
        <f t="shared" si="351"/>
        <v>683</v>
      </c>
      <c r="Y2185" s="19">
        <f t="shared" si="352"/>
        <v>0</v>
      </c>
      <c r="Z2185">
        <v>3240</v>
      </c>
      <c r="AA2185">
        <v>6</v>
      </c>
      <c r="AB2185">
        <v>272</v>
      </c>
      <c r="AC2185">
        <v>14000</v>
      </c>
      <c r="AD2185">
        <v>0</v>
      </c>
      <c r="AE2185">
        <v>0</v>
      </c>
      <c r="AF2185">
        <v>0</v>
      </c>
      <c r="AG2185">
        <v>535</v>
      </c>
      <c r="AH2185">
        <v>535</v>
      </c>
      <c r="AI2185">
        <v>0</v>
      </c>
      <c r="AJ2185">
        <v>0</v>
      </c>
      <c r="AK2185">
        <v>14193</v>
      </c>
      <c r="AL2185">
        <v>14193</v>
      </c>
      <c r="AM2185">
        <v>0</v>
      </c>
      <c r="AN2185">
        <v>0</v>
      </c>
      <c r="AO2185">
        <v>2637</v>
      </c>
      <c r="AP2185">
        <v>846</v>
      </c>
      <c r="AQ2185">
        <v>2637</v>
      </c>
      <c r="AR2185">
        <v>1791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244</v>
      </c>
      <c r="BA2185">
        <v>244</v>
      </c>
      <c r="BB2185">
        <v>0</v>
      </c>
      <c r="BC2185">
        <v>0</v>
      </c>
      <c r="BD2185">
        <v>0</v>
      </c>
      <c r="BE2185">
        <f t="shared" si="353"/>
        <v>51855</v>
      </c>
      <c r="BF2185">
        <v>35127</v>
      </c>
      <c r="BG2185">
        <v>35127</v>
      </c>
      <c r="BH2185" t="s">
        <v>82</v>
      </c>
      <c r="BI2185" t="s">
        <v>1366</v>
      </c>
      <c r="BJ2185">
        <v>14278</v>
      </c>
      <c r="BK2185">
        <v>17609</v>
      </c>
      <c r="BL2185">
        <v>35127</v>
      </c>
      <c r="BM2185">
        <v>0</v>
      </c>
      <c r="BN2185">
        <v>0</v>
      </c>
      <c r="BO2185">
        <v>0</v>
      </c>
      <c r="BP2185">
        <v>24539</v>
      </c>
      <c r="BQ2185">
        <v>24539</v>
      </c>
      <c r="BR2185">
        <f t="shared" si="354"/>
        <v>-683</v>
      </c>
      <c r="BS2185">
        <f t="shared" si="355"/>
        <v>2223</v>
      </c>
    </row>
    <row r="2186" spans="1:74" x14ac:dyDescent="0.25">
      <c r="A2186" s="5" t="s">
        <v>875</v>
      </c>
      <c r="B2186" s="5" t="s">
        <v>61</v>
      </c>
      <c r="C2186" s="5" t="s">
        <v>207</v>
      </c>
      <c r="D2186" s="1" t="s">
        <v>117</v>
      </c>
      <c r="E2186">
        <v>0</v>
      </c>
      <c r="F2186">
        <v>0</v>
      </c>
      <c r="G2186">
        <v>0</v>
      </c>
      <c r="H2186">
        <v>0</v>
      </c>
      <c r="I2186">
        <v>764</v>
      </c>
      <c r="J2186">
        <v>4250</v>
      </c>
      <c r="K2186">
        <v>495</v>
      </c>
      <c r="L2186">
        <v>85</v>
      </c>
      <c r="M2186">
        <v>0</v>
      </c>
      <c r="N2186">
        <v>0</v>
      </c>
      <c r="O2186">
        <v>0</v>
      </c>
      <c r="P2186">
        <v>0</v>
      </c>
      <c r="Q2186">
        <v>684</v>
      </c>
      <c r="R2186">
        <v>0</v>
      </c>
      <c r="S2186" s="18" t="e">
        <f t="shared" si="346"/>
        <v>#DIV/0!</v>
      </c>
      <c r="T2186" s="17" t="e">
        <f t="shared" si="347"/>
        <v>#DIV/0!</v>
      </c>
      <c r="U2186" s="17" t="e">
        <f t="shared" si="348"/>
        <v>#DIV/0!</v>
      </c>
      <c r="V2186" s="17" t="e">
        <f t="shared" si="349"/>
        <v>#DIV/0!</v>
      </c>
      <c r="W2186" s="17" t="e">
        <f t="shared" si="350"/>
        <v>#DIV/0!</v>
      </c>
      <c r="X2186" s="17" t="e">
        <f t="shared" si="351"/>
        <v>#DIV/0!</v>
      </c>
      <c r="Y2186" s="19" t="e">
        <f t="shared" si="352"/>
        <v>#DIV/0!</v>
      </c>
      <c r="Z2186">
        <v>0</v>
      </c>
      <c r="AA2186">
        <v>0</v>
      </c>
      <c r="AB2186">
        <v>0</v>
      </c>
      <c r="AC2186">
        <v>3455</v>
      </c>
      <c r="AD2186">
        <v>0</v>
      </c>
      <c r="AE2186">
        <v>0</v>
      </c>
      <c r="AF2186">
        <v>0</v>
      </c>
      <c r="AG2186">
        <v>764</v>
      </c>
      <c r="AH2186">
        <v>764</v>
      </c>
      <c r="AI2186">
        <v>0</v>
      </c>
      <c r="AJ2186">
        <v>0</v>
      </c>
      <c r="AK2186">
        <v>4250</v>
      </c>
      <c r="AL2186">
        <v>4250</v>
      </c>
      <c r="AM2186">
        <v>0</v>
      </c>
      <c r="AN2186">
        <v>0</v>
      </c>
      <c r="AO2186">
        <v>495</v>
      </c>
      <c r="AP2186">
        <v>165</v>
      </c>
      <c r="AQ2186">
        <v>495</v>
      </c>
      <c r="AR2186">
        <v>330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85</v>
      </c>
      <c r="BA2186">
        <v>85</v>
      </c>
      <c r="BB2186">
        <v>0</v>
      </c>
      <c r="BC2186">
        <v>0</v>
      </c>
      <c r="BD2186">
        <v>0</v>
      </c>
      <c r="BE2186">
        <f t="shared" si="353"/>
        <v>15138</v>
      </c>
      <c r="BF2186">
        <v>9049</v>
      </c>
      <c r="BG2186">
        <v>9049</v>
      </c>
      <c r="BH2186" t="s">
        <v>560</v>
      </c>
      <c r="BI2186" t="s">
        <v>900</v>
      </c>
      <c r="BJ2186">
        <v>3455</v>
      </c>
      <c r="BK2186">
        <v>5594</v>
      </c>
      <c r="BL2186">
        <v>9049</v>
      </c>
      <c r="BM2186">
        <v>0</v>
      </c>
      <c r="BN2186">
        <v>0</v>
      </c>
      <c r="BO2186">
        <v>0</v>
      </c>
      <c r="BP2186">
        <v>5594</v>
      </c>
      <c r="BQ2186">
        <v>5594</v>
      </c>
      <c r="BR2186">
        <f t="shared" si="354"/>
        <v>-684</v>
      </c>
      <c r="BS2186">
        <f t="shared" si="355"/>
        <v>684</v>
      </c>
    </row>
    <row r="2187" spans="1:74" x14ac:dyDescent="0.25">
      <c r="A2187" s="5" t="s">
        <v>207</v>
      </c>
      <c r="B2187" s="5" t="s">
        <v>61</v>
      </c>
      <c r="C2187" s="5" t="s">
        <v>207</v>
      </c>
      <c r="D2187" s="1" t="s">
        <v>127</v>
      </c>
      <c r="E2187">
        <v>128</v>
      </c>
      <c r="F2187">
        <v>1165</v>
      </c>
      <c r="G2187">
        <v>0</v>
      </c>
      <c r="H2187">
        <v>0</v>
      </c>
      <c r="I2187">
        <v>1263</v>
      </c>
      <c r="J2187">
        <v>4286</v>
      </c>
      <c r="K2187">
        <v>740</v>
      </c>
      <c r="L2187">
        <v>247</v>
      </c>
      <c r="M2187">
        <v>0</v>
      </c>
      <c r="N2187">
        <v>0</v>
      </c>
      <c r="O2187">
        <v>0</v>
      </c>
      <c r="P2187">
        <v>2295</v>
      </c>
      <c r="Q2187">
        <v>942</v>
      </c>
      <c r="R2187">
        <v>255</v>
      </c>
      <c r="S2187" s="18">
        <f t="shared" si="346"/>
        <v>9</v>
      </c>
      <c r="T2187" s="17">
        <f t="shared" si="347"/>
        <v>0</v>
      </c>
      <c r="U2187" s="17">
        <f t="shared" si="348"/>
        <v>0</v>
      </c>
      <c r="V2187" s="17">
        <f t="shared" si="349"/>
        <v>0</v>
      </c>
      <c r="W2187" s="17">
        <f t="shared" si="350"/>
        <v>255</v>
      </c>
      <c r="X2187" s="17">
        <f t="shared" si="351"/>
        <v>687</v>
      </c>
      <c r="Y2187" s="19">
        <f t="shared" si="352"/>
        <v>0</v>
      </c>
      <c r="Z2187">
        <v>1165</v>
      </c>
      <c r="AA2187">
        <v>41</v>
      </c>
      <c r="AB2187">
        <v>330</v>
      </c>
      <c r="AC2187">
        <v>5326</v>
      </c>
      <c r="AD2187">
        <v>0</v>
      </c>
      <c r="AE2187">
        <v>0</v>
      </c>
      <c r="AF2187">
        <v>0</v>
      </c>
      <c r="AG2187">
        <v>1263</v>
      </c>
      <c r="AH2187">
        <v>1263</v>
      </c>
      <c r="AI2187">
        <v>0</v>
      </c>
      <c r="AJ2187">
        <v>0</v>
      </c>
      <c r="AK2187">
        <v>4286</v>
      </c>
      <c r="AL2187">
        <v>4286</v>
      </c>
      <c r="AM2187">
        <v>0</v>
      </c>
      <c r="AN2187">
        <v>0</v>
      </c>
      <c r="AO2187">
        <v>740</v>
      </c>
      <c r="AP2187">
        <v>444</v>
      </c>
      <c r="AQ2187">
        <v>740</v>
      </c>
      <c r="AR2187">
        <v>296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247</v>
      </c>
      <c r="BA2187">
        <v>247</v>
      </c>
      <c r="BB2187">
        <v>0</v>
      </c>
      <c r="BC2187">
        <v>0</v>
      </c>
      <c r="BD2187">
        <v>0</v>
      </c>
      <c r="BE2187">
        <f t="shared" si="353"/>
        <v>19138</v>
      </c>
      <c r="BF2187">
        <v>13526</v>
      </c>
      <c r="BG2187">
        <v>13526</v>
      </c>
      <c r="BH2187" t="s">
        <v>82</v>
      </c>
      <c r="BI2187" t="s">
        <v>493</v>
      </c>
      <c r="BJ2187">
        <v>5825</v>
      </c>
      <c r="BK2187">
        <v>6536</v>
      </c>
      <c r="BL2187">
        <v>13526</v>
      </c>
      <c r="BM2187">
        <v>0</v>
      </c>
      <c r="BN2187">
        <v>0</v>
      </c>
      <c r="BO2187">
        <v>0</v>
      </c>
      <c r="BP2187">
        <v>8831</v>
      </c>
      <c r="BQ2187">
        <v>8831</v>
      </c>
      <c r="BR2187">
        <f t="shared" si="354"/>
        <v>-687</v>
      </c>
      <c r="BS2187">
        <f t="shared" si="355"/>
        <v>1197</v>
      </c>
    </row>
    <row r="2188" spans="1:74" x14ac:dyDescent="0.25">
      <c r="A2188" s="5" t="s">
        <v>1451</v>
      </c>
      <c r="B2188" s="5" t="s">
        <v>359</v>
      </c>
      <c r="C2188" s="5" t="s">
        <v>61</v>
      </c>
      <c r="D2188" s="1" t="s">
        <v>145</v>
      </c>
      <c r="E2188">
        <v>0</v>
      </c>
      <c r="F2188">
        <v>1560</v>
      </c>
      <c r="G2188">
        <v>0</v>
      </c>
      <c r="H2188">
        <v>0</v>
      </c>
      <c r="I2188">
        <v>270</v>
      </c>
      <c r="J2188">
        <v>4290</v>
      </c>
      <c r="K2188">
        <v>670</v>
      </c>
      <c r="L2188">
        <v>155</v>
      </c>
      <c r="M2188">
        <v>0</v>
      </c>
      <c r="N2188">
        <v>0</v>
      </c>
      <c r="O2188">
        <v>0</v>
      </c>
      <c r="P2188">
        <v>4770</v>
      </c>
      <c r="Q2188">
        <v>1217</v>
      </c>
      <c r="R2188">
        <v>530</v>
      </c>
      <c r="S2188" s="18">
        <f t="shared" si="346"/>
        <v>9</v>
      </c>
      <c r="T2188" s="17">
        <f t="shared" si="347"/>
        <v>0</v>
      </c>
      <c r="U2188" s="17">
        <f t="shared" si="348"/>
        <v>0</v>
      </c>
      <c r="V2188" s="17">
        <f t="shared" si="349"/>
        <v>0</v>
      </c>
      <c r="W2188" s="17">
        <f t="shared" si="350"/>
        <v>530</v>
      </c>
      <c r="X2188" s="17">
        <f t="shared" si="351"/>
        <v>687</v>
      </c>
      <c r="Y2188" s="19">
        <f t="shared" si="352"/>
        <v>0</v>
      </c>
      <c r="Z2188">
        <v>1560</v>
      </c>
      <c r="AA2188">
        <v>5</v>
      </c>
      <c r="AB2188">
        <v>1200</v>
      </c>
      <c r="AC2188">
        <v>4600</v>
      </c>
      <c r="AD2188">
        <v>0</v>
      </c>
      <c r="AE2188">
        <v>0</v>
      </c>
      <c r="AF2188">
        <v>0</v>
      </c>
      <c r="AG2188">
        <v>270</v>
      </c>
      <c r="AH2188">
        <v>270</v>
      </c>
      <c r="AI2188">
        <v>0</v>
      </c>
      <c r="AJ2188">
        <v>0</v>
      </c>
      <c r="AK2188">
        <v>4290</v>
      </c>
      <c r="AL2188">
        <v>4290</v>
      </c>
      <c r="AM2188">
        <v>0</v>
      </c>
      <c r="AN2188">
        <v>0</v>
      </c>
      <c r="AO2188">
        <v>670</v>
      </c>
      <c r="AP2188">
        <v>80</v>
      </c>
      <c r="AQ2188">
        <v>670</v>
      </c>
      <c r="AR2188">
        <v>590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155</v>
      </c>
      <c r="BA2188">
        <v>155</v>
      </c>
      <c r="BB2188">
        <v>0</v>
      </c>
      <c r="BC2188">
        <v>0</v>
      </c>
      <c r="BD2188">
        <v>0</v>
      </c>
      <c r="BE2188">
        <f t="shared" si="353"/>
        <v>16040</v>
      </c>
      <c r="BF2188">
        <v>11421</v>
      </c>
      <c r="BG2188">
        <v>11421</v>
      </c>
      <c r="BH2188" t="s">
        <v>82</v>
      </c>
      <c r="BI2188" t="s">
        <v>1635</v>
      </c>
      <c r="BJ2188">
        <v>5805</v>
      </c>
      <c r="BK2188">
        <v>5385</v>
      </c>
      <c r="BL2188">
        <v>12750</v>
      </c>
      <c r="BM2188">
        <v>0</v>
      </c>
      <c r="BN2188">
        <v>0</v>
      </c>
      <c r="BO2188">
        <v>0</v>
      </c>
      <c r="BP2188">
        <v>10155</v>
      </c>
      <c r="BQ2188">
        <v>10155</v>
      </c>
      <c r="BR2188">
        <f t="shared" si="354"/>
        <v>-687</v>
      </c>
      <c r="BS2188">
        <f t="shared" si="355"/>
        <v>1747</v>
      </c>
    </row>
    <row r="2189" spans="1:74" x14ac:dyDescent="0.25">
      <c r="A2189" s="5" t="s">
        <v>1946</v>
      </c>
      <c r="B2189" s="5" t="s">
        <v>61</v>
      </c>
      <c r="C2189" s="5" t="s">
        <v>61</v>
      </c>
      <c r="D2189" s="1" t="s">
        <v>71</v>
      </c>
      <c r="E2189">
        <v>0</v>
      </c>
      <c r="F2189">
        <v>0</v>
      </c>
      <c r="G2189">
        <v>0</v>
      </c>
      <c r="H2189">
        <v>0</v>
      </c>
      <c r="I2189">
        <v>2200</v>
      </c>
      <c r="J2189">
        <v>2222</v>
      </c>
      <c r="K2189">
        <v>1710</v>
      </c>
      <c r="L2189">
        <v>70</v>
      </c>
      <c r="M2189">
        <v>0</v>
      </c>
      <c r="N2189">
        <v>0</v>
      </c>
      <c r="O2189">
        <v>0</v>
      </c>
      <c r="P2189">
        <v>0</v>
      </c>
      <c r="Q2189">
        <v>651</v>
      </c>
      <c r="R2189">
        <v>0</v>
      </c>
      <c r="S2189" s="18" t="e">
        <f t="shared" si="346"/>
        <v>#DIV/0!</v>
      </c>
      <c r="T2189" s="17" t="e">
        <f t="shared" si="347"/>
        <v>#DIV/0!</v>
      </c>
      <c r="U2189" s="17" t="e">
        <f t="shared" si="348"/>
        <v>#DIV/0!</v>
      </c>
      <c r="V2189" s="17" t="e">
        <f t="shared" si="349"/>
        <v>#DIV/0!</v>
      </c>
      <c r="W2189" s="17" t="e">
        <f t="shared" si="350"/>
        <v>#DIV/0!</v>
      </c>
      <c r="X2189" s="17" t="e">
        <f t="shared" si="351"/>
        <v>#DIV/0!</v>
      </c>
      <c r="Y2189" s="19" t="e">
        <f t="shared" si="352"/>
        <v>#DIV/0!</v>
      </c>
      <c r="Z2189">
        <v>0</v>
      </c>
      <c r="AA2189">
        <v>0</v>
      </c>
      <c r="AB2189">
        <v>0</v>
      </c>
      <c r="AC2189">
        <v>540</v>
      </c>
      <c r="AD2189">
        <v>0</v>
      </c>
      <c r="AE2189">
        <v>0</v>
      </c>
      <c r="AF2189">
        <v>0</v>
      </c>
      <c r="AG2189">
        <v>2200</v>
      </c>
      <c r="AH2189">
        <v>2200</v>
      </c>
      <c r="AI2189">
        <v>0</v>
      </c>
      <c r="AJ2189">
        <v>0</v>
      </c>
      <c r="AK2189">
        <v>2222</v>
      </c>
      <c r="AL2189">
        <v>2222</v>
      </c>
      <c r="AM2189">
        <v>1250</v>
      </c>
      <c r="AN2189">
        <v>0</v>
      </c>
      <c r="AO2189">
        <v>460</v>
      </c>
      <c r="AP2189">
        <v>0</v>
      </c>
      <c r="AQ2189">
        <v>1710</v>
      </c>
      <c r="AR2189">
        <v>1710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70</v>
      </c>
      <c r="BA2189">
        <v>70</v>
      </c>
      <c r="BB2189">
        <v>0</v>
      </c>
      <c r="BC2189">
        <v>0</v>
      </c>
      <c r="BD2189">
        <v>0</v>
      </c>
      <c r="BE2189">
        <f t="shared" si="353"/>
        <v>14654</v>
      </c>
      <c r="BF2189">
        <v>6742</v>
      </c>
      <c r="BG2189">
        <v>6742</v>
      </c>
      <c r="BH2189" t="s">
        <v>63</v>
      </c>
      <c r="BI2189" t="s">
        <v>1951</v>
      </c>
      <c r="BJ2189">
        <v>540</v>
      </c>
      <c r="BK2189">
        <v>6202</v>
      </c>
      <c r="BL2189">
        <v>6742</v>
      </c>
      <c r="BM2189">
        <v>1250</v>
      </c>
      <c r="BN2189">
        <v>0</v>
      </c>
      <c r="BO2189">
        <v>0</v>
      </c>
      <c r="BP2189">
        <v>4952</v>
      </c>
      <c r="BQ2189">
        <v>6202</v>
      </c>
      <c r="BR2189">
        <f t="shared" si="354"/>
        <v>-651</v>
      </c>
      <c r="BS2189">
        <f t="shared" si="355"/>
        <v>651</v>
      </c>
      <c r="BU2189">
        <f>R2189*9</f>
        <v>0</v>
      </c>
      <c r="BV2189">
        <f>IF(BU2189&gt;BG2189, 1, 0)</f>
        <v>0</v>
      </c>
    </row>
    <row r="2190" spans="1:74" x14ac:dyDescent="0.25">
      <c r="A2190" s="5" t="s">
        <v>1451</v>
      </c>
      <c r="B2190" s="5" t="s">
        <v>207</v>
      </c>
      <c r="C2190" s="5" t="s">
        <v>61</v>
      </c>
      <c r="D2190" s="1" t="s">
        <v>106</v>
      </c>
      <c r="E2190">
        <v>0</v>
      </c>
      <c r="F2190">
        <v>1454</v>
      </c>
      <c r="G2190">
        <v>0</v>
      </c>
      <c r="H2190">
        <v>0</v>
      </c>
      <c r="I2190">
        <v>950</v>
      </c>
      <c r="J2190">
        <v>6921</v>
      </c>
      <c r="K2190">
        <v>450</v>
      </c>
      <c r="L2190">
        <v>250</v>
      </c>
      <c r="M2190">
        <v>0</v>
      </c>
      <c r="N2190">
        <v>0</v>
      </c>
      <c r="O2190">
        <v>0</v>
      </c>
      <c r="P2190">
        <v>2934</v>
      </c>
      <c r="Q2190">
        <v>1021</v>
      </c>
      <c r="R2190">
        <v>326</v>
      </c>
      <c r="S2190" s="18">
        <f t="shared" si="346"/>
        <v>9</v>
      </c>
      <c r="T2190" s="17">
        <f t="shared" si="347"/>
        <v>0</v>
      </c>
      <c r="U2190" s="17">
        <f t="shared" si="348"/>
        <v>0</v>
      </c>
      <c r="V2190" s="17">
        <f t="shared" si="349"/>
        <v>0</v>
      </c>
      <c r="W2190" s="17">
        <f t="shared" si="350"/>
        <v>326</v>
      </c>
      <c r="X2190" s="17">
        <f t="shared" si="351"/>
        <v>695</v>
      </c>
      <c r="Y2190" s="19">
        <f t="shared" si="352"/>
        <v>0</v>
      </c>
      <c r="Z2190">
        <v>1454</v>
      </c>
      <c r="AA2190">
        <v>30</v>
      </c>
      <c r="AB2190">
        <v>274</v>
      </c>
      <c r="AC2190">
        <v>2700</v>
      </c>
      <c r="AD2190">
        <v>0</v>
      </c>
      <c r="AE2190">
        <v>950</v>
      </c>
      <c r="AF2190">
        <v>0</v>
      </c>
      <c r="AG2190">
        <v>0</v>
      </c>
      <c r="AH2190">
        <v>950</v>
      </c>
      <c r="AI2190">
        <v>0</v>
      </c>
      <c r="AJ2190">
        <v>4421</v>
      </c>
      <c r="AK2190">
        <v>2500</v>
      </c>
      <c r="AL2190">
        <v>6921</v>
      </c>
      <c r="AM2190">
        <v>0</v>
      </c>
      <c r="AN2190">
        <v>450</v>
      </c>
      <c r="AO2190">
        <v>0</v>
      </c>
      <c r="AP2190">
        <v>350</v>
      </c>
      <c r="AQ2190">
        <v>450</v>
      </c>
      <c r="AR2190">
        <v>100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250</v>
      </c>
      <c r="AZ2190">
        <v>0</v>
      </c>
      <c r="BA2190">
        <v>250</v>
      </c>
      <c r="BB2190">
        <v>0</v>
      </c>
      <c r="BC2190">
        <v>0</v>
      </c>
      <c r="BD2190">
        <v>0</v>
      </c>
      <c r="BE2190">
        <f t="shared" si="353"/>
        <v>20292</v>
      </c>
      <c r="BF2190">
        <v>13029</v>
      </c>
      <c r="BG2190">
        <v>13029</v>
      </c>
      <c r="BH2190" t="s">
        <v>82</v>
      </c>
      <c r="BI2190" t="s">
        <v>1550</v>
      </c>
      <c r="BJ2190">
        <v>3004</v>
      </c>
      <c r="BK2190">
        <v>8571</v>
      </c>
      <c r="BL2190">
        <v>13029</v>
      </c>
      <c r="BM2190">
        <v>0</v>
      </c>
      <c r="BN2190">
        <v>6071</v>
      </c>
      <c r="BO2190">
        <v>0</v>
      </c>
      <c r="BP2190">
        <v>5434</v>
      </c>
      <c r="BQ2190">
        <v>11505</v>
      </c>
      <c r="BR2190">
        <f t="shared" si="354"/>
        <v>-695</v>
      </c>
      <c r="BS2190">
        <f t="shared" si="355"/>
        <v>1347</v>
      </c>
    </row>
    <row r="2191" spans="1:74" x14ac:dyDescent="0.25">
      <c r="A2191" s="5" t="s">
        <v>1337</v>
      </c>
      <c r="B2191" s="5" t="s">
        <v>359</v>
      </c>
      <c r="C2191" s="5" t="s">
        <v>61</v>
      </c>
      <c r="D2191" s="1" t="s">
        <v>106</v>
      </c>
      <c r="E2191">
        <v>0</v>
      </c>
      <c r="F2191">
        <v>1188</v>
      </c>
      <c r="G2191">
        <v>0</v>
      </c>
      <c r="H2191">
        <v>0</v>
      </c>
      <c r="I2191">
        <v>922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8073</v>
      </c>
      <c r="Q2191">
        <v>1603</v>
      </c>
      <c r="R2191">
        <v>897</v>
      </c>
      <c r="S2191" s="18">
        <f t="shared" si="346"/>
        <v>9</v>
      </c>
      <c r="T2191" s="17">
        <f t="shared" si="347"/>
        <v>0</v>
      </c>
      <c r="U2191" s="17">
        <f t="shared" si="348"/>
        <v>0</v>
      </c>
      <c r="V2191" s="17">
        <f t="shared" si="349"/>
        <v>0</v>
      </c>
      <c r="W2191" s="17">
        <f t="shared" si="350"/>
        <v>897</v>
      </c>
      <c r="X2191" s="17">
        <f t="shared" si="351"/>
        <v>706</v>
      </c>
      <c r="Y2191" s="19">
        <f t="shared" si="352"/>
        <v>0</v>
      </c>
      <c r="Z2191">
        <v>1188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922</v>
      </c>
      <c r="AH2191">
        <v>922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f t="shared" si="353"/>
        <v>1844</v>
      </c>
      <c r="BF2191">
        <v>2110</v>
      </c>
      <c r="BG2191">
        <v>2110</v>
      </c>
      <c r="BH2191" t="s">
        <v>109</v>
      </c>
      <c r="BI2191" t="s">
        <v>1432</v>
      </c>
      <c r="BJ2191">
        <v>0</v>
      </c>
      <c r="BK2191">
        <v>922</v>
      </c>
      <c r="BL2191">
        <v>2110</v>
      </c>
      <c r="BM2191">
        <v>0</v>
      </c>
      <c r="BN2191">
        <v>0</v>
      </c>
      <c r="BO2191">
        <v>0</v>
      </c>
      <c r="BP2191">
        <v>8995</v>
      </c>
      <c r="BQ2191">
        <v>8995</v>
      </c>
      <c r="BR2191">
        <f t="shared" si="354"/>
        <v>-706</v>
      </c>
      <c r="BS2191">
        <f t="shared" si="355"/>
        <v>2500</v>
      </c>
    </row>
    <row r="2192" spans="1:74" x14ac:dyDescent="0.25">
      <c r="A2192" s="5" t="s">
        <v>1451</v>
      </c>
      <c r="B2192" s="5" t="s">
        <v>359</v>
      </c>
      <c r="C2192" s="5" t="s">
        <v>61</v>
      </c>
      <c r="D2192" s="1" t="s">
        <v>131</v>
      </c>
      <c r="E2192">
        <v>0</v>
      </c>
      <c r="F2192">
        <v>60</v>
      </c>
      <c r="G2192">
        <v>0</v>
      </c>
      <c r="H2192">
        <v>0</v>
      </c>
      <c r="I2192">
        <v>580</v>
      </c>
      <c r="J2192">
        <v>10583</v>
      </c>
      <c r="K2192">
        <v>1276</v>
      </c>
      <c r="L2192">
        <v>0</v>
      </c>
      <c r="M2192">
        <v>0</v>
      </c>
      <c r="N2192">
        <v>0</v>
      </c>
      <c r="O2192">
        <v>0</v>
      </c>
      <c r="P2192">
        <v>540</v>
      </c>
      <c r="Q2192">
        <v>774</v>
      </c>
      <c r="R2192">
        <v>60</v>
      </c>
      <c r="S2192" s="18">
        <f t="shared" si="346"/>
        <v>9</v>
      </c>
      <c r="T2192" s="17">
        <f t="shared" si="347"/>
        <v>0</v>
      </c>
      <c r="U2192" s="17">
        <f t="shared" si="348"/>
        <v>0</v>
      </c>
      <c r="V2192" s="17">
        <f t="shared" si="349"/>
        <v>0</v>
      </c>
      <c r="W2192" s="17">
        <f t="shared" si="350"/>
        <v>60</v>
      </c>
      <c r="X2192" s="17">
        <f t="shared" si="351"/>
        <v>714</v>
      </c>
      <c r="Y2192" s="19">
        <f t="shared" si="352"/>
        <v>0</v>
      </c>
      <c r="Z2192">
        <v>60</v>
      </c>
      <c r="AA2192">
        <v>65</v>
      </c>
      <c r="AB2192">
        <v>145</v>
      </c>
      <c r="AC2192">
        <v>8900</v>
      </c>
      <c r="AD2192">
        <v>0</v>
      </c>
      <c r="AE2192">
        <v>0</v>
      </c>
      <c r="AF2192">
        <v>0</v>
      </c>
      <c r="AG2192">
        <v>580</v>
      </c>
      <c r="AH2192">
        <v>580</v>
      </c>
      <c r="AI2192">
        <v>0</v>
      </c>
      <c r="AJ2192">
        <v>0</v>
      </c>
      <c r="AK2192">
        <v>10583</v>
      </c>
      <c r="AL2192">
        <v>10583</v>
      </c>
      <c r="AM2192">
        <v>0</v>
      </c>
      <c r="AN2192">
        <v>0</v>
      </c>
      <c r="AO2192">
        <v>1276</v>
      </c>
      <c r="AP2192">
        <v>624</v>
      </c>
      <c r="AQ2192">
        <v>1276</v>
      </c>
      <c r="AR2192">
        <v>652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f t="shared" si="353"/>
        <v>35054</v>
      </c>
      <c r="BF2192">
        <v>21609</v>
      </c>
      <c r="BG2192">
        <v>21609</v>
      </c>
      <c r="BH2192" t="s">
        <v>82</v>
      </c>
      <c r="BI2192" t="s">
        <v>1628</v>
      </c>
      <c r="BJ2192">
        <v>9110</v>
      </c>
      <c r="BK2192">
        <v>12439</v>
      </c>
      <c r="BL2192">
        <v>21609</v>
      </c>
      <c r="BM2192">
        <v>0</v>
      </c>
      <c r="BN2192">
        <v>0</v>
      </c>
      <c r="BO2192">
        <v>0</v>
      </c>
      <c r="BP2192">
        <v>12979</v>
      </c>
      <c r="BQ2192">
        <v>12979</v>
      </c>
      <c r="BR2192">
        <f t="shared" si="354"/>
        <v>-714</v>
      </c>
      <c r="BS2192">
        <f t="shared" si="355"/>
        <v>834</v>
      </c>
    </row>
    <row r="2193" spans="1:74" x14ac:dyDescent="0.25">
      <c r="A2193" s="5" t="s">
        <v>1661</v>
      </c>
      <c r="B2193" s="5" t="s">
        <v>207</v>
      </c>
      <c r="C2193" s="5" t="s">
        <v>61</v>
      </c>
      <c r="D2193" s="1" t="s">
        <v>117</v>
      </c>
      <c r="E2193">
        <v>0</v>
      </c>
      <c r="F2193">
        <v>46</v>
      </c>
      <c r="G2193">
        <v>0</v>
      </c>
      <c r="H2193">
        <v>0</v>
      </c>
      <c r="I2193">
        <v>839</v>
      </c>
      <c r="J2193">
        <v>1815</v>
      </c>
      <c r="K2193">
        <v>3655</v>
      </c>
      <c r="L2193">
        <v>62</v>
      </c>
      <c r="M2193">
        <v>0</v>
      </c>
      <c r="N2193">
        <v>0</v>
      </c>
      <c r="O2193">
        <v>0</v>
      </c>
      <c r="P2193">
        <v>414</v>
      </c>
      <c r="Q2193">
        <v>760</v>
      </c>
      <c r="R2193">
        <v>46</v>
      </c>
      <c r="S2193" s="18">
        <f t="shared" si="346"/>
        <v>9</v>
      </c>
      <c r="T2193" s="17">
        <f t="shared" si="347"/>
        <v>0</v>
      </c>
      <c r="U2193" s="17">
        <f t="shared" si="348"/>
        <v>0</v>
      </c>
      <c r="V2193" s="17">
        <f t="shared" si="349"/>
        <v>0</v>
      </c>
      <c r="W2193" s="17">
        <f t="shared" si="350"/>
        <v>46</v>
      </c>
      <c r="X2193" s="17">
        <f t="shared" si="351"/>
        <v>714</v>
      </c>
      <c r="Y2193" s="19">
        <f t="shared" si="352"/>
        <v>0</v>
      </c>
      <c r="Z2193">
        <v>46</v>
      </c>
      <c r="AA2193">
        <v>0</v>
      </c>
      <c r="AB2193">
        <v>0</v>
      </c>
      <c r="AC2193">
        <v>316</v>
      </c>
      <c r="AD2193">
        <v>0</v>
      </c>
      <c r="AE2193">
        <v>0</v>
      </c>
      <c r="AF2193">
        <v>0</v>
      </c>
      <c r="AG2193">
        <v>839</v>
      </c>
      <c r="AH2193">
        <v>839</v>
      </c>
      <c r="AI2193">
        <v>0</v>
      </c>
      <c r="AJ2193">
        <v>0</v>
      </c>
      <c r="AK2193">
        <v>1815</v>
      </c>
      <c r="AL2193">
        <v>1815</v>
      </c>
      <c r="AM2193">
        <v>0</v>
      </c>
      <c r="AN2193">
        <v>0</v>
      </c>
      <c r="AO2193">
        <v>3655</v>
      </c>
      <c r="AP2193">
        <v>3045</v>
      </c>
      <c r="AQ2193">
        <v>3655</v>
      </c>
      <c r="AR2193">
        <v>610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62</v>
      </c>
      <c r="BA2193">
        <v>62</v>
      </c>
      <c r="BB2193">
        <v>0</v>
      </c>
      <c r="BC2193">
        <v>0</v>
      </c>
      <c r="BD2193">
        <v>0</v>
      </c>
      <c r="BE2193">
        <f t="shared" si="353"/>
        <v>16713</v>
      </c>
      <c r="BF2193">
        <v>10833</v>
      </c>
      <c r="BG2193">
        <v>10833</v>
      </c>
      <c r="BH2193" t="s">
        <v>190</v>
      </c>
      <c r="BI2193" t="s">
        <v>1782</v>
      </c>
      <c r="BJ2193">
        <v>316</v>
      </c>
      <c r="BK2193">
        <v>6371</v>
      </c>
      <c r="BL2193">
        <v>6733</v>
      </c>
      <c r="BM2193">
        <v>0</v>
      </c>
      <c r="BN2193">
        <v>0</v>
      </c>
      <c r="BO2193">
        <v>0</v>
      </c>
      <c r="BP2193">
        <v>6785</v>
      </c>
      <c r="BQ2193">
        <v>6785</v>
      </c>
      <c r="BR2193">
        <f t="shared" si="354"/>
        <v>-714</v>
      </c>
      <c r="BS2193">
        <f t="shared" si="355"/>
        <v>806</v>
      </c>
    </row>
    <row r="2194" spans="1:74" x14ac:dyDescent="0.25">
      <c r="A2194" s="5" t="s">
        <v>359</v>
      </c>
      <c r="B2194" s="5" t="s">
        <v>61</v>
      </c>
      <c r="C2194" s="5" t="s">
        <v>61</v>
      </c>
      <c r="D2194" s="1" t="s">
        <v>121</v>
      </c>
      <c r="E2194">
        <v>0</v>
      </c>
      <c r="F2194">
        <v>0</v>
      </c>
      <c r="G2194">
        <v>0</v>
      </c>
      <c r="H2194">
        <v>0</v>
      </c>
      <c r="I2194">
        <v>1652</v>
      </c>
      <c r="J2194">
        <v>16032</v>
      </c>
      <c r="K2194">
        <v>563</v>
      </c>
      <c r="L2194">
        <v>30</v>
      </c>
      <c r="M2194">
        <v>0</v>
      </c>
      <c r="N2194">
        <v>0</v>
      </c>
      <c r="O2194">
        <v>0</v>
      </c>
      <c r="P2194">
        <v>0</v>
      </c>
      <c r="Q2194">
        <v>719</v>
      </c>
      <c r="R2194">
        <v>0</v>
      </c>
      <c r="S2194" s="18" t="e">
        <f t="shared" si="346"/>
        <v>#DIV/0!</v>
      </c>
      <c r="T2194" s="17" t="e">
        <f t="shared" si="347"/>
        <v>#DIV/0!</v>
      </c>
      <c r="U2194" s="17" t="e">
        <f t="shared" si="348"/>
        <v>#DIV/0!</v>
      </c>
      <c r="V2194" s="17" t="e">
        <f t="shared" si="349"/>
        <v>#DIV/0!</v>
      </c>
      <c r="W2194" s="17" t="e">
        <f t="shared" si="350"/>
        <v>#DIV/0!</v>
      </c>
      <c r="X2194" s="17" t="e">
        <f t="shared" si="351"/>
        <v>#DIV/0!</v>
      </c>
      <c r="Y2194" s="19" t="e">
        <f t="shared" si="352"/>
        <v>#DIV/0!</v>
      </c>
      <c r="Z2194">
        <v>0</v>
      </c>
      <c r="AA2194">
        <v>0</v>
      </c>
      <c r="AB2194">
        <v>0</v>
      </c>
      <c r="AC2194">
        <v>3116</v>
      </c>
      <c r="AD2194">
        <v>0</v>
      </c>
      <c r="AE2194">
        <v>0</v>
      </c>
      <c r="AF2194">
        <v>0</v>
      </c>
      <c r="AG2194">
        <v>1652</v>
      </c>
      <c r="AH2194">
        <v>1652</v>
      </c>
      <c r="AI2194">
        <v>0</v>
      </c>
      <c r="AJ2194">
        <v>0</v>
      </c>
      <c r="AK2194">
        <v>16032</v>
      </c>
      <c r="AL2194">
        <v>16032</v>
      </c>
      <c r="AM2194">
        <v>0</v>
      </c>
      <c r="AN2194">
        <v>0</v>
      </c>
      <c r="AO2194">
        <v>563</v>
      </c>
      <c r="AP2194">
        <v>441</v>
      </c>
      <c r="AQ2194">
        <v>563</v>
      </c>
      <c r="AR2194">
        <v>122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30</v>
      </c>
      <c r="BA2194">
        <v>30</v>
      </c>
      <c r="BB2194">
        <v>0</v>
      </c>
      <c r="BC2194">
        <v>0</v>
      </c>
      <c r="BD2194">
        <v>0</v>
      </c>
      <c r="BE2194">
        <f t="shared" si="353"/>
        <v>40233</v>
      </c>
      <c r="BF2194">
        <v>21393</v>
      </c>
      <c r="BG2194">
        <v>21393</v>
      </c>
      <c r="BH2194" t="s">
        <v>82</v>
      </c>
      <c r="BI2194" t="s">
        <v>723</v>
      </c>
      <c r="BJ2194">
        <v>3116</v>
      </c>
      <c r="BK2194">
        <v>18277</v>
      </c>
      <c r="BL2194">
        <v>21393</v>
      </c>
      <c r="BM2194">
        <v>0</v>
      </c>
      <c r="BN2194">
        <v>0</v>
      </c>
      <c r="BO2194">
        <v>0</v>
      </c>
      <c r="BP2194">
        <v>18277</v>
      </c>
      <c r="BQ2194">
        <v>18277</v>
      </c>
      <c r="BR2194">
        <f t="shared" si="354"/>
        <v>-719</v>
      </c>
      <c r="BS2194">
        <f t="shared" si="355"/>
        <v>719</v>
      </c>
    </row>
    <row r="2195" spans="1:74" x14ac:dyDescent="0.25">
      <c r="A2195" s="5" t="s">
        <v>207</v>
      </c>
      <c r="B2195" s="5" t="s">
        <v>627</v>
      </c>
      <c r="C2195" s="5" t="s">
        <v>207</v>
      </c>
      <c r="D2195" s="1" t="s">
        <v>77</v>
      </c>
      <c r="E2195">
        <v>0</v>
      </c>
      <c r="F2195">
        <v>0</v>
      </c>
      <c r="G2195">
        <v>0</v>
      </c>
      <c r="H2195">
        <v>0</v>
      </c>
      <c r="I2195">
        <v>213</v>
      </c>
      <c r="J2195">
        <v>4647</v>
      </c>
      <c r="K2195">
        <v>2291</v>
      </c>
      <c r="L2195">
        <v>520</v>
      </c>
      <c r="M2195">
        <v>0</v>
      </c>
      <c r="N2195">
        <v>0</v>
      </c>
      <c r="O2195">
        <v>0</v>
      </c>
      <c r="P2195">
        <v>0</v>
      </c>
      <c r="Q2195">
        <v>721</v>
      </c>
      <c r="R2195">
        <v>0</v>
      </c>
      <c r="S2195" s="18" t="e">
        <f t="shared" si="346"/>
        <v>#DIV/0!</v>
      </c>
      <c r="T2195" s="17" t="e">
        <f t="shared" si="347"/>
        <v>#DIV/0!</v>
      </c>
      <c r="U2195" s="17" t="e">
        <f t="shared" si="348"/>
        <v>#DIV/0!</v>
      </c>
      <c r="V2195" s="17" t="e">
        <f t="shared" si="349"/>
        <v>#DIV/0!</v>
      </c>
      <c r="W2195" s="17" t="e">
        <f t="shared" si="350"/>
        <v>#DIV/0!</v>
      </c>
      <c r="X2195" s="17" t="e">
        <f t="shared" si="351"/>
        <v>#DIV/0!</v>
      </c>
      <c r="Y2195" s="19" t="e">
        <f t="shared" si="352"/>
        <v>#DIV/0!</v>
      </c>
      <c r="Z2195">
        <v>0</v>
      </c>
      <c r="AA2195">
        <v>7</v>
      </c>
      <c r="AB2195">
        <v>413</v>
      </c>
      <c r="AC2195">
        <v>9204</v>
      </c>
      <c r="AD2195">
        <v>0</v>
      </c>
      <c r="AE2195">
        <v>0</v>
      </c>
      <c r="AF2195">
        <v>0</v>
      </c>
      <c r="AG2195">
        <v>213</v>
      </c>
      <c r="AH2195">
        <v>213</v>
      </c>
      <c r="AI2195">
        <v>0</v>
      </c>
      <c r="AJ2195">
        <v>0</v>
      </c>
      <c r="AK2195">
        <v>4647</v>
      </c>
      <c r="AL2195">
        <v>4647</v>
      </c>
      <c r="AM2195">
        <v>0</v>
      </c>
      <c r="AN2195">
        <v>0</v>
      </c>
      <c r="AO2195">
        <v>2291</v>
      </c>
      <c r="AP2195">
        <v>612</v>
      </c>
      <c r="AQ2195">
        <v>2291</v>
      </c>
      <c r="AR2195">
        <v>1679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520</v>
      </c>
      <c r="BA2195">
        <v>520</v>
      </c>
      <c r="BB2195">
        <v>0</v>
      </c>
      <c r="BC2195">
        <v>0</v>
      </c>
      <c r="BD2195">
        <v>0</v>
      </c>
      <c r="BE2195">
        <f t="shared" si="353"/>
        <v>26837</v>
      </c>
      <c r="BF2195">
        <v>17295</v>
      </c>
      <c r="BG2195">
        <v>17295</v>
      </c>
      <c r="BH2195" t="s">
        <v>82</v>
      </c>
      <c r="BI2195" t="s">
        <v>666</v>
      </c>
      <c r="BJ2195">
        <v>9624</v>
      </c>
      <c r="BK2195">
        <v>7671</v>
      </c>
      <c r="BL2195">
        <v>17295</v>
      </c>
      <c r="BM2195">
        <v>0</v>
      </c>
      <c r="BN2195">
        <v>0</v>
      </c>
      <c r="BO2195">
        <v>0</v>
      </c>
      <c r="BP2195">
        <v>7671</v>
      </c>
      <c r="BQ2195">
        <v>7671</v>
      </c>
      <c r="BR2195">
        <f t="shared" si="354"/>
        <v>-721</v>
      </c>
      <c r="BS2195">
        <f t="shared" si="355"/>
        <v>721</v>
      </c>
    </row>
    <row r="2196" spans="1:74" x14ac:dyDescent="0.25">
      <c r="A2196" s="5" t="s">
        <v>1661</v>
      </c>
      <c r="B2196" s="5" t="s">
        <v>61</v>
      </c>
      <c r="C2196" s="5" t="s">
        <v>359</v>
      </c>
      <c r="D2196" s="1" t="s">
        <v>129</v>
      </c>
      <c r="E2196">
        <v>0</v>
      </c>
      <c r="F2196">
        <v>2137</v>
      </c>
      <c r="G2196">
        <v>0</v>
      </c>
      <c r="H2196">
        <v>0</v>
      </c>
      <c r="I2196">
        <v>1422</v>
      </c>
      <c r="J2196">
        <v>2884</v>
      </c>
      <c r="K2196">
        <v>560</v>
      </c>
      <c r="L2196">
        <v>80</v>
      </c>
      <c r="M2196">
        <v>0</v>
      </c>
      <c r="N2196">
        <v>1170</v>
      </c>
      <c r="O2196">
        <v>0</v>
      </c>
      <c r="P2196">
        <v>0</v>
      </c>
      <c r="Q2196">
        <v>851</v>
      </c>
      <c r="R2196">
        <v>130</v>
      </c>
      <c r="S2196" s="18">
        <f t="shared" si="346"/>
        <v>9</v>
      </c>
      <c r="T2196" s="17">
        <f t="shared" si="347"/>
        <v>0</v>
      </c>
      <c r="U2196" s="17">
        <f t="shared" si="348"/>
        <v>130</v>
      </c>
      <c r="V2196" s="17">
        <f t="shared" si="349"/>
        <v>0</v>
      </c>
      <c r="W2196" s="17">
        <f t="shared" si="350"/>
        <v>0</v>
      </c>
      <c r="X2196" s="17">
        <f t="shared" si="351"/>
        <v>721</v>
      </c>
      <c r="Y2196" s="19">
        <f t="shared" si="352"/>
        <v>0</v>
      </c>
      <c r="Z2196">
        <v>2137</v>
      </c>
      <c r="AA2196">
        <v>0</v>
      </c>
      <c r="AB2196">
        <v>0</v>
      </c>
      <c r="AC2196">
        <v>5316</v>
      </c>
      <c r="AD2196">
        <v>0</v>
      </c>
      <c r="AE2196">
        <v>1422</v>
      </c>
      <c r="AF2196">
        <v>0</v>
      </c>
      <c r="AG2196">
        <v>0</v>
      </c>
      <c r="AH2196">
        <v>1422</v>
      </c>
      <c r="AI2196">
        <v>0</v>
      </c>
      <c r="AJ2196">
        <v>2884</v>
      </c>
      <c r="AK2196">
        <v>0</v>
      </c>
      <c r="AL2196">
        <v>2884</v>
      </c>
      <c r="AM2196">
        <v>0</v>
      </c>
      <c r="AN2196">
        <v>560</v>
      </c>
      <c r="AO2196">
        <v>0</v>
      </c>
      <c r="AP2196">
        <v>260</v>
      </c>
      <c r="AQ2196">
        <v>560</v>
      </c>
      <c r="AR2196">
        <v>300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80</v>
      </c>
      <c r="AZ2196">
        <v>0</v>
      </c>
      <c r="BA2196">
        <v>80</v>
      </c>
      <c r="BB2196">
        <v>0</v>
      </c>
      <c r="BC2196">
        <v>0</v>
      </c>
      <c r="BD2196">
        <v>0</v>
      </c>
      <c r="BE2196">
        <f t="shared" si="353"/>
        <v>15768</v>
      </c>
      <c r="BF2196">
        <v>12399</v>
      </c>
      <c r="BG2196">
        <v>12399</v>
      </c>
      <c r="BH2196" t="s">
        <v>82</v>
      </c>
      <c r="BI2196" t="s">
        <v>1742</v>
      </c>
      <c r="BJ2196">
        <v>5316</v>
      </c>
      <c r="BK2196">
        <v>4946</v>
      </c>
      <c r="BL2196">
        <v>12399</v>
      </c>
      <c r="BM2196">
        <v>0</v>
      </c>
      <c r="BN2196">
        <v>6116</v>
      </c>
      <c r="BO2196">
        <v>0</v>
      </c>
      <c r="BP2196">
        <v>0</v>
      </c>
      <c r="BQ2196">
        <v>6116</v>
      </c>
      <c r="BR2196">
        <f t="shared" si="354"/>
        <v>-721</v>
      </c>
      <c r="BS2196">
        <f t="shared" si="355"/>
        <v>981</v>
      </c>
    </row>
    <row r="2197" spans="1:74" x14ac:dyDescent="0.25">
      <c r="A2197" s="5" t="s">
        <v>1135</v>
      </c>
      <c r="B2197" s="5" t="s">
        <v>61</v>
      </c>
      <c r="C2197" s="5" t="s">
        <v>61</v>
      </c>
      <c r="D2197" s="1" t="s">
        <v>94</v>
      </c>
      <c r="E2197">
        <v>0</v>
      </c>
      <c r="F2197">
        <v>420</v>
      </c>
      <c r="G2197">
        <v>0</v>
      </c>
      <c r="H2197">
        <v>0</v>
      </c>
      <c r="I2197">
        <v>1600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927</v>
      </c>
      <c r="Q2197">
        <v>825</v>
      </c>
      <c r="R2197">
        <v>103</v>
      </c>
      <c r="S2197" s="18">
        <f t="shared" si="346"/>
        <v>9</v>
      </c>
      <c r="T2197" s="17">
        <f t="shared" si="347"/>
        <v>0</v>
      </c>
      <c r="U2197" s="17">
        <f t="shared" si="348"/>
        <v>0</v>
      </c>
      <c r="V2197" s="17">
        <f t="shared" si="349"/>
        <v>0</v>
      </c>
      <c r="W2197" s="17">
        <f t="shared" si="350"/>
        <v>103</v>
      </c>
      <c r="X2197" s="17">
        <f t="shared" si="351"/>
        <v>722</v>
      </c>
      <c r="Y2197" s="19">
        <f t="shared" si="352"/>
        <v>0</v>
      </c>
      <c r="Z2197">
        <v>420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1600</v>
      </c>
      <c r="AH2197">
        <v>1600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f t="shared" si="353"/>
        <v>3200</v>
      </c>
      <c r="BF2197">
        <v>2020</v>
      </c>
      <c r="BG2197">
        <v>2020</v>
      </c>
      <c r="BH2197" t="s">
        <v>109</v>
      </c>
      <c r="BI2197" t="s">
        <v>1148</v>
      </c>
      <c r="BJ2197">
        <v>0</v>
      </c>
      <c r="BK2197">
        <v>1600</v>
      </c>
      <c r="BL2197">
        <v>2020</v>
      </c>
      <c r="BM2197">
        <v>0</v>
      </c>
      <c r="BN2197">
        <v>0</v>
      </c>
      <c r="BO2197">
        <v>0</v>
      </c>
      <c r="BP2197">
        <v>2527</v>
      </c>
      <c r="BQ2197">
        <v>2527</v>
      </c>
      <c r="BR2197">
        <f t="shared" si="354"/>
        <v>-722</v>
      </c>
      <c r="BS2197">
        <f t="shared" si="355"/>
        <v>928</v>
      </c>
    </row>
    <row r="2198" spans="1:74" x14ac:dyDescent="0.25">
      <c r="A2198" s="5" t="s">
        <v>875</v>
      </c>
      <c r="B2198" s="5" t="s">
        <v>207</v>
      </c>
      <c r="C2198" s="5" t="s">
        <v>61</v>
      </c>
      <c r="D2198" s="1" t="s">
        <v>149</v>
      </c>
      <c r="E2198">
        <v>77</v>
      </c>
      <c r="F2198">
        <v>0</v>
      </c>
      <c r="G2198">
        <v>0</v>
      </c>
      <c r="H2198">
        <v>0</v>
      </c>
      <c r="I2198">
        <v>250</v>
      </c>
      <c r="J2198">
        <v>10671</v>
      </c>
      <c r="K2198">
        <v>350</v>
      </c>
      <c r="L2198">
        <v>124</v>
      </c>
      <c r="M2198">
        <v>0</v>
      </c>
      <c r="N2198">
        <v>0</v>
      </c>
      <c r="O2198">
        <v>0</v>
      </c>
      <c r="P2198">
        <v>0</v>
      </c>
      <c r="Q2198">
        <v>727</v>
      </c>
      <c r="R2198">
        <v>0</v>
      </c>
      <c r="S2198" s="18" t="e">
        <f t="shared" si="346"/>
        <v>#DIV/0!</v>
      </c>
      <c r="T2198" s="17" t="e">
        <f t="shared" si="347"/>
        <v>#DIV/0!</v>
      </c>
      <c r="U2198" s="17" t="e">
        <f t="shared" si="348"/>
        <v>#DIV/0!</v>
      </c>
      <c r="V2198" s="17" t="e">
        <f t="shared" si="349"/>
        <v>#DIV/0!</v>
      </c>
      <c r="W2198" s="17" t="e">
        <f t="shared" si="350"/>
        <v>#DIV/0!</v>
      </c>
      <c r="X2198" s="17" t="e">
        <f t="shared" si="351"/>
        <v>#DIV/0!</v>
      </c>
      <c r="Y2198" s="19" t="e">
        <f t="shared" si="352"/>
        <v>#DIV/0!</v>
      </c>
      <c r="Z2198">
        <v>0</v>
      </c>
      <c r="AA2198">
        <v>45</v>
      </c>
      <c r="AB2198">
        <v>650</v>
      </c>
      <c r="AC2198">
        <v>29475</v>
      </c>
      <c r="AD2198">
        <v>0</v>
      </c>
      <c r="AE2198">
        <v>0</v>
      </c>
      <c r="AF2198">
        <v>0</v>
      </c>
      <c r="AG2198">
        <v>250</v>
      </c>
      <c r="AH2198">
        <v>250</v>
      </c>
      <c r="AI2198">
        <v>0</v>
      </c>
      <c r="AJ2198">
        <v>0</v>
      </c>
      <c r="AK2198">
        <v>10671</v>
      </c>
      <c r="AL2198">
        <v>10671</v>
      </c>
      <c r="AM2198">
        <v>0</v>
      </c>
      <c r="AN2198">
        <v>0</v>
      </c>
      <c r="AO2198">
        <v>350</v>
      </c>
      <c r="AP2198">
        <v>120</v>
      </c>
      <c r="AQ2198">
        <v>350</v>
      </c>
      <c r="AR2198">
        <v>230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124</v>
      </c>
      <c r="BA2198">
        <v>124</v>
      </c>
      <c r="BB2198">
        <v>0</v>
      </c>
      <c r="BC2198">
        <v>0</v>
      </c>
      <c r="BD2198">
        <v>0</v>
      </c>
      <c r="BE2198">
        <f t="shared" si="353"/>
        <v>52615</v>
      </c>
      <c r="BF2198">
        <v>41642</v>
      </c>
      <c r="BG2198">
        <v>41642</v>
      </c>
      <c r="BH2198" t="s">
        <v>82</v>
      </c>
      <c r="BI2198" t="s">
        <v>1007</v>
      </c>
      <c r="BJ2198">
        <v>30247</v>
      </c>
      <c r="BK2198">
        <v>11395</v>
      </c>
      <c r="BL2198">
        <v>41642</v>
      </c>
      <c r="BM2198">
        <v>0</v>
      </c>
      <c r="BN2198">
        <v>0</v>
      </c>
      <c r="BO2198">
        <v>0</v>
      </c>
      <c r="BP2198">
        <v>11395</v>
      </c>
      <c r="BQ2198">
        <v>11395</v>
      </c>
      <c r="BR2198">
        <f t="shared" si="354"/>
        <v>-727</v>
      </c>
      <c r="BS2198">
        <f t="shared" si="355"/>
        <v>727</v>
      </c>
    </row>
    <row r="2199" spans="1:74" x14ac:dyDescent="0.25">
      <c r="A2199" s="5" t="s">
        <v>1451</v>
      </c>
      <c r="B2199" s="5" t="s">
        <v>61</v>
      </c>
      <c r="C2199" s="5" t="s">
        <v>207</v>
      </c>
      <c r="D2199" s="1" t="s">
        <v>81</v>
      </c>
      <c r="E2199">
        <v>0</v>
      </c>
      <c r="F2199">
        <v>600</v>
      </c>
      <c r="G2199">
        <v>0</v>
      </c>
      <c r="H2199">
        <v>0</v>
      </c>
      <c r="I2199">
        <v>2950</v>
      </c>
      <c r="J2199">
        <v>0</v>
      </c>
      <c r="K2199">
        <v>276</v>
      </c>
      <c r="L2199">
        <v>0</v>
      </c>
      <c r="M2199">
        <v>594</v>
      </c>
      <c r="N2199">
        <v>0</v>
      </c>
      <c r="O2199">
        <v>0</v>
      </c>
      <c r="P2199">
        <v>0</v>
      </c>
      <c r="Q2199">
        <v>801</v>
      </c>
      <c r="R2199">
        <v>66</v>
      </c>
      <c r="S2199" s="18">
        <f t="shared" si="346"/>
        <v>9</v>
      </c>
      <c r="T2199" s="17">
        <f t="shared" si="347"/>
        <v>66</v>
      </c>
      <c r="U2199" s="17">
        <f t="shared" si="348"/>
        <v>0</v>
      </c>
      <c r="V2199" s="17">
        <f t="shared" si="349"/>
        <v>0</v>
      </c>
      <c r="W2199" s="17">
        <f t="shared" si="350"/>
        <v>0</v>
      </c>
      <c r="X2199" s="17">
        <f t="shared" si="351"/>
        <v>735</v>
      </c>
      <c r="Y2199" s="19">
        <f t="shared" si="352"/>
        <v>0</v>
      </c>
      <c r="Z2199">
        <v>600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2950</v>
      </c>
      <c r="AH2199">
        <v>2950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276</v>
      </c>
      <c r="AP2199">
        <v>276</v>
      </c>
      <c r="AQ2199">
        <v>276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f t="shared" si="353"/>
        <v>6728</v>
      </c>
      <c r="BF2199">
        <v>3826</v>
      </c>
      <c r="BG2199">
        <v>3826</v>
      </c>
      <c r="BH2199" t="s">
        <v>109</v>
      </c>
      <c r="BI2199" t="s">
        <v>1479</v>
      </c>
      <c r="BJ2199">
        <v>0</v>
      </c>
      <c r="BK2199">
        <v>3226</v>
      </c>
      <c r="BL2199">
        <v>3826</v>
      </c>
      <c r="BM2199">
        <v>594</v>
      </c>
      <c r="BN2199">
        <v>0</v>
      </c>
      <c r="BO2199">
        <v>0</v>
      </c>
      <c r="BP2199">
        <v>3226</v>
      </c>
      <c r="BQ2199">
        <v>3820</v>
      </c>
      <c r="BR2199">
        <f t="shared" si="354"/>
        <v>-735</v>
      </c>
      <c r="BS2199">
        <f t="shared" si="355"/>
        <v>867</v>
      </c>
    </row>
    <row r="2200" spans="1:74" x14ac:dyDescent="0.25">
      <c r="A2200" s="5" t="s">
        <v>1451</v>
      </c>
      <c r="B2200" s="5" t="s">
        <v>61</v>
      </c>
      <c r="C2200" s="5" t="s">
        <v>207</v>
      </c>
      <c r="D2200" s="1" t="s">
        <v>127</v>
      </c>
      <c r="E2200">
        <v>0</v>
      </c>
      <c r="F2200">
        <v>0</v>
      </c>
      <c r="G2200">
        <v>0</v>
      </c>
      <c r="H2200">
        <v>0</v>
      </c>
      <c r="I2200">
        <v>417</v>
      </c>
      <c r="J2200">
        <v>2528</v>
      </c>
      <c r="K2200">
        <v>3059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736</v>
      </c>
      <c r="R2200">
        <v>0</v>
      </c>
      <c r="S2200" s="18" t="e">
        <f t="shared" si="346"/>
        <v>#DIV/0!</v>
      </c>
      <c r="T2200" s="17" t="e">
        <f t="shared" si="347"/>
        <v>#DIV/0!</v>
      </c>
      <c r="U2200" s="17" t="e">
        <f t="shared" si="348"/>
        <v>#DIV/0!</v>
      </c>
      <c r="V2200" s="17" t="e">
        <f t="shared" si="349"/>
        <v>#DIV/0!</v>
      </c>
      <c r="W2200" s="17" t="e">
        <f t="shared" si="350"/>
        <v>#DIV/0!</v>
      </c>
      <c r="X2200" s="17" t="e">
        <f t="shared" si="351"/>
        <v>#DIV/0!</v>
      </c>
      <c r="Y2200" s="19" t="e">
        <f t="shared" si="352"/>
        <v>#DIV/0!</v>
      </c>
      <c r="Z2200">
        <v>0</v>
      </c>
      <c r="AA2200">
        <v>12</v>
      </c>
      <c r="AB2200">
        <v>0</v>
      </c>
      <c r="AC2200">
        <v>3000</v>
      </c>
      <c r="AD2200">
        <v>0</v>
      </c>
      <c r="AE2200">
        <v>0</v>
      </c>
      <c r="AF2200">
        <v>0</v>
      </c>
      <c r="AG2200">
        <v>417</v>
      </c>
      <c r="AH2200">
        <v>417</v>
      </c>
      <c r="AI2200">
        <v>0</v>
      </c>
      <c r="AJ2200">
        <v>0</v>
      </c>
      <c r="AK2200">
        <v>2528</v>
      </c>
      <c r="AL2200">
        <v>2528</v>
      </c>
      <c r="AM2200">
        <v>0</v>
      </c>
      <c r="AN2200">
        <v>0</v>
      </c>
      <c r="AO2200">
        <v>3059</v>
      </c>
      <c r="AP2200">
        <v>1116</v>
      </c>
      <c r="AQ2200">
        <v>3059</v>
      </c>
      <c r="AR2200">
        <v>1943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f t="shared" si="353"/>
        <v>18067</v>
      </c>
      <c r="BF2200">
        <v>12309</v>
      </c>
      <c r="BG2200">
        <v>12309</v>
      </c>
      <c r="BH2200" t="s">
        <v>82</v>
      </c>
      <c r="BI2200" t="s">
        <v>1501</v>
      </c>
      <c r="BJ2200">
        <v>3012</v>
      </c>
      <c r="BK2200">
        <v>6004</v>
      </c>
      <c r="BL2200">
        <v>9016</v>
      </c>
      <c r="BM2200">
        <v>0</v>
      </c>
      <c r="BN2200">
        <v>0</v>
      </c>
      <c r="BO2200">
        <v>0</v>
      </c>
      <c r="BP2200">
        <v>6004</v>
      </c>
      <c r="BQ2200">
        <v>6004</v>
      </c>
      <c r="BR2200">
        <f t="shared" si="354"/>
        <v>-736</v>
      </c>
      <c r="BS2200">
        <f t="shared" si="355"/>
        <v>736</v>
      </c>
    </row>
    <row r="2201" spans="1:74" x14ac:dyDescent="0.25">
      <c r="A2201" s="5" t="s">
        <v>1017</v>
      </c>
      <c r="B2201" s="5" t="s">
        <v>61</v>
      </c>
      <c r="C2201" s="5" t="s">
        <v>61</v>
      </c>
      <c r="D2201" s="1" t="s">
        <v>69</v>
      </c>
      <c r="E2201">
        <v>0</v>
      </c>
      <c r="F2201">
        <v>0</v>
      </c>
      <c r="G2201">
        <v>0</v>
      </c>
      <c r="H2201">
        <v>0</v>
      </c>
      <c r="I2201">
        <v>413</v>
      </c>
      <c r="J2201">
        <v>2702</v>
      </c>
      <c r="K2201">
        <v>367</v>
      </c>
      <c r="L2201">
        <v>670</v>
      </c>
      <c r="M2201">
        <v>0</v>
      </c>
      <c r="N2201">
        <v>0</v>
      </c>
      <c r="O2201">
        <v>0</v>
      </c>
      <c r="P2201">
        <v>0</v>
      </c>
      <c r="Q2201">
        <v>677</v>
      </c>
      <c r="R2201">
        <v>0</v>
      </c>
      <c r="S2201" s="18" t="e">
        <f t="shared" si="346"/>
        <v>#DIV/0!</v>
      </c>
      <c r="T2201" s="17" t="e">
        <f t="shared" si="347"/>
        <v>#DIV/0!</v>
      </c>
      <c r="U2201" s="17" t="e">
        <f t="shared" si="348"/>
        <v>#DIV/0!</v>
      </c>
      <c r="V2201" s="17" t="e">
        <f t="shared" si="349"/>
        <v>#DIV/0!</v>
      </c>
      <c r="W2201" s="17" t="e">
        <f t="shared" si="350"/>
        <v>#DIV/0!</v>
      </c>
      <c r="X2201" s="17" t="e">
        <f t="shared" si="351"/>
        <v>#DIV/0!</v>
      </c>
      <c r="Y2201" s="19" t="e">
        <f t="shared" si="352"/>
        <v>#DIV/0!</v>
      </c>
      <c r="Z2201">
        <v>0</v>
      </c>
      <c r="AA2201">
        <v>0</v>
      </c>
      <c r="AB2201">
        <v>0</v>
      </c>
      <c r="AC2201">
        <v>0</v>
      </c>
      <c r="AD2201">
        <v>413</v>
      </c>
      <c r="AE2201">
        <v>0</v>
      </c>
      <c r="AF2201">
        <v>0</v>
      </c>
      <c r="AG2201">
        <v>0</v>
      </c>
      <c r="AH2201">
        <v>413</v>
      </c>
      <c r="AI2201">
        <v>0</v>
      </c>
      <c r="AJ2201">
        <v>0</v>
      </c>
      <c r="AK2201">
        <v>2702</v>
      </c>
      <c r="AL2201">
        <v>2702</v>
      </c>
      <c r="AM2201">
        <v>0</v>
      </c>
      <c r="AN2201">
        <v>0</v>
      </c>
      <c r="AO2201">
        <v>367</v>
      </c>
      <c r="AP2201">
        <v>0</v>
      </c>
      <c r="AQ2201">
        <v>367</v>
      </c>
      <c r="AR2201">
        <v>367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670</v>
      </c>
      <c r="BA2201">
        <v>670</v>
      </c>
      <c r="BB2201">
        <v>0</v>
      </c>
      <c r="BC2201">
        <v>0</v>
      </c>
      <c r="BD2201">
        <v>0</v>
      </c>
      <c r="BE2201">
        <f t="shared" si="353"/>
        <v>8671</v>
      </c>
      <c r="BF2201">
        <v>4152</v>
      </c>
      <c r="BG2201">
        <v>4152</v>
      </c>
      <c r="BH2201" t="s">
        <v>63</v>
      </c>
      <c r="BI2201" t="s">
        <v>1021</v>
      </c>
      <c r="BJ2201">
        <v>0</v>
      </c>
      <c r="BK2201">
        <v>4152</v>
      </c>
      <c r="BL2201">
        <v>4152</v>
      </c>
      <c r="BM2201">
        <v>413</v>
      </c>
      <c r="BN2201">
        <v>0</v>
      </c>
      <c r="BO2201">
        <v>0</v>
      </c>
      <c r="BP2201">
        <v>3739</v>
      </c>
      <c r="BQ2201">
        <v>4152</v>
      </c>
      <c r="BR2201">
        <f t="shared" si="354"/>
        <v>-677</v>
      </c>
      <c r="BS2201">
        <f t="shared" si="355"/>
        <v>677</v>
      </c>
      <c r="BU2201">
        <f>R2201*9</f>
        <v>0</v>
      </c>
      <c r="BV2201">
        <f>IF(BU2201&gt;BG2201, 1, 0)</f>
        <v>0</v>
      </c>
    </row>
    <row r="2202" spans="1:74" x14ac:dyDescent="0.25">
      <c r="A2202" s="5" t="s">
        <v>1135</v>
      </c>
      <c r="B2202" s="5" t="s">
        <v>61</v>
      </c>
      <c r="C2202" s="5" t="s">
        <v>61</v>
      </c>
      <c r="D2202" s="1" t="s">
        <v>104</v>
      </c>
      <c r="E2202">
        <v>0</v>
      </c>
      <c r="F2202">
        <v>2700</v>
      </c>
      <c r="G2202">
        <v>0</v>
      </c>
      <c r="H2202">
        <v>0</v>
      </c>
      <c r="I2202">
        <v>743</v>
      </c>
      <c r="J2202">
        <v>610</v>
      </c>
      <c r="K2202">
        <v>284</v>
      </c>
      <c r="L2202">
        <v>20</v>
      </c>
      <c r="M2202">
        <v>0</v>
      </c>
      <c r="N2202">
        <v>0</v>
      </c>
      <c r="O2202">
        <v>0</v>
      </c>
      <c r="P2202">
        <v>6229</v>
      </c>
      <c r="Q2202">
        <v>1580</v>
      </c>
      <c r="R2202">
        <v>841</v>
      </c>
      <c r="S2202" s="18">
        <f t="shared" si="346"/>
        <v>7.4066587395957191</v>
      </c>
      <c r="T2202" s="17">
        <f t="shared" si="347"/>
        <v>0</v>
      </c>
      <c r="U2202" s="17">
        <f t="shared" si="348"/>
        <v>0</v>
      </c>
      <c r="V2202" s="17">
        <f t="shared" si="349"/>
        <v>0</v>
      </c>
      <c r="W2202" s="17">
        <f t="shared" si="350"/>
        <v>841</v>
      </c>
      <c r="X2202" s="17">
        <f t="shared" si="351"/>
        <v>739</v>
      </c>
      <c r="Y2202" s="19">
        <f t="shared" si="352"/>
        <v>0</v>
      </c>
      <c r="Z2202">
        <v>2700</v>
      </c>
      <c r="AA2202">
        <v>8</v>
      </c>
      <c r="AB2202">
        <v>0</v>
      </c>
      <c r="AC2202">
        <v>1864</v>
      </c>
      <c r="AD2202">
        <v>0</v>
      </c>
      <c r="AE2202">
        <v>0</v>
      </c>
      <c r="AF2202">
        <v>0</v>
      </c>
      <c r="AG2202">
        <v>743</v>
      </c>
      <c r="AH2202">
        <v>743</v>
      </c>
      <c r="AI2202">
        <v>0</v>
      </c>
      <c r="AJ2202">
        <v>0</v>
      </c>
      <c r="AK2202">
        <v>610</v>
      </c>
      <c r="AL2202">
        <v>610</v>
      </c>
      <c r="AM2202">
        <v>0</v>
      </c>
      <c r="AN2202">
        <v>0</v>
      </c>
      <c r="AO2202">
        <v>284</v>
      </c>
      <c r="AP2202">
        <v>194</v>
      </c>
      <c r="AQ2202">
        <v>284</v>
      </c>
      <c r="AR2202">
        <v>90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20</v>
      </c>
      <c r="BA2202">
        <v>20</v>
      </c>
      <c r="BB2202">
        <v>0</v>
      </c>
      <c r="BC2202">
        <v>0</v>
      </c>
      <c r="BD2202">
        <v>0</v>
      </c>
      <c r="BE2202">
        <f t="shared" si="353"/>
        <v>5462</v>
      </c>
      <c r="BF2202">
        <v>6229</v>
      </c>
      <c r="BG2202">
        <v>6229</v>
      </c>
      <c r="BH2202" t="s">
        <v>82</v>
      </c>
      <c r="BI2202" t="s">
        <v>1151</v>
      </c>
      <c r="BJ2202">
        <v>1872</v>
      </c>
      <c r="BK2202">
        <v>1657</v>
      </c>
      <c r="BL2202">
        <v>6229</v>
      </c>
      <c r="BM2202">
        <v>0</v>
      </c>
      <c r="BN2202">
        <v>0</v>
      </c>
      <c r="BO2202">
        <v>0</v>
      </c>
      <c r="BP2202">
        <v>7886</v>
      </c>
      <c r="BQ2202">
        <v>7886</v>
      </c>
      <c r="BR2202">
        <f t="shared" si="354"/>
        <v>-739</v>
      </c>
      <c r="BS2202">
        <f t="shared" si="355"/>
        <v>2421</v>
      </c>
    </row>
    <row r="2203" spans="1:74" x14ac:dyDescent="0.25">
      <c r="A2203" s="5" t="s">
        <v>207</v>
      </c>
      <c r="B2203" s="5" t="s">
        <v>61</v>
      </c>
      <c r="C2203" s="5" t="s">
        <v>359</v>
      </c>
      <c r="D2203" s="1" t="s">
        <v>133</v>
      </c>
      <c r="E2203">
        <v>992</v>
      </c>
      <c r="F2203">
        <v>60</v>
      </c>
      <c r="G2203">
        <v>0</v>
      </c>
      <c r="H2203">
        <v>0</v>
      </c>
      <c r="I2203">
        <v>20</v>
      </c>
      <c r="J2203">
        <v>21130</v>
      </c>
      <c r="K2203">
        <v>920</v>
      </c>
      <c r="L2203">
        <v>1100</v>
      </c>
      <c r="M2203">
        <v>0</v>
      </c>
      <c r="N2203">
        <v>0</v>
      </c>
      <c r="O2203">
        <v>0</v>
      </c>
      <c r="P2203">
        <v>135</v>
      </c>
      <c r="Q2203">
        <v>758</v>
      </c>
      <c r="R2203">
        <v>15</v>
      </c>
      <c r="S2203" s="18">
        <f t="shared" si="346"/>
        <v>9</v>
      </c>
      <c r="T2203" s="17">
        <f t="shared" si="347"/>
        <v>0</v>
      </c>
      <c r="U2203" s="17">
        <f t="shared" si="348"/>
        <v>0</v>
      </c>
      <c r="V2203" s="17">
        <f t="shared" si="349"/>
        <v>0</v>
      </c>
      <c r="W2203" s="17">
        <f t="shared" si="350"/>
        <v>15</v>
      </c>
      <c r="X2203" s="17">
        <f t="shared" si="351"/>
        <v>743</v>
      </c>
      <c r="Y2203" s="19">
        <f t="shared" si="352"/>
        <v>0</v>
      </c>
      <c r="Z2203">
        <v>60</v>
      </c>
      <c r="AA2203">
        <v>24</v>
      </c>
      <c r="AB2203">
        <v>0</v>
      </c>
      <c r="AC2203">
        <v>4748</v>
      </c>
      <c r="AD2203">
        <v>0</v>
      </c>
      <c r="AE2203">
        <v>0</v>
      </c>
      <c r="AF2203">
        <v>0</v>
      </c>
      <c r="AG2203">
        <v>20</v>
      </c>
      <c r="AH2203">
        <v>20</v>
      </c>
      <c r="AI2203">
        <v>0</v>
      </c>
      <c r="AJ2203">
        <v>15300</v>
      </c>
      <c r="AK2203">
        <v>5830</v>
      </c>
      <c r="AL2203">
        <v>21130</v>
      </c>
      <c r="AM2203">
        <v>0</v>
      </c>
      <c r="AN2203">
        <v>0</v>
      </c>
      <c r="AO2203">
        <v>920</v>
      </c>
      <c r="AP2203">
        <v>120</v>
      </c>
      <c r="AQ2203">
        <v>920</v>
      </c>
      <c r="AR2203">
        <v>800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1100</v>
      </c>
      <c r="BA2203">
        <v>1100</v>
      </c>
      <c r="BB2203">
        <v>0</v>
      </c>
      <c r="BC2203">
        <v>0</v>
      </c>
      <c r="BD2203">
        <v>0</v>
      </c>
      <c r="BE2203">
        <f t="shared" si="353"/>
        <v>52008</v>
      </c>
      <c r="BF2203">
        <v>28064</v>
      </c>
      <c r="BG2203">
        <v>28064</v>
      </c>
      <c r="BH2203" t="s">
        <v>199</v>
      </c>
      <c r="BI2203" t="s">
        <v>531</v>
      </c>
      <c r="BJ2203">
        <v>5764</v>
      </c>
      <c r="BK2203">
        <v>23170</v>
      </c>
      <c r="BL2203">
        <v>28994</v>
      </c>
      <c r="BM2203">
        <v>0</v>
      </c>
      <c r="BN2203">
        <v>15300</v>
      </c>
      <c r="BO2203">
        <v>0</v>
      </c>
      <c r="BP2203">
        <v>8005</v>
      </c>
      <c r="BQ2203">
        <v>23305</v>
      </c>
      <c r="BR2203">
        <f t="shared" si="354"/>
        <v>-743</v>
      </c>
      <c r="BS2203">
        <f t="shared" si="355"/>
        <v>773</v>
      </c>
    </row>
    <row r="2204" spans="1:74" x14ac:dyDescent="0.25">
      <c r="A2204" s="5" t="s">
        <v>207</v>
      </c>
      <c r="B2204" s="5" t="s">
        <v>627</v>
      </c>
      <c r="C2204" s="5" t="s">
        <v>207</v>
      </c>
      <c r="D2204" s="1" t="s">
        <v>79</v>
      </c>
      <c r="E2204">
        <v>0</v>
      </c>
      <c r="F2204">
        <v>0</v>
      </c>
      <c r="G2204">
        <v>0</v>
      </c>
      <c r="H2204">
        <v>0</v>
      </c>
      <c r="I2204">
        <v>1200</v>
      </c>
      <c r="J2204">
        <v>4788</v>
      </c>
      <c r="K2204">
        <v>1070</v>
      </c>
      <c r="L2204">
        <v>570</v>
      </c>
      <c r="M2204">
        <v>0</v>
      </c>
      <c r="N2204">
        <v>0</v>
      </c>
      <c r="O2204">
        <v>0</v>
      </c>
      <c r="P2204">
        <v>0</v>
      </c>
      <c r="Q2204">
        <v>745</v>
      </c>
      <c r="R2204">
        <v>0</v>
      </c>
      <c r="S2204" s="18" t="e">
        <f t="shared" si="346"/>
        <v>#DIV/0!</v>
      </c>
      <c r="T2204" s="17" t="e">
        <f t="shared" si="347"/>
        <v>#DIV/0!</v>
      </c>
      <c r="U2204" s="17" t="e">
        <f t="shared" si="348"/>
        <v>#DIV/0!</v>
      </c>
      <c r="V2204" s="17" t="e">
        <f t="shared" si="349"/>
        <v>#DIV/0!</v>
      </c>
      <c r="W2204" s="17" t="e">
        <f t="shared" si="350"/>
        <v>#DIV/0!</v>
      </c>
      <c r="X2204" s="17" t="e">
        <f t="shared" si="351"/>
        <v>#DIV/0!</v>
      </c>
      <c r="Y2204" s="19" t="e">
        <f t="shared" si="352"/>
        <v>#DIV/0!</v>
      </c>
      <c r="Z2204">
        <v>0</v>
      </c>
      <c r="AA2204">
        <v>0</v>
      </c>
      <c r="AB2204">
        <v>0</v>
      </c>
      <c r="AC2204">
        <v>11772</v>
      </c>
      <c r="AD2204">
        <v>0</v>
      </c>
      <c r="AE2204">
        <v>0</v>
      </c>
      <c r="AF2204">
        <v>0</v>
      </c>
      <c r="AG2204">
        <v>1200</v>
      </c>
      <c r="AH2204">
        <v>1200</v>
      </c>
      <c r="AI2204">
        <v>0</v>
      </c>
      <c r="AJ2204">
        <v>0</v>
      </c>
      <c r="AK2204">
        <v>4788</v>
      </c>
      <c r="AL2204">
        <v>4788</v>
      </c>
      <c r="AM2204">
        <v>0</v>
      </c>
      <c r="AN2204">
        <v>0</v>
      </c>
      <c r="AO2204">
        <v>1070</v>
      </c>
      <c r="AP2204">
        <v>270</v>
      </c>
      <c r="AQ2204">
        <v>1070</v>
      </c>
      <c r="AR2204">
        <v>800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570</v>
      </c>
      <c r="BA2204">
        <v>570</v>
      </c>
      <c r="BB2204">
        <v>0</v>
      </c>
      <c r="BC2204">
        <v>0</v>
      </c>
      <c r="BD2204">
        <v>0</v>
      </c>
      <c r="BE2204">
        <f t="shared" si="353"/>
        <v>28098</v>
      </c>
      <c r="BF2204">
        <v>19400</v>
      </c>
      <c r="BG2204">
        <v>19400</v>
      </c>
      <c r="BH2204" t="s">
        <v>82</v>
      </c>
      <c r="BI2204" t="s">
        <v>667</v>
      </c>
      <c r="BJ2204">
        <v>11772</v>
      </c>
      <c r="BK2204">
        <v>7628</v>
      </c>
      <c r="BL2204">
        <v>19400</v>
      </c>
      <c r="BM2204">
        <v>0</v>
      </c>
      <c r="BN2204">
        <v>0</v>
      </c>
      <c r="BO2204">
        <v>0</v>
      </c>
      <c r="BP2204">
        <v>7628</v>
      </c>
      <c r="BQ2204">
        <v>7628</v>
      </c>
      <c r="BR2204">
        <f t="shared" si="354"/>
        <v>-745</v>
      </c>
      <c r="BS2204">
        <f t="shared" si="355"/>
        <v>745</v>
      </c>
    </row>
    <row r="2205" spans="1:74" x14ac:dyDescent="0.25">
      <c r="A2205" s="5" t="s">
        <v>1946</v>
      </c>
      <c r="B2205" s="5" t="s">
        <v>61</v>
      </c>
      <c r="C2205" s="5" t="s">
        <v>61</v>
      </c>
      <c r="D2205" s="1" t="s">
        <v>90</v>
      </c>
      <c r="E2205">
        <v>0</v>
      </c>
      <c r="F2205">
        <v>1400</v>
      </c>
      <c r="G2205">
        <v>0</v>
      </c>
      <c r="H2205">
        <v>0</v>
      </c>
      <c r="I2205">
        <v>6900</v>
      </c>
      <c r="J2205">
        <v>0</v>
      </c>
      <c r="K2205">
        <v>0</v>
      </c>
      <c r="L2205">
        <v>0</v>
      </c>
      <c r="M2205">
        <v>5040</v>
      </c>
      <c r="N2205">
        <v>0</v>
      </c>
      <c r="O2205">
        <v>0</v>
      </c>
      <c r="P2205">
        <v>0</v>
      </c>
      <c r="Q2205">
        <v>1306</v>
      </c>
      <c r="R2205">
        <v>560</v>
      </c>
      <c r="S2205" s="18">
        <f t="shared" si="346"/>
        <v>9</v>
      </c>
      <c r="T2205" s="17">
        <f t="shared" si="347"/>
        <v>560</v>
      </c>
      <c r="U2205" s="17">
        <f t="shared" si="348"/>
        <v>0</v>
      </c>
      <c r="V2205" s="17">
        <f t="shared" si="349"/>
        <v>0</v>
      </c>
      <c r="W2205" s="17">
        <f t="shared" si="350"/>
        <v>0</v>
      </c>
      <c r="X2205" s="17">
        <f t="shared" si="351"/>
        <v>746</v>
      </c>
      <c r="Y2205" s="19">
        <f t="shared" si="352"/>
        <v>0</v>
      </c>
      <c r="Z2205">
        <v>1400</v>
      </c>
      <c r="AA2205">
        <v>0</v>
      </c>
      <c r="AB2205">
        <v>0</v>
      </c>
      <c r="AC2205">
        <v>0</v>
      </c>
      <c r="AD2205">
        <v>6700</v>
      </c>
      <c r="AE2205">
        <v>0</v>
      </c>
      <c r="AF2205">
        <v>0</v>
      </c>
      <c r="AG2205">
        <v>200</v>
      </c>
      <c r="AH2205">
        <v>6900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f t="shared" si="353"/>
        <v>13800</v>
      </c>
      <c r="BF2205">
        <v>8300</v>
      </c>
      <c r="BG2205">
        <v>8300</v>
      </c>
      <c r="BH2205" t="s">
        <v>109</v>
      </c>
      <c r="BI2205" t="s">
        <v>1960</v>
      </c>
      <c r="BJ2205">
        <v>0</v>
      </c>
      <c r="BK2205">
        <v>6900</v>
      </c>
      <c r="BL2205">
        <v>8300</v>
      </c>
      <c r="BM2205">
        <v>11740</v>
      </c>
      <c r="BN2205">
        <v>0</v>
      </c>
      <c r="BO2205">
        <v>0</v>
      </c>
      <c r="BP2205">
        <v>200</v>
      </c>
      <c r="BQ2205">
        <v>11940</v>
      </c>
      <c r="BR2205">
        <f t="shared" si="354"/>
        <v>-746</v>
      </c>
      <c r="BS2205">
        <f t="shared" si="355"/>
        <v>1866</v>
      </c>
    </row>
    <row r="2206" spans="1:74" x14ac:dyDescent="0.25">
      <c r="A2206" s="5" t="s">
        <v>359</v>
      </c>
      <c r="B2206" s="5" t="s">
        <v>61</v>
      </c>
      <c r="C2206" s="5" t="s">
        <v>61</v>
      </c>
      <c r="D2206" s="1" t="s">
        <v>92</v>
      </c>
      <c r="E2206">
        <v>0</v>
      </c>
      <c r="F2206">
        <v>1622</v>
      </c>
      <c r="G2206">
        <v>0</v>
      </c>
      <c r="H2206">
        <v>0</v>
      </c>
      <c r="I2206">
        <v>911</v>
      </c>
      <c r="J2206">
        <v>1500</v>
      </c>
      <c r="K2206">
        <v>1595</v>
      </c>
      <c r="L2206">
        <v>0</v>
      </c>
      <c r="M2206">
        <v>0</v>
      </c>
      <c r="N2206">
        <v>3816</v>
      </c>
      <c r="O2206">
        <v>0</v>
      </c>
      <c r="P2206">
        <v>567</v>
      </c>
      <c r="Q2206">
        <v>1237</v>
      </c>
      <c r="R2206">
        <v>487</v>
      </c>
      <c r="S2206" s="18">
        <f t="shared" si="346"/>
        <v>9</v>
      </c>
      <c r="T2206" s="17">
        <f t="shared" si="347"/>
        <v>0</v>
      </c>
      <c r="U2206" s="17">
        <f t="shared" si="348"/>
        <v>424</v>
      </c>
      <c r="V2206" s="17">
        <f t="shared" si="349"/>
        <v>0</v>
      </c>
      <c r="W2206" s="17">
        <f t="shared" si="350"/>
        <v>63</v>
      </c>
      <c r="X2206" s="17">
        <f t="shared" si="351"/>
        <v>750</v>
      </c>
      <c r="Y2206" s="19">
        <f t="shared" si="352"/>
        <v>0</v>
      </c>
      <c r="Z2206">
        <v>1622</v>
      </c>
      <c r="AA2206">
        <v>0</v>
      </c>
      <c r="AB2206">
        <v>0</v>
      </c>
      <c r="AC2206">
        <v>0</v>
      </c>
      <c r="AD2206">
        <v>78</v>
      </c>
      <c r="AE2206">
        <v>0</v>
      </c>
      <c r="AF2206">
        <v>0</v>
      </c>
      <c r="AG2206">
        <v>833</v>
      </c>
      <c r="AH2206">
        <v>911</v>
      </c>
      <c r="AI2206">
        <v>0</v>
      </c>
      <c r="AJ2206">
        <v>0</v>
      </c>
      <c r="AK2206">
        <v>1500</v>
      </c>
      <c r="AL2206">
        <v>1500</v>
      </c>
      <c r="AM2206">
        <v>1155</v>
      </c>
      <c r="AN2206">
        <v>0</v>
      </c>
      <c r="AO2206">
        <v>440</v>
      </c>
      <c r="AP2206">
        <v>595</v>
      </c>
      <c r="AQ2206">
        <v>1595</v>
      </c>
      <c r="AR2206">
        <v>1000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f t="shared" si="353"/>
        <v>9607</v>
      </c>
      <c r="BF2206">
        <v>5628</v>
      </c>
      <c r="BG2206">
        <v>5628</v>
      </c>
      <c r="BH2206" t="s">
        <v>109</v>
      </c>
      <c r="BI2206" t="s">
        <v>710</v>
      </c>
      <c r="BJ2206">
        <v>0</v>
      </c>
      <c r="BK2206">
        <v>4006</v>
      </c>
      <c r="BL2206">
        <v>5628</v>
      </c>
      <c r="BM2206">
        <v>1233</v>
      </c>
      <c r="BN2206">
        <v>3816</v>
      </c>
      <c r="BO2206">
        <v>0</v>
      </c>
      <c r="BP2206">
        <v>3340</v>
      </c>
      <c r="BQ2206">
        <v>8389</v>
      </c>
      <c r="BR2206">
        <f t="shared" si="354"/>
        <v>-750</v>
      </c>
      <c r="BS2206">
        <f t="shared" si="355"/>
        <v>1724</v>
      </c>
    </row>
    <row r="2207" spans="1:74" x14ac:dyDescent="0.25">
      <c r="A2207" s="5" t="s">
        <v>207</v>
      </c>
      <c r="B2207" s="5" t="s">
        <v>627</v>
      </c>
      <c r="C2207" s="5" t="s">
        <v>61</v>
      </c>
      <c r="D2207" s="1" t="s">
        <v>79</v>
      </c>
      <c r="E2207">
        <v>0</v>
      </c>
      <c r="F2207">
        <v>111</v>
      </c>
      <c r="G2207">
        <v>0</v>
      </c>
      <c r="H2207">
        <v>0</v>
      </c>
      <c r="I2207">
        <v>2223</v>
      </c>
      <c r="J2207">
        <v>0</v>
      </c>
      <c r="K2207">
        <v>0</v>
      </c>
      <c r="L2207">
        <v>0</v>
      </c>
      <c r="M2207">
        <v>333</v>
      </c>
      <c r="N2207">
        <v>0</v>
      </c>
      <c r="O2207">
        <v>0</v>
      </c>
      <c r="P2207">
        <v>0</v>
      </c>
      <c r="Q2207">
        <v>791</v>
      </c>
      <c r="R2207">
        <v>37</v>
      </c>
      <c r="S2207" s="18">
        <f t="shared" si="346"/>
        <v>9</v>
      </c>
      <c r="T2207" s="17">
        <f t="shared" si="347"/>
        <v>37</v>
      </c>
      <c r="U2207" s="17">
        <f t="shared" si="348"/>
        <v>0</v>
      </c>
      <c r="V2207" s="17">
        <f t="shared" si="349"/>
        <v>0</v>
      </c>
      <c r="W2207" s="17">
        <f t="shared" si="350"/>
        <v>0</v>
      </c>
      <c r="X2207" s="17">
        <f t="shared" si="351"/>
        <v>754</v>
      </c>
      <c r="Y2207" s="19">
        <f t="shared" si="352"/>
        <v>0</v>
      </c>
      <c r="Z2207">
        <v>111</v>
      </c>
      <c r="AA2207">
        <v>0</v>
      </c>
      <c r="AB2207">
        <v>0</v>
      </c>
      <c r="AC2207">
        <v>0</v>
      </c>
      <c r="AD2207">
        <v>2223</v>
      </c>
      <c r="AE2207">
        <v>0</v>
      </c>
      <c r="AF2207">
        <v>0</v>
      </c>
      <c r="AG2207">
        <v>0</v>
      </c>
      <c r="AH2207">
        <v>2223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f t="shared" si="353"/>
        <v>4446</v>
      </c>
      <c r="BF2207">
        <v>2334</v>
      </c>
      <c r="BG2207">
        <v>2334</v>
      </c>
      <c r="BH2207" t="s">
        <v>109</v>
      </c>
      <c r="BI2207" t="s">
        <v>635</v>
      </c>
      <c r="BJ2207">
        <v>0</v>
      </c>
      <c r="BK2207">
        <v>2223</v>
      </c>
      <c r="BL2207">
        <v>2334</v>
      </c>
      <c r="BM2207">
        <v>2556</v>
      </c>
      <c r="BN2207">
        <v>0</v>
      </c>
      <c r="BO2207">
        <v>0</v>
      </c>
      <c r="BP2207">
        <v>0</v>
      </c>
      <c r="BQ2207">
        <v>2556</v>
      </c>
      <c r="BR2207">
        <f t="shared" si="354"/>
        <v>-754</v>
      </c>
      <c r="BS2207">
        <f t="shared" si="355"/>
        <v>828</v>
      </c>
    </row>
    <row r="2208" spans="1:74" x14ac:dyDescent="0.25">
      <c r="A2208" s="5" t="s">
        <v>1661</v>
      </c>
      <c r="B2208" s="5" t="s">
        <v>207</v>
      </c>
      <c r="C2208" s="5" t="s">
        <v>61</v>
      </c>
      <c r="D2208" s="1" t="s">
        <v>141</v>
      </c>
      <c r="E2208">
        <v>5</v>
      </c>
      <c r="F2208">
        <v>344</v>
      </c>
      <c r="G2208">
        <v>0</v>
      </c>
      <c r="H2208">
        <v>0</v>
      </c>
      <c r="I2208">
        <v>1048</v>
      </c>
      <c r="J2208">
        <v>9135</v>
      </c>
      <c r="K2208">
        <v>1047</v>
      </c>
      <c r="L2208">
        <v>40</v>
      </c>
      <c r="M2208">
        <v>0</v>
      </c>
      <c r="N2208">
        <v>1233</v>
      </c>
      <c r="O2208">
        <v>0</v>
      </c>
      <c r="P2208">
        <v>369</v>
      </c>
      <c r="Q2208">
        <v>936</v>
      </c>
      <c r="R2208">
        <v>178</v>
      </c>
      <c r="S2208" s="18">
        <f t="shared" si="346"/>
        <v>9</v>
      </c>
      <c r="T2208" s="17">
        <f t="shared" si="347"/>
        <v>0</v>
      </c>
      <c r="U2208" s="17">
        <f t="shared" si="348"/>
        <v>137</v>
      </c>
      <c r="V2208" s="17">
        <f t="shared" si="349"/>
        <v>0</v>
      </c>
      <c r="W2208" s="17">
        <f t="shared" si="350"/>
        <v>41</v>
      </c>
      <c r="X2208" s="17">
        <f t="shared" si="351"/>
        <v>758</v>
      </c>
      <c r="Y2208" s="19">
        <f t="shared" si="352"/>
        <v>0</v>
      </c>
      <c r="Z2208">
        <v>344</v>
      </c>
      <c r="AA2208">
        <v>12</v>
      </c>
      <c r="AB2208">
        <v>300</v>
      </c>
      <c r="AC2208">
        <v>7247</v>
      </c>
      <c r="AD2208">
        <v>0</v>
      </c>
      <c r="AE2208">
        <v>750</v>
      </c>
      <c r="AF2208">
        <v>0</v>
      </c>
      <c r="AG2208">
        <v>298</v>
      </c>
      <c r="AH2208">
        <v>1048</v>
      </c>
      <c r="AI2208">
        <v>0</v>
      </c>
      <c r="AJ2208">
        <v>5952</v>
      </c>
      <c r="AK2208">
        <v>3183</v>
      </c>
      <c r="AL2208">
        <v>9135</v>
      </c>
      <c r="AM2208">
        <v>0</v>
      </c>
      <c r="AN2208">
        <v>887</v>
      </c>
      <c r="AO2208">
        <v>160</v>
      </c>
      <c r="AP2208">
        <v>267</v>
      </c>
      <c r="AQ2208">
        <v>1047</v>
      </c>
      <c r="AR2208">
        <v>780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40</v>
      </c>
      <c r="AZ2208">
        <v>0</v>
      </c>
      <c r="BA2208">
        <v>40</v>
      </c>
      <c r="BB2208">
        <v>0</v>
      </c>
      <c r="BC2208">
        <v>0</v>
      </c>
      <c r="BD2208">
        <v>0</v>
      </c>
      <c r="BE2208">
        <f t="shared" si="353"/>
        <v>30834</v>
      </c>
      <c r="BF2208">
        <v>19178</v>
      </c>
      <c r="BG2208">
        <v>19178</v>
      </c>
      <c r="BH2208" t="s">
        <v>82</v>
      </c>
      <c r="BI2208" t="s">
        <v>1793</v>
      </c>
      <c r="BJ2208">
        <v>7564</v>
      </c>
      <c r="BK2208">
        <v>11270</v>
      </c>
      <c r="BL2208">
        <v>19178</v>
      </c>
      <c r="BM2208">
        <v>0</v>
      </c>
      <c r="BN2208">
        <v>8862</v>
      </c>
      <c r="BO2208">
        <v>0</v>
      </c>
      <c r="BP2208">
        <v>4010</v>
      </c>
      <c r="BQ2208">
        <v>12872</v>
      </c>
      <c r="BR2208">
        <f t="shared" si="354"/>
        <v>-758</v>
      </c>
      <c r="BS2208">
        <f t="shared" si="355"/>
        <v>1114</v>
      </c>
    </row>
    <row r="2209" spans="1:74" x14ac:dyDescent="0.25">
      <c r="A2209" s="5" t="s">
        <v>1451</v>
      </c>
      <c r="B2209" s="5" t="s">
        <v>359</v>
      </c>
      <c r="C2209" s="5" t="s">
        <v>61</v>
      </c>
      <c r="D2209" s="1" t="s">
        <v>108</v>
      </c>
      <c r="E2209">
        <v>0</v>
      </c>
      <c r="F2209">
        <v>2749</v>
      </c>
      <c r="G2209">
        <v>0</v>
      </c>
      <c r="H2209">
        <v>0</v>
      </c>
      <c r="I2209">
        <v>1002</v>
      </c>
      <c r="J2209">
        <v>995</v>
      </c>
      <c r="K2209">
        <v>3475</v>
      </c>
      <c r="L2209">
        <v>53</v>
      </c>
      <c r="M2209">
        <v>4851</v>
      </c>
      <c r="N2209">
        <v>0</v>
      </c>
      <c r="O2209">
        <v>0</v>
      </c>
      <c r="P2209">
        <v>3114</v>
      </c>
      <c r="Q2209">
        <v>1644</v>
      </c>
      <c r="R2209">
        <v>885</v>
      </c>
      <c r="S2209" s="18">
        <f t="shared" si="346"/>
        <v>9</v>
      </c>
      <c r="T2209" s="17">
        <f t="shared" si="347"/>
        <v>539</v>
      </c>
      <c r="U2209" s="17">
        <f t="shared" si="348"/>
        <v>0</v>
      </c>
      <c r="V2209" s="17">
        <f t="shared" si="349"/>
        <v>0</v>
      </c>
      <c r="W2209" s="17">
        <f t="shared" si="350"/>
        <v>346</v>
      </c>
      <c r="X2209" s="17">
        <f t="shared" si="351"/>
        <v>759</v>
      </c>
      <c r="Y2209" s="19">
        <f t="shared" si="352"/>
        <v>0</v>
      </c>
      <c r="Z2209">
        <v>2749</v>
      </c>
      <c r="AA2209">
        <v>0</v>
      </c>
      <c r="AB2209">
        <v>0</v>
      </c>
      <c r="AC2209">
        <v>745</v>
      </c>
      <c r="AD2209">
        <v>728</v>
      </c>
      <c r="AE2209">
        <v>0</v>
      </c>
      <c r="AF2209">
        <v>0</v>
      </c>
      <c r="AG2209">
        <v>274</v>
      </c>
      <c r="AH2209">
        <v>1002</v>
      </c>
      <c r="AI2209">
        <v>0</v>
      </c>
      <c r="AJ2209">
        <v>0</v>
      </c>
      <c r="AK2209">
        <v>995</v>
      </c>
      <c r="AL2209">
        <v>995</v>
      </c>
      <c r="AM2209">
        <v>45</v>
      </c>
      <c r="AN2209">
        <v>0</v>
      </c>
      <c r="AO2209">
        <v>3430</v>
      </c>
      <c r="AP2209">
        <v>808</v>
      </c>
      <c r="AQ2209">
        <v>3475</v>
      </c>
      <c r="AR2209">
        <v>2667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53</v>
      </c>
      <c r="BA2209">
        <v>53</v>
      </c>
      <c r="BB2209">
        <v>0</v>
      </c>
      <c r="BC2209">
        <v>0</v>
      </c>
      <c r="BD2209">
        <v>0</v>
      </c>
      <c r="BE2209">
        <f t="shared" si="353"/>
        <v>15270</v>
      </c>
      <c r="BF2209">
        <v>9019</v>
      </c>
      <c r="BG2209">
        <v>9019</v>
      </c>
      <c r="BH2209" t="s">
        <v>109</v>
      </c>
      <c r="BI2209" t="s">
        <v>1479</v>
      </c>
      <c r="BJ2209">
        <v>745</v>
      </c>
      <c r="BK2209">
        <v>5525</v>
      </c>
      <c r="BL2209">
        <v>9019</v>
      </c>
      <c r="BM2209">
        <v>5624</v>
      </c>
      <c r="BN2209">
        <v>0</v>
      </c>
      <c r="BO2209">
        <v>0</v>
      </c>
      <c r="BP2209">
        <v>7866</v>
      </c>
      <c r="BQ2209">
        <v>13490</v>
      </c>
      <c r="BR2209">
        <f t="shared" si="354"/>
        <v>-759</v>
      </c>
      <c r="BS2209">
        <f t="shared" si="355"/>
        <v>2529</v>
      </c>
    </row>
    <row r="2210" spans="1:74" x14ac:dyDescent="0.25">
      <c r="A2210" s="5" t="s">
        <v>2090</v>
      </c>
      <c r="B2210" s="5" t="s">
        <v>61</v>
      </c>
      <c r="C2210" s="5" t="s">
        <v>61</v>
      </c>
      <c r="D2210" s="1" t="s">
        <v>98</v>
      </c>
      <c r="E2210">
        <v>0</v>
      </c>
      <c r="F2210">
        <v>1971</v>
      </c>
      <c r="G2210">
        <v>0</v>
      </c>
      <c r="H2210">
        <v>0</v>
      </c>
      <c r="I2210">
        <v>550</v>
      </c>
      <c r="J2210">
        <v>0</v>
      </c>
      <c r="K2210">
        <v>784</v>
      </c>
      <c r="L2210">
        <v>0</v>
      </c>
      <c r="M2210">
        <v>1881</v>
      </c>
      <c r="N2210">
        <v>0</v>
      </c>
      <c r="O2210">
        <v>0</v>
      </c>
      <c r="P2210">
        <v>2961</v>
      </c>
      <c r="Q2210">
        <v>1297</v>
      </c>
      <c r="R2210">
        <v>538</v>
      </c>
      <c r="S2210" s="18">
        <f t="shared" si="346"/>
        <v>9</v>
      </c>
      <c r="T2210" s="17">
        <f t="shared" si="347"/>
        <v>209</v>
      </c>
      <c r="U2210" s="17">
        <f t="shared" si="348"/>
        <v>0</v>
      </c>
      <c r="V2210" s="17">
        <f t="shared" si="349"/>
        <v>0</v>
      </c>
      <c r="W2210" s="17">
        <f t="shared" si="350"/>
        <v>329</v>
      </c>
      <c r="X2210" s="17">
        <f t="shared" si="351"/>
        <v>759</v>
      </c>
      <c r="Y2210" s="19">
        <f t="shared" si="352"/>
        <v>0</v>
      </c>
      <c r="Z2210">
        <v>1971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550</v>
      </c>
      <c r="AH2210">
        <v>550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784</v>
      </c>
      <c r="AP2210">
        <v>394</v>
      </c>
      <c r="AQ2210">
        <v>784</v>
      </c>
      <c r="AR2210">
        <v>390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f t="shared" si="353"/>
        <v>3452</v>
      </c>
      <c r="BF2210">
        <v>3305</v>
      </c>
      <c r="BG2210">
        <v>3305</v>
      </c>
      <c r="BH2210" t="s">
        <v>109</v>
      </c>
      <c r="BI2210" t="s">
        <v>2108</v>
      </c>
      <c r="BJ2210">
        <v>0</v>
      </c>
      <c r="BK2210">
        <v>1334</v>
      </c>
      <c r="BL2210">
        <v>3305</v>
      </c>
      <c r="BM2210">
        <v>1881</v>
      </c>
      <c r="BN2210">
        <v>0</v>
      </c>
      <c r="BO2210">
        <v>0</v>
      </c>
      <c r="BP2210">
        <v>4295</v>
      </c>
      <c r="BQ2210">
        <v>6176</v>
      </c>
      <c r="BR2210">
        <f t="shared" si="354"/>
        <v>-759</v>
      </c>
      <c r="BS2210">
        <f t="shared" si="355"/>
        <v>1835</v>
      </c>
    </row>
    <row r="2211" spans="1:74" x14ac:dyDescent="0.25">
      <c r="A2211" s="5" t="s">
        <v>875</v>
      </c>
      <c r="B2211" s="5" t="s">
        <v>207</v>
      </c>
      <c r="C2211" s="5" t="s">
        <v>61</v>
      </c>
      <c r="D2211" s="1" t="s">
        <v>137</v>
      </c>
      <c r="E2211">
        <v>0</v>
      </c>
      <c r="F2211">
        <v>189</v>
      </c>
      <c r="G2211">
        <v>0</v>
      </c>
      <c r="H2211">
        <v>0</v>
      </c>
      <c r="I2211">
        <v>685</v>
      </c>
      <c r="J2211">
        <v>13834</v>
      </c>
      <c r="K2211">
        <v>1137</v>
      </c>
      <c r="L2211">
        <v>280</v>
      </c>
      <c r="M2211">
        <v>0</v>
      </c>
      <c r="N2211">
        <v>0</v>
      </c>
      <c r="O2211">
        <v>0</v>
      </c>
      <c r="P2211">
        <v>1890</v>
      </c>
      <c r="Q2211">
        <v>970</v>
      </c>
      <c r="R2211">
        <v>210</v>
      </c>
      <c r="S2211" s="18">
        <f t="shared" si="346"/>
        <v>9</v>
      </c>
      <c r="T2211" s="17">
        <f t="shared" si="347"/>
        <v>0</v>
      </c>
      <c r="U2211" s="17">
        <f t="shared" si="348"/>
        <v>0</v>
      </c>
      <c r="V2211" s="17">
        <f t="shared" si="349"/>
        <v>0</v>
      </c>
      <c r="W2211" s="17">
        <f t="shared" si="350"/>
        <v>210</v>
      </c>
      <c r="X2211" s="17">
        <f t="shared" si="351"/>
        <v>760</v>
      </c>
      <c r="Y2211" s="19">
        <f t="shared" si="352"/>
        <v>0</v>
      </c>
      <c r="Z2211">
        <v>189</v>
      </c>
      <c r="AA2211">
        <v>6</v>
      </c>
      <c r="AB2211">
        <v>500</v>
      </c>
      <c r="AC2211">
        <v>4664</v>
      </c>
      <c r="AD2211">
        <v>0</v>
      </c>
      <c r="AE2211">
        <v>485</v>
      </c>
      <c r="AF2211">
        <v>0</v>
      </c>
      <c r="AG2211">
        <v>200</v>
      </c>
      <c r="AH2211">
        <v>685</v>
      </c>
      <c r="AI2211">
        <v>0</v>
      </c>
      <c r="AJ2211">
        <v>13625</v>
      </c>
      <c r="AK2211">
        <v>209</v>
      </c>
      <c r="AL2211">
        <v>13834</v>
      </c>
      <c r="AM2211">
        <v>0</v>
      </c>
      <c r="AN2211">
        <v>806</v>
      </c>
      <c r="AO2211">
        <v>331</v>
      </c>
      <c r="AP2211">
        <v>207</v>
      </c>
      <c r="AQ2211">
        <v>1137</v>
      </c>
      <c r="AR2211">
        <v>930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259</v>
      </c>
      <c r="AZ2211">
        <v>21</v>
      </c>
      <c r="BA2211">
        <v>280</v>
      </c>
      <c r="BB2211">
        <v>0</v>
      </c>
      <c r="BC2211">
        <v>0</v>
      </c>
      <c r="BD2211">
        <v>0</v>
      </c>
      <c r="BE2211">
        <f t="shared" si="353"/>
        <v>37673</v>
      </c>
      <c r="BF2211">
        <v>21295</v>
      </c>
      <c r="BG2211">
        <v>21295</v>
      </c>
      <c r="BH2211" t="s">
        <v>82</v>
      </c>
      <c r="BI2211" t="s">
        <v>1001</v>
      </c>
      <c r="BJ2211">
        <v>5170</v>
      </c>
      <c r="BK2211">
        <v>15936</v>
      </c>
      <c r="BL2211">
        <v>21295</v>
      </c>
      <c r="BM2211">
        <v>0</v>
      </c>
      <c r="BN2211">
        <v>15175</v>
      </c>
      <c r="BO2211">
        <v>0</v>
      </c>
      <c r="BP2211">
        <v>2651</v>
      </c>
      <c r="BQ2211">
        <v>17826</v>
      </c>
      <c r="BR2211">
        <f t="shared" si="354"/>
        <v>-760</v>
      </c>
      <c r="BS2211">
        <f t="shared" si="355"/>
        <v>1180</v>
      </c>
    </row>
    <row r="2212" spans="1:74" x14ac:dyDescent="0.25">
      <c r="A2212" s="5" t="s">
        <v>1451</v>
      </c>
      <c r="B2212" s="5" t="s">
        <v>207</v>
      </c>
      <c r="C2212" s="5" t="s">
        <v>207</v>
      </c>
      <c r="D2212" s="1" t="s">
        <v>92</v>
      </c>
      <c r="E2212">
        <v>0</v>
      </c>
      <c r="F2212">
        <v>2244</v>
      </c>
      <c r="G2212">
        <v>0</v>
      </c>
      <c r="H2212">
        <v>0</v>
      </c>
      <c r="I2212">
        <v>4892</v>
      </c>
      <c r="J2212">
        <v>0</v>
      </c>
      <c r="K2212">
        <v>1167</v>
      </c>
      <c r="L2212">
        <v>0</v>
      </c>
      <c r="M2212">
        <v>0</v>
      </c>
      <c r="N2212">
        <v>0</v>
      </c>
      <c r="O2212">
        <v>0</v>
      </c>
      <c r="P2212">
        <v>5490</v>
      </c>
      <c r="Q2212">
        <v>1371</v>
      </c>
      <c r="R2212">
        <v>610</v>
      </c>
      <c r="S2212" s="18">
        <f t="shared" si="346"/>
        <v>9</v>
      </c>
      <c r="T2212" s="17">
        <f t="shared" si="347"/>
        <v>0</v>
      </c>
      <c r="U2212" s="17">
        <f t="shared" si="348"/>
        <v>0</v>
      </c>
      <c r="V2212" s="17">
        <f t="shared" si="349"/>
        <v>0</v>
      </c>
      <c r="W2212" s="17">
        <f t="shared" si="350"/>
        <v>610</v>
      </c>
      <c r="X2212" s="17">
        <f t="shared" si="351"/>
        <v>761</v>
      </c>
      <c r="Y2212" s="19">
        <f t="shared" si="352"/>
        <v>0</v>
      </c>
      <c r="Z2212">
        <v>2244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4892</v>
      </c>
      <c r="AH2212">
        <v>4892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1167</v>
      </c>
      <c r="AP2212">
        <v>0</v>
      </c>
      <c r="AQ2212">
        <v>1167</v>
      </c>
      <c r="AR2212">
        <v>1167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f t="shared" si="353"/>
        <v>13285</v>
      </c>
      <c r="BF2212">
        <v>8303</v>
      </c>
      <c r="BG2212">
        <v>8303</v>
      </c>
      <c r="BH2212" t="s">
        <v>109</v>
      </c>
      <c r="BI2212" t="s">
        <v>1570</v>
      </c>
      <c r="BJ2212">
        <v>0</v>
      </c>
      <c r="BK2212">
        <v>6059</v>
      </c>
      <c r="BL2212">
        <v>8303</v>
      </c>
      <c r="BM2212">
        <v>0</v>
      </c>
      <c r="BN2212">
        <v>0</v>
      </c>
      <c r="BO2212">
        <v>0</v>
      </c>
      <c r="BP2212">
        <v>11549</v>
      </c>
      <c r="BQ2212">
        <v>11549</v>
      </c>
      <c r="BR2212">
        <f t="shared" si="354"/>
        <v>-761</v>
      </c>
      <c r="BS2212">
        <f t="shared" si="355"/>
        <v>1981</v>
      </c>
    </row>
    <row r="2213" spans="1:74" x14ac:dyDescent="0.25">
      <c r="A2213" s="5" t="s">
        <v>207</v>
      </c>
      <c r="B2213" s="5" t="s">
        <v>61</v>
      </c>
      <c r="C2213" s="5" t="s">
        <v>61</v>
      </c>
      <c r="D2213" s="1" t="s">
        <v>84</v>
      </c>
      <c r="E2213">
        <v>0</v>
      </c>
      <c r="F2213">
        <v>70</v>
      </c>
      <c r="G2213">
        <v>0</v>
      </c>
      <c r="H2213">
        <v>0</v>
      </c>
      <c r="I2213">
        <v>2691</v>
      </c>
      <c r="J2213">
        <v>0</v>
      </c>
      <c r="K2213">
        <v>48</v>
      </c>
      <c r="L2213">
        <v>0</v>
      </c>
      <c r="M2213">
        <v>630</v>
      </c>
      <c r="N2213">
        <v>0</v>
      </c>
      <c r="O2213">
        <v>0</v>
      </c>
      <c r="P2213">
        <v>0</v>
      </c>
      <c r="Q2213">
        <v>835</v>
      </c>
      <c r="R2213">
        <v>70</v>
      </c>
      <c r="S2213" s="18">
        <f t="shared" si="346"/>
        <v>9</v>
      </c>
      <c r="T2213" s="17">
        <f t="shared" si="347"/>
        <v>70</v>
      </c>
      <c r="U2213" s="17">
        <f t="shared" si="348"/>
        <v>0</v>
      </c>
      <c r="V2213" s="17">
        <f t="shared" si="349"/>
        <v>0</v>
      </c>
      <c r="W2213" s="17">
        <f t="shared" si="350"/>
        <v>0</v>
      </c>
      <c r="X2213" s="17">
        <f t="shared" si="351"/>
        <v>765</v>
      </c>
      <c r="Y2213" s="19">
        <f t="shared" si="352"/>
        <v>0</v>
      </c>
      <c r="Z2213">
        <v>70</v>
      </c>
      <c r="AA2213">
        <v>0</v>
      </c>
      <c r="AB2213">
        <v>0</v>
      </c>
      <c r="AC2213">
        <v>0</v>
      </c>
      <c r="AD2213">
        <v>2670</v>
      </c>
      <c r="AE2213">
        <v>0</v>
      </c>
      <c r="AF2213">
        <v>0</v>
      </c>
      <c r="AG2213">
        <v>21</v>
      </c>
      <c r="AH2213">
        <v>2691</v>
      </c>
      <c r="AI2213">
        <v>0</v>
      </c>
      <c r="AJ2213">
        <v>0</v>
      </c>
      <c r="AK2213">
        <v>0</v>
      </c>
      <c r="AL2213">
        <v>0</v>
      </c>
      <c r="AM2213">
        <v>48</v>
      </c>
      <c r="AN2213">
        <v>0</v>
      </c>
      <c r="AO2213">
        <v>0</v>
      </c>
      <c r="AP2213">
        <v>48</v>
      </c>
      <c r="AQ2213">
        <v>48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f t="shared" si="353"/>
        <v>5526</v>
      </c>
      <c r="BF2213">
        <v>2809</v>
      </c>
      <c r="BG2213">
        <v>2809</v>
      </c>
      <c r="BH2213" t="s">
        <v>109</v>
      </c>
      <c r="BI2213" t="s">
        <v>436</v>
      </c>
      <c r="BJ2213">
        <v>0</v>
      </c>
      <c r="BK2213">
        <v>2739</v>
      </c>
      <c r="BL2213">
        <v>2809</v>
      </c>
      <c r="BM2213">
        <v>3348</v>
      </c>
      <c r="BN2213">
        <v>0</v>
      </c>
      <c r="BO2213">
        <v>0</v>
      </c>
      <c r="BP2213">
        <v>21</v>
      </c>
      <c r="BQ2213">
        <v>3369</v>
      </c>
      <c r="BR2213">
        <f t="shared" si="354"/>
        <v>-765</v>
      </c>
      <c r="BS2213">
        <f t="shared" si="355"/>
        <v>905</v>
      </c>
    </row>
    <row r="2214" spans="1:74" x14ac:dyDescent="0.25">
      <c r="A2214" s="5" t="s">
        <v>1017</v>
      </c>
      <c r="B2214" s="5" t="s">
        <v>61</v>
      </c>
      <c r="C2214" s="5" t="s">
        <v>207</v>
      </c>
      <c r="D2214" s="1" t="s">
        <v>69</v>
      </c>
      <c r="E2214">
        <v>0</v>
      </c>
      <c r="F2214">
        <v>0</v>
      </c>
      <c r="G2214">
        <v>0</v>
      </c>
      <c r="H2214">
        <v>0</v>
      </c>
      <c r="I2214">
        <v>1900</v>
      </c>
      <c r="J2214">
        <v>7725</v>
      </c>
      <c r="K2214">
        <v>115</v>
      </c>
      <c r="L2214">
        <v>360</v>
      </c>
      <c r="M2214">
        <v>0</v>
      </c>
      <c r="N2214">
        <v>0</v>
      </c>
      <c r="O2214">
        <v>0</v>
      </c>
      <c r="P2214">
        <v>0</v>
      </c>
      <c r="Q2214">
        <v>679</v>
      </c>
      <c r="R2214">
        <v>0</v>
      </c>
      <c r="S2214" s="18" t="e">
        <f t="shared" si="346"/>
        <v>#DIV/0!</v>
      </c>
      <c r="T2214" s="17" t="e">
        <f t="shared" si="347"/>
        <v>#DIV/0!</v>
      </c>
      <c r="U2214" s="17" t="e">
        <f t="shared" si="348"/>
        <v>#DIV/0!</v>
      </c>
      <c r="V2214" s="17" t="e">
        <f t="shared" si="349"/>
        <v>#DIV/0!</v>
      </c>
      <c r="W2214" s="17" t="e">
        <f t="shared" si="350"/>
        <v>#DIV/0!</v>
      </c>
      <c r="X2214" s="17" t="e">
        <f t="shared" si="351"/>
        <v>#DIV/0!</v>
      </c>
      <c r="Y2214" s="19" t="e">
        <f t="shared" si="352"/>
        <v>#DIV/0!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1900</v>
      </c>
      <c r="AH2214">
        <v>1900</v>
      </c>
      <c r="AI2214">
        <v>0</v>
      </c>
      <c r="AJ2214">
        <v>0</v>
      </c>
      <c r="AK2214">
        <v>7725</v>
      </c>
      <c r="AL2214">
        <v>7725</v>
      </c>
      <c r="AM2214">
        <v>0</v>
      </c>
      <c r="AN2214">
        <v>0</v>
      </c>
      <c r="AO2214">
        <v>115</v>
      </c>
      <c r="AP2214">
        <v>115</v>
      </c>
      <c r="AQ2214">
        <v>115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360</v>
      </c>
      <c r="BA2214">
        <v>360</v>
      </c>
      <c r="BB2214">
        <v>0</v>
      </c>
      <c r="BC2214">
        <v>0</v>
      </c>
      <c r="BD2214">
        <v>0</v>
      </c>
      <c r="BE2214">
        <f t="shared" si="353"/>
        <v>20315</v>
      </c>
      <c r="BF2214">
        <v>10100</v>
      </c>
      <c r="BG2214">
        <v>10100</v>
      </c>
      <c r="BH2214" t="s">
        <v>63</v>
      </c>
      <c r="BI2214" t="s">
        <v>1049</v>
      </c>
      <c r="BJ2214">
        <v>0</v>
      </c>
      <c r="BK2214">
        <v>10100</v>
      </c>
      <c r="BL2214">
        <v>10100</v>
      </c>
      <c r="BM2214">
        <v>0</v>
      </c>
      <c r="BN2214">
        <v>0</v>
      </c>
      <c r="BO2214">
        <v>0</v>
      </c>
      <c r="BP2214">
        <v>10100</v>
      </c>
      <c r="BQ2214">
        <v>10100</v>
      </c>
      <c r="BR2214">
        <f t="shared" si="354"/>
        <v>-679</v>
      </c>
      <c r="BS2214">
        <f t="shared" si="355"/>
        <v>679</v>
      </c>
      <c r="BU2214">
        <f>R2214*9</f>
        <v>0</v>
      </c>
      <c r="BV2214">
        <f>IF(BU2214&gt;BG2214, 1, 0)</f>
        <v>0</v>
      </c>
    </row>
    <row r="2215" spans="1:74" x14ac:dyDescent="0.25">
      <c r="A2215" s="5" t="s">
        <v>207</v>
      </c>
      <c r="B2215" s="5" t="s">
        <v>627</v>
      </c>
      <c r="C2215" s="5" t="s">
        <v>207</v>
      </c>
      <c r="D2215" s="1" t="s">
        <v>139</v>
      </c>
      <c r="E2215">
        <v>0</v>
      </c>
      <c r="F2215">
        <v>13</v>
      </c>
      <c r="G2215">
        <v>0</v>
      </c>
      <c r="H2215">
        <v>0</v>
      </c>
      <c r="I2215">
        <v>396</v>
      </c>
      <c r="J2215">
        <v>6950</v>
      </c>
      <c r="K2215">
        <v>2222</v>
      </c>
      <c r="L2215">
        <v>120</v>
      </c>
      <c r="M2215">
        <v>0</v>
      </c>
      <c r="N2215">
        <v>117</v>
      </c>
      <c r="O2215">
        <v>0</v>
      </c>
      <c r="P2215">
        <v>0</v>
      </c>
      <c r="Q2215">
        <v>790</v>
      </c>
      <c r="R2215">
        <v>13</v>
      </c>
      <c r="S2215" s="18">
        <f t="shared" si="346"/>
        <v>9</v>
      </c>
      <c r="T2215" s="17">
        <f t="shared" si="347"/>
        <v>0</v>
      </c>
      <c r="U2215" s="17">
        <f t="shared" si="348"/>
        <v>13</v>
      </c>
      <c r="V2215" s="17">
        <f t="shared" si="349"/>
        <v>0</v>
      </c>
      <c r="W2215" s="17">
        <f t="shared" si="350"/>
        <v>0</v>
      </c>
      <c r="X2215" s="17">
        <f t="shared" si="351"/>
        <v>777</v>
      </c>
      <c r="Y2215" s="19">
        <f t="shared" si="352"/>
        <v>0</v>
      </c>
      <c r="Z2215">
        <v>13</v>
      </c>
      <c r="AA2215">
        <v>5</v>
      </c>
      <c r="AB2215">
        <v>0</v>
      </c>
      <c r="AC2215">
        <v>9957</v>
      </c>
      <c r="AD2215">
        <v>0</v>
      </c>
      <c r="AE2215">
        <v>396</v>
      </c>
      <c r="AF2215">
        <v>0</v>
      </c>
      <c r="AG2215">
        <v>0</v>
      </c>
      <c r="AH2215">
        <v>396</v>
      </c>
      <c r="AI2215">
        <v>0</v>
      </c>
      <c r="AJ2215">
        <v>6950</v>
      </c>
      <c r="AK2215">
        <v>0</v>
      </c>
      <c r="AL2215">
        <v>6950</v>
      </c>
      <c r="AM2215">
        <v>0</v>
      </c>
      <c r="AN2215">
        <v>70</v>
      </c>
      <c r="AO2215">
        <v>2152</v>
      </c>
      <c r="AP2215">
        <v>1622</v>
      </c>
      <c r="AQ2215">
        <v>2222</v>
      </c>
      <c r="AR2215">
        <v>600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120</v>
      </c>
      <c r="AZ2215">
        <v>0</v>
      </c>
      <c r="BA2215">
        <v>120</v>
      </c>
      <c r="BB2215">
        <v>0</v>
      </c>
      <c r="BC2215">
        <v>0</v>
      </c>
      <c r="BD2215">
        <v>0</v>
      </c>
      <c r="BE2215">
        <f t="shared" si="353"/>
        <v>31555</v>
      </c>
      <c r="BF2215">
        <v>19663</v>
      </c>
      <c r="BG2215">
        <v>19663</v>
      </c>
      <c r="BH2215" t="s">
        <v>82</v>
      </c>
      <c r="BI2215" t="s">
        <v>695</v>
      </c>
      <c r="BJ2215">
        <v>9962</v>
      </c>
      <c r="BK2215">
        <v>9688</v>
      </c>
      <c r="BL2215">
        <v>19663</v>
      </c>
      <c r="BM2215">
        <v>0</v>
      </c>
      <c r="BN2215">
        <v>7653</v>
      </c>
      <c r="BO2215">
        <v>0</v>
      </c>
      <c r="BP2215">
        <v>2152</v>
      </c>
      <c r="BQ2215">
        <v>9805</v>
      </c>
      <c r="BR2215">
        <f t="shared" si="354"/>
        <v>-777</v>
      </c>
      <c r="BS2215">
        <f t="shared" si="355"/>
        <v>803</v>
      </c>
    </row>
    <row r="2216" spans="1:74" x14ac:dyDescent="0.25">
      <c r="A2216" s="5" t="s">
        <v>359</v>
      </c>
      <c r="B2216" s="5" t="s">
        <v>359</v>
      </c>
      <c r="C2216" s="5" t="s">
        <v>61</v>
      </c>
      <c r="D2216" s="1" t="s">
        <v>81</v>
      </c>
      <c r="E2216">
        <v>0</v>
      </c>
      <c r="F2216">
        <v>0</v>
      </c>
      <c r="G2216">
        <v>1567</v>
      </c>
      <c r="H2216">
        <v>0</v>
      </c>
      <c r="I2216">
        <v>4014</v>
      </c>
      <c r="J2216">
        <v>21640</v>
      </c>
      <c r="K2216">
        <v>126</v>
      </c>
      <c r="L2216">
        <v>577</v>
      </c>
      <c r="M2216">
        <v>0</v>
      </c>
      <c r="N2216">
        <v>0</v>
      </c>
      <c r="O2216">
        <v>0</v>
      </c>
      <c r="P2216">
        <v>0</v>
      </c>
      <c r="Q2216">
        <v>777</v>
      </c>
      <c r="R2216">
        <v>0</v>
      </c>
      <c r="S2216" s="18" t="e">
        <f t="shared" si="346"/>
        <v>#DIV/0!</v>
      </c>
      <c r="T2216" s="17" t="e">
        <f t="shared" si="347"/>
        <v>#DIV/0!</v>
      </c>
      <c r="U2216" s="17" t="e">
        <f t="shared" si="348"/>
        <v>#DIV/0!</v>
      </c>
      <c r="V2216" s="17" t="e">
        <f t="shared" si="349"/>
        <v>#DIV/0!</v>
      </c>
      <c r="W2216" s="17" t="e">
        <f t="shared" si="350"/>
        <v>#DIV/0!</v>
      </c>
      <c r="X2216" s="17" t="e">
        <f t="shared" si="351"/>
        <v>#DIV/0!</v>
      </c>
      <c r="Y2216" s="19" t="e">
        <f t="shared" si="352"/>
        <v>#DIV/0!</v>
      </c>
      <c r="Z2216">
        <v>0</v>
      </c>
      <c r="AA2216">
        <v>6</v>
      </c>
      <c r="AB2216">
        <v>0</v>
      </c>
      <c r="AC2216">
        <v>0</v>
      </c>
      <c r="AD2216">
        <v>0</v>
      </c>
      <c r="AE2216">
        <v>1921</v>
      </c>
      <c r="AF2216">
        <v>0</v>
      </c>
      <c r="AG2216">
        <v>2093</v>
      </c>
      <c r="AH2216">
        <v>4014</v>
      </c>
      <c r="AI2216">
        <v>0</v>
      </c>
      <c r="AJ2216">
        <v>11558</v>
      </c>
      <c r="AK2216">
        <v>10082</v>
      </c>
      <c r="AL2216">
        <v>21640</v>
      </c>
      <c r="AM2216">
        <v>0</v>
      </c>
      <c r="AN2216">
        <v>0</v>
      </c>
      <c r="AO2216">
        <v>126</v>
      </c>
      <c r="AP2216">
        <v>71</v>
      </c>
      <c r="AQ2216">
        <v>126</v>
      </c>
      <c r="AR2216">
        <v>55</v>
      </c>
      <c r="AS2216">
        <v>1567</v>
      </c>
      <c r="AT2216">
        <v>0</v>
      </c>
      <c r="AU2216">
        <v>688</v>
      </c>
      <c r="AV2216">
        <v>1567</v>
      </c>
      <c r="AW2216">
        <v>879</v>
      </c>
      <c r="AX2216">
        <v>0</v>
      </c>
      <c r="AY2216">
        <v>376</v>
      </c>
      <c r="AZ2216">
        <v>201</v>
      </c>
      <c r="BA2216">
        <v>577</v>
      </c>
      <c r="BB2216">
        <v>0</v>
      </c>
      <c r="BC2216">
        <v>0</v>
      </c>
      <c r="BD2216">
        <v>0</v>
      </c>
      <c r="BE2216">
        <f t="shared" si="353"/>
        <v>57541</v>
      </c>
      <c r="BF2216">
        <v>27930</v>
      </c>
      <c r="BG2216">
        <v>27930</v>
      </c>
      <c r="BH2216" t="s">
        <v>199</v>
      </c>
      <c r="BI2216" t="s">
        <v>765</v>
      </c>
      <c r="BJ2216">
        <v>6</v>
      </c>
      <c r="BK2216">
        <v>27924</v>
      </c>
      <c r="BL2216">
        <v>27930</v>
      </c>
      <c r="BM2216">
        <v>0</v>
      </c>
      <c r="BN2216">
        <v>15422</v>
      </c>
      <c r="BO2216">
        <v>0</v>
      </c>
      <c r="BP2216">
        <v>12502</v>
      </c>
      <c r="BQ2216">
        <v>27924</v>
      </c>
      <c r="BR2216">
        <f t="shared" si="354"/>
        <v>-777</v>
      </c>
      <c r="BS2216">
        <f t="shared" si="355"/>
        <v>777</v>
      </c>
    </row>
    <row r="2217" spans="1:74" x14ac:dyDescent="0.25">
      <c r="A2217" s="5" t="s">
        <v>1661</v>
      </c>
      <c r="B2217" s="5" t="s">
        <v>207</v>
      </c>
      <c r="C2217" s="5" t="s">
        <v>207</v>
      </c>
      <c r="D2217" s="1" t="s">
        <v>111</v>
      </c>
      <c r="E2217">
        <v>0</v>
      </c>
      <c r="F2217">
        <v>28540</v>
      </c>
      <c r="G2217">
        <v>0</v>
      </c>
      <c r="H2217">
        <v>0</v>
      </c>
      <c r="I2217">
        <v>470</v>
      </c>
      <c r="J2217">
        <v>525</v>
      </c>
      <c r="K2217">
        <v>1491</v>
      </c>
      <c r="L2217">
        <v>171</v>
      </c>
      <c r="M2217">
        <v>1800</v>
      </c>
      <c r="N2217">
        <v>12870</v>
      </c>
      <c r="O2217">
        <v>0</v>
      </c>
      <c r="P2217">
        <v>1917</v>
      </c>
      <c r="Q2217">
        <v>2620</v>
      </c>
      <c r="R2217">
        <v>1843</v>
      </c>
      <c r="S2217" s="18">
        <f t="shared" si="346"/>
        <v>9</v>
      </c>
      <c r="T2217" s="17">
        <f t="shared" si="347"/>
        <v>200</v>
      </c>
      <c r="U2217" s="17">
        <f t="shared" si="348"/>
        <v>1430</v>
      </c>
      <c r="V2217" s="17">
        <f t="shared" si="349"/>
        <v>0</v>
      </c>
      <c r="W2217" s="17">
        <f t="shared" si="350"/>
        <v>213</v>
      </c>
      <c r="X2217" s="17">
        <f t="shared" si="351"/>
        <v>777</v>
      </c>
      <c r="Y2217" s="19">
        <f t="shared" si="352"/>
        <v>0</v>
      </c>
      <c r="Z2217">
        <v>28540</v>
      </c>
      <c r="AA2217">
        <v>0</v>
      </c>
      <c r="AB2217">
        <v>0</v>
      </c>
      <c r="AC2217">
        <v>1020</v>
      </c>
      <c r="AD2217">
        <v>0</v>
      </c>
      <c r="AE2217">
        <v>0</v>
      </c>
      <c r="AF2217">
        <v>0</v>
      </c>
      <c r="AG2217">
        <v>470</v>
      </c>
      <c r="AH2217">
        <v>470</v>
      </c>
      <c r="AI2217">
        <v>0</v>
      </c>
      <c r="AJ2217">
        <v>0</v>
      </c>
      <c r="AK2217">
        <v>525</v>
      </c>
      <c r="AL2217">
        <v>525</v>
      </c>
      <c r="AM2217">
        <v>0</v>
      </c>
      <c r="AN2217">
        <v>0</v>
      </c>
      <c r="AO2217">
        <v>1491</v>
      </c>
      <c r="AP2217">
        <v>656</v>
      </c>
      <c r="AQ2217">
        <v>1491</v>
      </c>
      <c r="AR2217">
        <v>835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171</v>
      </c>
      <c r="BA2217">
        <v>171</v>
      </c>
      <c r="BB2217">
        <v>0</v>
      </c>
      <c r="BC2217">
        <v>0</v>
      </c>
      <c r="BD2217">
        <v>0</v>
      </c>
      <c r="BE2217">
        <f t="shared" si="353"/>
        <v>7825</v>
      </c>
      <c r="BF2217">
        <v>35357</v>
      </c>
      <c r="BG2217">
        <v>35357</v>
      </c>
      <c r="BH2217" t="s">
        <v>560</v>
      </c>
      <c r="BI2217" t="s">
        <v>1814</v>
      </c>
      <c r="BJ2217">
        <v>1020</v>
      </c>
      <c r="BK2217">
        <v>2657</v>
      </c>
      <c r="BL2217">
        <v>32217</v>
      </c>
      <c r="BM2217">
        <v>1800</v>
      </c>
      <c r="BN2217">
        <v>12870</v>
      </c>
      <c r="BO2217">
        <v>0</v>
      </c>
      <c r="BP2217">
        <v>4574</v>
      </c>
      <c r="BQ2217">
        <v>19244</v>
      </c>
      <c r="BR2217">
        <f t="shared" si="354"/>
        <v>-777</v>
      </c>
      <c r="BS2217">
        <f t="shared" si="355"/>
        <v>4463</v>
      </c>
    </row>
    <row r="2218" spans="1:74" x14ac:dyDescent="0.25">
      <c r="A2218" s="5" t="s">
        <v>875</v>
      </c>
      <c r="B2218" s="5" t="s">
        <v>207</v>
      </c>
      <c r="C2218" s="5" t="s">
        <v>61</v>
      </c>
      <c r="D2218" s="1" t="s">
        <v>75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4792</v>
      </c>
      <c r="K2218">
        <v>590</v>
      </c>
      <c r="L2218">
        <v>15</v>
      </c>
      <c r="M2218">
        <v>0</v>
      </c>
      <c r="N2218">
        <v>0</v>
      </c>
      <c r="O2218">
        <v>0</v>
      </c>
      <c r="P2218">
        <v>0</v>
      </c>
      <c r="Q2218">
        <v>781</v>
      </c>
      <c r="R2218">
        <v>0</v>
      </c>
      <c r="S2218" s="18" t="e">
        <f t="shared" si="346"/>
        <v>#DIV/0!</v>
      </c>
      <c r="T2218" s="17" t="e">
        <f t="shared" si="347"/>
        <v>#DIV/0!</v>
      </c>
      <c r="U2218" s="17" t="e">
        <f t="shared" si="348"/>
        <v>#DIV/0!</v>
      </c>
      <c r="V2218" s="17" t="e">
        <f t="shared" si="349"/>
        <v>#DIV/0!</v>
      </c>
      <c r="W2218" s="17" t="e">
        <f t="shared" si="350"/>
        <v>#DIV/0!</v>
      </c>
      <c r="X2218" s="17" t="e">
        <f t="shared" si="351"/>
        <v>#DIV/0!</v>
      </c>
      <c r="Y2218" s="19" t="e">
        <f t="shared" si="352"/>
        <v>#DIV/0!</v>
      </c>
      <c r="Z2218">
        <v>0</v>
      </c>
      <c r="AA2218">
        <v>0</v>
      </c>
      <c r="AB2218">
        <v>0</v>
      </c>
      <c r="AC2218">
        <v>2497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4792</v>
      </c>
      <c r="AL2218">
        <v>4792</v>
      </c>
      <c r="AM2218">
        <v>0</v>
      </c>
      <c r="AN2218">
        <v>0</v>
      </c>
      <c r="AO2218">
        <v>590</v>
      </c>
      <c r="AP2218">
        <v>240</v>
      </c>
      <c r="AQ2218">
        <v>590</v>
      </c>
      <c r="AR2218">
        <v>350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15</v>
      </c>
      <c r="BA2218">
        <v>15</v>
      </c>
      <c r="BB2218">
        <v>0</v>
      </c>
      <c r="BC2218">
        <v>0</v>
      </c>
      <c r="BD2218">
        <v>0</v>
      </c>
      <c r="BE2218">
        <f t="shared" si="353"/>
        <v>13881</v>
      </c>
      <c r="BF2218">
        <v>7894</v>
      </c>
      <c r="BG2218">
        <v>7894</v>
      </c>
      <c r="BH2218" t="s">
        <v>82</v>
      </c>
      <c r="BI2218" t="s">
        <v>972</v>
      </c>
      <c r="BJ2218">
        <v>2497</v>
      </c>
      <c r="BK2218">
        <v>5397</v>
      </c>
      <c r="BL2218">
        <v>7894</v>
      </c>
      <c r="BM2218">
        <v>0</v>
      </c>
      <c r="BN2218">
        <v>0</v>
      </c>
      <c r="BO2218">
        <v>0</v>
      </c>
      <c r="BP2218">
        <v>5397</v>
      </c>
      <c r="BQ2218">
        <v>5397</v>
      </c>
      <c r="BR2218">
        <f t="shared" si="354"/>
        <v>-781</v>
      </c>
      <c r="BS2218">
        <f t="shared" si="355"/>
        <v>781</v>
      </c>
    </row>
    <row r="2219" spans="1:74" x14ac:dyDescent="0.25">
      <c r="A2219" s="5" t="s">
        <v>1661</v>
      </c>
      <c r="B2219" s="5" t="s">
        <v>61</v>
      </c>
      <c r="C2219" s="5" t="s">
        <v>61</v>
      </c>
      <c r="D2219" s="1" t="s">
        <v>90</v>
      </c>
      <c r="E2219">
        <v>0</v>
      </c>
      <c r="F2219">
        <v>36</v>
      </c>
      <c r="G2219">
        <v>0</v>
      </c>
      <c r="H2219">
        <v>0</v>
      </c>
      <c r="I2219">
        <v>178</v>
      </c>
      <c r="J2219">
        <v>6950</v>
      </c>
      <c r="K2219">
        <v>253</v>
      </c>
      <c r="L2219">
        <v>0</v>
      </c>
      <c r="M2219">
        <v>0</v>
      </c>
      <c r="N2219">
        <v>0</v>
      </c>
      <c r="O2219">
        <v>0</v>
      </c>
      <c r="P2219">
        <v>153</v>
      </c>
      <c r="Q2219">
        <v>803</v>
      </c>
      <c r="R2219">
        <v>17</v>
      </c>
      <c r="S2219" s="18">
        <f t="shared" si="346"/>
        <v>9</v>
      </c>
      <c r="T2219" s="17">
        <f t="shared" si="347"/>
        <v>0</v>
      </c>
      <c r="U2219" s="17">
        <f t="shared" si="348"/>
        <v>0</v>
      </c>
      <c r="V2219" s="17">
        <f t="shared" si="349"/>
        <v>0</v>
      </c>
      <c r="W2219" s="17">
        <f t="shared" si="350"/>
        <v>17</v>
      </c>
      <c r="X2219" s="17">
        <f t="shared" si="351"/>
        <v>786</v>
      </c>
      <c r="Y2219" s="19">
        <f t="shared" si="352"/>
        <v>0</v>
      </c>
      <c r="Z2219">
        <v>36</v>
      </c>
      <c r="AA2219">
        <v>6</v>
      </c>
      <c r="AB2219">
        <v>144</v>
      </c>
      <c r="AC2219">
        <v>4120</v>
      </c>
      <c r="AD2219">
        <v>0</v>
      </c>
      <c r="AE2219">
        <v>0</v>
      </c>
      <c r="AF2219">
        <v>0</v>
      </c>
      <c r="AG2219">
        <v>178</v>
      </c>
      <c r="AH2219">
        <v>178</v>
      </c>
      <c r="AI2219">
        <v>0</v>
      </c>
      <c r="AJ2219">
        <v>0</v>
      </c>
      <c r="AK2219">
        <v>6950</v>
      </c>
      <c r="AL2219">
        <v>6950</v>
      </c>
      <c r="AM2219">
        <v>0</v>
      </c>
      <c r="AN2219">
        <v>0</v>
      </c>
      <c r="AO2219">
        <v>253</v>
      </c>
      <c r="AP2219">
        <v>147</v>
      </c>
      <c r="AQ2219">
        <v>253</v>
      </c>
      <c r="AR2219">
        <v>106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f t="shared" si="353"/>
        <v>19135</v>
      </c>
      <c r="BF2219">
        <v>11687</v>
      </c>
      <c r="BG2219">
        <v>11687</v>
      </c>
      <c r="BH2219" t="s">
        <v>82</v>
      </c>
      <c r="BI2219" t="s">
        <v>1673</v>
      </c>
      <c r="BJ2219">
        <v>4270</v>
      </c>
      <c r="BK2219">
        <v>7381</v>
      </c>
      <c r="BL2219">
        <v>11687</v>
      </c>
      <c r="BM2219">
        <v>0</v>
      </c>
      <c r="BN2219">
        <v>0</v>
      </c>
      <c r="BO2219">
        <v>0</v>
      </c>
      <c r="BP2219">
        <v>7534</v>
      </c>
      <c r="BQ2219">
        <v>7534</v>
      </c>
      <c r="BR2219">
        <f t="shared" si="354"/>
        <v>-786</v>
      </c>
      <c r="BS2219">
        <f t="shared" si="355"/>
        <v>820</v>
      </c>
    </row>
    <row r="2220" spans="1:74" x14ac:dyDescent="0.25">
      <c r="A2220" s="5" t="s">
        <v>1451</v>
      </c>
      <c r="B2220" s="5" t="s">
        <v>207</v>
      </c>
      <c r="C2220" s="5" t="s">
        <v>207</v>
      </c>
      <c r="D2220" s="1" t="s">
        <v>108</v>
      </c>
      <c r="E2220">
        <v>83</v>
      </c>
      <c r="F2220">
        <v>4566</v>
      </c>
      <c r="G2220">
        <v>0</v>
      </c>
      <c r="H2220">
        <v>0</v>
      </c>
      <c r="I2220">
        <v>835</v>
      </c>
      <c r="J2220">
        <v>2950</v>
      </c>
      <c r="K2220">
        <v>2254</v>
      </c>
      <c r="L2220">
        <v>78</v>
      </c>
      <c r="M2220">
        <v>0</v>
      </c>
      <c r="N2220">
        <v>0</v>
      </c>
      <c r="O2220">
        <v>0</v>
      </c>
      <c r="P2220">
        <v>6057</v>
      </c>
      <c r="Q2220">
        <v>1461</v>
      </c>
      <c r="R2220">
        <v>673</v>
      </c>
      <c r="S2220" s="18">
        <f t="shared" si="346"/>
        <v>9</v>
      </c>
      <c r="T2220" s="17">
        <f t="shared" si="347"/>
        <v>0</v>
      </c>
      <c r="U2220" s="17">
        <f t="shared" si="348"/>
        <v>0</v>
      </c>
      <c r="V2220" s="17">
        <f t="shared" si="349"/>
        <v>0</v>
      </c>
      <c r="W2220" s="17">
        <f t="shared" si="350"/>
        <v>673</v>
      </c>
      <c r="X2220" s="17">
        <f t="shared" si="351"/>
        <v>788</v>
      </c>
      <c r="Y2220" s="19">
        <f t="shared" si="352"/>
        <v>0</v>
      </c>
      <c r="Z2220">
        <v>4566</v>
      </c>
      <c r="AA2220">
        <v>4</v>
      </c>
      <c r="AB2220">
        <v>350</v>
      </c>
      <c r="AC2220">
        <v>1260</v>
      </c>
      <c r="AD2220">
        <v>0</v>
      </c>
      <c r="AE2220">
        <v>0</v>
      </c>
      <c r="AF2220">
        <v>0</v>
      </c>
      <c r="AG2220">
        <v>835</v>
      </c>
      <c r="AH2220">
        <v>835</v>
      </c>
      <c r="AI2220">
        <v>0</v>
      </c>
      <c r="AJ2220">
        <v>0</v>
      </c>
      <c r="AK2220">
        <v>2950</v>
      </c>
      <c r="AL2220">
        <v>2950</v>
      </c>
      <c r="AM2220">
        <v>0</v>
      </c>
      <c r="AN2220">
        <v>0</v>
      </c>
      <c r="AO2220">
        <v>2254</v>
      </c>
      <c r="AP2220">
        <v>1571</v>
      </c>
      <c r="AQ2220">
        <v>2254</v>
      </c>
      <c r="AR2220">
        <v>683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78</v>
      </c>
      <c r="BA2220">
        <v>78</v>
      </c>
      <c r="BB2220">
        <v>0</v>
      </c>
      <c r="BC2220">
        <v>0</v>
      </c>
      <c r="BD2220">
        <v>0</v>
      </c>
      <c r="BE2220">
        <f t="shared" si="353"/>
        <v>15748</v>
      </c>
      <c r="BF2220">
        <v>12380</v>
      </c>
      <c r="BG2220">
        <v>12380</v>
      </c>
      <c r="BH2220" t="s">
        <v>82</v>
      </c>
      <c r="BI2220" t="s">
        <v>1576</v>
      </c>
      <c r="BJ2220">
        <v>1697</v>
      </c>
      <c r="BK2220">
        <v>6117</v>
      </c>
      <c r="BL2220">
        <v>12380</v>
      </c>
      <c r="BM2220">
        <v>0</v>
      </c>
      <c r="BN2220">
        <v>0</v>
      </c>
      <c r="BO2220">
        <v>0</v>
      </c>
      <c r="BP2220">
        <v>12174</v>
      </c>
      <c r="BQ2220">
        <v>12174</v>
      </c>
      <c r="BR2220">
        <f t="shared" si="354"/>
        <v>-788</v>
      </c>
      <c r="BS2220">
        <f t="shared" si="355"/>
        <v>2134</v>
      </c>
    </row>
    <row r="2221" spans="1:74" x14ac:dyDescent="0.25">
      <c r="A2221" s="5" t="s">
        <v>359</v>
      </c>
      <c r="B2221" s="5" t="s">
        <v>627</v>
      </c>
      <c r="C2221" s="5" t="s">
        <v>61</v>
      </c>
      <c r="D2221" s="1" t="s">
        <v>94</v>
      </c>
      <c r="E2221">
        <v>0</v>
      </c>
      <c r="F2221">
        <v>45</v>
      </c>
      <c r="G2221">
        <v>0</v>
      </c>
      <c r="H2221">
        <v>0</v>
      </c>
      <c r="I2221">
        <v>240</v>
      </c>
      <c r="J2221">
        <v>0</v>
      </c>
      <c r="K2221">
        <v>1000</v>
      </c>
      <c r="L2221">
        <v>0</v>
      </c>
      <c r="M2221">
        <v>0</v>
      </c>
      <c r="N2221">
        <v>0</v>
      </c>
      <c r="O2221">
        <v>0</v>
      </c>
      <c r="P2221">
        <v>81</v>
      </c>
      <c r="Q2221">
        <v>798</v>
      </c>
      <c r="R2221">
        <v>9</v>
      </c>
      <c r="S2221" s="18">
        <f t="shared" si="346"/>
        <v>9</v>
      </c>
      <c r="T2221" s="17">
        <f t="shared" si="347"/>
        <v>0</v>
      </c>
      <c r="U2221" s="17">
        <f t="shared" si="348"/>
        <v>0</v>
      </c>
      <c r="V2221" s="17">
        <f t="shared" si="349"/>
        <v>0</v>
      </c>
      <c r="W2221" s="17">
        <f t="shared" si="350"/>
        <v>9</v>
      </c>
      <c r="X2221" s="17">
        <f t="shared" si="351"/>
        <v>789</v>
      </c>
      <c r="Y2221" s="19">
        <f t="shared" si="352"/>
        <v>0</v>
      </c>
      <c r="Z2221">
        <v>45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240</v>
      </c>
      <c r="AH2221">
        <v>240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1000</v>
      </c>
      <c r="AP2221">
        <v>500</v>
      </c>
      <c r="AQ2221">
        <v>1000</v>
      </c>
      <c r="AR2221">
        <v>500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f t="shared" si="353"/>
        <v>3480</v>
      </c>
      <c r="BF2221">
        <v>1285</v>
      </c>
      <c r="BG2221">
        <v>1285</v>
      </c>
      <c r="BH2221" t="s">
        <v>82</v>
      </c>
      <c r="BI2221" t="s">
        <v>806</v>
      </c>
      <c r="BJ2221">
        <v>0</v>
      </c>
      <c r="BK2221">
        <v>1240</v>
      </c>
      <c r="BL2221">
        <v>1285</v>
      </c>
      <c r="BM2221">
        <v>0</v>
      </c>
      <c r="BN2221">
        <v>0</v>
      </c>
      <c r="BO2221">
        <v>0</v>
      </c>
      <c r="BP2221">
        <v>1321</v>
      </c>
      <c r="BQ2221">
        <v>1321</v>
      </c>
      <c r="BR2221">
        <f t="shared" si="354"/>
        <v>-789</v>
      </c>
      <c r="BS2221">
        <f t="shared" si="355"/>
        <v>807</v>
      </c>
    </row>
    <row r="2222" spans="1:74" x14ac:dyDescent="0.25">
      <c r="A2222" s="5" t="s">
        <v>1135</v>
      </c>
      <c r="B2222" s="5" t="s">
        <v>61</v>
      </c>
      <c r="C2222" s="5" t="s">
        <v>61</v>
      </c>
      <c r="D2222" s="1" t="s">
        <v>90</v>
      </c>
      <c r="E2222">
        <v>0</v>
      </c>
      <c r="F2222">
        <v>0</v>
      </c>
      <c r="G2222">
        <v>0</v>
      </c>
      <c r="H2222">
        <v>0</v>
      </c>
      <c r="I2222">
        <v>1650</v>
      </c>
      <c r="J2222">
        <v>0</v>
      </c>
      <c r="K2222">
        <v>2350</v>
      </c>
      <c r="L2222">
        <v>60</v>
      </c>
      <c r="M2222">
        <v>0</v>
      </c>
      <c r="N2222">
        <v>0</v>
      </c>
      <c r="O2222">
        <v>0</v>
      </c>
      <c r="P2222">
        <v>0</v>
      </c>
      <c r="Q2222">
        <v>800</v>
      </c>
      <c r="R2222">
        <v>0</v>
      </c>
      <c r="S2222" s="18" t="e">
        <f t="shared" si="346"/>
        <v>#DIV/0!</v>
      </c>
      <c r="T2222" s="17" t="e">
        <f t="shared" si="347"/>
        <v>#DIV/0!</v>
      </c>
      <c r="U2222" s="17" t="e">
        <f t="shared" si="348"/>
        <v>#DIV/0!</v>
      </c>
      <c r="V2222" s="17" t="e">
        <f t="shared" si="349"/>
        <v>#DIV/0!</v>
      </c>
      <c r="W2222" s="17" t="e">
        <f t="shared" si="350"/>
        <v>#DIV/0!</v>
      </c>
      <c r="X2222" s="17" t="e">
        <f t="shared" si="351"/>
        <v>#DIV/0!</v>
      </c>
      <c r="Y2222" s="19" t="e">
        <f t="shared" si="352"/>
        <v>#DIV/0!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1650</v>
      </c>
      <c r="AH2222">
        <v>1650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2350</v>
      </c>
      <c r="AP2222">
        <v>1850</v>
      </c>
      <c r="AQ2222">
        <v>2350</v>
      </c>
      <c r="AR2222">
        <v>500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60</v>
      </c>
      <c r="BA2222">
        <v>60</v>
      </c>
      <c r="BB2222">
        <v>0</v>
      </c>
      <c r="BC2222">
        <v>0</v>
      </c>
      <c r="BD2222">
        <v>0</v>
      </c>
      <c r="BE2222">
        <f t="shared" si="353"/>
        <v>10470</v>
      </c>
      <c r="BF2222">
        <v>4060</v>
      </c>
      <c r="BG2222">
        <v>4060</v>
      </c>
      <c r="BH2222" t="s">
        <v>109</v>
      </c>
      <c r="BI2222" t="s">
        <v>1146</v>
      </c>
      <c r="BJ2222">
        <v>0</v>
      </c>
      <c r="BK2222">
        <v>4060</v>
      </c>
      <c r="BL2222">
        <v>4060</v>
      </c>
      <c r="BM2222">
        <v>0</v>
      </c>
      <c r="BN2222">
        <v>0</v>
      </c>
      <c r="BO2222">
        <v>0</v>
      </c>
      <c r="BP2222">
        <v>4060</v>
      </c>
      <c r="BQ2222">
        <v>4060</v>
      </c>
      <c r="BR2222">
        <f t="shared" si="354"/>
        <v>-800</v>
      </c>
      <c r="BS2222">
        <f t="shared" si="355"/>
        <v>800</v>
      </c>
    </row>
    <row r="2223" spans="1:74" x14ac:dyDescent="0.25">
      <c r="A2223" s="5" t="s">
        <v>1017</v>
      </c>
      <c r="B2223" s="5" t="s">
        <v>61</v>
      </c>
      <c r="C2223" s="5" t="s">
        <v>207</v>
      </c>
      <c r="D2223" s="1" t="s">
        <v>75</v>
      </c>
      <c r="E2223">
        <v>0</v>
      </c>
      <c r="F2223">
        <v>2196</v>
      </c>
      <c r="G2223">
        <v>0</v>
      </c>
      <c r="H2223">
        <v>0</v>
      </c>
      <c r="I2223">
        <v>750</v>
      </c>
      <c r="J2223">
        <v>3000</v>
      </c>
      <c r="K2223">
        <v>0</v>
      </c>
      <c r="L2223">
        <v>0</v>
      </c>
      <c r="M2223">
        <v>1044</v>
      </c>
      <c r="N2223">
        <v>0</v>
      </c>
      <c r="O2223">
        <v>0</v>
      </c>
      <c r="P2223">
        <v>0</v>
      </c>
      <c r="Q2223">
        <v>917</v>
      </c>
      <c r="R2223">
        <v>116</v>
      </c>
      <c r="S2223" s="18">
        <f t="shared" si="346"/>
        <v>9</v>
      </c>
      <c r="T2223" s="17">
        <f t="shared" si="347"/>
        <v>116</v>
      </c>
      <c r="U2223" s="17">
        <f t="shared" si="348"/>
        <v>0</v>
      </c>
      <c r="V2223" s="17">
        <f t="shared" si="349"/>
        <v>0</v>
      </c>
      <c r="W2223" s="17">
        <f t="shared" si="350"/>
        <v>0</v>
      </c>
      <c r="X2223" s="17">
        <f t="shared" si="351"/>
        <v>801</v>
      </c>
      <c r="Y2223" s="19">
        <f t="shared" si="352"/>
        <v>0</v>
      </c>
      <c r="Z2223">
        <v>2196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750</v>
      </c>
      <c r="AH2223">
        <v>750</v>
      </c>
      <c r="AI2223">
        <v>0</v>
      </c>
      <c r="AJ2223">
        <v>0</v>
      </c>
      <c r="AK2223">
        <v>3000</v>
      </c>
      <c r="AL2223">
        <v>3000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f t="shared" si="353"/>
        <v>7500</v>
      </c>
      <c r="BF2223">
        <v>5946</v>
      </c>
      <c r="BG2223">
        <v>5946</v>
      </c>
      <c r="BH2223" t="s">
        <v>109</v>
      </c>
      <c r="BI2223" t="s">
        <v>1052</v>
      </c>
      <c r="BJ2223">
        <v>0</v>
      </c>
      <c r="BK2223">
        <v>3750</v>
      </c>
      <c r="BL2223">
        <v>5946</v>
      </c>
      <c r="BM2223">
        <v>1044</v>
      </c>
      <c r="BN2223">
        <v>0</v>
      </c>
      <c r="BO2223">
        <v>0</v>
      </c>
      <c r="BP2223">
        <v>3750</v>
      </c>
      <c r="BQ2223">
        <v>4794</v>
      </c>
      <c r="BR2223">
        <f t="shared" si="354"/>
        <v>-801</v>
      </c>
      <c r="BS2223">
        <f t="shared" si="355"/>
        <v>1033</v>
      </c>
    </row>
    <row r="2224" spans="1:74" x14ac:dyDescent="0.25">
      <c r="A2224" s="5" t="s">
        <v>207</v>
      </c>
      <c r="B2224" s="5" t="s">
        <v>61</v>
      </c>
      <c r="C2224" s="5" t="s">
        <v>61</v>
      </c>
      <c r="D2224" s="1" t="s">
        <v>73</v>
      </c>
      <c r="E2224">
        <v>0</v>
      </c>
      <c r="F2224">
        <v>144</v>
      </c>
      <c r="G2224">
        <v>0</v>
      </c>
      <c r="H2224">
        <v>0</v>
      </c>
      <c r="I2224">
        <v>3000</v>
      </c>
      <c r="J2224">
        <v>0</v>
      </c>
      <c r="K2224">
        <v>0</v>
      </c>
      <c r="L2224">
        <v>0</v>
      </c>
      <c r="M2224">
        <v>1296</v>
      </c>
      <c r="N2224">
        <v>0</v>
      </c>
      <c r="O2224">
        <v>0</v>
      </c>
      <c r="P2224">
        <v>0</v>
      </c>
      <c r="Q2224">
        <v>946</v>
      </c>
      <c r="R2224">
        <v>144</v>
      </c>
      <c r="S2224" s="18">
        <f t="shared" si="346"/>
        <v>9</v>
      </c>
      <c r="T2224" s="17">
        <f t="shared" si="347"/>
        <v>144</v>
      </c>
      <c r="U2224" s="17">
        <f t="shared" si="348"/>
        <v>0</v>
      </c>
      <c r="V2224" s="17">
        <f t="shared" si="349"/>
        <v>0</v>
      </c>
      <c r="W2224" s="17">
        <f t="shared" si="350"/>
        <v>0</v>
      </c>
      <c r="X2224" s="17">
        <f t="shared" si="351"/>
        <v>802</v>
      </c>
      <c r="Y2224" s="19">
        <f t="shared" si="352"/>
        <v>0</v>
      </c>
      <c r="Z2224">
        <v>144</v>
      </c>
      <c r="AA2224">
        <v>0</v>
      </c>
      <c r="AB2224">
        <v>0</v>
      </c>
      <c r="AC2224">
        <v>0</v>
      </c>
      <c r="AD2224">
        <v>1800</v>
      </c>
      <c r="AE2224">
        <v>0</v>
      </c>
      <c r="AF2224">
        <v>0</v>
      </c>
      <c r="AG2224">
        <v>1200</v>
      </c>
      <c r="AH2224">
        <v>3000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f t="shared" si="353"/>
        <v>6000</v>
      </c>
      <c r="BF2224">
        <v>3144</v>
      </c>
      <c r="BG2224">
        <v>3144</v>
      </c>
      <c r="BH2224" t="s">
        <v>109</v>
      </c>
      <c r="BI2224" t="s">
        <v>431</v>
      </c>
      <c r="BJ2224">
        <v>0</v>
      </c>
      <c r="BK2224">
        <v>3000</v>
      </c>
      <c r="BL2224">
        <v>3144</v>
      </c>
      <c r="BM2224">
        <v>3096</v>
      </c>
      <c r="BN2224">
        <v>0</v>
      </c>
      <c r="BO2224">
        <v>0</v>
      </c>
      <c r="BP2224">
        <v>1200</v>
      </c>
      <c r="BQ2224">
        <v>4296</v>
      </c>
      <c r="BR2224">
        <f t="shared" si="354"/>
        <v>-802</v>
      </c>
      <c r="BS2224">
        <f t="shared" si="355"/>
        <v>1090</v>
      </c>
    </row>
    <row r="2225" spans="1:74" x14ac:dyDescent="0.25">
      <c r="A2225" s="5" t="s">
        <v>1017</v>
      </c>
      <c r="B2225" s="5" t="s">
        <v>61</v>
      </c>
      <c r="C2225" s="5" t="s">
        <v>207</v>
      </c>
      <c r="D2225" s="1" t="s">
        <v>77</v>
      </c>
      <c r="E2225">
        <v>0</v>
      </c>
      <c r="F2225">
        <v>0</v>
      </c>
      <c r="G2225">
        <v>0</v>
      </c>
      <c r="H2225">
        <v>0</v>
      </c>
      <c r="I2225">
        <v>343</v>
      </c>
      <c r="J2225">
        <v>1557</v>
      </c>
      <c r="K2225">
        <v>2349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805</v>
      </c>
      <c r="R2225">
        <v>0</v>
      </c>
      <c r="S2225" s="18" t="e">
        <f t="shared" si="346"/>
        <v>#DIV/0!</v>
      </c>
      <c r="T2225" s="17" t="e">
        <f t="shared" si="347"/>
        <v>#DIV/0!</v>
      </c>
      <c r="U2225" s="17" t="e">
        <f t="shared" si="348"/>
        <v>#DIV/0!</v>
      </c>
      <c r="V2225" s="17" t="e">
        <f t="shared" si="349"/>
        <v>#DIV/0!</v>
      </c>
      <c r="W2225" s="17" t="e">
        <f t="shared" si="350"/>
        <v>#DIV/0!</v>
      </c>
      <c r="X2225" s="17" t="e">
        <f t="shared" si="351"/>
        <v>#DIV/0!</v>
      </c>
      <c r="Y2225" s="19" t="e">
        <f t="shared" si="352"/>
        <v>#DIV/0!</v>
      </c>
      <c r="Z2225">
        <v>0</v>
      </c>
      <c r="AA2225">
        <v>0</v>
      </c>
      <c r="AB2225">
        <v>0</v>
      </c>
      <c r="AC2225">
        <v>393</v>
      </c>
      <c r="AD2225">
        <v>0</v>
      </c>
      <c r="AE2225">
        <v>0</v>
      </c>
      <c r="AF2225">
        <v>0</v>
      </c>
      <c r="AG2225">
        <v>343</v>
      </c>
      <c r="AH2225">
        <v>343</v>
      </c>
      <c r="AI2225">
        <v>0</v>
      </c>
      <c r="AJ2225">
        <v>0</v>
      </c>
      <c r="AK2225">
        <v>1557</v>
      </c>
      <c r="AL2225">
        <v>1557</v>
      </c>
      <c r="AM2225">
        <v>0</v>
      </c>
      <c r="AN2225">
        <v>0</v>
      </c>
      <c r="AO2225">
        <v>2349</v>
      </c>
      <c r="AP2225">
        <v>841</v>
      </c>
      <c r="AQ2225">
        <v>2349</v>
      </c>
      <c r="AR2225">
        <v>1508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f t="shared" si="353"/>
        <v>11240</v>
      </c>
      <c r="BF2225">
        <v>4642</v>
      </c>
      <c r="BG2225">
        <v>4642</v>
      </c>
      <c r="BH2225" t="s">
        <v>109</v>
      </c>
      <c r="BI2225" t="s">
        <v>1053</v>
      </c>
      <c r="BJ2225">
        <v>393</v>
      </c>
      <c r="BK2225">
        <v>4249</v>
      </c>
      <c r="BL2225">
        <v>4642</v>
      </c>
      <c r="BM2225">
        <v>0</v>
      </c>
      <c r="BN2225">
        <v>0</v>
      </c>
      <c r="BO2225">
        <v>0</v>
      </c>
      <c r="BP2225">
        <v>4249</v>
      </c>
      <c r="BQ2225">
        <v>4249</v>
      </c>
      <c r="BR2225">
        <f t="shared" si="354"/>
        <v>-805</v>
      </c>
      <c r="BS2225">
        <f t="shared" si="355"/>
        <v>805</v>
      </c>
    </row>
    <row r="2226" spans="1:74" x14ac:dyDescent="0.25">
      <c r="A2226" s="5" t="s">
        <v>1946</v>
      </c>
      <c r="B2226" s="5" t="s">
        <v>61</v>
      </c>
      <c r="C2226" s="5" t="s">
        <v>61</v>
      </c>
      <c r="D2226" s="1" t="s">
        <v>77</v>
      </c>
      <c r="E2226">
        <v>0</v>
      </c>
      <c r="F2226">
        <v>0</v>
      </c>
      <c r="G2226">
        <v>0</v>
      </c>
      <c r="H2226">
        <v>0</v>
      </c>
      <c r="I2226">
        <v>1500</v>
      </c>
      <c r="J2226">
        <v>0</v>
      </c>
      <c r="K2226">
        <v>100</v>
      </c>
      <c r="L2226">
        <v>137</v>
      </c>
      <c r="M2226">
        <v>0</v>
      </c>
      <c r="N2226">
        <v>0</v>
      </c>
      <c r="O2226">
        <v>0</v>
      </c>
      <c r="P2226">
        <v>0</v>
      </c>
      <c r="Q2226">
        <v>680</v>
      </c>
      <c r="R2226">
        <v>0</v>
      </c>
      <c r="S2226" s="18" t="e">
        <f t="shared" si="346"/>
        <v>#DIV/0!</v>
      </c>
      <c r="T2226" s="17" t="e">
        <f t="shared" si="347"/>
        <v>#DIV/0!</v>
      </c>
      <c r="U2226" s="17" t="e">
        <f t="shared" si="348"/>
        <v>#DIV/0!</v>
      </c>
      <c r="V2226" s="17" t="e">
        <f t="shared" si="349"/>
        <v>#DIV/0!</v>
      </c>
      <c r="W2226" s="17" t="e">
        <f t="shared" si="350"/>
        <v>#DIV/0!</v>
      </c>
      <c r="X2226" s="17" t="e">
        <f t="shared" si="351"/>
        <v>#DIV/0!</v>
      </c>
      <c r="Y2226" s="19" t="e">
        <f t="shared" si="352"/>
        <v>#DIV/0!</v>
      </c>
      <c r="Z2226">
        <v>0</v>
      </c>
      <c r="AA2226">
        <v>0</v>
      </c>
      <c r="AB2226">
        <v>0</v>
      </c>
      <c r="AC2226">
        <v>70</v>
      </c>
      <c r="AD2226">
        <v>0</v>
      </c>
      <c r="AE2226">
        <v>0</v>
      </c>
      <c r="AF2226">
        <v>0</v>
      </c>
      <c r="AG2226">
        <v>1500</v>
      </c>
      <c r="AH2226">
        <v>1500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100</v>
      </c>
      <c r="AP2226">
        <v>100</v>
      </c>
      <c r="AQ2226">
        <v>100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137</v>
      </c>
      <c r="BA2226">
        <v>137</v>
      </c>
      <c r="BB2226">
        <v>0</v>
      </c>
      <c r="BC2226">
        <v>0</v>
      </c>
      <c r="BD2226">
        <v>0</v>
      </c>
      <c r="BE2226">
        <f t="shared" si="353"/>
        <v>3644</v>
      </c>
      <c r="BF2226">
        <v>1807</v>
      </c>
      <c r="BG2226">
        <v>1807</v>
      </c>
      <c r="BH2226" t="s">
        <v>63</v>
      </c>
      <c r="BI2226" t="s">
        <v>1954</v>
      </c>
      <c r="BJ2226">
        <v>70</v>
      </c>
      <c r="BK2226">
        <v>1737</v>
      </c>
      <c r="BL2226">
        <v>1807</v>
      </c>
      <c r="BM2226">
        <v>0</v>
      </c>
      <c r="BN2226">
        <v>0</v>
      </c>
      <c r="BO2226">
        <v>0</v>
      </c>
      <c r="BP2226">
        <v>1737</v>
      </c>
      <c r="BQ2226">
        <v>1737</v>
      </c>
      <c r="BR2226">
        <f t="shared" si="354"/>
        <v>-680</v>
      </c>
      <c r="BS2226">
        <f t="shared" si="355"/>
        <v>680</v>
      </c>
      <c r="BU2226">
        <f>R2226*9</f>
        <v>0</v>
      </c>
      <c r="BV2226">
        <f>IF(BU2226&gt;BG2226, 1, 0)</f>
        <v>0</v>
      </c>
    </row>
    <row r="2227" spans="1:74" x14ac:dyDescent="0.25">
      <c r="A2227" s="5" t="s">
        <v>1017</v>
      </c>
      <c r="B2227" s="5" t="s">
        <v>61</v>
      </c>
      <c r="C2227" s="5" t="s">
        <v>207</v>
      </c>
      <c r="D2227" s="1" t="s">
        <v>137</v>
      </c>
      <c r="E2227">
        <v>0</v>
      </c>
      <c r="F2227">
        <v>2122</v>
      </c>
      <c r="G2227">
        <v>0</v>
      </c>
      <c r="H2227">
        <v>0</v>
      </c>
      <c r="I2227">
        <v>1785</v>
      </c>
      <c r="J2227">
        <v>9300</v>
      </c>
      <c r="K2227">
        <v>2043</v>
      </c>
      <c r="L2227">
        <v>150</v>
      </c>
      <c r="M2227">
        <v>0</v>
      </c>
      <c r="N2227">
        <v>3798</v>
      </c>
      <c r="O2227">
        <v>0</v>
      </c>
      <c r="P2227">
        <v>0</v>
      </c>
      <c r="Q2227">
        <v>1233</v>
      </c>
      <c r="R2227">
        <v>422</v>
      </c>
      <c r="S2227" s="18">
        <f t="shared" si="346"/>
        <v>9</v>
      </c>
      <c r="T2227" s="17">
        <f t="shared" si="347"/>
        <v>0</v>
      </c>
      <c r="U2227" s="17">
        <f t="shared" si="348"/>
        <v>422</v>
      </c>
      <c r="V2227" s="17">
        <f t="shared" si="349"/>
        <v>0</v>
      </c>
      <c r="W2227" s="17">
        <f t="shared" si="350"/>
        <v>0</v>
      </c>
      <c r="X2227" s="17">
        <f t="shared" si="351"/>
        <v>811</v>
      </c>
      <c r="Y2227" s="19">
        <f t="shared" si="352"/>
        <v>0</v>
      </c>
      <c r="Z2227">
        <v>2122</v>
      </c>
      <c r="AA2227">
        <v>5</v>
      </c>
      <c r="AB2227">
        <v>0</v>
      </c>
      <c r="AC2227">
        <v>2817</v>
      </c>
      <c r="AD2227">
        <v>0</v>
      </c>
      <c r="AE2227">
        <v>1400</v>
      </c>
      <c r="AF2227">
        <v>0</v>
      </c>
      <c r="AG2227">
        <v>385</v>
      </c>
      <c r="AH2227">
        <v>1785</v>
      </c>
      <c r="AI2227">
        <v>0</v>
      </c>
      <c r="AJ2227">
        <v>7200</v>
      </c>
      <c r="AK2227">
        <v>2100</v>
      </c>
      <c r="AL2227">
        <v>9300</v>
      </c>
      <c r="AM2227">
        <v>0</v>
      </c>
      <c r="AN2227">
        <v>1770</v>
      </c>
      <c r="AO2227">
        <v>273</v>
      </c>
      <c r="AP2227">
        <v>930</v>
      </c>
      <c r="AQ2227">
        <v>2043</v>
      </c>
      <c r="AR2227">
        <v>1113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50</v>
      </c>
      <c r="AZ2227">
        <v>100</v>
      </c>
      <c r="BA2227">
        <v>150</v>
      </c>
      <c r="BB2227">
        <v>0</v>
      </c>
      <c r="BC2227">
        <v>0</v>
      </c>
      <c r="BD2227">
        <v>0</v>
      </c>
      <c r="BE2227">
        <f t="shared" si="353"/>
        <v>31416</v>
      </c>
      <c r="BF2227">
        <v>18222</v>
      </c>
      <c r="BG2227">
        <v>18222</v>
      </c>
      <c r="BH2227" t="s">
        <v>82</v>
      </c>
      <c r="BI2227" t="s">
        <v>1080</v>
      </c>
      <c r="BJ2227">
        <v>2822</v>
      </c>
      <c r="BK2227">
        <v>13278</v>
      </c>
      <c r="BL2227">
        <v>18222</v>
      </c>
      <c r="BM2227">
        <v>0</v>
      </c>
      <c r="BN2227">
        <v>14218</v>
      </c>
      <c r="BO2227">
        <v>0</v>
      </c>
      <c r="BP2227">
        <v>2858</v>
      </c>
      <c r="BQ2227">
        <v>17076</v>
      </c>
      <c r="BR2227">
        <f t="shared" si="354"/>
        <v>-811</v>
      </c>
      <c r="BS2227">
        <f t="shared" si="355"/>
        <v>1655</v>
      </c>
    </row>
    <row r="2228" spans="1:74" x14ac:dyDescent="0.25">
      <c r="A2228" s="5" t="s">
        <v>1337</v>
      </c>
      <c r="B2228" s="5" t="s">
        <v>61</v>
      </c>
      <c r="C2228" s="5" t="s">
        <v>61</v>
      </c>
      <c r="D2228" s="1" t="s">
        <v>81</v>
      </c>
      <c r="E2228">
        <v>0</v>
      </c>
      <c r="F2228">
        <v>5</v>
      </c>
      <c r="G2228">
        <v>0</v>
      </c>
      <c r="H2228">
        <v>0</v>
      </c>
      <c r="I2228">
        <v>2100</v>
      </c>
      <c r="J2228">
        <v>0</v>
      </c>
      <c r="K2228">
        <v>805</v>
      </c>
      <c r="L2228">
        <v>0</v>
      </c>
      <c r="M2228">
        <v>0</v>
      </c>
      <c r="N2228">
        <v>0</v>
      </c>
      <c r="O2228">
        <v>0</v>
      </c>
      <c r="P2228">
        <v>45</v>
      </c>
      <c r="Q2228">
        <v>819</v>
      </c>
      <c r="R2228">
        <v>5</v>
      </c>
      <c r="S2228" s="18">
        <f t="shared" si="346"/>
        <v>9</v>
      </c>
      <c r="T2228" s="17">
        <f t="shared" si="347"/>
        <v>0</v>
      </c>
      <c r="U2228" s="17">
        <f t="shared" si="348"/>
        <v>0</v>
      </c>
      <c r="V2228" s="17">
        <f t="shared" si="349"/>
        <v>0</v>
      </c>
      <c r="W2228" s="17">
        <f t="shared" si="350"/>
        <v>5</v>
      </c>
      <c r="X2228" s="17">
        <f t="shared" si="351"/>
        <v>814</v>
      </c>
      <c r="Y2228" s="19">
        <f t="shared" si="352"/>
        <v>0</v>
      </c>
      <c r="Z2228">
        <v>5</v>
      </c>
      <c r="AA2228">
        <v>0</v>
      </c>
      <c r="AB2228">
        <v>0</v>
      </c>
      <c r="AC2228">
        <v>0</v>
      </c>
      <c r="AD2228">
        <v>0</v>
      </c>
      <c r="AE2228">
        <v>2100</v>
      </c>
      <c r="AF2228">
        <v>0</v>
      </c>
      <c r="AG2228">
        <v>0</v>
      </c>
      <c r="AH2228">
        <v>2100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805</v>
      </c>
      <c r="AP2228">
        <v>90</v>
      </c>
      <c r="AQ2228">
        <v>805</v>
      </c>
      <c r="AR2228">
        <v>715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f t="shared" si="353"/>
        <v>6615</v>
      </c>
      <c r="BF2228">
        <v>2910</v>
      </c>
      <c r="BG2228">
        <v>2910</v>
      </c>
      <c r="BH2228" t="s">
        <v>109</v>
      </c>
      <c r="BI2228" t="s">
        <v>1346</v>
      </c>
      <c r="BJ2228">
        <v>0</v>
      </c>
      <c r="BK2228">
        <v>2905</v>
      </c>
      <c r="BL2228">
        <v>2910</v>
      </c>
      <c r="BM2228">
        <v>0</v>
      </c>
      <c r="BN2228">
        <v>2100</v>
      </c>
      <c r="BO2228">
        <v>0</v>
      </c>
      <c r="BP2228">
        <v>850</v>
      </c>
      <c r="BQ2228">
        <v>2950</v>
      </c>
      <c r="BR2228">
        <f t="shared" si="354"/>
        <v>-814</v>
      </c>
      <c r="BS2228">
        <f t="shared" si="355"/>
        <v>824</v>
      </c>
    </row>
    <row r="2229" spans="1:74" x14ac:dyDescent="0.25">
      <c r="A2229" s="5" t="s">
        <v>1135</v>
      </c>
      <c r="B2229" s="5" t="s">
        <v>207</v>
      </c>
      <c r="C2229" s="5" t="s">
        <v>61</v>
      </c>
      <c r="D2229" s="1" t="s">
        <v>84</v>
      </c>
      <c r="E2229">
        <v>0</v>
      </c>
      <c r="F2229">
        <v>0</v>
      </c>
      <c r="G2229">
        <v>0</v>
      </c>
      <c r="H2229">
        <v>0</v>
      </c>
      <c r="I2229">
        <v>650</v>
      </c>
      <c r="J2229">
        <v>16500</v>
      </c>
      <c r="K2229">
        <v>3325</v>
      </c>
      <c r="L2229">
        <v>185</v>
      </c>
      <c r="M2229">
        <v>0</v>
      </c>
      <c r="N2229">
        <v>0</v>
      </c>
      <c r="O2229">
        <v>0</v>
      </c>
      <c r="P2229">
        <v>0</v>
      </c>
      <c r="Q2229">
        <v>690</v>
      </c>
      <c r="R2229">
        <v>0</v>
      </c>
      <c r="S2229" s="18" t="e">
        <f t="shared" si="346"/>
        <v>#DIV/0!</v>
      </c>
      <c r="T2229" s="17" t="e">
        <f t="shared" si="347"/>
        <v>#DIV/0!</v>
      </c>
      <c r="U2229" s="17" t="e">
        <f t="shared" si="348"/>
        <v>#DIV/0!</v>
      </c>
      <c r="V2229" s="17" t="e">
        <f t="shared" si="349"/>
        <v>#DIV/0!</v>
      </c>
      <c r="W2229" s="17" t="e">
        <f t="shared" si="350"/>
        <v>#DIV/0!</v>
      </c>
      <c r="X2229" s="17" t="e">
        <f t="shared" si="351"/>
        <v>#DIV/0!</v>
      </c>
      <c r="Y2229" s="19" t="e">
        <f t="shared" si="352"/>
        <v>#DIV/0!</v>
      </c>
      <c r="Z2229">
        <v>0</v>
      </c>
      <c r="AA2229">
        <v>0</v>
      </c>
      <c r="AB2229">
        <v>0</v>
      </c>
      <c r="AC2229">
        <v>350</v>
      </c>
      <c r="AD2229">
        <v>0</v>
      </c>
      <c r="AE2229">
        <v>650</v>
      </c>
      <c r="AF2229">
        <v>0</v>
      </c>
      <c r="AG2229">
        <v>0</v>
      </c>
      <c r="AH2229">
        <v>650</v>
      </c>
      <c r="AI2229">
        <v>0</v>
      </c>
      <c r="AJ2229">
        <v>16500</v>
      </c>
      <c r="AK2229">
        <v>0</v>
      </c>
      <c r="AL2229">
        <v>16500</v>
      </c>
      <c r="AM2229">
        <v>0</v>
      </c>
      <c r="AN2229">
        <v>3325</v>
      </c>
      <c r="AO2229">
        <v>0</v>
      </c>
      <c r="AP2229">
        <v>1825</v>
      </c>
      <c r="AQ2229">
        <v>3325</v>
      </c>
      <c r="AR2229">
        <v>1500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185</v>
      </c>
      <c r="AZ2229">
        <v>0</v>
      </c>
      <c r="BA2229">
        <v>185</v>
      </c>
      <c r="BB2229">
        <v>0</v>
      </c>
      <c r="BC2229">
        <v>0</v>
      </c>
      <c r="BD2229">
        <v>0</v>
      </c>
      <c r="BE2229">
        <f t="shared" si="353"/>
        <v>44995</v>
      </c>
      <c r="BF2229">
        <v>21010</v>
      </c>
      <c r="BG2229">
        <v>21010</v>
      </c>
      <c r="BH2229" t="s">
        <v>63</v>
      </c>
      <c r="BI2229" t="s">
        <v>1206</v>
      </c>
      <c r="BJ2229">
        <v>350</v>
      </c>
      <c r="BK2229">
        <v>20660</v>
      </c>
      <c r="BL2229">
        <v>21010</v>
      </c>
      <c r="BM2229">
        <v>0</v>
      </c>
      <c r="BN2229">
        <v>20660</v>
      </c>
      <c r="BO2229">
        <v>0</v>
      </c>
      <c r="BP2229">
        <v>0</v>
      </c>
      <c r="BQ2229">
        <v>20660</v>
      </c>
      <c r="BR2229">
        <f t="shared" si="354"/>
        <v>-690</v>
      </c>
      <c r="BS2229">
        <f t="shared" si="355"/>
        <v>690</v>
      </c>
      <c r="BU2229">
        <f>R2229*9</f>
        <v>0</v>
      </c>
      <c r="BV2229">
        <f>IF(BU2229&gt;BG2229, 1, 0)</f>
        <v>0</v>
      </c>
    </row>
    <row r="2230" spans="1:74" x14ac:dyDescent="0.25">
      <c r="A2230" s="5" t="s">
        <v>2294</v>
      </c>
      <c r="B2230" s="5" t="s">
        <v>61</v>
      </c>
      <c r="C2230" s="5" t="s">
        <v>61</v>
      </c>
      <c r="D2230" s="1" t="s">
        <v>73</v>
      </c>
      <c r="E2230">
        <v>0</v>
      </c>
      <c r="F2230">
        <v>6</v>
      </c>
      <c r="G2230">
        <v>0</v>
      </c>
      <c r="H2230">
        <v>0</v>
      </c>
      <c r="I2230">
        <v>2400</v>
      </c>
      <c r="J2230">
        <v>0</v>
      </c>
      <c r="K2230">
        <v>0</v>
      </c>
      <c r="L2230">
        <v>50</v>
      </c>
      <c r="M2230">
        <v>54</v>
      </c>
      <c r="N2230">
        <v>0</v>
      </c>
      <c r="O2230">
        <v>0</v>
      </c>
      <c r="P2230">
        <v>0</v>
      </c>
      <c r="Q2230">
        <v>826</v>
      </c>
      <c r="R2230">
        <v>6</v>
      </c>
      <c r="S2230" s="18">
        <f t="shared" si="346"/>
        <v>9</v>
      </c>
      <c r="T2230" s="17">
        <f t="shared" si="347"/>
        <v>6</v>
      </c>
      <c r="U2230" s="17">
        <f t="shared" si="348"/>
        <v>0</v>
      </c>
      <c r="V2230" s="17">
        <f t="shared" si="349"/>
        <v>0</v>
      </c>
      <c r="W2230" s="17">
        <f t="shared" si="350"/>
        <v>0</v>
      </c>
      <c r="X2230" s="17">
        <f t="shared" si="351"/>
        <v>820</v>
      </c>
      <c r="Y2230" s="19">
        <f t="shared" si="352"/>
        <v>0</v>
      </c>
      <c r="Z2230">
        <v>6</v>
      </c>
      <c r="AA2230">
        <v>0</v>
      </c>
      <c r="AB2230">
        <v>0</v>
      </c>
      <c r="AC2230">
        <v>0</v>
      </c>
      <c r="AD2230">
        <v>2400</v>
      </c>
      <c r="AE2230">
        <v>0</v>
      </c>
      <c r="AF2230">
        <v>0</v>
      </c>
      <c r="AG2230">
        <v>0</v>
      </c>
      <c r="AH2230">
        <v>2400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50</v>
      </c>
      <c r="BA2230">
        <v>50</v>
      </c>
      <c r="BB2230">
        <v>0</v>
      </c>
      <c r="BC2230">
        <v>0</v>
      </c>
      <c r="BD2230">
        <v>0</v>
      </c>
      <c r="BE2230">
        <f t="shared" si="353"/>
        <v>4900</v>
      </c>
      <c r="BF2230">
        <v>2456</v>
      </c>
      <c r="BG2230">
        <v>2456</v>
      </c>
      <c r="BH2230" t="s">
        <v>109</v>
      </c>
      <c r="BI2230" t="s">
        <v>2300</v>
      </c>
      <c r="BJ2230">
        <v>0</v>
      </c>
      <c r="BK2230">
        <v>2450</v>
      </c>
      <c r="BL2230">
        <v>2456</v>
      </c>
      <c r="BM2230">
        <v>2454</v>
      </c>
      <c r="BN2230">
        <v>0</v>
      </c>
      <c r="BO2230">
        <v>0</v>
      </c>
      <c r="BP2230">
        <v>50</v>
      </c>
      <c r="BQ2230">
        <v>2504</v>
      </c>
      <c r="BR2230">
        <f t="shared" si="354"/>
        <v>-820</v>
      </c>
      <c r="BS2230">
        <f t="shared" si="355"/>
        <v>832</v>
      </c>
    </row>
    <row r="2231" spans="1:74" x14ac:dyDescent="0.25">
      <c r="A2231" s="5" t="s">
        <v>1135</v>
      </c>
      <c r="B2231" s="5" t="s">
        <v>207</v>
      </c>
      <c r="C2231" s="5" t="s">
        <v>207</v>
      </c>
      <c r="D2231" s="1" t="s">
        <v>117</v>
      </c>
      <c r="E2231">
        <v>0</v>
      </c>
      <c r="F2231">
        <v>2302</v>
      </c>
      <c r="G2231">
        <v>0</v>
      </c>
      <c r="H2231">
        <v>0</v>
      </c>
      <c r="I2231">
        <v>1232</v>
      </c>
      <c r="J2231">
        <v>4500</v>
      </c>
      <c r="K2231">
        <v>1729</v>
      </c>
      <c r="L2231">
        <v>50</v>
      </c>
      <c r="M2231">
        <v>0</v>
      </c>
      <c r="N2231">
        <v>0</v>
      </c>
      <c r="O2231">
        <v>0</v>
      </c>
      <c r="P2231">
        <v>2520</v>
      </c>
      <c r="Q2231">
        <v>1101</v>
      </c>
      <c r="R2231">
        <v>280</v>
      </c>
      <c r="S2231" s="18">
        <f t="shared" si="346"/>
        <v>9</v>
      </c>
      <c r="T2231" s="17">
        <f t="shared" si="347"/>
        <v>0</v>
      </c>
      <c r="U2231" s="17">
        <f t="shared" si="348"/>
        <v>0</v>
      </c>
      <c r="V2231" s="17">
        <f t="shared" si="349"/>
        <v>0</v>
      </c>
      <c r="W2231" s="17">
        <f t="shared" si="350"/>
        <v>280</v>
      </c>
      <c r="X2231" s="17">
        <f t="shared" si="351"/>
        <v>821</v>
      </c>
      <c r="Y2231" s="19">
        <f t="shared" si="352"/>
        <v>0</v>
      </c>
      <c r="Z2231">
        <v>2302</v>
      </c>
      <c r="AA2231">
        <v>0</v>
      </c>
      <c r="AB2231">
        <v>70</v>
      </c>
      <c r="AC2231">
        <v>3826</v>
      </c>
      <c r="AD2231">
        <v>0</v>
      </c>
      <c r="AE2231">
        <v>0</v>
      </c>
      <c r="AF2231">
        <v>0</v>
      </c>
      <c r="AG2231">
        <v>1232</v>
      </c>
      <c r="AH2231">
        <v>1232</v>
      </c>
      <c r="AI2231">
        <v>0</v>
      </c>
      <c r="AJ2231">
        <v>0</v>
      </c>
      <c r="AK2231">
        <v>4500</v>
      </c>
      <c r="AL2231">
        <v>4500</v>
      </c>
      <c r="AM2231">
        <v>0</v>
      </c>
      <c r="AN2231">
        <v>0</v>
      </c>
      <c r="AO2231">
        <v>1729</v>
      </c>
      <c r="AP2231">
        <v>1024</v>
      </c>
      <c r="AQ2231">
        <v>1729</v>
      </c>
      <c r="AR2231">
        <v>705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50</v>
      </c>
      <c r="BA2231">
        <v>50</v>
      </c>
      <c r="BB2231">
        <v>0</v>
      </c>
      <c r="BC2231">
        <v>0</v>
      </c>
      <c r="BD2231">
        <v>0</v>
      </c>
      <c r="BE2231">
        <f t="shared" si="353"/>
        <v>20577</v>
      </c>
      <c r="BF2231">
        <v>13709</v>
      </c>
      <c r="BG2231">
        <v>13709</v>
      </c>
      <c r="BH2231" t="s">
        <v>82</v>
      </c>
      <c r="BI2231" t="s">
        <v>1281</v>
      </c>
      <c r="BJ2231">
        <v>3896</v>
      </c>
      <c r="BK2231">
        <v>7511</v>
      </c>
      <c r="BL2231">
        <v>13709</v>
      </c>
      <c r="BM2231">
        <v>0</v>
      </c>
      <c r="BN2231">
        <v>0</v>
      </c>
      <c r="BO2231">
        <v>0</v>
      </c>
      <c r="BP2231">
        <v>10031</v>
      </c>
      <c r="BQ2231">
        <v>10031</v>
      </c>
      <c r="BR2231">
        <f t="shared" si="354"/>
        <v>-821</v>
      </c>
      <c r="BS2231">
        <f t="shared" si="355"/>
        <v>1381</v>
      </c>
    </row>
    <row r="2232" spans="1:74" x14ac:dyDescent="0.25">
      <c r="A2232" s="5" t="s">
        <v>359</v>
      </c>
      <c r="B2232" s="5" t="s">
        <v>359</v>
      </c>
      <c r="C2232" s="5" t="s">
        <v>207</v>
      </c>
      <c r="D2232" s="1" t="s">
        <v>67</v>
      </c>
      <c r="E2232">
        <v>184</v>
      </c>
      <c r="F2232">
        <v>11940</v>
      </c>
      <c r="G2232">
        <v>0</v>
      </c>
      <c r="H2232">
        <v>0</v>
      </c>
      <c r="I2232">
        <v>4358</v>
      </c>
      <c r="J2232">
        <v>4020</v>
      </c>
      <c r="K2232">
        <v>8380</v>
      </c>
      <c r="L2232">
        <v>0</v>
      </c>
      <c r="M2232">
        <v>0</v>
      </c>
      <c r="N2232">
        <v>6246</v>
      </c>
      <c r="O2232">
        <v>0</v>
      </c>
      <c r="P2232">
        <v>17739</v>
      </c>
      <c r="Q2232">
        <v>3488</v>
      </c>
      <c r="R2232">
        <v>2665</v>
      </c>
      <c r="S2232" s="18">
        <f t="shared" si="346"/>
        <v>9</v>
      </c>
      <c r="T2232" s="17">
        <f t="shared" si="347"/>
        <v>0</v>
      </c>
      <c r="U2232" s="17">
        <f t="shared" si="348"/>
        <v>694</v>
      </c>
      <c r="V2232" s="17">
        <f t="shared" si="349"/>
        <v>0</v>
      </c>
      <c r="W2232" s="17">
        <f t="shared" si="350"/>
        <v>1971</v>
      </c>
      <c r="X2232" s="17">
        <f t="shared" si="351"/>
        <v>823</v>
      </c>
      <c r="Y2232" s="19">
        <f t="shared" si="352"/>
        <v>0</v>
      </c>
      <c r="Z2232">
        <v>11940</v>
      </c>
      <c r="AA2232">
        <v>0</v>
      </c>
      <c r="AB2232">
        <v>0</v>
      </c>
      <c r="AC2232">
        <v>0</v>
      </c>
      <c r="AD2232">
        <v>0</v>
      </c>
      <c r="AE2232">
        <v>4358</v>
      </c>
      <c r="AF2232">
        <v>0</v>
      </c>
      <c r="AG2232">
        <v>0</v>
      </c>
      <c r="AH2232">
        <v>4358</v>
      </c>
      <c r="AI2232">
        <v>0</v>
      </c>
      <c r="AJ2232">
        <v>4020</v>
      </c>
      <c r="AK2232">
        <v>0</v>
      </c>
      <c r="AL2232">
        <v>4020</v>
      </c>
      <c r="AM2232">
        <v>0</v>
      </c>
      <c r="AN2232">
        <v>8380</v>
      </c>
      <c r="AO2232">
        <v>0</v>
      </c>
      <c r="AP2232">
        <v>1380</v>
      </c>
      <c r="AQ2232">
        <v>8380</v>
      </c>
      <c r="AR2232">
        <v>7000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f t="shared" si="353"/>
        <v>41896</v>
      </c>
      <c r="BF2232">
        <v>50361</v>
      </c>
      <c r="BG2232">
        <v>50361</v>
      </c>
      <c r="BH2232" t="s">
        <v>226</v>
      </c>
      <c r="BI2232" t="s">
        <v>791</v>
      </c>
      <c r="BJ2232">
        <v>184</v>
      </c>
      <c r="BK2232">
        <v>16758</v>
      </c>
      <c r="BL2232">
        <v>28882</v>
      </c>
      <c r="BM2232">
        <v>0</v>
      </c>
      <c r="BN2232">
        <v>23004</v>
      </c>
      <c r="BO2232">
        <v>0</v>
      </c>
      <c r="BP2232">
        <v>17739</v>
      </c>
      <c r="BQ2232">
        <v>40743</v>
      </c>
      <c r="BR2232">
        <f t="shared" si="354"/>
        <v>-823</v>
      </c>
      <c r="BS2232">
        <f t="shared" si="355"/>
        <v>6153</v>
      </c>
    </row>
    <row r="2233" spans="1:74" x14ac:dyDescent="0.25">
      <c r="A2233" s="5" t="s">
        <v>359</v>
      </c>
      <c r="B2233" s="5" t="s">
        <v>207</v>
      </c>
      <c r="C2233" s="5" t="s">
        <v>61</v>
      </c>
      <c r="D2233" s="1" t="s">
        <v>104</v>
      </c>
      <c r="E2233">
        <v>0</v>
      </c>
      <c r="F2233">
        <v>577</v>
      </c>
      <c r="G2233">
        <v>0</v>
      </c>
      <c r="H2233">
        <v>0</v>
      </c>
      <c r="I2233">
        <v>600</v>
      </c>
      <c r="J2233">
        <v>8172</v>
      </c>
      <c r="K2233">
        <v>700</v>
      </c>
      <c r="L2233">
        <v>350</v>
      </c>
      <c r="M2233">
        <v>0</v>
      </c>
      <c r="N2233">
        <v>0</v>
      </c>
      <c r="O2233">
        <v>0</v>
      </c>
      <c r="P2233">
        <v>1053</v>
      </c>
      <c r="Q2233">
        <v>941</v>
      </c>
      <c r="R2233">
        <v>117</v>
      </c>
      <c r="S2233" s="18">
        <f t="shared" si="346"/>
        <v>9</v>
      </c>
      <c r="T2233" s="17">
        <f t="shared" si="347"/>
        <v>0</v>
      </c>
      <c r="U2233" s="17">
        <f t="shared" si="348"/>
        <v>0</v>
      </c>
      <c r="V2233" s="17">
        <f t="shared" si="349"/>
        <v>0</v>
      </c>
      <c r="W2233" s="17">
        <f t="shared" si="350"/>
        <v>117</v>
      </c>
      <c r="X2233" s="17">
        <f t="shared" si="351"/>
        <v>824</v>
      </c>
      <c r="Y2233" s="19">
        <f t="shared" si="352"/>
        <v>0</v>
      </c>
      <c r="Z2233">
        <v>577</v>
      </c>
      <c r="AA2233">
        <v>5</v>
      </c>
      <c r="AB2233">
        <v>254</v>
      </c>
      <c r="AC2233">
        <v>6815</v>
      </c>
      <c r="AD2233">
        <v>0</v>
      </c>
      <c r="AE2233">
        <v>0</v>
      </c>
      <c r="AF2233">
        <v>0</v>
      </c>
      <c r="AG2233">
        <v>600</v>
      </c>
      <c r="AH2233">
        <v>600</v>
      </c>
      <c r="AI2233">
        <v>0</v>
      </c>
      <c r="AJ2233">
        <v>0</v>
      </c>
      <c r="AK2233">
        <v>8172</v>
      </c>
      <c r="AL2233">
        <v>8172</v>
      </c>
      <c r="AM2233">
        <v>0</v>
      </c>
      <c r="AN2233">
        <v>0</v>
      </c>
      <c r="AO2233">
        <v>700</v>
      </c>
      <c r="AP2233">
        <v>200</v>
      </c>
      <c r="AQ2233">
        <v>700</v>
      </c>
      <c r="AR2233">
        <v>500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350</v>
      </c>
      <c r="BA2233">
        <v>350</v>
      </c>
      <c r="BB2233">
        <v>0</v>
      </c>
      <c r="BC2233">
        <v>0</v>
      </c>
      <c r="BD2233">
        <v>0</v>
      </c>
      <c r="BE2233">
        <f t="shared" si="353"/>
        <v>27159</v>
      </c>
      <c r="BF2233">
        <v>17473</v>
      </c>
      <c r="BG2233">
        <v>17473</v>
      </c>
      <c r="BH2233" t="s">
        <v>82</v>
      </c>
      <c r="BI2233" t="s">
        <v>749</v>
      </c>
      <c r="BJ2233">
        <v>7074</v>
      </c>
      <c r="BK2233">
        <v>9822</v>
      </c>
      <c r="BL2233">
        <v>17473</v>
      </c>
      <c r="BM2233">
        <v>0</v>
      </c>
      <c r="BN2233">
        <v>0</v>
      </c>
      <c r="BO2233">
        <v>0</v>
      </c>
      <c r="BP2233">
        <v>10875</v>
      </c>
      <c r="BQ2233">
        <v>10875</v>
      </c>
      <c r="BR2233">
        <f t="shared" si="354"/>
        <v>-824</v>
      </c>
      <c r="BS2233">
        <f t="shared" si="355"/>
        <v>1058</v>
      </c>
    </row>
    <row r="2234" spans="1:74" x14ac:dyDescent="0.25">
      <c r="A2234" s="5" t="s">
        <v>627</v>
      </c>
      <c r="B2234" s="5" t="s">
        <v>359</v>
      </c>
      <c r="C2234" s="5" t="s">
        <v>61</v>
      </c>
      <c r="D2234" s="1" t="s">
        <v>121</v>
      </c>
      <c r="E2234">
        <v>0</v>
      </c>
      <c r="F2234">
        <v>336</v>
      </c>
      <c r="G2234">
        <v>0</v>
      </c>
      <c r="H2234">
        <v>0</v>
      </c>
      <c r="I2234">
        <v>328</v>
      </c>
      <c r="J2234">
        <v>2551</v>
      </c>
      <c r="K2234">
        <v>1110</v>
      </c>
      <c r="L2234">
        <v>100</v>
      </c>
      <c r="M2234">
        <v>0</v>
      </c>
      <c r="N2234">
        <v>0</v>
      </c>
      <c r="O2234">
        <v>0</v>
      </c>
      <c r="P2234">
        <v>756</v>
      </c>
      <c r="Q2234">
        <v>913</v>
      </c>
      <c r="R2234">
        <v>84</v>
      </c>
      <c r="S2234" s="18">
        <f t="shared" si="346"/>
        <v>9</v>
      </c>
      <c r="T2234" s="17">
        <f t="shared" si="347"/>
        <v>0</v>
      </c>
      <c r="U2234" s="17">
        <f t="shared" si="348"/>
        <v>0</v>
      </c>
      <c r="V2234" s="17">
        <f t="shared" si="349"/>
        <v>0</v>
      </c>
      <c r="W2234" s="17">
        <f t="shared" si="350"/>
        <v>84</v>
      </c>
      <c r="X2234" s="17">
        <f t="shared" si="351"/>
        <v>829</v>
      </c>
      <c r="Y2234" s="19">
        <f t="shared" si="352"/>
        <v>0</v>
      </c>
      <c r="Z2234">
        <v>336</v>
      </c>
      <c r="AA2234">
        <v>0</v>
      </c>
      <c r="AB2234">
        <v>0</v>
      </c>
      <c r="AC2234">
        <v>6310</v>
      </c>
      <c r="AD2234">
        <v>0</v>
      </c>
      <c r="AE2234">
        <v>0</v>
      </c>
      <c r="AF2234">
        <v>0</v>
      </c>
      <c r="AG2234">
        <v>0</v>
      </c>
      <c r="AH2234">
        <v>328</v>
      </c>
      <c r="AI2234">
        <v>0</v>
      </c>
      <c r="AJ2234">
        <v>0</v>
      </c>
      <c r="AK2234">
        <v>2551</v>
      </c>
      <c r="AL2234">
        <v>2551</v>
      </c>
      <c r="AM2234">
        <v>0</v>
      </c>
      <c r="AN2234">
        <v>0</v>
      </c>
      <c r="AO2234">
        <v>1110</v>
      </c>
      <c r="AP2234">
        <v>460</v>
      </c>
      <c r="AQ2234">
        <v>1110</v>
      </c>
      <c r="AR2234">
        <v>650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100</v>
      </c>
      <c r="BA2234">
        <v>100</v>
      </c>
      <c r="BB2234">
        <v>0</v>
      </c>
      <c r="BC2234">
        <v>0</v>
      </c>
      <c r="BD2234">
        <v>0</v>
      </c>
      <c r="BE2234">
        <f t="shared" si="353"/>
        <v>15270</v>
      </c>
      <c r="BF2234">
        <v>8610</v>
      </c>
      <c r="BG2234">
        <v>8610</v>
      </c>
      <c r="BH2234" t="s">
        <v>82</v>
      </c>
      <c r="BI2234" t="s">
        <v>873</v>
      </c>
      <c r="BJ2234">
        <v>6310</v>
      </c>
      <c r="BK2234">
        <v>4089</v>
      </c>
      <c r="BL2234">
        <v>10735</v>
      </c>
      <c r="BM2234">
        <v>0</v>
      </c>
      <c r="BN2234">
        <v>0</v>
      </c>
      <c r="BO2234">
        <v>0</v>
      </c>
      <c r="BP2234">
        <v>4517</v>
      </c>
      <c r="BQ2234">
        <v>4517</v>
      </c>
      <c r="BR2234">
        <f t="shared" si="354"/>
        <v>-829</v>
      </c>
      <c r="BS2234">
        <f t="shared" si="355"/>
        <v>997</v>
      </c>
    </row>
    <row r="2235" spans="1:74" x14ac:dyDescent="0.25">
      <c r="A2235" s="5" t="s">
        <v>1451</v>
      </c>
      <c r="B2235" s="5" t="s">
        <v>61</v>
      </c>
      <c r="C2235" s="5" t="s">
        <v>207</v>
      </c>
      <c r="D2235" s="1" t="s">
        <v>100</v>
      </c>
      <c r="E2235">
        <v>0</v>
      </c>
      <c r="F2235">
        <v>0</v>
      </c>
      <c r="G2235">
        <v>0</v>
      </c>
      <c r="H2235">
        <v>0</v>
      </c>
      <c r="I2235">
        <v>200</v>
      </c>
      <c r="J2235">
        <v>9000</v>
      </c>
      <c r="K2235">
        <v>965</v>
      </c>
      <c r="L2235">
        <v>100</v>
      </c>
      <c r="M2235">
        <v>0</v>
      </c>
      <c r="N2235">
        <v>0</v>
      </c>
      <c r="O2235">
        <v>0</v>
      </c>
      <c r="P2235">
        <v>0</v>
      </c>
      <c r="Q2235">
        <v>835</v>
      </c>
      <c r="R2235">
        <v>0</v>
      </c>
      <c r="S2235" s="18" t="e">
        <f t="shared" si="346"/>
        <v>#DIV/0!</v>
      </c>
      <c r="T2235" s="17" t="e">
        <f t="shared" si="347"/>
        <v>#DIV/0!</v>
      </c>
      <c r="U2235" s="17" t="e">
        <f t="shared" si="348"/>
        <v>#DIV/0!</v>
      </c>
      <c r="V2235" s="17" t="e">
        <f t="shared" si="349"/>
        <v>#DIV/0!</v>
      </c>
      <c r="W2235" s="17" t="e">
        <f t="shared" si="350"/>
        <v>#DIV/0!</v>
      </c>
      <c r="X2235" s="17" t="e">
        <f t="shared" si="351"/>
        <v>#DIV/0!</v>
      </c>
      <c r="Y2235" s="19" t="e">
        <f t="shared" si="352"/>
        <v>#DIV/0!</v>
      </c>
      <c r="Z2235">
        <v>0</v>
      </c>
      <c r="AA2235">
        <v>12</v>
      </c>
      <c r="AB2235">
        <v>0</v>
      </c>
      <c r="AC2235">
        <v>9723</v>
      </c>
      <c r="AD2235">
        <v>0</v>
      </c>
      <c r="AE2235">
        <v>0</v>
      </c>
      <c r="AF2235">
        <v>0</v>
      </c>
      <c r="AG2235">
        <v>200</v>
      </c>
      <c r="AH2235">
        <v>200</v>
      </c>
      <c r="AI2235">
        <v>0</v>
      </c>
      <c r="AJ2235">
        <v>0</v>
      </c>
      <c r="AK2235">
        <v>9000</v>
      </c>
      <c r="AL2235">
        <v>9000</v>
      </c>
      <c r="AM2235">
        <v>0</v>
      </c>
      <c r="AN2235">
        <v>0</v>
      </c>
      <c r="AO2235">
        <v>965</v>
      </c>
      <c r="AP2235">
        <v>715</v>
      </c>
      <c r="AQ2235">
        <v>965</v>
      </c>
      <c r="AR2235">
        <v>250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100</v>
      </c>
      <c r="BA2235">
        <v>100</v>
      </c>
      <c r="BB2235">
        <v>0</v>
      </c>
      <c r="BC2235">
        <v>0</v>
      </c>
      <c r="BD2235">
        <v>0</v>
      </c>
      <c r="BE2235">
        <f t="shared" si="353"/>
        <v>31218</v>
      </c>
      <c r="BF2235">
        <v>20000</v>
      </c>
      <c r="BG2235">
        <v>20000</v>
      </c>
      <c r="BH2235" t="s">
        <v>82</v>
      </c>
      <c r="BI2235" t="s">
        <v>1488</v>
      </c>
      <c r="BJ2235">
        <v>9735</v>
      </c>
      <c r="BK2235">
        <v>10265</v>
      </c>
      <c r="BL2235">
        <v>20000</v>
      </c>
      <c r="BM2235">
        <v>0</v>
      </c>
      <c r="BN2235">
        <v>0</v>
      </c>
      <c r="BO2235">
        <v>0</v>
      </c>
      <c r="BP2235">
        <v>10265</v>
      </c>
      <c r="BQ2235">
        <v>10265</v>
      </c>
      <c r="BR2235">
        <f t="shared" si="354"/>
        <v>-835</v>
      </c>
      <c r="BS2235">
        <f t="shared" si="355"/>
        <v>835</v>
      </c>
    </row>
    <row r="2236" spans="1:74" x14ac:dyDescent="0.25">
      <c r="A2236" s="5" t="s">
        <v>359</v>
      </c>
      <c r="B2236" s="5" t="s">
        <v>61</v>
      </c>
      <c r="C2236" s="5" t="s">
        <v>61</v>
      </c>
      <c r="D2236" s="1" t="s">
        <v>94</v>
      </c>
      <c r="E2236">
        <v>0</v>
      </c>
      <c r="F2236">
        <v>0</v>
      </c>
      <c r="G2236">
        <v>0</v>
      </c>
      <c r="H2236">
        <v>0</v>
      </c>
      <c r="I2236">
        <v>1600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842</v>
      </c>
      <c r="R2236">
        <v>0</v>
      </c>
      <c r="S2236" s="18" t="e">
        <f t="shared" si="346"/>
        <v>#DIV/0!</v>
      </c>
      <c r="T2236" s="17" t="e">
        <f t="shared" si="347"/>
        <v>#DIV/0!</v>
      </c>
      <c r="U2236" s="17" t="e">
        <f t="shared" si="348"/>
        <v>#DIV/0!</v>
      </c>
      <c r="V2236" s="17" t="e">
        <f t="shared" si="349"/>
        <v>#DIV/0!</v>
      </c>
      <c r="W2236" s="17" t="e">
        <f t="shared" si="350"/>
        <v>#DIV/0!</v>
      </c>
      <c r="X2236" s="17" t="e">
        <f t="shared" si="351"/>
        <v>#DIV/0!</v>
      </c>
      <c r="Y2236" s="19" t="e">
        <f t="shared" si="352"/>
        <v>#DIV/0!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1600</v>
      </c>
      <c r="AH2236">
        <v>1600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f t="shared" si="353"/>
        <v>3200</v>
      </c>
      <c r="BF2236">
        <v>1600</v>
      </c>
      <c r="BG2236">
        <v>1600</v>
      </c>
      <c r="BH2236" t="s">
        <v>109</v>
      </c>
      <c r="BI2236" t="s">
        <v>711</v>
      </c>
      <c r="BJ2236">
        <v>0</v>
      </c>
      <c r="BK2236">
        <v>1600</v>
      </c>
      <c r="BL2236">
        <v>1600</v>
      </c>
      <c r="BM2236">
        <v>0</v>
      </c>
      <c r="BN2236">
        <v>0</v>
      </c>
      <c r="BO2236">
        <v>0</v>
      </c>
      <c r="BP2236">
        <v>1600</v>
      </c>
      <c r="BQ2236">
        <v>1600</v>
      </c>
      <c r="BR2236">
        <f t="shared" si="354"/>
        <v>-842</v>
      </c>
      <c r="BS2236">
        <f t="shared" si="355"/>
        <v>842</v>
      </c>
    </row>
    <row r="2237" spans="1:74" x14ac:dyDescent="0.25">
      <c r="A2237" s="5" t="s">
        <v>359</v>
      </c>
      <c r="B2237" s="5" t="s">
        <v>207</v>
      </c>
      <c r="C2237" s="5" t="s">
        <v>61</v>
      </c>
      <c r="D2237" s="1" t="s">
        <v>88</v>
      </c>
      <c r="E2237">
        <v>0</v>
      </c>
      <c r="F2237">
        <v>0</v>
      </c>
      <c r="G2237">
        <v>0</v>
      </c>
      <c r="H2237">
        <v>0</v>
      </c>
      <c r="I2237">
        <v>1240</v>
      </c>
      <c r="J2237">
        <v>0</v>
      </c>
      <c r="K2237">
        <v>3820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844</v>
      </c>
      <c r="R2237">
        <v>0</v>
      </c>
      <c r="S2237" s="18" t="e">
        <f t="shared" si="346"/>
        <v>#DIV/0!</v>
      </c>
      <c r="T2237" s="17" t="e">
        <f t="shared" si="347"/>
        <v>#DIV/0!</v>
      </c>
      <c r="U2237" s="17" t="e">
        <f t="shared" si="348"/>
        <v>#DIV/0!</v>
      </c>
      <c r="V2237" s="17" t="e">
        <f t="shared" si="349"/>
        <v>#DIV/0!</v>
      </c>
      <c r="W2237" s="17" t="e">
        <f t="shared" si="350"/>
        <v>#DIV/0!</v>
      </c>
      <c r="X2237" s="17" t="e">
        <f t="shared" si="351"/>
        <v>#DIV/0!</v>
      </c>
      <c r="Y2237" s="19" t="e">
        <f t="shared" si="352"/>
        <v>#DIV/0!</v>
      </c>
      <c r="Z2237">
        <v>0</v>
      </c>
      <c r="AA2237">
        <v>0</v>
      </c>
      <c r="AB2237">
        <v>0</v>
      </c>
      <c r="AC2237">
        <v>3800</v>
      </c>
      <c r="AD2237">
        <v>0</v>
      </c>
      <c r="AE2237">
        <v>0</v>
      </c>
      <c r="AF2237">
        <v>0</v>
      </c>
      <c r="AG2237">
        <v>1240</v>
      </c>
      <c r="AH2237">
        <v>1240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3820</v>
      </c>
      <c r="AP2237">
        <v>2100</v>
      </c>
      <c r="AQ2237">
        <v>3820</v>
      </c>
      <c r="AR2237">
        <v>1720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f t="shared" si="353"/>
        <v>17740</v>
      </c>
      <c r="BF2237">
        <v>8860</v>
      </c>
      <c r="BG2237">
        <v>8860</v>
      </c>
      <c r="BH2237" t="s">
        <v>82</v>
      </c>
      <c r="BI2237" t="s">
        <v>742</v>
      </c>
      <c r="BJ2237">
        <v>3800</v>
      </c>
      <c r="BK2237">
        <v>5060</v>
      </c>
      <c r="BL2237">
        <v>8860</v>
      </c>
      <c r="BM2237">
        <v>0</v>
      </c>
      <c r="BN2237">
        <v>0</v>
      </c>
      <c r="BO2237">
        <v>0</v>
      </c>
      <c r="BP2237">
        <v>5060</v>
      </c>
      <c r="BQ2237">
        <v>5060</v>
      </c>
      <c r="BR2237">
        <f t="shared" si="354"/>
        <v>-844</v>
      </c>
      <c r="BS2237">
        <f t="shared" si="355"/>
        <v>844</v>
      </c>
    </row>
    <row r="2238" spans="1:74" x14ac:dyDescent="0.25">
      <c r="A2238" s="5" t="s">
        <v>1451</v>
      </c>
      <c r="B2238" s="5" t="s">
        <v>207</v>
      </c>
      <c r="C2238" s="5" t="s">
        <v>61</v>
      </c>
      <c r="D2238" s="1" t="s">
        <v>75</v>
      </c>
      <c r="E2238">
        <v>0</v>
      </c>
      <c r="F2238">
        <v>0</v>
      </c>
      <c r="G2238">
        <v>0</v>
      </c>
      <c r="H2238">
        <v>0</v>
      </c>
      <c r="I2238">
        <v>3540</v>
      </c>
      <c r="J2238">
        <v>510</v>
      </c>
      <c r="K2238">
        <v>940</v>
      </c>
      <c r="L2238">
        <v>330</v>
      </c>
      <c r="M2238">
        <v>0</v>
      </c>
      <c r="N2238">
        <v>0</v>
      </c>
      <c r="O2238">
        <v>0</v>
      </c>
      <c r="P2238">
        <v>0</v>
      </c>
      <c r="Q2238">
        <v>862</v>
      </c>
      <c r="R2238">
        <v>0</v>
      </c>
      <c r="S2238" s="18" t="e">
        <f t="shared" si="346"/>
        <v>#DIV/0!</v>
      </c>
      <c r="T2238" s="17" t="e">
        <f t="shared" si="347"/>
        <v>#DIV/0!</v>
      </c>
      <c r="U2238" s="17" t="e">
        <f t="shared" si="348"/>
        <v>#DIV/0!</v>
      </c>
      <c r="V2238" s="17" t="e">
        <f t="shared" si="349"/>
        <v>#DIV/0!</v>
      </c>
      <c r="W2238" s="17" t="e">
        <f t="shared" si="350"/>
        <v>#DIV/0!</v>
      </c>
      <c r="X2238" s="17" t="e">
        <f t="shared" si="351"/>
        <v>#DIV/0!</v>
      </c>
      <c r="Y2238" s="19" t="e">
        <f t="shared" si="352"/>
        <v>#DIV/0!</v>
      </c>
      <c r="Z2238">
        <v>0</v>
      </c>
      <c r="AA2238">
        <v>0</v>
      </c>
      <c r="AB2238">
        <v>0</v>
      </c>
      <c r="AC2238">
        <v>400</v>
      </c>
      <c r="AD2238">
        <v>0</v>
      </c>
      <c r="AE2238">
        <v>0</v>
      </c>
      <c r="AF2238">
        <v>0</v>
      </c>
      <c r="AG2238">
        <v>3540</v>
      </c>
      <c r="AH2238">
        <v>3540</v>
      </c>
      <c r="AI2238">
        <v>0</v>
      </c>
      <c r="AJ2238">
        <v>0</v>
      </c>
      <c r="AK2238">
        <v>510</v>
      </c>
      <c r="AL2238">
        <v>510</v>
      </c>
      <c r="AM2238">
        <v>0</v>
      </c>
      <c r="AN2238">
        <v>0</v>
      </c>
      <c r="AO2238">
        <v>940</v>
      </c>
      <c r="AP2238">
        <v>940</v>
      </c>
      <c r="AQ2238">
        <v>940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330</v>
      </c>
      <c r="BA2238">
        <v>330</v>
      </c>
      <c r="BB2238">
        <v>0</v>
      </c>
      <c r="BC2238">
        <v>0</v>
      </c>
      <c r="BD2238">
        <v>0</v>
      </c>
      <c r="BE2238">
        <f t="shared" si="353"/>
        <v>11980</v>
      </c>
      <c r="BF2238">
        <v>5720</v>
      </c>
      <c r="BG2238">
        <v>5720</v>
      </c>
      <c r="BH2238" t="s">
        <v>109</v>
      </c>
      <c r="BI2238" t="s">
        <v>1539</v>
      </c>
      <c r="BJ2238">
        <v>400</v>
      </c>
      <c r="BK2238">
        <v>5320</v>
      </c>
      <c r="BL2238">
        <v>5720</v>
      </c>
      <c r="BM2238">
        <v>0</v>
      </c>
      <c r="BN2238">
        <v>0</v>
      </c>
      <c r="BO2238">
        <v>0</v>
      </c>
      <c r="BP2238">
        <v>5320</v>
      </c>
      <c r="BQ2238">
        <v>5320</v>
      </c>
      <c r="BR2238">
        <f t="shared" si="354"/>
        <v>-862</v>
      </c>
      <c r="BS2238">
        <f t="shared" si="355"/>
        <v>862</v>
      </c>
    </row>
    <row r="2239" spans="1:74" x14ac:dyDescent="0.25">
      <c r="A2239" s="5" t="s">
        <v>61</v>
      </c>
      <c r="B2239" s="5" t="s">
        <v>207</v>
      </c>
      <c r="C2239" s="5" t="s">
        <v>207</v>
      </c>
      <c r="D2239" s="1" t="s">
        <v>111</v>
      </c>
      <c r="E2239">
        <v>0</v>
      </c>
      <c r="F2239">
        <v>50</v>
      </c>
      <c r="G2239">
        <v>0</v>
      </c>
      <c r="H2239">
        <v>0</v>
      </c>
      <c r="I2239">
        <v>842</v>
      </c>
      <c r="J2239">
        <v>0</v>
      </c>
      <c r="K2239">
        <v>0</v>
      </c>
      <c r="L2239">
        <v>0</v>
      </c>
      <c r="M2239">
        <v>450</v>
      </c>
      <c r="N2239">
        <v>0</v>
      </c>
      <c r="O2239">
        <v>0</v>
      </c>
      <c r="P2239">
        <v>0</v>
      </c>
      <c r="Q2239">
        <v>915</v>
      </c>
      <c r="R2239">
        <v>50</v>
      </c>
      <c r="S2239" s="18">
        <f t="shared" si="346"/>
        <v>9</v>
      </c>
      <c r="T2239" s="17">
        <f t="shared" si="347"/>
        <v>50</v>
      </c>
      <c r="U2239" s="17">
        <f t="shared" si="348"/>
        <v>0</v>
      </c>
      <c r="V2239" s="17">
        <f t="shared" si="349"/>
        <v>0</v>
      </c>
      <c r="W2239" s="17">
        <f t="shared" si="350"/>
        <v>0</v>
      </c>
      <c r="X2239" s="17">
        <f t="shared" si="351"/>
        <v>865</v>
      </c>
      <c r="Y2239" s="19">
        <f t="shared" si="352"/>
        <v>0</v>
      </c>
      <c r="Z2239">
        <v>50</v>
      </c>
      <c r="AA2239">
        <v>0</v>
      </c>
      <c r="AB2239">
        <v>0</v>
      </c>
      <c r="AC2239">
        <v>0</v>
      </c>
      <c r="AD2239">
        <v>842</v>
      </c>
      <c r="AE2239">
        <v>0</v>
      </c>
      <c r="AF2239">
        <v>0</v>
      </c>
      <c r="AG2239">
        <v>0</v>
      </c>
      <c r="AH2239">
        <v>842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f t="shared" si="353"/>
        <v>1684</v>
      </c>
      <c r="BF2239">
        <v>892</v>
      </c>
      <c r="BG2239">
        <v>892</v>
      </c>
      <c r="BH2239" t="s">
        <v>109</v>
      </c>
      <c r="BI2239" t="s">
        <v>302</v>
      </c>
      <c r="BJ2239">
        <v>0</v>
      </c>
      <c r="BK2239">
        <v>842</v>
      </c>
      <c r="BL2239">
        <v>892</v>
      </c>
      <c r="BM2239">
        <v>1292</v>
      </c>
      <c r="BN2239">
        <v>0</v>
      </c>
      <c r="BO2239">
        <v>0</v>
      </c>
      <c r="BP2239">
        <v>0</v>
      </c>
      <c r="BQ2239">
        <v>1292</v>
      </c>
      <c r="BR2239">
        <f t="shared" si="354"/>
        <v>-865</v>
      </c>
      <c r="BS2239">
        <f t="shared" si="355"/>
        <v>965</v>
      </c>
    </row>
    <row r="2240" spans="1:74" x14ac:dyDescent="0.25">
      <c r="A2240" s="5" t="s">
        <v>359</v>
      </c>
      <c r="B2240" s="5" t="s">
        <v>61</v>
      </c>
      <c r="C2240" s="5" t="s">
        <v>61</v>
      </c>
      <c r="D2240" s="1" t="s">
        <v>98</v>
      </c>
      <c r="E2240">
        <v>0</v>
      </c>
      <c r="F2240">
        <v>1712</v>
      </c>
      <c r="G2240">
        <v>0</v>
      </c>
      <c r="H2240">
        <v>0</v>
      </c>
      <c r="I2240">
        <v>6800</v>
      </c>
      <c r="J2240">
        <v>0</v>
      </c>
      <c r="K2240">
        <v>0</v>
      </c>
      <c r="L2240">
        <v>0</v>
      </c>
      <c r="M2240">
        <v>3852</v>
      </c>
      <c r="N2240">
        <v>0</v>
      </c>
      <c r="O2240">
        <v>0</v>
      </c>
      <c r="P2240">
        <v>0</v>
      </c>
      <c r="Q2240">
        <v>1294</v>
      </c>
      <c r="R2240">
        <v>428</v>
      </c>
      <c r="S2240" s="18">
        <f t="shared" si="346"/>
        <v>9</v>
      </c>
      <c r="T2240" s="17">
        <f t="shared" si="347"/>
        <v>428</v>
      </c>
      <c r="U2240" s="17">
        <f t="shared" si="348"/>
        <v>0</v>
      </c>
      <c r="V2240" s="17">
        <f t="shared" si="349"/>
        <v>0</v>
      </c>
      <c r="W2240" s="17">
        <f t="shared" si="350"/>
        <v>0</v>
      </c>
      <c r="X2240" s="17">
        <f t="shared" si="351"/>
        <v>866</v>
      </c>
      <c r="Y2240" s="19">
        <f t="shared" si="352"/>
        <v>0</v>
      </c>
      <c r="Z2240">
        <v>1712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6800</v>
      </c>
      <c r="AH2240">
        <v>6800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f t="shared" si="353"/>
        <v>13600</v>
      </c>
      <c r="BF2240">
        <v>8512</v>
      </c>
      <c r="BG2240">
        <v>8512</v>
      </c>
      <c r="BH2240" t="s">
        <v>109</v>
      </c>
      <c r="BI2240" t="s">
        <v>712</v>
      </c>
      <c r="BJ2240">
        <v>0</v>
      </c>
      <c r="BK2240">
        <v>6800</v>
      </c>
      <c r="BL2240">
        <v>8512</v>
      </c>
      <c r="BM2240">
        <v>3852</v>
      </c>
      <c r="BN2240">
        <v>0</v>
      </c>
      <c r="BO2240">
        <v>0</v>
      </c>
      <c r="BP2240">
        <v>6800</v>
      </c>
      <c r="BQ2240">
        <v>10652</v>
      </c>
      <c r="BR2240">
        <f t="shared" si="354"/>
        <v>-866</v>
      </c>
      <c r="BS2240">
        <f t="shared" si="355"/>
        <v>1722</v>
      </c>
    </row>
    <row r="2241" spans="1:74" x14ac:dyDescent="0.25">
      <c r="A2241" s="5" t="s">
        <v>61</v>
      </c>
      <c r="B2241" s="5" t="s">
        <v>359</v>
      </c>
      <c r="C2241" s="5" t="s">
        <v>61</v>
      </c>
      <c r="D2241" s="1" t="s">
        <v>94</v>
      </c>
      <c r="E2241">
        <v>0</v>
      </c>
      <c r="F2241">
        <v>120</v>
      </c>
      <c r="G2241">
        <v>0</v>
      </c>
      <c r="H2241">
        <v>0</v>
      </c>
      <c r="I2241">
        <v>6155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900</v>
      </c>
      <c r="Q2241">
        <v>971</v>
      </c>
      <c r="R2241">
        <v>100</v>
      </c>
      <c r="S2241" s="18">
        <f t="shared" si="346"/>
        <v>9</v>
      </c>
      <c r="T2241" s="17">
        <f t="shared" si="347"/>
        <v>0</v>
      </c>
      <c r="U2241" s="17">
        <f t="shared" si="348"/>
        <v>0</v>
      </c>
      <c r="V2241" s="17">
        <f t="shared" si="349"/>
        <v>0</v>
      </c>
      <c r="W2241" s="17">
        <f t="shared" si="350"/>
        <v>100</v>
      </c>
      <c r="X2241" s="17">
        <f t="shared" si="351"/>
        <v>871</v>
      </c>
      <c r="Y2241" s="19">
        <f t="shared" si="352"/>
        <v>0</v>
      </c>
      <c r="Z2241">
        <v>120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6155</v>
      </c>
      <c r="AH2241">
        <v>6155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f t="shared" si="353"/>
        <v>12310</v>
      </c>
      <c r="BF2241">
        <v>6275</v>
      </c>
      <c r="BG2241">
        <v>6275</v>
      </c>
      <c r="BH2241" t="s">
        <v>109</v>
      </c>
      <c r="BI2241" t="s">
        <v>375</v>
      </c>
      <c r="BJ2241">
        <v>0</v>
      </c>
      <c r="BK2241">
        <v>6155</v>
      </c>
      <c r="BL2241">
        <v>6275</v>
      </c>
      <c r="BM2241">
        <v>0</v>
      </c>
      <c r="BN2241">
        <v>0</v>
      </c>
      <c r="BO2241">
        <v>0</v>
      </c>
      <c r="BP2241">
        <v>7055</v>
      </c>
      <c r="BQ2241">
        <v>7055</v>
      </c>
      <c r="BR2241">
        <f t="shared" si="354"/>
        <v>-871</v>
      </c>
      <c r="BS2241">
        <f t="shared" si="355"/>
        <v>1071</v>
      </c>
    </row>
    <row r="2242" spans="1:74" x14ac:dyDescent="0.25">
      <c r="A2242" s="5" t="s">
        <v>1337</v>
      </c>
      <c r="B2242" s="5" t="s">
        <v>359</v>
      </c>
      <c r="C2242" s="5" t="s">
        <v>61</v>
      </c>
      <c r="D2242" s="1" t="s">
        <v>88</v>
      </c>
      <c r="E2242">
        <v>0</v>
      </c>
      <c r="F2242">
        <v>44</v>
      </c>
      <c r="G2242">
        <v>0</v>
      </c>
      <c r="H2242">
        <v>0</v>
      </c>
      <c r="I2242">
        <v>4808</v>
      </c>
      <c r="J2242">
        <v>0</v>
      </c>
      <c r="K2242">
        <v>142</v>
      </c>
      <c r="L2242">
        <v>0</v>
      </c>
      <c r="M2242">
        <v>0</v>
      </c>
      <c r="N2242">
        <v>0</v>
      </c>
      <c r="O2242">
        <v>0</v>
      </c>
      <c r="P2242">
        <v>396</v>
      </c>
      <c r="Q2242">
        <v>916</v>
      </c>
      <c r="R2242">
        <v>44</v>
      </c>
      <c r="S2242" s="18">
        <f t="shared" ref="S2242:S2305" si="356">(M2242+N2242+O2242+P2242)/R2242</f>
        <v>9</v>
      </c>
      <c r="T2242" s="17">
        <f t="shared" ref="T2242:T2305" si="357">M2242/$S2242</f>
        <v>0</v>
      </c>
      <c r="U2242" s="17">
        <f t="shared" ref="U2242:U2305" si="358">N2242/$S2242</f>
        <v>0</v>
      </c>
      <c r="V2242" s="17">
        <f t="shared" ref="V2242:V2305" si="359">O2242/$S2242</f>
        <v>0</v>
      </c>
      <c r="W2242" s="17">
        <f t="shared" ref="W2242:W2305" si="360">P2242/$S2242</f>
        <v>44</v>
      </c>
      <c r="X2242" s="17">
        <f t="shared" ref="X2242:X2305" si="361">Q2242-T2242-U2242-W2242</f>
        <v>872</v>
      </c>
      <c r="Y2242" s="19">
        <f t="shared" ref="Y2242:Y2305" si="362">V2242/X2242</f>
        <v>0</v>
      </c>
      <c r="Z2242">
        <v>44</v>
      </c>
      <c r="AA2242">
        <v>0</v>
      </c>
      <c r="AB2242">
        <v>0</v>
      </c>
      <c r="AC2242">
        <v>0</v>
      </c>
      <c r="AD2242">
        <v>478</v>
      </c>
      <c r="AE2242">
        <v>2165</v>
      </c>
      <c r="AF2242">
        <v>0</v>
      </c>
      <c r="AG2242">
        <v>2165</v>
      </c>
      <c r="AH2242">
        <v>4808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142</v>
      </c>
      <c r="AO2242">
        <v>0</v>
      </c>
      <c r="AP2242">
        <v>67</v>
      </c>
      <c r="AQ2242">
        <v>142</v>
      </c>
      <c r="AR2242">
        <v>75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f t="shared" ref="BE2242:BE2305" si="363">SUM(AC2242:BD2242)</f>
        <v>10042</v>
      </c>
      <c r="BF2242">
        <v>4994</v>
      </c>
      <c r="BG2242">
        <v>4994</v>
      </c>
      <c r="BH2242" t="s">
        <v>109</v>
      </c>
      <c r="BI2242" t="s">
        <v>1425</v>
      </c>
      <c r="BJ2242">
        <v>0</v>
      </c>
      <c r="BK2242">
        <v>4950</v>
      </c>
      <c r="BL2242">
        <v>4994</v>
      </c>
      <c r="BM2242">
        <v>478</v>
      </c>
      <c r="BN2242">
        <v>2307</v>
      </c>
      <c r="BO2242">
        <v>0</v>
      </c>
      <c r="BP2242">
        <v>2561</v>
      </c>
      <c r="BQ2242">
        <v>5346</v>
      </c>
      <c r="BR2242">
        <f t="shared" ref="BR2242:BR2305" si="364">R2242-Q2242</f>
        <v>-872</v>
      </c>
      <c r="BS2242">
        <f t="shared" ref="BS2242:BS2305" si="365">R2242+Q2242</f>
        <v>960</v>
      </c>
    </row>
    <row r="2243" spans="1:74" x14ac:dyDescent="0.25">
      <c r="A2243" s="5" t="s">
        <v>207</v>
      </c>
      <c r="B2243" s="5" t="s">
        <v>207</v>
      </c>
      <c r="C2243" s="5" t="s">
        <v>61</v>
      </c>
      <c r="D2243" s="1" t="s">
        <v>127</v>
      </c>
      <c r="E2243">
        <v>0</v>
      </c>
      <c r="F2243">
        <v>3158</v>
      </c>
      <c r="G2243">
        <v>1152</v>
      </c>
      <c r="H2243">
        <v>0</v>
      </c>
      <c r="I2243">
        <v>396</v>
      </c>
      <c r="J2243">
        <v>0</v>
      </c>
      <c r="K2243">
        <v>1912</v>
      </c>
      <c r="L2243">
        <v>0</v>
      </c>
      <c r="M2243">
        <v>0</v>
      </c>
      <c r="N2243">
        <v>900</v>
      </c>
      <c r="O2243">
        <v>0</v>
      </c>
      <c r="P2243">
        <v>189</v>
      </c>
      <c r="Q2243">
        <v>1007</v>
      </c>
      <c r="R2243">
        <v>121</v>
      </c>
      <c r="S2243" s="18">
        <f t="shared" si="356"/>
        <v>9</v>
      </c>
      <c r="T2243" s="17">
        <f t="shared" si="357"/>
        <v>0</v>
      </c>
      <c r="U2243" s="17">
        <f t="shared" si="358"/>
        <v>100</v>
      </c>
      <c r="V2243" s="17">
        <f t="shared" si="359"/>
        <v>0</v>
      </c>
      <c r="W2243" s="17">
        <f t="shared" si="360"/>
        <v>21</v>
      </c>
      <c r="X2243" s="17">
        <f t="shared" si="361"/>
        <v>886</v>
      </c>
      <c r="Y2243" s="19">
        <f t="shared" si="362"/>
        <v>0</v>
      </c>
      <c r="Z2243">
        <v>3158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396</v>
      </c>
      <c r="AH2243">
        <v>396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1912</v>
      </c>
      <c r="AP2243">
        <v>1912</v>
      </c>
      <c r="AQ2243">
        <v>1912</v>
      </c>
      <c r="AR2243">
        <v>0</v>
      </c>
      <c r="AS2243">
        <v>1152</v>
      </c>
      <c r="AT2243">
        <v>0</v>
      </c>
      <c r="AU2243">
        <v>1152</v>
      </c>
      <c r="AV2243">
        <v>1152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f t="shared" si="363"/>
        <v>9984</v>
      </c>
      <c r="BF2243">
        <v>6618</v>
      </c>
      <c r="BG2243">
        <v>6618</v>
      </c>
      <c r="BH2243" t="s">
        <v>560</v>
      </c>
      <c r="BI2243" t="s">
        <v>573</v>
      </c>
      <c r="BJ2243">
        <v>0</v>
      </c>
      <c r="BK2243">
        <v>3460</v>
      </c>
      <c r="BL2243">
        <v>6618</v>
      </c>
      <c r="BM2243">
        <v>0</v>
      </c>
      <c r="BN2243">
        <v>2052</v>
      </c>
      <c r="BO2243">
        <v>0</v>
      </c>
      <c r="BP2243">
        <v>2497</v>
      </c>
      <c r="BQ2243">
        <v>4549</v>
      </c>
      <c r="BR2243">
        <f t="shared" si="364"/>
        <v>-886</v>
      </c>
      <c r="BS2243">
        <f t="shared" si="365"/>
        <v>1128</v>
      </c>
    </row>
    <row r="2244" spans="1:74" x14ac:dyDescent="0.25">
      <c r="A2244" s="5" t="s">
        <v>2090</v>
      </c>
      <c r="B2244" s="5" t="s">
        <v>207</v>
      </c>
      <c r="C2244" s="5" t="s">
        <v>61</v>
      </c>
      <c r="D2244" s="1" t="s">
        <v>92</v>
      </c>
      <c r="E2244">
        <v>0</v>
      </c>
      <c r="F2244">
        <v>990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s="16">
        <v>990</v>
      </c>
      <c r="P2244">
        <v>0</v>
      </c>
      <c r="Q2244">
        <v>124</v>
      </c>
      <c r="R2244">
        <v>282</v>
      </c>
      <c r="S2244" s="18">
        <f t="shared" si="356"/>
        <v>3.5106382978723403</v>
      </c>
      <c r="T2244" s="17">
        <f t="shared" si="357"/>
        <v>0</v>
      </c>
      <c r="U2244" s="17">
        <f t="shared" si="358"/>
        <v>0</v>
      </c>
      <c r="V2244" s="17">
        <f t="shared" si="359"/>
        <v>282</v>
      </c>
      <c r="W2244" s="17">
        <f t="shared" si="360"/>
        <v>0</v>
      </c>
      <c r="X2244" s="17">
        <f t="shared" si="361"/>
        <v>124</v>
      </c>
      <c r="Y2244" s="19">
        <f t="shared" si="362"/>
        <v>2.274193548387097</v>
      </c>
      <c r="Z2244">
        <v>990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f t="shared" si="363"/>
        <v>0</v>
      </c>
      <c r="BF2244">
        <v>990</v>
      </c>
      <c r="BG2244">
        <v>990</v>
      </c>
      <c r="BH2244" t="s">
        <v>546</v>
      </c>
      <c r="BI2244" t="s">
        <v>2225</v>
      </c>
      <c r="BJ2244">
        <v>0</v>
      </c>
      <c r="BK2244">
        <v>0</v>
      </c>
      <c r="BL2244">
        <v>990</v>
      </c>
      <c r="BM2244">
        <v>0</v>
      </c>
      <c r="BN2244">
        <v>0</v>
      </c>
      <c r="BO2244">
        <v>990</v>
      </c>
      <c r="BP2244">
        <v>0</v>
      </c>
      <c r="BQ2244">
        <v>990</v>
      </c>
      <c r="BR2244">
        <f t="shared" si="364"/>
        <v>158</v>
      </c>
      <c r="BS2244">
        <f t="shared" si="365"/>
        <v>406</v>
      </c>
    </row>
    <row r="2245" spans="1:74" x14ac:dyDescent="0.25">
      <c r="A2245" s="5" t="s">
        <v>1661</v>
      </c>
      <c r="B2245" s="5" t="s">
        <v>61</v>
      </c>
      <c r="C2245" s="5" t="s">
        <v>627</v>
      </c>
      <c r="D2245" s="1" t="s">
        <v>65</v>
      </c>
      <c r="E2245">
        <v>0</v>
      </c>
      <c r="F2245">
        <v>0</v>
      </c>
      <c r="G2245">
        <v>0</v>
      </c>
      <c r="H2245">
        <v>0</v>
      </c>
      <c r="I2245">
        <v>1300</v>
      </c>
      <c r="J2245">
        <v>11500</v>
      </c>
      <c r="K2245">
        <v>5000</v>
      </c>
      <c r="L2245">
        <v>500</v>
      </c>
      <c r="M2245">
        <v>0</v>
      </c>
      <c r="N2245">
        <v>0</v>
      </c>
      <c r="O2245">
        <v>0</v>
      </c>
      <c r="P2245">
        <v>0</v>
      </c>
      <c r="Q2245">
        <v>921</v>
      </c>
      <c r="R2245">
        <v>0</v>
      </c>
      <c r="S2245" s="18" t="e">
        <f t="shared" si="356"/>
        <v>#DIV/0!</v>
      </c>
      <c r="T2245" s="17" t="e">
        <f t="shared" si="357"/>
        <v>#DIV/0!</v>
      </c>
      <c r="U2245" s="17" t="e">
        <f t="shared" si="358"/>
        <v>#DIV/0!</v>
      </c>
      <c r="V2245" s="17" t="e">
        <f t="shared" si="359"/>
        <v>#DIV/0!</v>
      </c>
      <c r="W2245" s="17" t="e">
        <f t="shared" si="360"/>
        <v>#DIV/0!</v>
      </c>
      <c r="X2245" s="17" t="e">
        <f t="shared" si="361"/>
        <v>#DIV/0!</v>
      </c>
      <c r="Y2245" s="19" t="e">
        <f t="shared" si="362"/>
        <v>#DIV/0!</v>
      </c>
      <c r="Z2245">
        <v>0</v>
      </c>
      <c r="AA2245">
        <v>0</v>
      </c>
      <c r="AB2245">
        <v>0</v>
      </c>
      <c r="AC2245">
        <v>9000</v>
      </c>
      <c r="AD2245">
        <v>0</v>
      </c>
      <c r="AE2245">
        <v>1300</v>
      </c>
      <c r="AF2245">
        <v>0</v>
      </c>
      <c r="AG2245">
        <v>0</v>
      </c>
      <c r="AH2245">
        <v>1300</v>
      </c>
      <c r="AI2245">
        <v>0</v>
      </c>
      <c r="AJ2245">
        <v>10400</v>
      </c>
      <c r="AK2245">
        <v>1100</v>
      </c>
      <c r="AL2245">
        <v>11500</v>
      </c>
      <c r="AM2245">
        <v>0</v>
      </c>
      <c r="AN2245">
        <v>4300</v>
      </c>
      <c r="AO2245">
        <v>700</v>
      </c>
      <c r="AP2245">
        <v>4000</v>
      </c>
      <c r="AQ2245">
        <v>5000</v>
      </c>
      <c r="AR2245">
        <v>1000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500</v>
      </c>
      <c r="AZ2245">
        <v>0</v>
      </c>
      <c r="BA2245">
        <v>500</v>
      </c>
      <c r="BB2245">
        <v>0</v>
      </c>
      <c r="BC2245">
        <v>0</v>
      </c>
      <c r="BD2245">
        <v>0</v>
      </c>
      <c r="BE2245">
        <f t="shared" si="363"/>
        <v>50600</v>
      </c>
      <c r="BF2245">
        <v>27300</v>
      </c>
      <c r="BG2245">
        <v>27300</v>
      </c>
      <c r="BH2245" t="s">
        <v>82</v>
      </c>
      <c r="BI2245" t="s">
        <v>1752</v>
      </c>
      <c r="BJ2245">
        <v>9000</v>
      </c>
      <c r="BK2245">
        <v>18300</v>
      </c>
      <c r="BL2245">
        <v>27300</v>
      </c>
      <c r="BM2245">
        <v>0</v>
      </c>
      <c r="BN2245">
        <v>16500</v>
      </c>
      <c r="BO2245">
        <v>0</v>
      </c>
      <c r="BP2245">
        <v>1800</v>
      </c>
      <c r="BQ2245">
        <v>18300</v>
      </c>
      <c r="BR2245">
        <f t="shared" si="364"/>
        <v>-921</v>
      </c>
      <c r="BS2245">
        <f t="shared" si="365"/>
        <v>921</v>
      </c>
    </row>
    <row r="2246" spans="1:74" x14ac:dyDescent="0.25">
      <c r="A2246" s="5" t="s">
        <v>1451</v>
      </c>
      <c r="B2246" s="5" t="s">
        <v>61</v>
      </c>
      <c r="C2246" s="5" t="s">
        <v>627</v>
      </c>
      <c r="D2246" s="1" t="s">
        <v>108</v>
      </c>
      <c r="E2246">
        <v>0</v>
      </c>
      <c r="F2246">
        <v>596</v>
      </c>
      <c r="G2246">
        <v>0</v>
      </c>
      <c r="H2246">
        <v>0</v>
      </c>
      <c r="I2246">
        <v>535</v>
      </c>
      <c r="J2246">
        <v>6068</v>
      </c>
      <c r="K2246">
        <v>2700</v>
      </c>
      <c r="L2246">
        <v>664</v>
      </c>
      <c r="M2246">
        <v>432</v>
      </c>
      <c r="N2246">
        <v>0</v>
      </c>
      <c r="O2246">
        <v>0</v>
      </c>
      <c r="P2246">
        <v>3735</v>
      </c>
      <c r="Q2246">
        <v>1391</v>
      </c>
      <c r="R2246">
        <v>463</v>
      </c>
      <c r="S2246" s="18">
        <f t="shared" si="356"/>
        <v>9</v>
      </c>
      <c r="T2246" s="17">
        <f t="shared" si="357"/>
        <v>48</v>
      </c>
      <c r="U2246" s="17">
        <f t="shared" si="358"/>
        <v>0</v>
      </c>
      <c r="V2246" s="17">
        <f t="shared" si="359"/>
        <v>0</v>
      </c>
      <c r="W2246" s="17">
        <f t="shared" si="360"/>
        <v>415</v>
      </c>
      <c r="X2246" s="17">
        <f t="shared" si="361"/>
        <v>928</v>
      </c>
      <c r="Y2246" s="19">
        <f t="shared" si="362"/>
        <v>0</v>
      </c>
      <c r="Z2246">
        <v>596</v>
      </c>
      <c r="AA2246">
        <v>0</v>
      </c>
      <c r="AB2246">
        <v>0</v>
      </c>
      <c r="AC2246">
        <v>20550</v>
      </c>
      <c r="AD2246">
        <v>0</v>
      </c>
      <c r="AE2246">
        <v>0</v>
      </c>
      <c r="AF2246">
        <v>0</v>
      </c>
      <c r="AG2246">
        <v>535</v>
      </c>
      <c r="AH2246">
        <v>535</v>
      </c>
      <c r="AI2246">
        <v>0</v>
      </c>
      <c r="AJ2246">
        <v>0</v>
      </c>
      <c r="AK2246">
        <v>6068</v>
      </c>
      <c r="AL2246">
        <v>6068</v>
      </c>
      <c r="AM2246">
        <v>0</v>
      </c>
      <c r="AN2246">
        <v>0</v>
      </c>
      <c r="AO2246">
        <v>2700</v>
      </c>
      <c r="AP2246">
        <v>1000</v>
      </c>
      <c r="AQ2246">
        <v>2700</v>
      </c>
      <c r="AR2246">
        <v>1700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664</v>
      </c>
      <c r="BA2246">
        <v>664</v>
      </c>
      <c r="BB2246">
        <v>0</v>
      </c>
      <c r="BC2246">
        <v>0</v>
      </c>
      <c r="BD2246">
        <v>0</v>
      </c>
      <c r="BE2246">
        <f t="shared" si="363"/>
        <v>43184</v>
      </c>
      <c r="BF2246">
        <v>31113</v>
      </c>
      <c r="BG2246">
        <v>31113</v>
      </c>
      <c r="BH2246" t="s">
        <v>82</v>
      </c>
      <c r="BI2246" t="s">
        <v>1530</v>
      </c>
      <c r="BJ2246">
        <v>20550</v>
      </c>
      <c r="BK2246">
        <v>9967</v>
      </c>
      <c r="BL2246">
        <v>31113</v>
      </c>
      <c r="BM2246">
        <v>432</v>
      </c>
      <c r="BN2246">
        <v>0</v>
      </c>
      <c r="BO2246">
        <v>0</v>
      </c>
      <c r="BP2246">
        <v>13702</v>
      </c>
      <c r="BQ2246">
        <v>14134</v>
      </c>
      <c r="BR2246">
        <f t="shared" si="364"/>
        <v>-928</v>
      </c>
      <c r="BS2246">
        <f t="shared" si="365"/>
        <v>1854</v>
      </c>
    </row>
    <row r="2247" spans="1:74" x14ac:dyDescent="0.25">
      <c r="A2247" s="5" t="s">
        <v>1451</v>
      </c>
      <c r="B2247" s="5" t="s">
        <v>61</v>
      </c>
      <c r="C2247" s="5" t="s">
        <v>61</v>
      </c>
      <c r="D2247" s="1" t="s">
        <v>94</v>
      </c>
      <c r="E2247">
        <v>0</v>
      </c>
      <c r="F2247">
        <v>0</v>
      </c>
      <c r="G2247">
        <v>0</v>
      </c>
      <c r="H2247">
        <v>0</v>
      </c>
      <c r="I2247">
        <v>875</v>
      </c>
      <c r="J2247">
        <v>21000</v>
      </c>
      <c r="K2247">
        <v>1420</v>
      </c>
      <c r="L2247">
        <v>380</v>
      </c>
      <c r="M2247">
        <v>0</v>
      </c>
      <c r="N2247">
        <v>0</v>
      </c>
      <c r="O2247">
        <v>0</v>
      </c>
      <c r="P2247">
        <v>0</v>
      </c>
      <c r="Q2247">
        <v>931</v>
      </c>
      <c r="R2247">
        <v>0</v>
      </c>
      <c r="S2247" s="18" t="e">
        <f t="shared" si="356"/>
        <v>#DIV/0!</v>
      </c>
      <c r="T2247" s="17" t="e">
        <f t="shared" si="357"/>
        <v>#DIV/0!</v>
      </c>
      <c r="U2247" s="17" t="e">
        <f t="shared" si="358"/>
        <v>#DIV/0!</v>
      </c>
      <c r="V2247" s="17" t="e">
        <f t="shared" si="359"/>
        <v>#DIV/0!</v>
      </c>
      <c r="W2247" s="17" t="e">
        <f t="shared" si="360"/>
        <v>#DIV/0!</v>
      </c>
      <c r="X2247" s="17" t="e">
        <f t="shared" si="361"/>
        <v>#DIV/0!</v>
      </c>
      <c r="Y2247" s="19" t="e">
        <f t="shared" si="362"/>
        <v>#DIV/0!</v>
      </c>
      <c r="Z2247">
        <v>0</v>
      </c>
      <c r="AA2247">
        <v>0</v>
      </c>
      <c r="AB2247">
        <v>0</v>
      </c>
      <c r="AC2247">
        <v>4100</v>
      </c>
      <c r="AD2247">
        <v>0</v>
      </c>
      <c r="AE2247">
        <v>0</v>
      </c>
      <c r="AF2247">
        <v>0</v>
      </c>
      <c r="AG2247">
        <v>875</v>
      </c>
      <c r="AH2247">
        <v>875</v>
      </c>
      <c r="AI2247">
        <v>0</v>
      </c>
      <c r="AJ2247">
        <v>0</v>
      </c>
      <c r="AK2247">
        <v>21000</v>
      </c>
      <c r="AL2247">
        <v>21000</v>
      </c>
      <c r="AM2247">
        <v>0</v>
      </c>
      <c r="AN2247">
        <v>0</v>
      </c>
      <c r="AO2247">
        <v>1420</v>
      </c>
      <c r="AP2247">
        <v>1270</v>
      </c>
      <c r="AQ2247">
        <v>1420</v>
      </c>
      <c r="AR2247">
        <v>150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380</v>
      </c>
      <c r="BA2247">
        <v>380</v>
      </c>
      <c r="BB2247">
        <v>0</v>
      </c>
      <c r="BC2247">
        <v>0</v>
      </c>
      <c r="BD2247">
        <v>0</v>
      </c>
      <c r="BE2247">
        <f t="shared" si="363"/>
        <v>52870</v>
      </c>
      <c r="BF2247">
        <v>27775</v>
      </c>
      <c r="BG2247">
        <v>27775</v>
      </c>
      <c r="BH2247" t="s">
        <v>560</v>
      </c>
      <c r="BI2247" t="s">
        <v>1463</v>
      </c>
      <c r="BJ2247">
        <v>4100</v>
      </c>
      <c r="BK2247">
        <v>23675</v>
      </c>
      <c r="BL2247">
        <v>27775</v>
      </c>
      <c r="BM2247">
        <v>0</v>
      </c>
      <c r="BN2247">
        <v>0</v>
      </c>
      <c r="BO2247">
        <v>0</v>
      </c>
      <c r="BP2247">
        <v>23675</v>
      </c>
      <c r="BQ2247">
        <v>23675</v>
      </c>
      <c r="BR2247">
        <f t="shared" si="364"/>
        <v>-931</v>
      </c>
      <c r="BS2247">
        <f t="shared" si="365"/>
        <v>931</v>
      </c>
    </row>
    <row r="2248" spans="1:74" x14ac:dyDescent="0.25">
      <c r="A2248" s="5" t="s">
        <v>1451</v>
      </c>
      <c r="B2248" s="5" t="s">
        <v>61</v>
      </c>
      <c r="C2248" s="5" t="s">
        <v>627</v>
      </c>
      <c r="D2248" s="1" t="s">
        <v>104</v>
      </c>
      <c r="E2248">
        <v>0</v>
      </c>
      <c r="F2248">
        <v>5591</v>
      </c>
      <c r="G2248">
        <v>0</v>
      </c>
      <c r="H2248">
        <v>0</v>
      </c>
      <c r="I2248">
        <v>1335</v>
      </c>
      <c r="J2248">
        <v>17118</v>
      </c>
      <c r="K2248">
        <v>2710</v>
      </c>
      <c r="L2248">
        <v>0</v>
      </c>
      <c r="M2248">
        <v>2520</v>
      </c>
      <c r="N2248">
        <v>0</v>
      </c>
      <c r="O2248">
        <v>0</v>
      </c>
      <c r="P2248">
        <v>900</v>
      </c>
      <c r="Q2248">
        <v>1315</v>
      </c>
      <c r="R2248">
        <v>380</v>
      </c>
      <c r="S2248" s="18">
        <f t="shared" si="356"/>
        <v>9</v>
      </c>
      <c r="T2248" s="17">
        <f t="shared" si="357"/>
        <v>280</v>
      </c>
      <c r="U2248" s="17">
        <f t="shared" si="358"/>
        <v>0</v>
      </c>
      <c r="V2248" s="17">
        <f t="shared" si="359"/>
        <v>0</v>
      </c>
      <c r="W2248" s="17">
        <f t="shared" si="360"/>
        <v>100</v>
      </c>
      <c r="X2248" s="17">
        <f t="shared" si="361"/>
        <v>935</v>
      </c>
      <c r="Y2248" s="19">
        <f t="shared" si="362"/>
        <v>0</v>
      </c>
      <c r="Z2248">
        <v>5591</v>
      </c>
      <c r="AA2248">
        <v>0</v>
      </c>
      <c r="AB2248">
        <v>0</v>
      </c>
      <c r="AC2248">
        <v>3345</v>
      </c>
      <c r="AD2248">
        <v>0</v>
      </c>
      <c r="AE2248">
        <v>1232</v>
      </c>
      <c r="AF2248">
        <v>0</v>
      </c>
      <c r="AG2248">
        <v>103</v>
      </c>
      <c r="AH2248">
        <v>1335</v>
      </c>
      <c r="AI2248">
        <v>0</v>
      </c>
      <c r="AJ2248">
        <v>17118</v>
      </c>
      <c r="AK2248">
        <v>0</v>
      </c>
      <c r="AL2248">
        <v>17118</v>
      </c>
      <c r="AM2248">
        <v>0</v>
      </c>
      <c r="AN2248">
        <v>2624</v>
      </c>
      <c r="AO2248">
        <v>86</v>
      </c>
      <c r="AP2248">
        <v>300</v>
      </c>
      <c r="AQ2248">
        <v>2710</v>
      </c>
      <c r="AR2248">
        <v>2410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f t="shared" si="363"/>
        <v>48381</v>
      </c>
      <c r="BF2248">
        <v>30099</v>
      </c>
      <c r="BG2248">
        <v>30099</v>
      </c>
      <c r="BH2248" t="s">
        <v>82</v>
      </c>
      <c r="BI2248" t="s">
        <v>1528</v>
      </c>
      <c r="BJ2248">
        <v>3345</v>
      </c>
      <c r="BK2248">
        <v>21163</v>
      </c>
      <c r="BL2248">
        <v>30099</v>
      </c>
      <c r="BM2248">
        <v>2520</v>
      </c>
      <c r="BN2248">
        <v>20974</v>
      </c>
      <c r="BO2248">
        <v>0</v>
      </c>
      <c r="BP2248">
        <v>1089</v>
      </c>
      <c r="BQ2248">
        <v>24583</v>
      </c>
      <c r="BR2248">
        <f t="shared" si="364"/>
        <v>-935</v>
      </c>
      <c r="BS2248">
        <f t="shared" si="365"/>
        <v>1695</v>
      </c>
    </row>
    <row r="2249" spans="1:74" x14ac:dyDescent="0.25">
      <c r="A2249" s="5" t="s">
        <v>359</v>
      </c>
      <c r="B2249" s="5" t="s">
        <v>359</v>
      </c>
      <c r="C2249" s="5" t="s">
        <v>61</v>
      </c>
      <c r="D2249" s="1" t="s">
        <v>104</v>
      </c>
      <c r="E2249">
        <v>0</v>
      </c>
      <c r="F2249">
        <v>145</v>
      </c>
      <c r="G2249">
        <v>0</v>
      </c>
      <c r="H2249">
        <v>0</v>
      </c>
      <c r="I2249">
        <v>6971</v>
      </c>
      <c r="J2249">
        <v>7483</v>
      </c>
      <c r="K2249">
        <v>2168</v>
      </c>
      <c r="L2249">
        <v>5</v>
      </c>
      <c r="M2249">
        <v>0</v>
      </c>
      <c r="N2249">
        <v>0</v>
      </c>
      <c r="O2249">
        <v>0</v>
      </c>
      <c r="P2249">
        <v>882</v>
      </c>
      <c r="Q2249">
        <v>1042</v>
      </c>
      <c r="R2249">
        <v>98</v>
      </c>
      <c r="S2249" s="18">
        <f t="shared" si="356"/>
        <v>9</v>
      </c>
      <c r="T2249" s="17">
        <f t="shared" si="357"/>
        <v>0</v>
      </c>
      <c r="U2249" s="17">
        <f t="shared" si="358"/>
        <v>0</v>
      </c>
      <c r="V2249" s="17">
        <f t="shared" si="359"/>
        <v>0</v>
      </c>
      <c r="W2249" s="17">
        <f t="shared" si="360"/>
        <v>98</v>
      </c>
      <c r="X2249" s="17">
        <f t="shared" si="361"/>
        <v>944</v>
      </c>
      <c r="Y2249" s="19">
        <f t="shared" si="362"/>
        <v>0</v>
      </c>
      <c r="Z2249">
        <v>145</v>
      </c>
      <c r="AA2249">
        <v>0</v>
      </c>
      <c r="AB2249">
        <v>0</v>
      </c>
      <c r="AC2249">
        <v>6250</v>
      </c>
      <c r="AD2249">
        <v>0</v>
      </c>
      <c r="AE2249">
        <v>0</v>
      </c>
      <c r="AF2249">
        <v>0</v>
      </c>
      <c r="AG2249">
        <v>6971</v>
      </c>
      <c r="AH2249">
        <v>6971</v>
      </c>
      <c r="AI2249">
        <v>0</v>
      </c>
      <c r="AJ2249">
        <v>0</v>
      </c>
      <c r="AK2249">
        <v>7483</v>
      </c>
      <c r="AL2249">
        <v>7483</v>
      </c>
      <c r="AM2249">
        <v>0</v>
      </c>
      <c r="AN2249">
        <v>0</v>
      </c>
      <c r="AO2249">
        <v>2168</v>
      </c>
      <c r="AP2249">
        <v>440</v>
      </c>
      <c r="AQ2249">
        <v>2168</v>
      </c>
      <c r="AR2249">
        <v>1728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5</v>
      </c>
      <c r="BA2249">
        <v>5</v>
      </c>
      <c r="BB2249">
        <v>0</v>
      </c>
      <c r="BC2249">
        <v>0</v>
      </c>
      <c r="BD2249">
        <v>0</v>
      </c>
      <c r="BE2249">
        <f t="shared" si="363"/>
        <v>41672</v>
      </c>
      <c r="BF2249">
        <v>23022</v>
      </c>
      <c r="BG2249">
        <v>23022</v>
      </c>
      <c r="BH2249" t="s">
        <v>82</v>
      </c>
      <c r="BI2249" t="s">
        <v>776</v>
      </c>
      <c r="BJ2249">
        <v>6250</v>
      </c>
      <c r="BK2249">
        <v>16627</v>
      </c>
      <c r="BL2249">
        <v>23022</v>
      </c>
      <c r="BM2249">
        <v>0</v>
      </c>
      <c r="BN2249">
        <v>0</v>
      </c>
      <c r="BO2249">
        <v>0</v>
      </c>
      <c r="BP2249">
        <v>17509</v>
      </c>
      <c r="BQ2249">
        <v>17509</v>
      </c>
      <c r="BR2249">
        <f t="shared" si="364"/>
        <v>-944</v>
      </c>
      <c r="BS2249">
        <f t="shared" si="365"/>
        <v>1140</v>
      </c>
    </row>
    <row r="2250" spans="1:74" x14ac:dyDescent="0.25">
      <c r="A2250" s="5" t="s">
        <v>1661</v>
      </c>
      <c r="B2250" s="5" t="s">
        <v>61</v>
      </c>
      <c r="C2250" s="5" t="s">
        <v>61</v>
      </c>
      <c r="D2250" s="1" t="s">
        <v>108</v>
      </c>
      <c r="E2250">
        <v>0</v>
      </c>
      <c r="F2250">
        <v>3392</v>
      </c>
      <c r="G2250">
        <v>0</v>
      </c>
      <c r="H2250">
        <v>0</v>
      </c>
      <c r="I2250">
        <v>1623</v>
      </c>
      <c r="J2250">
        <v>2644</v>
      </c>
      <c r="K2250">
        <v>447</v>
      </c>
      <c r="L2250">
        <v>45</v>
      </c>
      <c r="M2250">
        <v>0</v>
      </c>
      <c r="N2250">
        <v>0</v>
      </c>
      <c r="O2250">
        <v>0</v>
      </c>
      <c r="P2250">
        <v>8451</v>
      </c>
      <c r="Q2250">
        <v>1890</v>
      </c>
      <c r="R2250">
        <v>939</v>
      </c>
      <c r="S2250" s="18">
        <f t="shared" si="356"/>
        <v>9</v>
      </c>
      <c r="T2250" s="17">
        <f t="shared" si="357"/>
        <v>0</v>
      </c>
      <c r="U2250" s="17">
        <f t="shared" si="358"/>
        <v>0</v>
      </c>
      <c r="V2250" s="17">
        <f t="shared" si="359"/>
        <v>0</v>
      </c>
      <c r="W2250" s="17">
        <f t="shared" si="360"/>
        <v>939</v>
      </c>
      <c r="X2250" s="17">
        <f t="shared" si="361"/>
        <v>951</v>
      </c>
      <c r="Y2250" s="19">
        <f t="shared" si="362"/>
        <v>0</v>
      </c>
      <c r="Z2250">
        <v>3392</v>
      </c>
      <c r="AA2250">
        <v>0</v>
      </c>
      <c r="AB2250">
        <v>0</v>
      </c>
      <c r="AC2250">
        <v>162</v>
      </c>
      <c r="AD2250">
        <v>0</v>
      </c>
      <c r="AE2250">
        <v>0</v>
      </c>
      <c r="AF2250">
        <v>0</v>
      </c>
      <c r="AG2250">
        <v>1623</v>
      </c>
      <c r="AH2250">
        <v>1623</v>
      </c>
      <c r="AI2250">
        <v>0</v>
      </c>
      <c r="AJ2250">
        <v>0</v>
      </c>
      <c r="AK2250">
        <v>2644</v>
      </c>
      <c r="AL2250">
        <v>2644</v>
      </c>
      <c r="AM2250">
        <v>0</v>
      </c>
      <c r="AN2250">
        <v>0</v>
      </c>
      <c r="AO2250">
        <v>447</v>
      </c>
      <c r="AP2250">
        <v>260</v>
      </c>
      <c r="AQ2250">
        <v>447</v>
      </c>
      <c r="AR2250">
        <v>187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45</v>
      </c>
      <c r="BA2250">
        <v>45</v>
      </c>
      <c r="BB2250">
        <v>0</v>
      </c>
      <c r="BC2250">
        <v>0</v>
      </c>
      <c r="BD2250">
        <v>0</v>
      </c>
      <c r="BE2250">
        <f t="shared" si="363"/>
        <v>10127</v>
      </c>
      <c r="BF2250">
        <v>8313</v>
      </c>
      <c r="BG2250">
        <v>8313</v>
      </c>
      <c r="BH2250" t="s">
        <v>109</v>
      </c>
      <c r="BI2250" t="s">
        <v>1680</v>
      </c>
      <c r="BJ2250">
        <v>162</v>
      </c>
      <c r="BK2250">
        <v>4759</v>
      </c>
      <c r="BL2250">
        <v>8313</v>
      </c>
      <c r="BM2250">
        <v>0</v>
      </c>
      <c r="BN2250">
        <v>0</v>
      </c>
      <c r="BO2250">
        <v>0</v>
      </c>
      <c r="BP2250">
        <v>13210</v>
      </c>
      <c r="BQ2250">
        <v>13210</v>
      </c>
      <c r="BR2250">
        <f t="shared" si="364"/>
        <v>-951</v>
      </c>
      <c r="BS2250">
        <f t="shared" si="365"/>
        <v>2829</v>
      </c>
    </row>
    <row r="2251" spans="1:74" x14ac:dyDescent="0.25">
      <c r="A2251" s="5" t="s">
        <v>1451</v>
      </c>
      <c r="B2251" s="5" t="s">
        <v>207</v>
      </c>
      <c r="C2251" s="5" t="s">
        <v>61</v>
      </c>
      <c r="D2251" s="1" t="s">
        <v>73</v>
      </c>
      <c r="E2251">
        <v>0</v>
      </c>
      <c r="F2251">
        <v>0</v>
      </c>
      <c r="G2251">
        <v>0</v>
      </c>
      <c r="H2251">
        <v>0</v>
      </c>
      <c r="I2251">
        <v>1480</v>
      </c>
      <c r="J2251">
        <v>100</v>
      </c>
      <c r="K2251">
        <v>520</v>
      </c>
      <c r="L2251">
        <v>350</v>
      </c>
      <c r="M2251">
        <v>0</v>
      </c>
      <c r="N2251">
        <v>0</v>
      </c>
      <c r="O2251">
        <v>0</v>
      </c>
      <c r="P2251">
        <v>0</v>
      </c>
      <c r="Q2251">
        <v>955</v>
      </c>
      <c r="R2251">
        <v>0</v>
      </c>
      <c r="S2251" s="18" t="e">
        <f t="shared" si="356"/>
        <v>#DIV/0!</v>
      </c>
      <c r="T2251" s="17" t="e">
        <f t="shared" si="357"/>
        <v>#DIV/0!</v>
      </c>
      <c r="U2251" s="17" t="e">
        <f t="shared" si="358"/>
        <v>#DIV/0!</v>
      </c>
      <c r="V2251" s="17" t="e">
        <f t="shared" si="359"/>
        <v>#DIV/0!</v>
      </c>
      <c r="W2251" s="17" t="e">
        <f t="shared" si="360"/>
        <v>#DIV/0!</v>
      </c>
      <c r="X2251" s="17" t="e">
        <f t="shared" si="361"/>
        <v>#DIV/0!</v>
      </c>
      <c r="Y2251" s="19" t="e">
        <f t="shared" si="362"/>
        <v>#DIV/0!</v>
      </c>
      <c r="Z2251">
        <v>0</v>
      </c>
      <c r="AA2251">
        <v>0</v>
      </c>
      <c r="AB2251">
        <v>0</v>
      </c>
      <c r="AC2251">
        <v>250</v>
      </c>
      <c r="AD2251">
        <v>1100</v>
      </c>
      <c r="AE2251">
        <v>0</v>
      </c>
      <c r="AF2251">
        <v>0</v>
      </c>
      <c r="AG2251">
        <v>380</v>
      </c>
      <c r="AH2251">
        <v>1480</v>
      </c>
      <c r="AI2251">
        <v>0</v>
      </c>
      <c r="AJ2251">
        <v>0</v>
      </c>
      <c r="AK2251">
        <v>100</v>
      </c>
      <c r="AL2251">
        <v>100</v>
      </c>
      <c r="AM2251">
        <v>0</v>
      </c>
      <c r="AN2251">
        <v>0</v>
      </c>
      <c r="AO2251">
        <v>520</v>
      </c>
      <c r="AP2251">
        <v>200</v>
      </c>
      <c r="AQ2251">
        <v>520</v>
      </c>
      <c r="AR2251">
        <v>320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350</v>
      </c>
      <c r="BA2251">
        <v>350</v>
      </c>
      <c r="BB2251">
        <v>0</v>
      </c>
      <c r="BC2251">
        <v>0</v>
      </c>
      <c r="BD2251">
        <v>0</v>
      </c>
      <c r="BE2251">
        <f t="shared" si="363"/>
        <v>5670</v>
      </c>
      <c r="BF2251">
        <v>2700</v>
      </c>
      <c r="BG2251">
        <v>2700</v>
      </c>
      <c r="BH2251" t="s">
        <v>109</v>
      </c>
      <c r="BI2251" t="s">
        <v>1538</v>
      </c>
      <c r="BJ2251">
        <v>250</v>
      </c>
      <c r="BK2251">
        <v>2450</v>
      </c>
      <c r="BL2251">
        <v>2700</v>
      </c>
      <c r="BM2251">
        <v>1100</v>
      </c>
      <c r="BN2251">
        <v>0</v>
      </c>
      <c r="BO2251">
        <v>0</v>
      </c>
      <c r="BP2251">
        <v>1350</v>
      </c>
      <c r="BQ2251">
        <v>2450</v>
      </c>
      <c r="BR2251">
        <f t="shared" si="364"/>
        <v>-955</v>
      </c>
      <c r="BS2251">
        <f t="shared" si="365"/>
        <v>955</v>
      </c>
    </row>
    <row r="2252" spans="1:74" x14ac:dyDescent="0.25">
      <c r="A2252" s="5" t="s">
        <v>1337</v>
      </c>
      <c r="B2252" s="5" t="s">
        <v>359</v>
      </c>
      <c r="C2252" s="5" t="s">
        <v>61</v>
      </c>
      <c r="D2252" s="1" t="s">
        <v>102</v>
      </c>
      <c r="E2252">
        <v>22</v>
      </c>
      <c r="F2252">
        <v>294</v>
      </c>
      <c r="G2252">
        <v>0</v>
      </c>
      <c r="H2252">
        <v>0</v>
      </c>
      <c r="I2252">
        <v>3385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1296</v>
      </c>
      <c r="Q2252">
        <v>1100</v>
      </c>
      <c r="R2252">
        <v>144</v>
      </c>
      <c r="S2252" s="18">
        <f t="shared" si="356"/>
        <v>9</v>
      </c>
      <c r="T2252" s="17">
        <f t="shared" si="357"/>
        <v>0</v>
      </c>
      <c r="U2252" s="17">
        <f t="shared" si="358"/>
        <v>0</v>
      </c>
      <c r="V2252" s="17">
        <f t="shared" si="359"/>
        <v>0</v>
      </c>
      <c r="W2252" s="17">
        <f t="shared" si="360"/>
        <v>144</v>
      </c>
      <c r="X2252" s="17">
        <f t="shared" si="361"/>
        <v>956</v>
      </c>
      <c r="Y2252" s="19">
        <f t="shared" si="362"/>
        <v>0</v>
      </c>
      <c r="Z2252">
        <v>294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3385</v>
      </c>
      <c r="AH2252">
        <v>3385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f t="shared" si="363"/>
        <v>6770</v>
      </c>
      <c r="BF2252">
        <v>3701</v>
      </c>
      <c r="BG2252">
        <v>3701</v>
      </c>
      <c r="BH2252" t="s">
        <v>109</v>
      </c>
      <c r="BI2252" t="s">
        <v>1430</v>
      </c>
      <c r="BJ2252">
        <v>22</v>
      </c>
      <c r="BK2252">
        <v>3385</v>
      </c>
      <c r="BL2252">
        <v>3701</v>
      </c>
      <c r="BM2252">
        <v>0</v>
      </c>
      <c r="BN2252">
        <v>0</v>
      </c>
      <c r="BO2252">
        <v>0</v>
      </c>
      <c r="BP2252">
        <v>4681</v>
      </c>
      <c r="BQ2252">
        <v>4681</v>
      </c>
      <c r="BR2252">
        <f t="shared" si="364"/>
        <v>-956</v>
      </c>
      <c r="BS2252">
        <f t="shared" si="365"/>
        <v>1244</v>
      </c>
    </row>
    <row r="2253" spans="1:74" x14ac:dyDescent="0.25">
      <c r="A2253" s="5" t="s">
        <v>1017</v>
      </c>
      <c r="B2253" s="6" t="s">
        <v>61</v>
      </c>
      <c r="C2253" s="6" t="s">
        <v>61</v>
      </c>
      <c r="D2253" s="1" t="s">
        <v>108</v>
      </c>
      <c r="E2253">
        <v>35</v>
      </c>
      <c r="F2253">
        <v>45</v>
      </c>
      <c r="G2253">
        <v>0</v>
      </c>
      <c r="H2253">
        <v>0</v>
      </c>
      <c r="I2253">
        <v>1850</v>
      </c>
      <c r="J2253">
        <v>761</v>
      </c>
      <c r="K2253">
        <v>2500</v>
      </c>
      <c r="L2253">
        <v>345</v>
      </c>
      <c r="M2253">
        <v>0</v>
      </c>
      <c r="N2253">
        <v>0</v>
      </c>
      <c r="O2253">
        <v>0</v>
      </c>
      <c r="P2253">
        <v>405</v>
      </c>
      <c r="Q2253">
        <v>1007</v>
      </c>
      <c r="R2253">
        <v>45</v>
      </c>
      <c r="S2253" s="18">
        <f t="shared" si="356"/>
        <v>9</v>
      </c>
      <c r="T2253" s="17">
        <f t="shared" si="357"/>
        <v>0</v>
      </c>
      <c r="U2253" s="17">
        <f t="shared" si="358"/>
        <v>0</v>
      </c>
      <c r="V2253" s="17">
        <f t="shared" si="359"/>
        <v>0</v>
      </c>
      <c r="W2253" s="17">
        <f t="shared" si="360"/>
        <v>45</v>
      </c>
      <c r="X2253" s="17">
        <f t="shared" si="361"/>
        <v>962</v>
      </c>
      <c r="Y2253" s="19">
        <f t="shared" si="362"/>
        <v>0</v>
      </c>
      <c r="Z2253">
        <v>45</v>
      </c>
      <c r="AA2253">
        <v>0</v>
      </c>
      <c r="AB2253">
        <v>0</v>
      </c>
      <c r="AC2253">
        <v>3420</v>
      </c>
      <c r="AD2253">
        <v>0</v>
      </c>
      <c r="AE2253">
        <v>0</v>
      </c>
      <c r="AF2253">
        <v>0</v>
      </c>
      <c r="AG2253">
        <v>1850</v>
      </c>
      <c r="AH2253">
        <v>1850</v>
      </c>
      <c r="AI2253">
        <v>0</v>
      </c>
      <c r="AJ2253">
        <v>0</v>
      </c>
      <c r="AK2253">
        <v>761</v>
      </c>
      <c r="AL2253">
        <v>761</v>
      </c>
      <c r="AM2253">
        <v>0</v>
      </c>
      <c r="AN2253">
        <v>0</v>
      </c>
      <c r="AO2253">
        <v>2500</v>
      </c>
      <c r="AP2253">
        <v>650</v>
      </c>
      <c r="AQ2253">
        <v>2500</v>
      </c>
      <c r="AR2253">
        <v>1850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345</v>
      </c>
      <c r="BA2253">
        <v>345</v>
      </c>
      <c r="BB2253">
        <v>0</v>
      </c>
      <c r="BC2253">
        <v>0</v>
      </c>
      <c r="BD2253">
        <v>0</v>
      </c>
      <c r="BE2253">
        <f t="shared" si="363"/>
        <v>16832</v>
      </c>
      <c r="BF2253">
        <v>8956</v>
      </c>
      <c r="BG2253">
        <v>8956</v>
      </c>
      <c r="BH2253" t="s">
        <v>82</v>
      </c>
      <c r="BI2253" t="s">
        <v>1039</v>
      </c>
      <c r="BJ2253">
        <v>3455</v>
      </c>
      <c r="BK2253">
        <v>5456</v>
      </c>
      <c r="BL2253">
        <v>8956</v>
      </c>
      <c r="BM2253">
        <v>0</v>
      </c>
      <c r="BN2253">
        <v>0</v>
      </c>
      <c r="BO2253">
        <v>0</v>
      </c>
      <c r="BP2253">
        <v>5861</v>
      </c>
      <c r="BQ2253">
        <v>5861</v>
      </c>
      <c r="BR2253">
        <f t="shared" si="364"/>
        <v>-962</v>
      </c>
      <c r="BS2253">
        <f t="shared" si="365"/>
        <v>1052</v>
      </c>
    </row>
    <row r="2254" spans="1:74" x14ac:dyDescent="0.25">
      <c r="A2254" s="5" t="s">
        <v>1337</v>
      </c>
      <c r="B2254" s="7" t="s">
        <v>207</v>
      </c>
      <c r="C2254" s="7" t="s">
        <v>207</v>
      </c>
      <c r="D2254" s="1" t="s">
        <v>62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8703</v>
      </c>
      <c r="O2254">
        <v>0</v>
      </c>
      <c r="P2254">
        <v>46656</v>
      </c>
      <c r="Q2254">
        <v>7128</v>
      </c>
      <c r="R2254">
        <v>6151</v>
      </c>
      <c r="S2254" s="18">
        <f t="shared" si="356"/>
        <v>9</v>
      </c>
      <c r="T2254" s="17">
        <f t="shared" si="357"/>
        <v>0</v>
      </c>
      <c r="U2254" s="17">
        <f t="shared" si="358"/>
        <v>967</v>
      </c>
      <c r="V2254" s="17">
        <f t="shared" si="359"/>
        <v>0</v>
      </c>
      <c r="W2254" s="17">
        <f t="shared" si="360"/>
        <v>5184</v>
      </c>
      <c r="X2254" s="17">
        <f t="shared" si="361"/>
        <v>977</v>
      </c>
      <c r="Y2254" s="19">
        <f t="shared" si="362"/>
        <v>0</v>
      </c>
      <c r="Z2254">
        <v>35274</v>
      </c>
      <c r="AA2254">
        <v>0</v>
      </c>
      <c r="AB2254">
        <v>0</v>
      </c>
      <c r="AC2254">
        <v>51381</v>
      </c>
      <c r="AD2254">
        <v>0</v>
      </c>
      <c r="AE2254">
        <v>0</v>
      </c>
      <c r="AF2254">
        <v>0</v>
      </c>
      <c r="AG2254">
        <v>6669</v>
      </c>
      <c r="AH2254">
        <v>6669</v>
      </c>
      <c r="AI2254">
        <v>0</v>
      </c>
      <c r="AJ2254">
        <v>5446</v>
      </c>
      <c r="AK2254">
        <v>14419</v>
      </c>
      <c r="AL2254">
        <v>19865</v>
      </c>
      <c r="AM2254">
        <v>0</v>
      </c>
      <c r="AN2254">
        <v>0</v>
      </c>
      <c r="AO2254">
        <v>1908</v>
      </c>
      <c r="AP2254">
        <v>1112</v>
      </c>
      <c r="AQ2254">
        <v>1908</v>
      </c>
      <c r="AR2254">
        <v>796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15</v>
      </c>
      <c r="BA2254">
        <v>15</v>
      </c>
      <c r="BB2254">
        <v>0</v>
      </c>
      <c r="BC2254">
        <v>0</v>
      </c>
      <c r="BD2254">
        <v>0</v>
      </c>
      <c r="BE2254">
        <f t="shared" si="363"/>
        <v>110203</v>
      </c>
      <c r="BF2254">
        <v>106513</v>
      </c>
      <c r="BG2254">
        <v>106513</v>
      </c>
      <c r="BH2254" t="s">
        <v>226</v>
      </c>
      <c r="BI2254" t="s">
        <v>1408</v>
      </c>
      <c r="BJ2254">
        <v>51381</v>
      </c>
      <c r="BK2254">
        <v>28457</v>
      </c>
      <c r="BL2254">
        <v>115112</v>
      </c>
      <c r="BM2254">
        <v>0</v>
      </c>
      <c r="BN2254">
        <v>14149</v>
      </c>
      <c r="BO2254">
        <v>0</v>
      </c>
      <c r="BP2254">
        <v>69667</v>
      </c>
      <c r="BQ2254">
        <v>83816</v>
      </c>
      <c r="BR2254">
        <f t="shared" si="364"/>
        <v>-977</v>
      </c>
      <c r="BS2254">
        <f t="shared" si="365"/>
        <v>13279</v>
      </c>
    </row>
    <row r="2255" spans="1:74" x14ac:dyDescent="0.25">
      <c r="A2255" s="5" t="s">
        <v>207</v>
      </c>
      <c r="B2255" s="5" t="s">
        <v>61</v>
      </c>
      <c r="C2255" s="5" t="s">
        <v>359</v>
      </c>
      <c r="D2255" s="1" t="s">
        <v>77</v>
      </c>
      <c r="E2255">
        <v>0</v>
      </c>
      <c r="F2255">
        <v>0</v>
      </c>
      <c r="G2255">
        <v>0</v>
      </c>
      <c r="H2255">
        <v>0</v>
      </c>
      <c r="I2255">
        <v>86</v>
      </c>
      <c r="J2255">
        <v>5165</v>
      </c>
      <c r="K2255">
        <v>225</v>
      </c>
      <c r="L2255">
        <v>634</v>
      </c>
      <c r="M2255">
        <v>0</v>
      </c>
      <c r="N2255">
        <v>0</v>
      </c>
      <c r="O2255">
        <v>0</v>
      </c>
      <c r="P2255">
        <v>0</v>
      </c>
      <c r="Q2255">
        <v>777</v>
      </c>
      <c r="R2255">
        <v>0</v>
      </c>
      <c r="S2255" s="18" t="e">
        <f t="shared" si="356"/>
        <v>#DIV/0!</v>
      </c>
      <c r="T2255" s="17" t="e">
        <f t="shared" si="357"/>
        <v>#DIV/0!</v>
      </c>
      <c r="U2255" s="17" t="e">
        <f t="shared" si="358"/>
        <v>#DIV/0!</v>
      </c>
      <c r="V2255" s="17" t="e">
        <f t="shared" si="359"/>
        <v>#DIV/0!</v>
      </c>
      <c r="W2255" s="17" t="e">
        <f t="shared" si="360"/>
        <v>#DIV/0!</v>
      </c>
      <c r="X2255" s="17" t="e">
        <f t="shared" si="361"/>
        <v>#DIV/0!</v>
      </c>
      <c r="Y2255" s="19" t="e">
        <f t="shared" si="362"/>
        <v>#DIV/0!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50</v>
      </c>
      <c r="AF2255">
        <v>0</v>
      </c>
      <c r="AG2255">
        <v>36</v>
      </c>
      <c r="AH2255">
        <v>86</v>
      </c>
      <c r="AI2255">
        <v>0</v>
      </c>
      <c r="AJ2255">
        <v>4845</v>
      </c>
      <c r="AK2255">
        <v>320</v>
      </c>
      <c r="AL2255">
        <v>5165</v>
      </c>
      <c r="AM2255">
        <v>0</v>
      </c>
      <c r="AN2255">
        <v>110</v>
      </c>
      <c r="AO2255">
        <v>115</v>
      </c>
      <c r="AP2255">
        <v>168</v>
      </c>
      <c r="AQ2255">
        <v>225</v>
      </c>
      <c r="AR2255">
        <v>57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634</v>
      </c>
      <c r="BA2255">
        <v>634</v>
      </c>
      <c r="BB2255">
        <v>0</v>
      </c>
      <c r="BC2255">
        <v>0</v>
      </c>
      <c r="BD2255">
        <v>0</v>
      </c>
      <c r="BE2255">
        <f t="shared" si="363"/>
        <v>12445</v>
      </c>
      <c r="BF2255">
        <v>6110</v>
      </c>
      <c r="BG2255">
        <v>6110</v>
      </c>
      <c r="BH2255" t="s">
        <v>63</v>
      </c>
      <c r="BI2255" t="s">
        <v>507</v>
      </c>
      <c r="BJ2255">
        <v>0</v>
      </c>
      <c r="BK2255">
        <v>6110</v>
      </c>
      <c r="BL2255">
        <v>6110</v>
      </c>
      <c r="BM2255">
        <v>0</v>
      </c>
      <c r="BN2255">
        <v>5005</v>
      </c>
      <c r="BO2255">
        <v>0</v>
      </c>
      <c r="BP2255">
        <v>1105</v>
      </c>
      <c r="BQ2255">
        <v>6110</v>
      </c>
      <c r="BR2255">
        <f t="shared" si="364"/>
        <v>-777</v>
      </c>
      <c r="BS2255">
        <f t="shared" si="365"/>
        <v>777</v>
      </c>
      <c r="BU2255">
        <f>R2255*9</f>
        <v>0</v>
      </c>
      <c r="BV2255">
        <f>IF(BU2255&gt;BG2255, 1, 0)</f>
        <v>0</v>
      </c>
    </row>
    <row r="2256" spans="1:74" x14ac:dyDescent="0.25">
      <c r="A2256" s="5" t="s">
        <v>359</v>
      </c>
      <c r="B2256" s="5" t="s">
        <v>359</v>
      </c>
      <c r="C2256" s="5" t="s">
        <v>61</v>
      </c>
      <c r="D2256" s="1" t="s">
        <v>69</v>
      </c>
      <c r="E2256">
        <v>0</v>
      </c>
      <c r="F2256">
        <v>0</v>
      </c>
      <c r="G2256">
        <v>0</v>
      </c>
      <c r="H2256">
        <v>0</v>
      </c>
      <c r="I2256">
        <v>2824</v>
      </c>
      <c r="J2256">
        <v>9846</v>
      </c>
      <c r="K2256">
        <v>640</v>
      </c>
      <c r="L2256">
        <v>44</v>
      </c>
      <c r="M2256">
        <v>0</v>
      </c>
      <c r="N2256">
        <v>0</v>
      </c>
      <c r="O2256">
        <v>0</v>
      </c>
      <c r="P2256">
        <v>0</v>
      </c>
      <c r="Q2256">
        <v>989</v>
      </c>
      <c r="R2256">
        <v>0</v>
      </c>
      <c r="S2256" s="18" t="e">
        <f t="shared" si="356"/>
        <v>#DIV/0!</v>
      </c>
      <c r="T2256" s="17" t="e">
        <f t="shared" si="357"/>
        <v>#DIV/0!</v>
      </c>
      <c r="U2256" s="17" t="e">
        <f t="shared" si="358"/>
        <v>#DIV/0!</v>
      </c>
      <c r="V2256" s="17" t="e">
        <f t="shared" si="359"/>
        <v>#DIV/0!</v>
      </c>
      <c r="W2256" s="17" t="e">
        <f t="shared" si="360"/>
        <v>#DIV/0!</v>
      </c>
      <c r="X2256" s="17" t="e">
        <f t="shared" si="361"/>
        <v>#DIV/0!</v>
      </c>
      <c r="Y2256" s="19" t="e">
        <f t="shared" si="362"/>
        <v>#DIV/0!</v>
      </c>
      <c r="Z2256">
        <v>0</v>
      </c>
      <c r="AA2256">
        <v>0</v>
      </c>
      <c r="AB2256">
        <v>0</v>
      </c>
      <c r="AC2256">
        <v>3422</v>
      </c>
      <c r="AD2256">
        <v>0</v>
      </c>
      <c r="AE2256">
        <v>0</v>
      </c>
      <c r="AF2256">
        <v>0</v>
      </c>
      <c r="AG2256">
        <v>2824</v>
      </c>
      <c r="AH2256">
        <v>2824</v>
      </c>
      <c r="AI2256">
        <v>0</v>
      </c>
      <c r="AJ2256">
        <v>0</v>
      </c>
      <c r="AK2256">
        <v>9846</v>
      </c>
      <c r="AL2256">
        <v>9846</v>
      </c>
      <c r="AM2256">
        <v>0</v>
      </c>
      <c r="AN2256">
        <v>0</v>
      </c>
      <c r="AO2256">
        <v>640</v>
      </c>
      <c r="AP2256">
        <v>428</v>
      </c>
      <c r="AQ2256">
        <v>640</v>
      </c>
      <c r="AR2256">
        <v>212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44</v>
      </c>
      <c r="BA2256">
        <v>44</v>
      </c>
      <c r="BB2256">
        <v>0</v>
      </c>
      <c r="BC2256">
        <v>0</v>
      </c>
      <c r="BD2256">
        <v>0</v>
      </c>
      <c r="BE2256">
        <f t="shared" si="363"/>
        <v>30770</v>
      </c>
      <c r="BF2256">
        <v>16776</v>
      </c>
      <c r="BG2256">
        <v>16776</v>
      </c>
      <c r="BH2256" t="s">
        <v>560</v>
      </c>
      <c r="BI2256" t="s">
        <v>759</v>
      </c>
      <c r="BJ2256">
        <v>3422</v>
      </c>
      <c r="BK2256">
        <v>13354</v>
      </c>
      <c r="BL2256">
        <v>16776</v>
      </c>
      <c r="BM2256">
        <v>0</v>
      </c>
      <c r="BN2256">
        <v>0</v>
      </c>
      <c r="BO2256">
        <v>0</v>
      </c>
      <c r="BP2256">
        <v>13354</v>
      </c>
      <c r="BQ2256">
        <v>13354</v>
      </c>
      <c r="BR2256">
        <f t="shared" si="364"/>
        <v>-989</v>
      </c>
      <c r="BS2256">
        <f t="shared" si="365"/>
        <v>989</v>
      </c>
    </row>
    <row r="2257" spans="1:74" x14ac:dyDescent="0.25">
      <c r="A2257" s="5" t="s">
        <v>1337</v>
      </c>
      <c r="B2257" s="5" t="s">
        <v>359</v>
      </c>
      <c r="C2257" s="5" t="s">
        <v>61</v>
      </c>
      <c r="D2257" s="1" t="s">
        <v>143</v>
      </c>
      <c r="E2257">
        <v>0</v>
      </c>
      <c r="F2257">
        <v>0</v>
      </c>
      <c r="G2257">
        <v>0</v>
      </c>
      <c r="H2257">
        <v>0</v>
      </c>
      <c r="I2257">
        <v>1512</v>
      </c>
      <c r="J2257">
        <v>0</v>
      </c>
      <c r="K2257">
        <v>288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990</v>
      </c>
      <c r="R2257">
        <v>0</v>
      </c>
      <c r="S2257" s="18" t="e">
        <f t="shared" si="356"/>
        <v>#DIV/0!</v>
      </c>
      <c r="T2257" s="17" t="e">
        <f t="shared" si="357"/>
        <v>#DIV/0!</v>
      </c>
      <c r="U2257" s="17" t="e">
        <f t="shared" si="358"/>
        <v>#DIV/0!</v>
      </c>
      <c r="V2257" s="17" t="e">
        <f t="shared" si="359"/>
        <v>#DIV/0!</v>
      </c>
      <c r="W2257" s="17" t="e">
        <f t="shared" si="360"/>
        <v>#DIV/0!</v>
      </c>
      <c r="X2257" s="17" t="e">
        <f t="shared" si="361"/>
        <v>#DIV/0!</v>
      </c>
      <c r="Y2257" s="19" t="e">
        <f t="shared" si="362"/>
        <v>#DIV/0!</v>
      </c>
      <c r="Z2257">
        <v>0</v>
      </c>
      <c r="AA2257">
        <v>4</v>
      </c>
      <c r="AB2257">
        <v>0</v>
      </c>
      <c r="AC2257">
        <v>7992</v>
      </c>
      <c r="AD2257">
        <v>0</v>
      </c>
      <c r="AE2257">
        <v>1512</v>
      </c>
      <c r="AF2257">
        <v>0</v>
      </c>
      <c r="AG2257">
        <v>0</v>
      </c>
      <c r="AH2257">
        <v>1512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288</v>
      </c>
      <c r="AP2257">
        <v>200</v>
      </c>
      <c r="AQ2257">
        <v>288</v>
      </c>
      <c r="AR2257">
        <v>88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f t="shared" si="363"/>
        <v>11880</v>
      </c>
      <c r="BF2257">
        <v>9796</v>
      </c>
      <c r="BG2257">
        <v>9796</v>
      </c>
      <c r="BH2257" t="s">
        <v>82</v>
      </c>
      <c r="BI2257" t="s">
        <v>1403</v>
      </c>
      <c r="BJ2257">
        <v>7996</v>
      </c>
      <c r="BK2257">
        <v>1800</v>
      </c>
      <c r="BL2257">
        <v>9796</v>
      </c>
      <c r="BM2257">
        <v>0</v>
      </c>
      <c r="BN2257">
        <v>1512</v>
      </c>
      <c r="BO2257">
        <v>0</v>
      </c>
      <c r="BP2257">
        <v>288</v>
      </c>
      <c r="BQ2257">
        <v>1800</v>
      </c>
      <c r="BR2257">
        <f t="shared" si="364"/>
        <v>-990</v>
      </c>
      <c r="BS2257">
        <f t="shared" si="365"/>
        <v>990</v>
      </c>
    </row>
    <row r="2258" spans="1:74" x14ac:dyDescent="0.25">
      <c r="A2258" s="5" t="s">
        <v>1451</v>
      </c>
      <c r="B2258" s="5" t="s">
        <v>61</v>
      </c>
      <c r="C2258" s="5" t="s">
        <v>207</v>
      </c>
      <c r="D2258" s="1" t="s">
        <v>125</v>
      </c>
      <c r="E2258">
        <v>0</v>
      </c>
      <c r="F2258">
        <v>1100</v>
      </c>
      <c r="G2258">
        <v>0</v>
      </c>
      <c r="H2258">
        <v>0</v>
      </c>
      <c r="I2258">
        <v>693</v>
      </c>
      <c r="J2258">
        <v>1765</v>
      </c>
      <c r="K2258">
        <v>3263</v>
      </c>
      <c r="L2258">
        <v>0</v>
      </c>
      <c r="M2258">
        <v>0</v>
      </c>
      <c r="N2258">
        <v>0</v>
      </c>
      <c r="O2258">
        <v>0</v>
      </c>
      <c r="P2258">
        <v>2646</v>
      </c>
      <c r="Q2258">
        <v>1284</v>
      </c>
      <c r="R2258">
        <v>294</v>
      </c>
      <c r="S2258" s="18">
        <f t="shared" si="356"/>
        <v>9</v>
      </c>
      <c r="T2258" s="17">
        <f t="shared" si="357"/>
        <v>0</v>
      </c>
      <c r="U2258" s="17">
        <f t="shared" si="358"/>
        <v>0</v>
      </c>
      <c r="V2258" s="17">
        <f t="shared" si="359"/>
        <v>0</v>
      </c>
      <c r="W2258" s="17">
        <f t="shared" si="360"/>
        <v>294</v>
      </c>
      <c r="X2258" s="17">
        <f t="shared" si="361"/>
        <v>990</v>
      </c>
      <c r="Y2258" s="19">
        <f t="shared" si="362"/>
        <v>0</v>
      </c>
      <c r="Z2258">
        <v>1100</v>
      </c>
      <c r="AA2258">
        <v>16</v>
      </c>
      <c r="AB2258">
        <v>183</v>
      </c>
      <c r="AC2258">
        <v>2500</v>
      </c>
      <c r="AD2258">
        <v>0</v>
      </c>
      <c r="AE2258">
        <v>0</v>
      </c>
      <c r="AF2258">
        <v>0</v>
      </c>
      <c r="AG2258">
        <v>693</v>
      </c>
      <c r="AH2258">
        <v>693</v>
      </c>
      <c r="AI2258">
        <v>0</v>
      </c>
      <c r="AJ2258">
        <v>0</v>
      </c>
      <c r="AK2258">
        <v>1765</v>
      </c>
      <c r="AL2258">
        <v>1765</v>
      </c>
      <c r="AM2258">
        <v>0</v>
      </c>
      <c r="AN2258">
        <v>0</v>
      </c>
      <c r="AO2258">
        <v>3263</v>
      </c>
      <c r="AP2258">
        <v>2045</v>
      </c>
      <c r="AQ2258">
        <v>3263</v>
      </c>
      <c r="AR2258">
        <v>1218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f t="shared" si="363"/>
        <v>17205</v>
      </c>
      <c r="BF2258">
        <v>10538</v>
      </c>
      <c r="BG2258">
        <v>10538</v>
      </c>
      <c r="BH2258" t="s">
        <v>82</v>
      </c>
      <c r="BI2258" t="s">
        <v>1500</v>
      </c>
      <c r="BJ2258">
        <v>2699</v>
      </c>
      <c r="BK2258">
        <v>5721</v>
      </c>
      <c r="BL2258">
        <v>9520</v>
      </c>
      <c r="BM2258">
        <v>0</v>
      </c>
      <c r="BN2258">
        <v>0</v>
      </c>
      <c r="BO2258">
        <v>0</v>
      </c>
      <c r="BP2258">
        <v>8367</v>
      </c>
      <c r="BQ2258">
        <v>8367</v>
      </c>
      <c r="BR2258">
        <f t="shared" si="364"/>
        <v>-990</v>
      </c>
      <c r="BS2258">
        <f t="shared" si="365"/>
        <v>1578</v>
      </c>
    </row>
    <row r="2259" spans="1:74" x14ac:dyDescent="0.25">
      <c r="A2259" s="5" t="s">
        <v>1946</v>
      </c>
      <c r="B2259" s="5" t="s">
        <v>207</v>
      </c>
      <c r="C2259" s="5" t="s">
        <v>207</v>
      </c>
      <c r="D2259" s="1" t="s">
        <v>125</v>
      </c>
      <c r="E2259">
        <v>0</v>
      </c>
      <c r="F2259">
        <v>1680</v>
      </c>
      <c r="G2259">
        <v>0</v>
      </c>
      <c r="H2259">
        <v>0</v>
      </c>
      <c r="I2259">
        <v>3230</v>
      </c>
      <c r="J2259">
        <v>0</v>
      </c>
      <c r="K2259">
        <v>42</v>
      </c>
      <c r="L2259">
        <v>0</v>
      </c>
      <c r="M2259">
        <v>3780</v>
      </c>
      <c r="N2259">
        <v>0</v>
      </c>
      <c r="O2259">
        <v>0</v>
      </c>
      <c r="P2259">
        <v>0</v>
      </c>
      <c r="Q2259">
        <v>1411</v>
      </c>
      <c r="R2259">
        <v>420</v>
      </c>
      <c r="S2259" s="18">
        <f t="shared" si="356"/>
        <v>9</v>
      </c>
      <c r="T2259" s="17">
        <f t="shared" si="357"/>
        <v>420</v>
      </c>
      <c r="U2259" s="17">
        <f t="shared" si="358"/>
        <v>0</v>
      </c>
      <c r="V2259" s="17">
        <f t="shared" si="359"/>
        <v>0</v>
      </c>
      <c r="W2259" s="17">
        <f t="shared" si="360"/>
        <v>0</v>
      </c>
      <c r="X2259" s="17">
        <f t="shared" si="361"/>
        <v>991</v>
      </c>
      <c r="Y2259" s="19">
        <f t="shared" si="362"/>
        <v>0</v>
      </c>
      <c r="Z2259">
        <v>1680</v>
      </c>
      <c r="AA2259">
        <v>0</v>
      </c>
      <c r="AB2259">
        <v>0</v>
      </c>
      <c r="AC2259">
        <v>0</v>
      </c>
      <c r="AD2259">
        <v>3230</v>
      </c>
      <c r="AE2259">
        <v>0</v>
      </c>
      <c r="AF2259">
        <v>0</v>
      </c>
      <c r="AG2259">
        <v>0</v>
      </c>
      <c r="AH2259">
        <v>3230</v>
      </c>
      <c r="AI2259">
        <v>0</v>
      </c>
      <c r="AJ2259">
        <v>0</v>
      </c>
      <c r="AK2259">
        <v>0</v>
      </c>
      <c r="AL2259">
        <v>0</v>
      </c>
      <c r="AM2259">
        <v>42</v>
      </c>
      <c r="AN2259">
        <v>0</v>
      </c>
      <c r="AO2259">
        <v>0</v>
      </c>
      <c r="AP2259">
        <v>42</v>
      </c>
      <c r="AQ2259">
        <v>42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f t="shared" si="363"/>
        <v>6586</v>
      </c>
      <c r="BF2259">
        <v>4952</v>
      </c>
      <c r="BG2259">
        <v>4952</v>
      </c>
      <c r="BH2259" t="s">
        <v>109</v>
      </c>
      <c r="BI2259" t="s">
        <v>1980</v>
      </c>
      <c r="BJ2259">
        <v>0</v>
      </c>
      <c r="BK2259">
        <v>3272</v>
      </c>
      <c r="BL2259">
        <v>4952</v>
      </c>
      <c r="BM2259">
        <v>7052</v>
      </c>
      <c r="BN2259">
        <v>0</v>
      </c>
      <c r="BO2259">
        <v>0</v>
      </c>
      <c r="BP2259">
        <v>0</v>
      </c>
      <c r="BQ2259">
        <v>7052</v>
      </c>
      <c r="BR2259">
        <f t="shared" si="364"/>
        <v>-991</v>
      </c>
      <c r="BS2259">
        <f t="shared" si="365"/>
        <v>1831</v>
      </c>
    </row>
    <row r="2260" spans="1:74" x14ac:dyDescent="0.25">
      <c r="A2260" s="5" t="s">
        <v>207</v>
      </c>
      <c r="B2260" s="5" t="s">
        <v>627</v>
      </c>
      <c r="C2260" s="5" t="s">
        <v>61</v>
      </c>
      <c r="D2260" s="1" t="s">
        <v>77</v>
      </c>
      <c r="E2260">
        <v>0</v>
      </c>
      <c r="F2260">
        <v>4900</v>
      </c>
      <c r="G2260">
        <v>0</v>
      </c>
      <c r="H2260">
        <v>0</v>
      </c>
      <c r="I2260">
        <v>2850</v>
      </c>
      <c r="J2260">
        <v>0</v>
      </c>
      <c r="K2260">
        <v>0</v>
      </c>
      <c r="L2260">
        <v>80</v>
      </c>
      <c r="M2260">
        <v>0</v>
      </c>
      <c r="N2260">
        <v>0</v>
      </c>
      <c r="O2260">
        <v>0</v>
      </c>
      <c r="P2260">
        <v>4590</v>
      </c>
      <c r="Q2260">
        <v>1504</v>
      </c>
      <c r="R2260">
        <v>510</v>
      </c>
      <c r="S2260" s="18">
        <f t="shared" si="356"/>
        <v>9</v>
      </c>
      <c r="T2260" s="17">
        <f t="shared" si="357"/>
        <v>0</v>
      </c>
      <c r="U2260" s="17">
        <f t="shared" si="358"/>
        <v>0</v>
      </c>
      <c r="V2260" s="17">
        <f t="shared" si="359"/>
        <v>0</v>
      </c>
      <c r="W2260" s="17">
        <f t="shared" si="360"/>
        <v>510</v>
      </c>
      <c r="X2260" s="17">
        <f t="shared" si="361"/>
        <v>994</v>
      </c>
      <c r="Y2260" s="19">
        <f t="shared" si="362"/>
        <v>0</v>
      </c>
      <c r="Z2260">
        <v>4900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2850</v>
      </c>
      <c r="AH2260">
        <v>2850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80</v>
      </c>
      <c r="BA2260">
        <v>80</v>
      </c>
      <c r="BB2260">
        <v>0</v>
      </c>
      <c r="BC2260">
        <v>0</v>
      </c>
      <c r="BD2260">
        <v>0</v>
      </c>
      <c r="BE2260">
        <f t="shared" si="363"/>
        <v>5860</v>
      </c>
      <c r="BF2260">
        <v>7830</v>
      </c>
      <c r="BG2260">
        <v>7830</v>
      </c>
      <c r="BH2260" t="s">
        <v>109</v>
      </c>
      <c r="BI2260" t="s">
        <v>634</v>
      </c>
      <c r="BJ2260">
        <v>0</v>
      </c>
      <c r="BK2260">
        <v>2930</v>
      </c>
      <c r="BL2260">
        <v>7830</v>
      </c>
      <c r="BM2260">
        <v>0</v>
      </c>
      <c r="BN2260">
        <v>0</v>
      </c>
      <c r="BO2260">
        <v>0</v>
      </c>
      <c r="BP2260">
        <v>7520</v>
      </c>
      <c r="BQ2260">
        <v>7520</v>
      </c>
      <c r="BR2260">
        <f t="shared" si="364"/>
        <v>-994</v>
      </c>
      <c r="BS2260">
        <f t="shared" si="365"/>
        <v>2014</v>
      </c>
    </row>
    <row r="2261" spans="1:74" x14ac:dyDescent="0.25">
      <c r="A2261" s="5" t="s">
        <v>627</v>
      </c>
      <c r="B2261" s="5" t="s">
        <v>359</v>
      </c>
      <c r="C2261" s="5" t="s">
        <v>61</v>
      </c>
      <c r="D2261" s="1" t="s">
        <v>92</v>
      </c>
      <c r="E2261">
        <v>0</v>
      </c>
      <c r="F2261">
        <v>475</v>
      </c>
      <c r="G2261">
        <v>0</v>
      </c>
      <c r="H2261">
        <v>0</v>
      </c>
      <c r="I2261">
        <v>5967</v>
      </c>
      <c r="J2261">
        <v>0</v>
      </c>
      <c r="K2261">
        <v>0</v>
      </c>
      <c r="L2261">
        <v>0</v>
      </c>
      <c r="M2261">
        <v>4275</v>
      </c>
      <c r="N2261">
        <v>0</v>
      </c>
      <c r="O2261">
        <v>0</v>
      </c>
      <c r="P2261">
        <v>0</v>
      </c>
      <c r="Q2261">
        <v>1469</v>
      </c>
      <c r="R2261">
        <v>475</v>
      </c>
      <c r="S2261" s="18">
        <f t="shared" si="356"/>
        <v>9</v>
      </c>
      <c r="T2261" s="17">
        <f t="shared" si="357"/>
        <v>475</v>
      </c>
      <c r="U2261" s="17">
        <f t="shared" si="358"/>
        <v>0</v>
      </c>
      <c r="V2261" s="17">
        <f t="shared" si="359"/>
        <v>0</v>
      </c>
      <c r="W2261" s="17">
        <f t="shared" si="360"/>
        <v>0</v>
      </c>
      <c r="X2261" s="17">
        <f t="shared" si="361"/>
        <v>994</v>
      </c>
      <c r="Y2261" s="19">
        <f t="shared" si="362"/>
        <v>0</v>
      </c>
      <c r="Z2261">
        <v>475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5967</v>
      </c>
      <c r="AH2261">
        <v>5967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f t="shared" si="363"/>
        <v>11934</v>
      </c>
      <c r="BF2261">
        <v>6442</v>
      </c>
      <c r="BG2261">
        <v>6442</v>
      </c>
      <c r="BH2261" t="s">
        <v>109</v>
      </c>
      <c r="BI2261" t="s">
        <v>859</v>
      </c>
      <c r="BJ2261">
        <v>0</v>
      </c>
      <c r="BK2261">
        <v>5967</v>
      </c>
      <c r="BL2261">
        <v>6442</v>
      </c>
      <c r="BM2261">
        <v>4275</v>
      </c>
      <c r="BN2261">
        <v>0</v>
      </c>
      <c r="BO2261">
        <v>0</v>
      </c>
      <c r="BP2261">
        <v>5967</v>
      </c>
      <c r="BQ2261">
        <v>10242</v>
      </c>
      <c r="BR2261">
        <f t="shared" si="364"/>
        <v>-994</v>
      </c>
      <c r="BS2261">
        <f t="shared" si="365"/>
        <v>1944</v>
      </c>
    </row>
    <row r="2262" spans="1:74" x14ac:dyDescent="0.25">
      <c r="A2262" s="5" t="s">
        <v>1661</v>
      </c>
      <c r="B2262" s="5" t="s">
        <v>207</v>
      </c>
      <c r="C2262" s="5" t="s">
        <v>61</v>
      </c>
      <c r="D2262" s="1" t="s">
        <v>147</v>
      </c>
      <c r="E2262">
        <v>121</v>
      </c>
      <c r="F2262">
        <v>240</v>
      </c>
      <c r="G2262">
        <v>0</v>
      </c>
      <c r="H2262">
        <v>0</v>
      </c>
      <c r="I2262">
        <v>679</v>
      </c>
      <c r="J2262">
        <v>13015</v>
      </c>
      <c r="K2262">
        <v>1470</v>
      </c>
      <c r="L2262">
        <v>101</v>
      </c>
      <c r="M2262">
        <v>0</v>
      </c>
      <c r="N2262">
        <v>0</v>
      </c>
      <c r="O2262">
        <v>0</v>
      </c>
      <c r="P2262">
        <v>1080</v>
      </c>
      <c r="Q2262">
        <v>1126</v>
      </c>
      <c r="R2262">
        <v>120</v>
      </c>
      <c r="S2262" s="18">
        <f t="shared" si="356"/>
        <v>9</v>
      </c>
      <c r="T2262" s="17">
        <f t="shared" si="357"/>
        <v>0</v>
      </c>
      <c r="U2262" s="17">
        <f t="shared" si="358"/>
        <v>0</v>
      </c>
      <c r="V2262" s="17">
        <f t="shared" si="359"/>
        <v>0</v>
      </c>
      <c r="W2262" s="17">
        <f t="shared" si="360"/>
        <v>120</v>
      </c>
      <c r="X2262" s="17">
        <f t="shared" si="361"/>
        <v>1006</v>
      </c>
      <c r="Y2262" s="19">
        <f t="shared" si="362"/>
        <v>0</v>
      </c>
      <c r="Z2262">
        <v>240</v>
      </c>
      <c r="AA2262">
        <v>5</v>
      </c>
      <c r="AB2262">
        <v>390</v>
      </c>
      <c r="AC2262">
        <v>7757</v>
      </c>
      <c r="AD2262">
        <v>0</v>
      </c>
      <c r="AE2262">
        <v>0</v>
      </c>
      <c r="AF2262">
        <v>0</v>
      </c>
      <c r="AG2262">
        <v>679</v>
      </c>
      <c r="AH2262">
        <v>679</v>
      </c>
      <c r="AI2262">
        <v>0</v>
      </c>
      <c r="AJ2262">
        <v>0</v>
      </c>
      <c r="AK2262">
        <v>13015</v>
      </c>
      <c r="AL2262">
        <v>13015</v>
      </c>
      <c r="AM2262">
        <v>0</v>
      </c>
      <c r="AN2262">
        <v>0</v>
      </c>
      <c r="AO2262">
        <v>1470</v>
      </c>
      <c r="AP2262">
        <v>497</v>
      </c>
      <c r="AQ2262">
        <v>1470</v>
      </c>
      <c r="AR2262">
        <v>973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101</v>
      </c>
      <c r="BA2262">
        <v>101</v>
      </c>
      <c r="BB2262">
        <v>0</v>
      </c>
      <c r="BC2262">
        <v>0</v>
      </c>
      <c r="BD2262">
        <v>0</v>
      </c>
      <c r="BE2262">
        <f t="shared" si="363"/>
        <v>39757</v>
      </c>
      <c r="BF2262">
        <v>23778</v>
      </c>
      <c r="BG2262">
        <v>23778</v>
      </c>
      <c r="BH2262" t="s">
        <v>82</v>
      </c>
      <c r="BI2262" t="s">
        <v>1795</v>
      </c>
      <c r="BJ2262">
        <v>8273</v>
      </c>
      <c r="BK2262">
        <v>15265</v>
      </c>
      <c r="BL2262">
        <v>23778</v>
      </c>
      <c r="BM2262">
        <v>0</v>
      </c>
      <c r="BN2262">
        <v>0</v>
      </c>
      <c r="BO2262">
        <v>0</v>
      </c>
      <c r="BP2262">
        <v>16345</v>
      </c>
      <c r="BQ2262">
        <v>16345</v>
      </c>
      <c r="BR2262">
        <f t="shared" si="364"/>
        <v>-1006</v>
      </c>
      <c r="BS2262">
        <f t="shared" si="365"/>
        <v>1246</v>
      </c>
    </row>
    <row r="2263" spans="1:74" x14ac:dyDescent="0.25">
      <c r="A2263" s="5" t="s">
        <v>1451</v>
      </c>
      <c r="B2263" s="5" t="s">
        <v>207</v>
      </c>
      <c r="C2263" s="5" t="s">
        <v>207</v>
      </c>
      <c r="D2263" s="1" t="s">
        <v>88</v>
      </c>
      <c r="E2263">
        <v>0</v>
      </c>
      <c r="F2263">
        <v>2366</v>
      </c>
      <c r="G2263">
        <v>0</v>
      </c>
      <c r="H2263">
        <v>0</v>
      </c>
      <c r="I2263">
        <v>3757</v>
      </c>
      <c r="J2263">
        <v>417</v>
      </c>
      <c r="K2263">
        <v>700</v>
      </c>
      <c r="L2263">
        <v>0</v>
      </c>
      <c r="M2263">
        <v>6867</v>
      </c>
      <c r="N2263">
        <v>0</v>
      </c>
      <c r="O2263">
        <v>0</v>
      </c>
      <c r="P2263">
        <v>0</v>
      </c>
      <c r="Q2263">
        <v>1778</v>
      </c>
      <c r="R2263">
        <v>763</v>
      </c>
      <c r="S2263" s="18">
        <f t="shared" si="356"/>
        <v>9</v>
      </c>
      <c r="T2263" s="17">
        <f t="shared" si="357"/>
        <v>763</v>
      </c>
      <c r="U2263" s="17">
        <f t="shared" si="358"/>
        <v>0</v>
      </c>
      <c r="V2263" s="17">
        <f t="shared" si="359"/>
        <v>0</v>
      </c>
      <c r="W2263" s="17">
        <f t="shared" si="360"/>
        <v>0</v>
      </c>
      <c r="X2263" s="17">
        <f t="shared" si="361"/>
        <v>1015</v>
      </c>
      <c r="Y2263" s="19">
        <f t="shared" si="362"/>
        <v>0</v>
      </c>
      <c r="Z2263">
        <v>2366</v>
      </c>
      <c r="AA2263">
        <v>0</v>
      </c>
      <c r="AB2263">
        <v>0</v>
      </c>
      <c r="AC2263">
        <v>0</v>
      </c>
      <c r="AD2263">
        <v>2257</v>
      </c>
      <c r="AE2263">
        <v>0</v>
      </c>
      <c r="AF2263">
        <v>0</v>
      </c>
      <c r="AG2263">
        <v>1500</v>
      </c>
      <c r="AH2263">
        <v>3757</v>
      </c>
      <c r="AI2263">
        <v>0</v>
      </c>
      <c r="AJ2263">
        <v>0</v>
      </c>
      <c r="AK2263">
        <v>417</v>
      </c>
      <c r="AL2263">
        <v>417</v>
      </c>
      <c r="AM2263">
        <v>0</v>
      </c>
      <c r="AN2263">
        <v>0</v>
      </c>
      <c r="AO2263">
        <v>700</v>
      </c>
      <c r="AP2263">
        <v>33</v>
      </c>
      <c r="AQ2263">
        <v>700</v>
      </c>
      <c r="AR2263">
        <v>695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f t="shared" si="363"/>
        <v>10476</v>
      </c>
      <c r="BF2263">
        <v>8095</v>
      </c>
      <c r="BG2263">
        <v>8095</v>
      </c>
      <c r="BH2263" t="s">
        <v>109</v>
      </c>
      <c r="BI2263" t="s">
        <v>1568</v>
      </c>
      <c r="BJ2263">
        <v>0</v>
      </c>
      <c r="BK2263">
        <v>4874</v>
      </c>
      <c r="BL2263">
        <v>7240</v>
      </c>
      <c r="BM2263">
        <v>9124</v>
      </c>
      <c r="BN2263">
        <v>0</v>
      </c>
      <c r="BO2263">
        <v>0</v>
      </c>
      <c r="BP2263">
        <v>2617</v>
      </c>
      <c r="BQ2263">
        <v>11741</v>
      </c>
      <c r="BR2263">
        <f t="shared" si="364"/>
        <v>-1015</v>
      </c>
      <c r="BS2263">
        <f t="shared" si="365"/>
        <v>2541</v>
      </c>
    </row>
    <row r="2264" spans="1:74" x14ac:dyDescent="0.25">
      <c r="A2264" s="5" t="s">
        <v>1135</v>
      </c>
      <c r="B2264" s="5" t="s">
        <v>61</v>
      </c>
      <c r="C2264" s="5" t="s">
        <v>61</v>
      </c>
      <c r="D2264" s="1" t="s">
        <v>108</v>
      </c>
      <c r="E2264">
        <v>0</v>
      </c>
      <c r="F2264">
        <v>16244</v>
      </c>
      <c r="G2264">
        <v>0</v>
      </c>
      <c r="H2264">
        <v>0</v>
      </c>
      <c r="I2264">
        <v>1885</v>
      </c>
      <c r="J2264">
        <v>3850</v>
      </c>
      <c r="K2264">
        <v>5504</v>
      </c>
      <c r="L2264">
        <v>1455</v>
      </c>
      <c r="M2264">
        <v>0</v>
      </c>
      <c r="N2264">
        <v>0</v>
      </c>
      <c r="O2264">
        <v>0</v>
      </c>
      <c r="P2264">
        <v>25884</v>
      </c>
      <c r="Q2264">
        <v>3892</v>
      </c>
      <c r="R2264">
        <v>2876</v>
      </c>
      <c r="S2264" s="18">
        <f t="shared" si="356"/>
        <v>9</v>
      </c>
      <c r="T2264" s="17">
        <f t="shared" si="357"/>
        <v>0</v>
      </c>
      <c r="U2264" s="17">
        <f t="shared" si="358"/>
        <v>0</v>
      </c>
      <c r="V2264" s="17">
        <f t="shared" si="359"/>
        <v>0</v>
      </c>
      <c r="W2264" s="17">
        <f t="shared" si="360"/>
        <v>2876</v>
      </c>
      <c r="X2264" s="17">
        <f t="shared" si="361"/>
        <v>1016</v>
      </c>
      <c r="Y2264" s="19">
        <f t="shared" si="362"/>
        <v>0</v>
      </c>
      <c r="Z2264">
        <v>16244</v>
      </c>
      <c r="AA2264">
        <v>8</v>
      </c>
      <c r="AB2264">
        <v>0</v>
      </c>
      <c r="AC2264">
        <v>3700</v>
      </c>
      <c r="AD2264">
        <v>0</v>
      </c>
      <c r="AE2264">
        <v>0</v>
      </c>
      <c r="AF2264">
        <v>0</v>
      </c>
      <c r="AG2264">
        <v>1885</v>
      </c>
      <c r="AH2264">
        <v>1885</v>
      </c>
      <c r="AI2264">
        <v>0</v>
      </c>
      <c r="AJ2264">
        <v>0</v>
      </c>
      <c r="AK2264">
        <v>3850</v>
      </c>
      <c r="AL2264">
        <v>3850</v>
      </c>
      <c r="AM2264">
        <v>0</v>
      </c>
      <c r="AN2264">
        <v>0</v>
      </c>
      <c r="AO2264">
        <v>5504</v>
      </c>
      <c r="AP2264">
        <v>4350</v>
      </c>
      <c r="AQ2264">
        <v>5504</v>
      </c>
      <c r="AR2264">
        <v>1154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1455</v>
      </c>
      <c r="BA2264">
        <v>1455</v>
      </c>
      <c r="BB2264">
        <v>0</v>
      </c>
      <c r="BC2264">
        <v>0</v>
      </c>
      <c r="BD2264">
        <v>0</v>
      </c>
      <c r="BE2264">
        <f t="shared" si="363"/>
        <v>34592</v>
      </c>
      <c r="BF2264">
        <v>32646</v>
      </c>
      <c r="BG2264">
        <v>32646</v>
      </c>
      <c r="BH2264" t="s">
        <v>82</v>
      </c>
      <c r="BI2264" t="s">
        <v>1153</v>
      </c>
      <c r="BJ2264">
        <v>3708</v>
      </c>
      <c r="BK2264">
        <v>12694</v>
      </c>
      <c r="BL2264">
        <v>32646</v>
      </c>
      <c r="BM2264">
        <v>0</v>
      </c>
      <c r="BN2264">
        <v>0</v>
      </c>
      <c r="BO2264">
        <v>0</v>
      </c>
      <c r="BP2264">
        <v>38578</v>
      </c>
      <c r="BQ2264">
        <v>38578</v>
      </c>
      <c r="BR2264">
        <f t="shared" si="364"/>
        <v>-1016</v>
      </c>
      <c r="BS2264">
        <f t="shared" si="365"/>
        <v>6768</v>
      </c>
    </row>
    <row r="2265" spans="1:74" x14ac:dyDescent="0.25">
      <c r="A2265" s="5" t="s">
        <v>1451</v>
      </c>
      <c r="B2265" s="5" t="s">
        <v>359</v>
      </c>
      <c r="C2265" s="5" t="s">
        <v>61</v>
      </c>
      <c r="D2265" s="1" t="s">
        <v>106</v>
      </c>
      <c r="E2265">
        <v>30</v>
      </c>
      <c r="F2265">
        <v>4124</v>
      </c>
      <c r="G2265">
        <v>0</v>
      </c>
      <c r="H2265">
        <v>0</v>
      </c>
      <c r="I2265">
        <v>2603</v>
      </c>
      <c r="J2265">
        <v>700</v>
      </c>
      <c r="K2265">
        <v>863</v>
      </c>
      <c r="L2265">
        <v>0</v>
      </c>
      <c r="M2265">
        <v>3564</v>
      </c>
      <c r="N2265">
        <v>0</v>
      </c>
      <c r="O2265">
        <v>0</v>
      </c>
      <c r="P2265">
        <v>1521</v>
      </c>
      <c r="Q2265">
        <v>1595</v>
      </c>
      <c r="R2265">
        <v>565</v>
      </c>
      <c r="S2265" s="18">
        <f t="shared" si="356"/>
        <v>9</v>
      </c>
      <c r="T2265" s="17">
        <f t="shared" si="357"/>
        <v>396</v>
      </c>
      <c r="U2265" s="17">
        <f t="shared" si="358"/>
        <v>0</v>
      </c>
      <c r="V2265" s="17">
        <f t="shared" si="359"/>
        <v>0</v>
      </c>
      <c r="W2265" s="17">
        <f t="shared" si="360"/>
        <v>169</v>
      </c>
      <c r="X2265" s="17">
        <f t="shared" si="361"/>
        <v>1030</v>
      </c>
      <c r="Y2265" s="19">
        <f t="shared" si="362"/>
        <v>0</v>
      </c>
      <c r="Z2265">
        <v>4124</v>
      </c>
      <c r="AA2265">
        <v>60</v>
      </c>
      <c r="AB2265">
        <v>0</v>
      </c>
      <c r="AC2265">
        <v>380</v>
      </c>
      <c r="AD2265">
        <v>2210</v>
      </c>
      <c r="AE2265">
        <v>0</v>
      </c>
      <c r="AF2265">
        <v>0</v>
      </c>
      <c r="AG2265">
        <v>393</v>
      </c>
      <c r="AH2265">
        <v>2603</v>
      </c>
      <c r="AI2265">
        <v>0</v>
      </c>
      <c r="AJ2265">
        <v>0</v>
      </c>
      <c r="AK2265">
        <v>700</v>
      </c>
      <c r="AL2265">
        <v>700</v>
      </c>
      <c r="AM2265">
        <v>0</v>
      </c>
      <c r="AN2265">
        <v>0</v>
      </c>
      <c r="AO2265">
        <v>863</v>
      </c>
      <c r="AP2265">
        <v>87</v>
      </c>
      <c r="AQ2265">
        <v>863</v>
      </c>
      <c r="AR2265">
        <v>776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f t="shared" si="363"/>
        <v>9575</v>
      </c>
      <c r="BF2265">
        <v>8760</v>
      </c>
      <c r="BG2265">
        <v>8760</v>
      </c>
      <c r="BH2265" t="s">
        <v>109</v>
      </c>
      <c r="BI2265" t="s">
        <v>1619</v>
      </c>
      <c r="BJ2265">
        <v>470</v>
      </c>
      <c r="BK2265">
        <v>4166</v>
      </c>
      <c r="BL2265">
        <v>8760</v>
      </c>
      <c r="BM2265">
        <v>5774</v>
      </c>
      <c r="BN2265">
        <v>0</v>
      </c>
      <c r="BO2265">
        <v>0</v>
      </c>
      <c r="BP2265">
        <v>3477</v>
      </c>
      <c r="BQ2265">
        <v>9251</v>
      </c>
      <c r="BR2265">
        <f t="shared" si="364"/>
        <v>-1030</v>
      </c>
      <c r="BS2265">
        <f t="shared" si="365"/>
        <v>2160</v>
      </c>
    </row>
    <row r="2266" spans="1:74" x14ac:dyDescent="0.25">
      <c r="A2266" s="5" t="s">
        <v>207</v>
      </c>
      <c r="B2266" s="5" t="s">
        <v>359</v>
      </c>
      <c r="C2266" s="5" t="s">
        <v>61</v>
      </c>
      <c r="D2266" s="1" t="s">
        <v>125</v>
      </c>
      <c r="E2266">
        <v>0</v>
      </c>
      <c r="F2266">
        <v>25</v>
      </c>
      <c r="G2266">
        <v>0</v>
      </c>
      <c r="H2266">
        <v>0</v>
      </c>
      <c r="I2266">
        <v>1500</v>
      </c>
      <c r="J2266">
        <v>10241</v>
      </c>
      <c r="K2266">
        <v>1344</v>
      </c>
      <c r="L2266">
        <v>270</v>
      </c>
      <c r="M2266">
        <v>0</v>
      </c>
      <c r="N2266">
        <v>0</v>
      </c>
      <c r="O2266">
        <v>0</v>
      </c>
      <c r="P2266">
        <v>225</v>
      </c>
      <c r="Q2266">
        <v>1057</v>
      </c>
      <c r="R2266">
        <v>25</v>
      </c>
      <c r="S2266" s="18">
        <f t="shared" si="356"/>
        <v>9</v>
      </c>
      <c r="T2266" s="17">
        <f t="shared" si="357"/>
        <v>0</v>
      </c>
      <c r="U2266" s="17">
        <f t="shared" si="358"/>
        <v>0</v>
      </c>
      <c r="V2266" s="17">
        <f t="shared" si="359"/>
        <v>0</v>
      </c>
      <c r="W2266" s="17">
        <f t="shared" si="360"/>
        <v>25</v>
      </c>
      <c r="X2266" s="17">
        <f t="shared" si="361"/>
        <v>1032</v>
      </c>
      <c r="Y2266" s="19">
        <f t="shared" si="362"/>
        <v>0</v>
      </c>
      <c r="Z2266">
        <v>25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1500</v>
      </c>
      <c r="AH2266">
        <v>1500</v>
      </c>
      <c r="AI2266">
        <v>0</v>
      </c>
      <c r="AJ2266">
        <v>0</v>
      </c>
      <c r="AK2266">
        <v>10241</v>
      </c>
      <c r="AL2266">
        <v>10241</v>
      </c>
      <c r="AM2266">
        <v>0</v>
      </c>
      <c r="AN2266">
        <v>0</v>
      </c>
      <c r="AO2266">
        <v>1344</v>
      </c>
      <c r="AP2266">
        <v>544</v>
      </c>
      <c r="AQ2266">
        <v>1344</v>
      </c>
      <c r="AR2266">
        <v>800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270</v>
      </c>
      <c r="BA2266">
        <v>270</v>
      </c>
      <c r="BB2266">
        <v>0</v>
      </c>
      <c r="BC2266">
        <v>0</v>
      </c>
      <c r="BD2266">
        <v>0</v>
      </c>
      <c r="BE2266">
        <f t="shared" si="363"/>
        <v>28054</v>
      </c>
      <c r="BF2266">
        <v>13380</v>
      </c>
      <c r="BG2266">
        <v>13380</v>
      </c>
      <c r="BH2266" t="s">
        <v>82</v>
      </c>
      <c r="BI2266" t="s">
        <v>620</v>
      </c>
      <c r="BJ2266">
        <v>0</v>
      </c>
      <c r="BK2266">
        <v>13355</v>
      </c>
      <c r="BL2266">
        <v>13380</v>
      </c>
      <c r="BM2266">
        <v>0</v>
      </c>
      <c r="BN2266">
        <v>0</v>
      </c>
      <c r="BO2266">
        <v>0</v>
      </c>
      <c r="BP2266">
        <v>13580</v>
      </c>
      <c r="BQ2266">
        <v>13580</v>
      </c>
      <c r="BR2266">
        <f t="shared" si="364"/>
        <v>-1032</v>
      </c>
      <c r="BS2266">
        <f t="shared" si="365"/>
        <v>1082</v>
      </c>
    </row>
    <row r="2267" spans="1:74" x14ac:dyDescent="0.25">
      <c r="A2267" s="6" t="s">
        <v>1661</v>
      </c>
      <c r="B2267" s="6" t="s">
        <v>359</v>
      </c>
      <c r="C2267" s="6" t="s">
        <v>359</v>
      </c>
      <c r="D2267" s="1" t="s">
        <v>121</v>
      </c>
      <c r="E2267">
        <v>0</v>
      </c>
      <c r="F2267">
        <v>165</v>
      </c>
      <c r="G2267">
        <v>0</v>
      </c>
      <c r="H2267">
        <v>0</v>
      </c>
      <c r="I2267">
        <v>524</v>
      </c>
      <c r="J2267">
        <v>19631</v>
      </c>
      <c r="K2267">
        <v>1038</v>
      </c>
      <c r="L2267">
        <v>204</v>
      </c>
      <c r="M2267">
        <v>0</v>
      </c>
      <c r="N2267">
        <v>0</v>
      </c>
      <c r="O2267">
        <v>0</v>
      </c>
      <c r="P2267">
        <v>1602</v>
      </c>
      <c r="Q2267">
        <v>1218</v>
      </c>
      <c r="R2267">
        <v>178</v>
      </c>
      <c r="S2267" s="18">
        <f t="shared" si="356"/>
        <v>9</v>
      </c>
      <c r="T2267" s="17">
        <f t="shared" si="357"/>
        <v>0</v>
      </c>
      <c r="U2267" s="17">
        <f t="shared" si="358"/>
        <v>0</v>
      </c>
      <c r="V2267" s="17">
        <f t="shared" si="359"/>
        <v>0</v>
      </c>
      <c r="W2267" s="17">
        <f t="shared" si="360"/>
        <v>178</v>
      </c>
      <c r="X2267" s="17">
        <f t="shared" si="361"/>
        <v>1040</v>
      </c>
      <c r="Y2267" s="19">
        <f t="shared" si="362"/>
        <v>0</v>
      </c>
      <c r="Z2267">
        <v>165</v>
      </c>
      <c r="AA2267">
        <v>0</v>
      </c>
      <c r="AB2267">
        <v>0</v>
      </c>
      <c r="AC2267">
        <v>21257</v>
      </c>
      <c r="AD2267">
        <v>0</v>
      </c>
      <c r="AE2267">
        <v>0</v>
      </c>
      <c r="AF2267">
        <v>0</v>
      </c>
      <c r="AG2267">
        <v>524</v>
      </c>
      <c r="AH2267">
        <v>524</v>
      </c>
      <c r="AI2267">
        <v>0</v>
      </c>
      <c r="AJ2267">
        <v>0</v>
      </c>
      <c r="AK2267">
        <v>19631</v>
      </c>
      <c r="AL2267">
        <v>19631</v>
      </c>
      <c r="AM2267">
        <v>0</v>
      </c>
      <c r="AN2267">
        <v>0</v>
      </c>
      <c r="AO2267">
        <v>1038</v>
      </c>
      <c r="AP2267">
        <v>236</v>
      </c>
      <c r="AQ2267">
        <v>1038</v>
      </c>
      <c r="AR2267">
        <v>802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204</v>
      </c>
      <c r="BA2267">
        <v>204</v>
      </c>
      <c r="BB2267">
        <v>0</v>
      </c>
      <c r="BC2267">
        <v>0</v>
      </c>
      <c r="BD2267">
        <v>0</v>
      </c>
      <c r="BE2267">
        <f t="shared" si="363"/>
        <v>65089</v>
      </c>
      <c r="BF2267">
        <v>42819</v>
      </c>
      <c r="BG2267">
        <v>42819</v>
      </c>
      <c r="BH2267" t="s">
        <v>82</v>
      </c>
      <c r="BI2267" t="s">
        <v>1099</v>
      </c>
      <c r="BJ2267">
        <v>21257</v>
      </c>
      <c r="BK2267">
        <v>21397</v>
      </c>
      <c r="BL2267">
        <v>42819</v>
      </c>
      <c r="BM2267">
        <v>0</v>
      </c>
      <c r="BN2267">
        <v>0</v>
      </c>
      <c r="BO2267">
        <v>0</v>
      </c>
      <c r="BP2267">
        <v>22999</v>
      </c>
      <c r="BQ2267">
        <v>22999</v>
      </c>
      <c r="BR2267">
        <f t="shared" si="364"/>
        <v>-1040</v>
      </c>
      <c r="BS2267">
        <f t="shared" si="365"/>
        <v>1396</v>
      </c>
    </row>
    <row r="2268" spans="1:74" x14ac:dyDescent="0.25">
      <c r="A2268" s="7" t="s">
        <v>2090</v>
      </c>
      <c r="B2268" s="7" t="s">
        <v>207</v>
      </c>
      <c r="C2268" s="7" t="s">
        <v>61</v>
      </c>
      <c r="D2268" s="1" t="s">
        <v>203</v>
      </c>
      <c r="E2268">
        <v>0</v>
      </c>
      <c r="F2268">
        <v>0</v>
      </c>
      <c r="G2268">
        <v>0</v>
      </c>
      <c r="H2268">
        <v>0</v>
      </c>
      <c r="I2268">
        <v>1177</v>
      </c>
      <c r="J2268">
        <v>2598</v>
      </c>
      <c r="K2268">
        <v>1061</v>
      </c>
      <c r="L2268">
        <v>899</v>
      </c>
      <c r="M2268">
        <v>0</v>
      </c>
      <c r="N2268">
        <v>0</v>
      </c>
      <c r="O2268">
        <v>0</v>
      </c>
      <c r="P2268">
        <v>0</v>
      </c>
      <c r="Q2268">
        <v>1040</v>
      </c>
      <c r="R2268">
        <v>0</v>
      </c>
      <c r="S2268" s="18" t="e">
        <f t="shared" si="356"/>
        <v>#DIV/0!</v>
      </c>
      <c r="T2268" s="17" t="e">
        <f t="shared" si="357"/>
        <v>#DIV/0!</v>
      </c>
      <c r="U2268" s="17" t="e">
        <f t="shared" si="358"/>
        <v>#DIV/0!</v>
      </c>
      <c r="V2268" s="17" t="e">
        <f t="shared" si="359"/>
        <v>#DIV/0!</v>
      </c>
      <c r="W2268" s="17" t="e">
        <f t="shared" si="360"/>
        <v>#DIV/0!</v>
      </c>
      <c r="X2268" s="17" t="e">
        <f t="shared" si="361"/>
        <v>#DIV/0!</v>
      </c>
      <c r="Y2268" s="19" t="e">
        <f t="shared" si="362"/>
        <v>#DIV/0!</v>
      </c>
      <c r="Z2268">
        <v>0</v>
      </c>
      <c r="AA2268">
        <v>0</v>
      </c>
      <c r="AB2268">
        <v>0</v>
      </c>
      <c r="AC2268">
        <v>1890</v>
      </c>
      <c r="AD2268">
        <v>0</v>
      </c>
      <c r="AE2268">
        <v>0</v>
      </c>
      <c r="AF2268">
        <v>0</v>
      </c>
      <c r="AG2268">
        <v>1177</v>
      </c>
      <c r="AH2268">
        <v>1177</v>
      </c>
      <c r="AI2268">
        <v>0</v>
      </c>
      <c r="AJ2268">
        <v>0</v>
      </c>
      <c r="AK2268">
        <v>2598</v>
      </c>
      <c r="AL2268">
        <v>2598</v>
      </c>
      <c r="AM2268">
        <v>0</v>
      </c>
      <c r="AN2268">
        <v>0</v>
      </c>
      <c r="AO2268">
        <v>1061</v>
      </c>
      <c r="AP2268">
        <v>717</v>
      </c>
      <c r="AQ2268">
        <v>1061</v>
      </c>
      <c r="AR2268">
        <v>344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899</v>
      </c>
      <c r="BA2268">
        <v>899</v>
      </c>
      <c r="BB2268">
        <v>0</v>
      </c>
      <c r="BC2268">
        <v>0</v>
      </c>
      <c r="BD2268">
        <v>0</v>
      </c>
      <c r="BE2268">
        <f t="shared" si="363"/>
        <v>14421</v>
      </c>
      <c r="BF2268">
        <v>7625</v>
      </c>
      <c r="BG2268">
        <v>7625</v>
      </c>
      <c r="BH2268" t="s">
        <v>82</v>
      </c>
      <c r="BI2268" t="s">
        <v>2275</v>
      </c>
      <c r="BJ2268">
        <v>1890</v>
      </c>
      <c r="BK2268">
        <v>5735</v>
      </c>
      <c r="BL2268">
        <v>7625</v>
      </c>
      <c r="BM2268">
        <v>0</v>
      </c>
      <c r="BN2268">
        <v>0</v>
      </c>
      <c r="BO2268">
        <v>0</v>
      </c>
      <c r="BP2268">
        <v>5735</v>
      </c>
      <c r="BQ2268">
        <v>5735</v>
      </c>
      <c r="BR2268">
        <f t="shared" si="364"/>
        <v>-1040</v>
      </c>
      <c r="BS2268">
        <f t="shared" si="365"/>
        <v>1040</v>
      </c>
    </row>
    <row r="2269" spans="1:74" x14ac:dyDescent="0.25">
      <c r="A2269" s="5" t="s">
        <v>61</v>
      </c>
      <c r="B2269" s="5" t="s">
        <v>61</v>
      </c>
      <c r="C2269" s="5" t="s">
        <v>61</v>
      </c>
      <c r="D2269" s="1" t="s">
        <v>90</v>
      </c>
      <c r="E2269">
        <v>66</v>
      </c>
      <c r="F2269">
        <v>65</v>
      </c>
      <c r="G2269">
        <v>0</v>
      </c>
      <c r="H2269">
        <v>0</v>
      </c>
      <c r="I2269">
        <v>1879</v>
      </c>
      <c r="J2269">
        <v>2151</v>
      </c>
      <c r="K2269">
        <v>1742</v>
      </c>
      <c r="L2269">
        <v>130</v>
      </c>
      <c r="M2269">
        <v>0</v>
      </c>
      <c r="N2269">
        <v>0</v>
      </c>
      <c r="O2269">
        <v>0</v>
      </c>
      <c r="P2269">
        <v>441</v>
      </c>
      <c r="Q2269">
        <v>1092</v>
      </c>
      <c r="R2269">
        <v>49</v>
      </c>
      <c r="S2269" s="18">
        <f t="shared" si="356"/>
        <v>9</v>
      </c>
      <c r="T2269" s="17">
        <f t="shared" si="357"/>
        <v>0</v>
      </c>
      <c r="U2269" s="17">
        <f t="shared" si="358"/>
        <v>0</v>
      </c>
      <c r="V2269" s="17">
        <f t="shared" si="359"/>
        <v>0</v>
      </c>
      <c r="W2269" s="17">
        <f t="shared" si="360"/>
        <v>49</v>
      </c>
      <c r="X2269" s="17">
        <f t="shared" si="361"/>
        <v>1043</v>
      </c>
      <c r="Y2269" s="19">
        <f t="shared" si="362"/>
        <v>0</v>
      </c>
      <c r="Z2269">
        <v>65</v>
      </c>
      <c r="AA2269">
        <v>0</v>
      </c>
      <c r="AB2269">
        <v>0</v>
      </c>
      <c r="AC2269">
        <v>1545</v>
      </c>
      <c r="AD2269">
        <v>0</v>
      </c>
      <c r="AE2269">
        <v>0</v>
      </c>
      <c r="AF2269">
        <v>0</v>
      </c>
      <c r="AG2269">
        <v>1897</v>
      </c>
      <c r="AH2269">
        <v>1879</v>
      </c>
      <c r="AI2269">
        <v>0</v>
      </c>
      <c r="AJ2269">
        <v>0</v>
      </c>
      <c r="AK2269">
        <v>2151</v>
      </c>
      <c r="AL2269">
        <v>2109</v>
      </c>
      <c r="AM2269">
        <v>0</v>
      </c>
      <c r="AN2269">
        <v>0</v>
      </c>
      <c r="AO2269">
        <v>1724</v>
      </c>
      <c r="AP2269">
        <v>121</v>
      </c>
      <c r="AQ2269">
        <v>1742</v>
      </c>
      <c r="AR2269">
        <v>1603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141</v>
      </c>
      <c r="BA2269">
        <v>141</v>
      </c>
      <c r="BB2269">
        <v>0</v>
      </c>
      <c r="BC2269">
        <v>0</v>
      </c>
      <c r="BD2269">
        <v>0</v>
      </c>
      <c r="BE2269">
        <f t="shared" si="363"/>
        <v>15053</v>
      </c>
      <c r="BF2269">
        <v>7547</v>
      </c>
      <c r="BG2269">
        <v>7547</v>
      </c>
      <c r="BH2269" t="s">
        <v>82</v>
      </c>
      <c r="BI2269" t="s">
        <v>91</v>
      </c>
      <c r="BJ2269">
        <v>1611</v>
      </c>
      <c r="BK2269">
        <v>5871</v>
      </c>
      <c r="BL2269">
        <v>7547</v>
      </c>
      <c r="BM2269">
        <v>0</v>
      </c>
      <c r="BN2269">
        <v>0</v>
      </c>
      <c r="BO2269">
        <v>0</v>
      </c>
      <c r="BP2269">
        <v>6354</v>
      </c>
      <c r="BQ2269">
        <v>6354</v>
      </c>
      <c r="BR2269">
        <f t="shared" si="364"/>
        <v>-1043</v>
      </c>
      <c r="BS2269">
        <f t="shared" si="365"/>
        <v>1141</v>
      </c>
    </row>
    <row r="2270" spans="1:74" x14ac:dyDescent="0.25">
      <c r="A2270" s="5" t="s">
        <v>359</v>
      </c>
      <c r="B2270" s="5" t="s">
        <v>61</v>
      </c>
      <c r="C2270" s="5" t="s">
        <v>61</v>
      </c>
      <c r="D2270" s="1" t="s">
        <v>96</v>
      </c>
      <c r="E2270">
        <v>0</v>
      </c>
      <c r="F2270">
        <v>0</v>
      </c>
      <c r="G2270">
        <v>0</v>
      </c>
      <c r="H2270">
        <v>0</v>
      </c>
      <c r="I2270">
        <v>3630</v>
      </c>
      <c r="J2270">
        <v>0</v>
      </c>
      <c r="K2270">
        <v>0</v>
      </c>
      <c r="L2270">
        <v>75</v>
      </c>
      <c r="M2270">
        <v>0</v>
      </c>
      <c r="N2270">
        <v>0</v>
      </c>
      <c r="O2270">
        <v>0</v>
      </c>
      <c r="P2270">
        <v>0</v>
      </c>
      <c r="Q2270">
        <v>1045</v>
      </c>
      <c r="R2270">
        <v>0</v>
      </c>
      <c r="S2270" s="18" t="e">
        <f t="shared" si="356"/>
        <v>#DIV/0!</v>
      </c>
      <c r="T2270" s="17" t="e">
        <f t="shared" si="357"/>
        <v>#DIV/0!</v>
      </c>
      <c r="U2270" s="17" t="e">
        <f t="shared" si="358"/>
        <v>#DIV/0!</v>
      </c>
      <c r="V2270" s="17" t="e">
        <f t="shared" si="359"/>
        <v>#DIV/0!</v>
      </c>
      <c r="W2270" s="17" t="e">
        <f t="shared" si="360"/>
        <v>#DIV/0!</v>
      </c>
      <c r="X2270" s="17" t="e">
        <f t="shared" si="361"/>
        <v>#DIV/0!</v>
      </c>
      <c r="Y2270" s="19" t="e">
        <f t="shared" si="362"/>
        <v>#DIV/0!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3630</v>
      </c>
      <c r="AH2270">
        <v>3630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75</v>
      </c>
      <c r="BA2270">
        <v>75</v>
      </c>
      <c r="BB2270">
        <v>0</v>
      </c>
      <c r="BC2270">
        <v>0</v>
      </c>
      <c r="BD2270">
        <v>0</v>
      </c>
      <c r="BE2270">
        <f t="shared" si="363"/>
        <v>7410</v>
      </c>
      <c r="BF2270">
        <v>3705</v>
      </c>
      <c r="BG2270">
        <v>3705</v>
      </c>
      <c r="BH2270" t="s">
        <v>109</v>
      </c>
      <c r="BI2270" t="s">
        <v>477</v>
      </c>
      <c r="BJ2270">
        <v>0</v>
      </c>
      <c r="BK2270">
        <v>3705</v>
      </c>
      <c r="BL2270">
        <v>3705</v>
      </c>
      <c r="BM2270">
        <v>0</v>
      </c>
      <c r="BN2270">
        <v>0</v>
      </c>
      <c r="BO2270">
        <v>0</v>
      </c>
      <c r="BP2270">
        <v>3705</v>
      </c>
      <c r="BQ2270">
        <v>3705</v>
      </c>
      <c r="BR2270">
        <f t="shared" si="364"/>
        <v>-1045</v>
      </c>
      <c r="BS2270">
        <f t="shared" si="365"/>
        <v>1045</v>
      </c>
    </row>
    <row r="2271" spans="1:74" x14ac:dyDescent="0.25">
      <c r="A2271" s="5" t="s">
        <v>1017</v>
      </c>
      <c r="B2271" s="5" t="s">
        <v>61</v>
      </c>
      <c r="C2271" s="5" t="s">
        <v>207</v>
      </c>
      <c r="D2271" s="1" t="s">
        <v>125</v>
      </c>
      <c r="E2271">
        <v>400</v>
      </c>
      <c r="F2271">
        <v>200</v>
      </c>
      <c r="G2271">
        <v>0</v>
      </c>
      <c r="H2271">
        <v>0</v>
      </c>
      <c r="I2271">
        <v>1961</v>
      </c>
      <c r="J2271">
        <v>9898</v>
      </c>
      <c r="K2271">
        <v>739</v>
      </c>
      <c r="L2271">
        <v>150</v>
      </c>
      <c r="M2271">
        <v>0</v>
      </c>
      <c r="N2271">
        <v>0</v>
      </c>
      <c r="O2271">
        <v>0</v>
      </c>
      <c r="P2271">
        <v>900</v>
      </c>
      <c r="Q2271">
        <v>1172</v>
      </c>
      <c r="R2271">
        <v>100</v>
      </c>
      <c r="S2271" s="18">
        <f t="shared" si="356"/>
        <v>9</v>
      </c>
      <c r="T2271" s="17">
        <f t="shared" si="357"/>
        <v>0</v>
      </c>
      <c r="U2271" s="17">
        <f t="shared" si="358"/>
        <v>0</v>
      </c>
      <c r="V2271" s="17">
        <f t="shared" si="359"/>
        <v>0</v>
      </c>
      <c r="W2271" s="17">
        <f t="shared" si="360"/>
        <v>100</v>
      </c>
      <c r="X2271" s="17">
        <f t="shared" si="361"/>
        <v>1072</v>
      </c>
      <c r="Y2271" s="19">
        <f t="shared" si="362"/>
        <v>0</v>
      </c>
      <c r="Z2271">
        <v>200</v>
      </c>
      <c r="AA2271">
        <v>3</v>
      </c>
      <c r="AB2271">
        <v>400</v>
      </c>
      <c r="AC2271">
        <v>10449</v>
      </c>
      <c r="AD2271">
        <v>0</v>
      </c>
      <c r="AE2271">
        <v>0</v>
      </c>
      <c r="AF2271">
        <v>0</v>
      </c>
      <c r="AG2271">
        <v>1961</v>
      </c>
      <c r="AH2271">
        <v>1961</v>
      </c>
      <c r="AI2271">
        <v>0</v>
      </c>
      <c r="AJ2271">
        <v>0</v>
      </c>
      <c r="AK2271">
        <v>9898</v>
      </c>
      <c r="AL2271">
        <v>9898</v>
      </c>
      <c r="AM2271">
        <v>0</v>
      </c>
      <c r="AN2271">
        <v>0</v>
      </c>
      <c r="AO2271">
        <v>739</v>
      </c>
      <c r="AP2271">
        <v>532</v>
      </c>
      <c r="AQ2271">
        <v>739</v>
      </c>
      <c r="AR2271">
        <v>207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150</v>
      </c>
      <c r="BA2271">
        <v>150</v>
      </c>
      <c r="BB2271">
        <v>0</v>
      </c>
      <c r="BC2271">
        <v>0</v>
      </c>
      <c r="BD2271">
        <v>0</v>
      </c>
      <c r="BE2271">
        <f t="shared" si="363"/>
        <v>36684</v>
      </c>
      <c r="BF2271">
        <v>24200</v>
      </c>
      <c r="BG2271">
        <v>24200</v>
      </c>
      <c r="BH2271" t="s">
        <v>82</v>
      </c>
      <c r="BI2271" t="s">
        <v>1074</v>
      </c>
      <c r="BJ2271">
        <v>11252</v>
      </c>
      <c r="BK2271">
        <v>12748</v>
      </c>
      <c r="BL2271">
        <v>24200</v>
      </c>
      <c r="BM2271">
        <v>0</v>
      </c>
      <c r="BN2271">
        <v>0</v>
      </c>
      <c r="BO2271">
        <v>0</v>
      </c>
      <c r="BP2271">
        <v>13648</v>
      </c>
      <c r="BQ2271">
        <v>13648</v>
      </c>
      <c r="BR2271">
        <f t="shared" si="364"/>
        <v>-1072</v>
      </c>
      <c r="BS2271">
        <f t="shared" si="365"/>
        <v>1272</v>
      </c>
    </row>
    <row r="2272" spans="1:74" x14ac:dyDescent="0.25">
      <c r="A2272" s="5" t="s">
        <v>1661</v>
      </c>
      <c r="B2272" s="5" t="s">
        <v>61</v>
      </c>
      <c r="C2272" s="5" t="s">
        <v>61</v>
      </c>
      <c r="D2272" s="1" t="s">
        <v>69</v>
      </c>
      <c r="E2272">
        <v>0</v>
      </c>
      <c r="F2272">
        <v>0</v>
      </c>
      <c r="G2272">
        <v>0</v>
      </c>
      <c r="H2272">
        <v>0</v>
      </c>
      <c r="I2272">
        <v>731</v>
      </c>
      <c r="J2272">
        <v>7039</v>
      </c>
      <c r="K2272">
        <v>0</v>
      </c>
      <c r="L2272">
        <v>22</v>
      </c>
      <c r="M2272">
        <v>0</v>
      </c>
      <c r="N2272">
        <v>0</v>
      </c>
      <c r="O2272">
        <v>0</v>
      </c>
      <c r="P2272">
        <v>0</v>
      </c>
      <c r="Q2272">
        <v>808</v>
      </c>
      <c r="R2272">
        <v>0</v>
      </c>
      <c r="S2272" s="18" t="e">
        <f t="shared" si="356"/>
        <v>#DIV/0!</v>
      </c>
      <c r="T2272" s="17" t="e">
        <f t="shared" si="357"/>
        <v>#DIV/0!</v>
      </c>
      <c r="U2272" s="17" t="e">
        <f t="shared" si="358"/>
        <v>#DIV/0!</v>
      </c>
      <c r="V2272" s="17" t="e">
        <f t="shared" si="359"/>
        <v>#DIV/0!</v>
      </c>
      <c r="W2272" s="17" t="e">
        <f t="shared" si="360"/>
        <v>#DIV/0!</v>
      </c>
      <c r="X2272" s="17" t="e">
        <f t="shared" si="361"/>
        <v>#DIV/0!</v>
      </c>
      <c r="Y2272" s="19" t="e">
        <f t="shared" si="362"/>
        <v>#DIV/0!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731</v>
      </c>
      <c r="AH2272">
        <v>731</v>
      </c>
      <c r="AI2272">
        <v>0</v>
      </c>
      <c r="AJ2272">
        <v>0</v>
      </c>
      <c r="AK2272">
        <v>7039</v>
      </c>
      <c r="AL2272">
        <v>7039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22</v>
      </c>
      <c r="BA2272">
        <v>22</v>
      </c>
      <c r="BB2272">
        <v>0</v>
      </c>
      <c r="BC2272">
        <v>0</v>
      </c>
      <c r="BD2272">
        <v>0</v>
      </c>
      <c r="BE2272">
        <f t="shared" si="363"/>
        <v>15584</v>
      </c>
      <c r="BF2272">
        <v>7792</v>
      </c>
      <c r="BG2272">
        <v>7792</v>
      </c>
      <c r="BH2272" t="s">
        <v>63</v>
      </c>
      <c r="BI2272" t="s">
        <v>1665</v>
      </c>
      <c r="BJ2272">
        <v>0</v>
      </c>
      <c r="BK2272">
        <v>7792</v>
      </c>
      <c r="BL2272">
        <v>7792</v>
      </c>
      <c r="BM2272">
        <v>0</v>
      </c>
      <c r="BN2272">
        <v>0</v>
      </c>
      <c r="BO2272">
        <v>0</v>
      </c>
      <c r="BP2272">
        <v>7792</v>
      </c>
      <c r="BQ2272">
        <v>7792</v>
      </c>
      <c r="BR2272">
        <f t="shared" si="364"/>
        <v>-808</v>
      </c>
      <c r="BS2272">
        <f t="shared" si="365"/>
        <v>808</v>
      </c>
      <c r="BU2272">
        <f>R2272*9</f>
        <v>0</v>
      </c>
      <c r="BV2272">
        <f>IF(BU2272&gt;BG2272, 1, 0)</f>
        <v>0</v>
      </c>
    </row>
    <row r="2273" spans="1:74" x14ac:dyDescent="0.25">
      <c r="A2273" s="5" t="s">
        <v>61</v>
      </c>
      <c r="B2273" s="5" t="s">
        <v>359</v>
      </c>
      <c r="C2273" s="5" t="s">
        <v>61</v>
      </c>
      <c r="D2273" s="1" t="s">
        <v>119</v>
      </c>
      <c r="E2273">
        <v>0</v>
      </c>
      <c r="F2273">
        <v>110</v>
      </c>
      <c r="G2273">
        <v>0</v>
      </c>
      <c r="H2273">
        <v>0</v>
      </c>
      <c r="I2273">
        <v>7050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765</v>
      </c>
      <c r="Q2273">
        <v>1164</v>
      </c>
      <c r="R2273">
        <v>85</v>
      </c>
      <c r="S2273" s="18">
        <f t="shared" si="356"/>
        <v>9</v>
      </c>
      <c r="T2273" s="17">
        <f t="shared" si="357"/>
        <v>0</v>
      </c>
      <c r="U2273" s="17">
        <f t="shared" si="358"/>
        <v>0</v>
      </c>
      <c r="V2273" s="17">
        <f t="shared" si="359"/>
        <v>0</v>
      </c>
      <c r="W2273" s="17">
        <f t="shared" si="360"/>
        <v>85</v>
      </c>
      <c r="X2273" s="17">
        <f t="shared" si="361"/>
        <v>1079</v>
      </c>
      <c r="Y2273" s="19">
        <f t="shared" si="362"/>
        <v>0</v>
      </c>
      <c r="Z2273">
        <v>110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7050</v>
      </c>
      <c r="AH2273">
        <v>7050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f t="shared" si="363"/>
        <v>14100</v>
      </c>
      <c r="BF2273">
        <v>7160</v>
      </c>
      <c r="BG2273">
        <v>7160</v>
      </c>
      <c r="BH2273" t="s">
        <v>109</v>
      </c>
      <c r="BI2273" t="s">
        <v>387</v>
      </c>
      <c r="BJ2273">
        <v>0</v>
      </c>
      <c r="BK2273">
        <v>7050</v>
      </c>
      <c r="BL2273">
        <v>7160</v>
      </c>
      <c r="BM2273">
        <v>0</v>
      </c>
      <c r="BN2273">
        <v>0</v>
      </c>
      <c r="BO2273">
        <v>0</v>
      </c>
      <c r="BP2273">
        <v>7815</v>
      </c>
      <c r="BQ2273">
        <v>7815</v>
      </c>
      <c r="BR2273">
        <f t="shared" si="364"/>
        <v>-1079</v>
      </c>
      <c r="BS2273">
        <f t="shared" si="365"/>
        <v>1249</v>
      </c>
    </row>
    <row r="2274" spans="1:74" x14ac:dyDescent="0.25">
      <c r="A2274" s="5" t="s">
        <v>207</v>
      </c>
      <c r="B2274" s="5" t="s">
        <v>627</v>
      </c>
      <c r="C2274" s="5" t="s">
        <v>207</v>
      </c>
      <c r="D2274" s="1" t="s">
        <v>90</v>
      </c>
      <c r="E2274">
        <v>35</v>
      </c>
      <c r="F2274">
        <v>522</v>
      </c>
      <c r="G2274">
        <v>0</v>
      </c>
      <c r="H2274">
        <v>0</v>
      </c>
      <c r="I2274">
        <v>1800</v>
      </c>
      <c r="J2274">
        <v>9893</v>
      </c>
      <c r="K2274">
        <v>802</v>
      </c>
      <c r="L2274">
        <v>400</v>
      </c>
      <c r="M2274">
        <v>1134</v>
      </c>
      <c r="N2274">
        <v>0</v>
      </c>
      <c r="O2274">
        <v>0</v>
      </c>
      <c r="P2274">
        <v>63</v>
      </c>
      <c r="Q2274">
        <v>1226</v>
      </c>
      <c r="R2274">
        <v>133</v>
      </c>
      <c r="S2274" s="18">
        <f t="shared" si="356"/>
        <v>9</v>
      </c>
      <c r="T2274" s="17">
        <f t="shared" si="357"/>
        <v>126</v>
      </c>
      <c r="U2274" s="17">
        <f t="shared" si="358"/>
        <v>0</v>
      </c>
      <c r="V2274" s="17">
        <f t="shared" si="359"/>
        <v>0</v>
      </c>
      <c r="W2274" s="17">
        <f t="shared" si="360"/>
        <v>7</v>
      </c>
      <c r="X2274" s="17">
        <f t="shared" si="361"/>
        <v>1093</v>
      </c>
      <c r="Y2274" s="19">
        <f t="shared" si="362"/>
        <v>0</v>
      </c>
      <c r="Z2274">
        <v>522</v>
      </c>
      <c r="AA2274">
        <v>5</v>
      </c>
      <c r="AB2274">
        <v>467</v>
      </c>
      <c r="AC2274">
        <v>5068</v>
      </c>
      <c r="AD2274">
        <v>0</v>
      </c>
      <c r="AE2274">
        <v>0</v>
      </c>
      <c r="AF2274">
        <v>0</v>
      </c>
      <c r="AG2274">
        <v>1800</v>
      </c>
      <c r="AH2274">
        <v>1800</v>
      </c>
      <c r="AI2274">
        <v>0</v>
      </c>
      <c r="AJ2274">
        <v>0</v>
      </c>
      <c r="AK2274">
        <v>9893</v>
      </c>
      <c r="AL2274">
        <v>9893</v>
      </c>
      <c r="AM2274">
        <v>0</v>
      </c>
      <c r="AN2274">
        <v>0</v>
      </c>
      <c r="AO2274">
        <v>802</v>
      </c>
      <c r="AP2274">
        <v>367</v>
      </c>
      <c r="AQ2274">
        <v>802</v>
      </c>
      <c r="AR2274">
        <v>435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400</v>
      </c>
      <c r="BA2274">
        <v>400</v>
      </c>
      <c r="BB2274">
        <v>0</v>
      </c>
      <c r="BC2274">
        <v>0</v>
      </c>
      <c r="BD2274">
        <v>0</v>
      </c>
      <c r="BE2274">
        <f t="shared" si="363"/>
        <v>31660</v>
      </c>
      <c r="BF2274">
        <v>18992</v>
      </c>
      <c r="BG2274">
        <v>18992</v>
      </c>
      <c r="BH2274" t="s">
        <v>82</v>
      </c>
      <c r="BI2274" t="s">
        <v>672</v>
      </c>
      <c r="BJ2274">
        <v>5575</v>
      </c>
      <c r="BK2274">
        <v>12895</v>
      </c>
      <c r="BL2274">
        <v>18992</v>
      </c>
      <c r="BM2274">
        <v>1134</v>
      </c>
      <c r="BN2274">
        <v>0</v>
      </c>
      <c r="BO2274">
        <v>0</v>
      </c>
      <c r="BP2274">
        <v>12958</v>
      </c>
      <c r="BQ2274">
        <v>14092</v>
      </c>
      <c r="BR2274">
        <f t="shared" si="364"/>
        <v>-1093</v>
      </c>
      <c r="BS2274">
        <f t="shared" si="365"/>
        <v>1359</v>
      </c>
    </row>
    <row r="2275" spans="1:74" x14ac:dyDescent="0.25">
      <c r="A2275" s="5" t="s">
        <v>61</v>
      </c>
      <c r="B2275" s="5" t="s">
        <v>207</v>
      </c>
      <c r="C2275" s="5" t="s">
        <v>207</v>
      </c>
      <c r="D2275" s="1" t="s">
        <v>73</v>
      </c>
      <c r="E2275">
        <v>6</v>
      </c>
      <c r="F2275">
        <v>0</v>
      </c>
      <c r="G2275">
        <v>0</v>
      </c>
      <c r="H2275">
        <v>0</v>
      </c>
      <c r="I2275">
        <v>5046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1097</v>
      </c>
      <c r="R2275">
        <v>0</v>
      </c>
      <c r="S2275" s="18" t="e">
        <f t="shared" si="356"/>
        <v>#DIV/0!</v>
      </c>
      <c r="T2275" s="17" t="e">
        <f t="shared" si="357"/>
        <v>#DIV/0!</v>
      </c>
      <c r="U2275" s="17" t="e">
        <f t="shared" si="358"/>
        <v>#DIV/0!</v>
      </c>
      <c r="V2275" s="17" t="e">
        <f t="shared" si="359"/>
        <v>#DIV/0!</v>
      </c>
      <c r="W2275" s="17" t="e">
        <f t="shared" si="360"/>
        <v>#DIV/0!</v>
      </c>
      <c r="X2275" s="17" t="e">
        <f t="shared" si="361"/>
        <v>#DIV/0!</v>
      </c>
      <c r="Y2275" s="19" t="e">
        <f t="shared" si="362"/>
        <v>#DIV/0!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5046</v>
      </c>
      <c r="AH2275">
        <v>5046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f t="shared" si="363"/>
        <v>10092</v>
      </c>
      <c r="BF2275">
        <v>5052</v>
      </c>
      <c r="BG2275">
        <v>5052</v>
      </c>
      <c r="BH2275" t="s">
        <v>109</v>
      </c>
      <c r="BI2275" t="s">
        <v>284</v>
      </c>
      <c r="BJ2275">
        <v>6</v>
      </c>
      <c r="BK2275">
        <v>5046</v>
      </c>
      <c r="BL2275">
        <v>5052</v>
      </c>
      <c r="BM2275">
        <v>0</v>
      </c>
      <c r="BN2275">
        <v>0</v>
      </c>
      <c r="BO2275">
        <v>0</v>
      </c>
      <c r="BP2275">
        <v>5046</v>
      </c>
      <c r="BQ2275">
        <v>5046</v>
      </c>
      <c r="BR2275">
        <f t="shared" si="364"/>
        <v>-1097</v>
      </c>
      <c r="BS2275">
        <f t="shared" si="365"/>
        <v>1097</v>
      </c>
    </row>
    <row r="2276" spans="1:74" x14ac:dyDescent="0.25">
      <c r="A2276" s="5" t="s">
        <v>1451</v>
      </c>
      <c r="B2276" s="5" t="s">
        <v>61</v>
      </c>
      <c r="C2276" s="5" t="s">
        <v>207</v>
      </c>
      <c r="D2276" s="1" t="s">
        <v>98</v>
      </c>
      <c r="E2276">
        <v>50</v>
      </c>
      <c r="F2276">
        <v>450</v>
      </c>
      <c r="G2276">
        <v>0</v>
      </c>
      <c r="H2276">
        <v>0</v>
      </c>
      <c r="I2276">
        <v>367</v>
      </c>
      <c r="J2276">
        <v>8205</v>
      </c>
      <c r="K2276">
        <v>4796</v>
      </c>
      <c r="L2276">
        <v>100</v>
      </c>
      <c r="M2276">
        <v>0</v>
      </c>
      <c r="N2276">
        <v>0</v>
      </c>
      <c r="O2276">
        <v>0</v>
      </c>
      <c r="P2276">
        <v>1350</v>
      </c>
      <c r="Q2276">
        <v>1260</v>
      </c>
      <c r="R2276">
        <v>150</v>
      </c>
      <c r="S2276" s="18">
        <f t="shared" si="356"/>
        <v>9</v>
      </c>
      <c r="T2276" s="17">
        <f t="shared" si="357"/>
        <v>0</v>
      </c>
      <c r="U2276" s="17">
        <f t="shared" si="358"/>
        <v>0</v>
      </c>
      <c r="V2276" s="17">
        <f t="shared" si="359"/>
        <v>0</v>
      </c>
      <c r="W2276" s="17">
        <f t="shared" si="360"/>
        <v>150</v>
      </c>
      <c r="X2276" s="17">
        <f t="shared" si="361"/>
        <v>1110</v>
      </c>
      <c r="Y2276" s="19">
        <f t="shared" si="362"/>
        <v>0</v>
      </c>
      <c r="Z2276">
        <v>450</v>
      </c>
      <c r="AA2276">
        <v>21</v>
      </c>
      <c r="AB2276">
        <v>330</v>
      </c>
      <c r="AC2276">
        <v>7800</v>
      </c>
      <c r="AD2276">
        <v>0</v>
      </c>
      <c r="AE2276">
        <v>0</v>
      </c>
      <c r="AF2276">
        <v>0</v>
      </c>
      <c r="AG2276">
        <v>367</v>
      </c>
      <c r="AH2276">
        <v>367</v>
      </c>
      <c r="AI2276">
        <v>0</v>
      </c>
      <c r="AJ2276">
        <v>0</v>
      </c>
      <c r="AK2276">
        <v>8205</v>
      </c>
      <c r="AL2276">
        <v>8205</v>
      </c>
      <c r="AM2276">
        <v>0</v>
      </c>
      <c r="AN2276">
        <v>0</v>
      </c>
      <c r="AO2276">
        <v>4796</v>
      </c>
      <c r="AP2276">
        <v>4318</v>
      </c>
      <c r="AQ2276">
        <v>4796</v>
      </c>
      <c r="AR2276">
        <v>478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100</v>
      </c>
      <c r="BA2276">
        <v>100</v>
      </c>
      <c r="BB2276">
        <v>0</v>
      </c>
      <c r="BC2276">
        <v>0</v>
      </c>
      <c r="BD2276">
        <v>0</v>
      </c>
      <c r="BE2276">
        <f t="shared" si="363"/>
        <v>39532</v>
      </c>
      <c r="BF2276">
        <v>22119</v>
      </c>
      <c r="BG2276">
        <v>22119</v>
      </c>
      <c r="BH2276" t="s">
        <v>82</v>
      </c>
      <c r="BI2276" t="s">
        <v>1487</v>
      </c>
      <c r="BJ2276">
        <v>8201</v>
      </c>
      <c r="BK2276">
        <v>13468</v>
      </c>
      <c r="BL2276">
        <v>22119</v>
      </c>
      <c r="BM2276">
        <v>0</v>
      </c>
      <c r="BN2276">
        <v>0</v>
      </c>
      <c r="BO2276">
        <v>0</v>
      </c>
      <c r="BP2276">
        <v>14818</v>
      </c>
      <c r="BQ2276">
        <v>14818</v>
      </c>
      <c r="BR2276">
        <f t="shared" si="364"/>
        <v>-1110</v>
      </c>
      <c r="BS2276">
        <f t="shared" si="365"/>
        <v>1410</v>
      </c>
    </row>
    <row r="2277" spans="1:74" x14ac:dyDescent="0.25">
      <c r="A2277" s="5" t="s">
        <v>207</v>
      </c>
      <c r="B2277" s="5" t="s">
        <v>359</v>
      </c>
      <c r="C2277" s="5" t="s">
        <v>61</v>
      </c>
      <c r="D2277" s="1" t="s">
        <v>69</v>
      </c>
      <c r="E2277">
        <v>0</v>
      </c>
      <c r="F2277">
        <v>0</v>
      </c>
      <c r="G2277">
        <v>0</v>
      </c>
      <c r="H2277">
        <v>0</v>
      </c>
      <c r="I2277">
        <v>4425</v>
      </c>
      <c r="J2277">
        <v>0</v>
      </c>
      <c r="K2277">
        <v>3900</v>
      </c>
      <c r="L2277">
        <v>220</v>
      </c>
      <c r="M2277">
        <v>0</v>
      </c>
      <c r="N2277">
        <v>0</v>
      </c>
      <c r="O2277">
        <v>0</v>
      </c>
      <c r="P2277">
        <v>0</v>
      </c>
      <c r="Q2277">
        <v>820</v>
      </c>
      <c r="R2277">
        <v>0</v>
      </c>
      <c r="S2277" s="18" t="e">
        <f t="shared" si="356"/>
        <v>#DIV/0!</v>
      </c>
      <c r="T2277" s="17" t="e">
        <f t="shared" si="357"/>
        <v>#DIV/0!</v>
      </c>
      <c r="U2277" s="17" t="e">
        <f t="shared" si="358"/>
        <v>#DIV/0!</v>
      </c>
      <c r="V2277" s="17" t="e">
        <f t="shared" si="359"/>
        <v>#DIV/0!</v>
      </c>
      <c r="W2277" s="17" t="e">
        <f t="shared" si="360"/>
        <v>#DIV/0!</v>
      </c>
      <c r="X2277" s="17" t="e">
        <f t="shared" si="361"/>
        <v>#DIV/0!</v>
      </c>
      <c r="Y2277" s="19" t="e">
        <f t="shared" si="362"/>
        <v>#DIV/0!</v>
      </c>
      <c r="Z2277">
        <v>0</v>
      </c>
      <c r="AA2277">
        <v>0</v>
      </c>
      <c r="AB2277">
        <v>0</v>
      </c>
      <c r="AC2277">
        <v>4000</v>
      </c>
      <c r="AD2277">
        <v>0</v>
      </c>
      <c r="AE2277">
        <v>0</v>
      </c>
      <c r="AF2277">
        <v>0</v>
      </c>
      <c r="AG2277">
        <v>4425</v>
      </c>
      <c r="AH2277">
        <v>4425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3900</v>
      </c>
      <c r="AP2277">
        <v>3900</v>
      </c>
      <c r="AQ2277">
        <v>3900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220</v>
      </c>
      <c r="BA2277">
        <v>220</v>
      </c>
      <c r="BB2277">
        <v>0</v>
      </c>
      <c r="BC2277">
        <v>0</v>
      </c>
      <c r="BD2277">
        <v>0</v>
      </c>
      <c r="BE2277">
        <f t="shared" si="363"/>
        <v>24990</v>
      </c>
      <c r="BF2277">
        <v>12545</v>
      </c>
      <c r="BG2277">
        <v>12545</v>
      </c>
      <c r="BH2277" t="s">
        <v>63</v>
      </c>
      <c r="BI2277" t="s">
        <v>597</v>
      </c>
      <c r="BJ2277">
        <v>4000</v>
      </c>
      <c r="BK2277">
        <v>8545</v>
      </c>
      <c r="BL2277">
        <v>12545</v>
      </c>
      <c r="BM2277">
        <v>0</v>
      </c>
      <c r="BN2277">
        <v>0</v>
      </c>
      <c r="BO2277">
        <v>0</v>
      </c>
      <c r="BP2277">
        <v>8545</v>
      </c>
      <c r="BQ2277">
        <v>8545</v>
      </c>
      <c r="BR2277">
        <f t="shared" si="364"/>
        <v>-820</v>
      </c>
      <c r="BS2277">
        <f t="shared" si="365"/>
        <v>820</v>
      </c>
      <c r="BU2277">
        <f>R2277*9</f>
        <v>0</v>
      </c>
      <c r="BV2277">
        <f>IF(BU2277&gt;BG2277, 1, 0)</f>
        <v>0</v>
      </c>
    </row>
    <row r="2278" spans="1:74" x14ac:dyDescent="0.25">
      <c r="A2278" s="5" t="s">
        <v>1946</v>
      </c>
      <c r="B2278" s="5" t="s">
        <v>61</v>
      </c>
      <c r="C2278" s="5" t="s">
        <v>61</v>
      </c>
      <c r="D2278" s="1" t="s">
        <v>96</v>
      </c>
      <c r="E2278">
        <v>0</v>
      </c>
      <c r="F2278">
        <v>0</v>
      </c>
      <c r="G2278">
        <v>0</v>
      </c>
      <c r="H2278">
        <v>0</v>
      </c>
      <c r="I2278">
        <v>200</v>
      </c>
      <c r="J2278">
        <v>0</v>
      </c>
      <c r="K2278">
        <v>8048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1120</v>
      </c>
      <c r="R2278">
        <v>0</v>
      </c>
      <c r="S2278" s="18" t="e">
        <f t="shared" si="356"/>
        <v>#DIV/0!</v>
      </c>
      <c r="T2278" s="17" t="e">
        <f t="shared" si="357"/>
        <v>#DIV/0!</v>
      </c>
      <c r="U2278" s="17" t="e">
        <f t="shared" si="358"/>
        <v>#DIV/0!</v>
      </c>
      <c r="V2278" s="17" t="e">
        <f t="shared" si="359"/>
        <v>#DIV/0!</v>
      </c>
      <c r="W2278" s="17" t="e">
        <f t="shared" si="360"/>
        <v>#DIV/0!</v>
      </c>
      <c r="X2278" s="17" t="e">
        <f t="shared" si="361"/>
        <v>#DIV/0!</v>
      </c>
      <c r="Y2278" s="19" t="e">
        <f t="shared" si="362"/>
        <v>#DIV/0!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200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8048</v>
      </c>
      <c r="AP2278">
        <v>1775</v>
      </c>
      <c r="AQ2278">
        <v>8048</v>
      </c>
      <c r="AR2278">
        <v>6273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f t="shared" si="363"/>
        <v>24544</v>
      </c>
      <c r="BF2278">
        <v>8248</v>
      </c>
      <c r="BG2278">
        <v>8248</v>
      </c>
      <c r="BH2278" t="s">
        <v>109</v>
      </c>
      <c r="BI2278" t="s">
        <v>1963</v>
      </c>
      <c r="BJ2278">
        <v>0</v>
      </c>
      <c r="BK2278">
        <v>8248</v>
      </c>
      <c r="BL2278">
        <v>8248</v>
      </c>
      <c r="BM2278">
        <v>0</v>
      </c>
      <c r="BN2278">
        <v>0</v>
      </c>
      <c r="BO2278">
        <v>0</v>
      </c>
      <c r="BP2278">
        <v>8248</v>
      </c>
      <c r="BQ2278">
        <v>8248</v>
      </c>
      <c r="BR2278">
        <f t="shared" si="364"/>
        <v>-1120</v>
      </c>
      <c r="BS2278">
        <f t="shared" si="365"/>
        <v>1120</v>
      </c>
    </row>
    <row r="2279" spans="1:74" x14ac:dyDescent="0.25">
      <c r="A2279" s="5" t="s">
        <v>1661</v>
      </c>
      <c r="B2279" s="5" t="s">
        <v>207</v>
      </c>
      <c r="C2279" s="5" t="s">
        <v>61</v>
      </c>
      <c r="D2279" s="1" t="s">
        <v>121</v>
      </c>
      <c r="E2279">
        <v>0</v>
      </c>
      <c r="F2279">
        <v>90</v>
      </c>
      <c r="G2279">
        <v>0</v>
      </c>
      <c r="H2279">
        <v>0</v>
      </c>
      <c r="I2279">
        <v>5487</v>
      </c>
      <c r="J2279">
        <v>2242</v>
      </c>
      <c r="K2279">
        <v>6981</v>
      </c>
      <c r="L2279">
        <v>150</v>
      </c>
      <c r="M2279">
        <v>0</v>
      </c>
      <c r="N2279">
        <v>0</v>
      </c>
      <c r="O2279">
        <v>0</v>
      </c>
      <c r="P2279">
        <v>810</v>
      </c>
      <c r="Q2279">
        <v>1227</v>
      </c>
      <c r="R2279">
        <v>90</v>
      </c>
      <c r="S2279" s="18">
        <f t="shared" si="356"/>
        <v>9</v>
      </c>
      <c r="T2279" s="17">
        <f t="shared" si="357"/>
        <v>0</v>
      </c>
      <c r="U2279" s="17">
        <f t="shared" si="358"/>
        <v>0</v>
      </c>
      <c r="V2279" s="17">
        <f t="shared" si="359"/>
        <v>0</v>
      </c>
      <c r="W2279" s="17">
        <f t="shared" si="360"/>
        <v>90</v>
      </c>
      <c r="X2279" s="17">
        <f t="shared" si="361"/>
        <v>1137</v>
      </c>
      <c r="Y2279" s="19">
        <f t="shared" si="362"/>
        <v>0</v>
      </c>
      <c r="Z2279">
        <v>90</v>
      </c>
      <c r="AA2279">
        <v>0</v>
      </c>
      <c r="AB2279">
        <v>0</v>
      </c>
      <c r="AC2279">
        <v>5641</v>
      </c>
      <c r="AD2279">
        <v>0</v>
      </c>
      <c r="AE2279">
        <v>0</v>
      </c>
      <c r="AF2279">
        <v>0</v>
      </c>
      <c r="AG2279">
        <v>5487</v>
      </c>
      <c r="AH2279">
        <v>5487</v>
      </c>
      <c r="AI2279">
        <v>0</v>
      </c>
      <c r="AJ2279">
        <v>0</v>
      </c>
      <c r="AK2279">
        <v>2242</v>
      </c>
      <c r="AL2279">
        <v>2242</v>
      </c>
      <c r="AM2279">
        <v>0</v>
      </c>
      <c r="AN2279">
        <v>0</v>
      </c>
      <c r="AO2279">
        <v>6981</v>
      </c>
      <c r="AP2279">
        <v>5190</v>
      </c>
      <c r="AQ2279">
        <v>6981</v>
      </c>
      <c r="AR2279">
        <v>1791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150</v>
      </c>
      <c r="BA2279">
        <v>150</v>
      </c>
      <c r="BB2279">
        <v>0</v>
      </c>
      <c r="BC2279">
        <v>0</v>
      </c>
      <c r="BD2279">
        <v>0</v>
      </c>
      <c r="BE2279">
        <f t="shared" si="363"/>
        <v>42342</v>
      </c>
      <c r="BF2279">
        <v>27084</v>
      </c>
      <c r="BG2279">
        <v>27084</v>
      </c>
      <c r="BH2279" t="s">
        <v>82</v>
      </c>
      <c r="BI2279" t="s">
        <v>1784</v>
      </c>
      <c r="BJ2279">
        <v>5641</v>
      </c>
      <c r="BK2279">
        <v>14860</v>
      </c>
      <c r="BL2279">
        <v>20591</v>
      </c>
      <c r="BM2279">
        <v>0</v>
      </c>
      <c r="BN2279">
        <v>0</v>
      </c>
      <c r="BO2279">
        <v>0</v>
      </c>
      <c r="BP2279">
        <v>15670</v>
      </c>
      <c r="BQ2279">
        <v>15670</v>
      </c>
      <c r="BR2279">
        <f t="shared" si="364"/>
        <v>-1137</v>
      </c>
      <c r="BS2279">
        <f t="shared" si="365"/>
        <v>1317</v>
      </c>
    </row>
    <row r="2280" spans="1:74" x14ac:dyDescent="0.25">
      <c r="A2280" s="5" t="s">
        <v>1661</v>
      </c>
      <c r="B2280" s="5" t="s">
        <v>207</v>
      </c>
      <c r="C2280" s="5" t="s">
        <v>61</v>
      </c>
      <c r="D2280" s="1" t="s">
        <v>127</v>
      </c>
      <c r="E2280">
        <v>201</v>
      </c>
      <c r="F2280">
        <v>500</v>
      </c>
      <c r="G2280">
        <v>0</v>
      </c>
      <c r="H2280">
        <v>0</v>
      </c>
      <c r="I2280">
        <v>2160</v>
      </c>
      <c r="J2280">
        <v>13792</v>
      </c>
      <c r="K2280">
        <v>485</v>
      </c>
      <c r="L2280">
        <v>100</v>
      </c>
      <c r="M2280">
        <v>0</v>
      </c>
      <c r="N2280">
        <v>0</v>
      </c>
      <c r="O2280">
        <v>0</v>
      </c>
      <c r="P2280">
        <v>1080</v>
      </c>
      <c r="Q2280">
        <v>1271</v>
      </c>
      <c r="R2280">
        <v>120</v>
      </c>
      <c r="S2280" s="18">
        <f t="shared" si="356"/>
        <v>9</v>
      </c>
      <c r="T2280" s="17">
        <f t="shared" si="357"/>
        <v>0</v>
      </c>
      <c r="U2280" s="17">
        <f t="shared" si="358"/>
        <v>0</v>
      </c>
      <c r="V2280" s="17">
        <f t="shared" si="359"/>
        <v>0</v>
      </c>
      <c r="W2280" s="17">
        <f t="shared" si="360"/>
        <v>120</v>
      </c>
      <c r="X2280" s="17">
        <f t="shared" si="361"/>
        <v>1151</v>
      </c>
      <c r="Y2280" s="19">
        <f t="shared" si="362"/>
        <v>0</v>
      </c>
      <c r="Z2280">
        <v>500</v>
      </c>
      <c r="AA2280">
        <v>87</v>
      </c>
      <c r="AB2280">
        <v>510</v>
      </c>
      <c r="AC2280">
        <v>14235</v>
      </c>
      <c r="AD2280">
        <v>0</v>
      </c>
      <c r="AE2280">
        <v>0</v>
      </c>
      <c r="AF2280">
        <v>0</v>
      </c>
      <c r="AG2280">
        <v>2160</v>
      </c>
      <c r="AH2280">
        <v>2160</v>
      </c>
      <c r="AI2280">
        <v>0</v>
      </c>
      <c r="AJ2280">
        <v>0</v>
      </c>
      <c r="AK2280">
        <v>13792</v>
      </c>
      <c r="AL2280">
        <v>13792</v>
      </c>
      <c r="AM2280">
        <v>0</v>
      </c>
      <c r="AN2280">
        <v>0</v>
      </c>
      <c r="AO2280">
        <v>485</v>
      </c>
      <c r="AP2280">
        <v>60</v>
      </c>
      <c r="AQ2280">
        <v>485</v>
      </c>
      <c r="AR2280">
        <v>425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100</v>
      </c>
      <c r="BA2280">
        <v>100</v>
      </c>
      <c r="BB2280">
        <v>0</v>
      </c>
      <c r="BC2280">
        <v>0</v>
      </c>
      <c r="BD2280">
        <v>0</v>
      </c>
      <c r="BE2280">
        <f t="shared" si="363"/>
        <v>47794</v>
      </c>
      <c r="BF2280">
        <v>32070</v>
      </c>
      <c r="BG2280">
        <v>32070</v>
      </c>
      <c r="BH2280" t="s">
        <v>82</v>
      </c>
      <c r="BI2280" t="s">
        <v>1787</v>
      </c>
      <c r="BJ2280">
        <v>15033</v>
      </c>
      <c r="BK2280">
        <v>16537</v>
      </c>
      <c r="BL2280">
        <v>32070</v>
      </c>
      <c r="BM2280">
        <v>0</v>
      </c>
      <c r="BN2280">
        <v>0</v>
      </c>
      <c r="BO2280">
        <v>0</v>
      </c>
      <c r="BP2280">
        <v>17617</v>
      </c>
      <c r="BQ2280">
        <v>17617</v>
      </c>
      <c r="BR2280">
        <f t="shared" si="364"/>
        <v>-1151</v>
      </c>
      <c r="BS2280">
        <f t="shared" si="365"/>
        <v>1391</v>
      </c>
    </row>
    <row r="2281" spans="1:74" x14ac:dyDescent="0.25">
      <c r="A2281" s="5" t="s">
        <v>1451</v>
      </c>
      <c r="B2281" s="5" t="s">
        <v>207</v>
      </c>
      <c r="C2281" s="5" t="s">
        <v>207</v>
      </c>
      <c r="D2281" s="1" t="s">
        <v>111</v>
      </c>
      <c r="E2281">
        <v>235</v>
      </c>
      <c r="F2281">
        <v>600</v>
      </c>
      <c r="G2281">
        <v>0</v>
      </c>
      <c r="H2281">
        <v>0</v>
      </c>
      <c r="I2281">
        <v>787</v>
      </c>
      <c r="J2281">
        <v>8835</v>
      </c>
      <c r="K2281">
        <v>2246</v>
      </c>
      <c r="L2281">
        <v>685</v>
      </c>
      <c r="M2281">
        <v>0</v>
      </c>
      <c r="N2281">
        <v>0</v>
      </c>
      <c r="O2281">
        <v>0</v>
      </c>
      <c r="P2281">
        <v>2529</v>
      </c>
      <c r="Q2281">
        <v>1444</v>
      </c>
      <c r="R2281">
        <v>281</v>
      </c>
      <c r="S2281" s="18">
        <f t="shared" si="356"/>
        <v>9</v>
      </c>
      <c r="T2281" s="17">
        <f t="shared" si="357"/>
        <v>0</v>
      </c>
      <c r="U2281" s="17">
        <f t="shared" si="358"/>
        <v>0</v>
      </c>
      <c r="V2281" s="17">
        <f t="shared" si="359"/>
        <v>0</v>
      </c>
      <c r="W2281" s="17">
        <f t="shared" si="360"/>
        <v>281</v>
      </c>
      <c r="X2281" s="17">
        <f t="shared" si="361"/>
        <v>1163</v>
      </c>
      <c r="Y2281" s="19">
        <f t="shared" si="362"/>
        <v>0</v>
      </c>
      <c r="Z2281">
        <v>600</v>
      </c>
      <c r="AA2281">
        <v>19</v>
      </c>
      <c r="AB2281">
        <v>375</v>
      </c>
      <c r="AC2281">
        <v>12525</v>
      </c>
      <c r="AD2281">
        <v>0</v>
      </c>
      <c r="AE2281">
        <v>0</v>
      </c>
      <c r="AF2281">
        <v>0</v>
      </c>
      <c r="AG2281">
        <v>787</v>
      </c>
      <c r="AH2281">
        <v>787</v>
      </c>
      <c r="AI2281">
        <v>0</v>
      </c>
      <c r="AJ2281">
        <v>0</v>
      </c>
      <c r="AK2281">
        <v>8835</v>
      </c>
      <c r="AL2281">
        <v>8835</v>
      </c>
      <c r="AM2281">
        <v>0</v>
      </c>
      <c r="AN2281">
        <v>0</v>
      </c>
      <c r="AO2281">
        <v>2246</v>
      </c>
      <c r="AP2281">
        <v>1313</v>
      </c>
      <c r="AQ2281">
        <v>2246</v>
      </c>
      <c r="AR2281">
        <v>933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685</v>
      </c>
      <c r="BA2281">
        <v>685</v>
      </c>
      <c r="BB2281">
        <v>0</v>
      </c>
      <c r="BC2281">
        <v>0</v>
      </c>
      <c r="BD2281">
        <v>0</v>
      </c>
      <c r="BE2281">
        <f t="shared" si="363"/>
        <v>39877</v>
      </c>
      <c r="BF2281">
        <v>26307</v>
      </c>
      <c r="BG2281">
        <v>26307</v>
      </c>
      <c r="BH2281" t="s">
        <v>82</v>
      </c>
      <c r="BI2281" t="s">
        <v>857</v>
      </c>
      <c r="BJ2281">
        <v>13154</v>
      </c>
      <c r="BK2281">
        <v>12553</v>
      </c>
      <c r="BL2281">
        <v>26307</v>
      </c>
      <c r="BM2281">
        <v>0</v>
      </c>
      <c r="BN2281">
        <v>0</v>
      </c>
      <c r="BO2281">
        <v>0</v>
      </c>
      <c r="BP2281">
        <v>15082</v>
      </c>
      <c r="BQ2281">
        <v>15082</v>
      </c>
      <c r="BR2281">
        <f t="shared" si="364"/>
        <v>-1163</v>
      </c>
      <c r="BS2281">
        <f t="shared" si="365"/>
        <v>1725</v>
      </c>
    </row>
    <row r="2282" spans="1:74" x14ac:dyDescent="0.25">
      <c r="A2282" s="5" t="s">
        <v>1017</v>
      </c>
      <c r="B2282" s="5" t="s">
        <v>207</v>
      </c>
      <c r="C2282" s="5" t="s">
        <v>207</v>
      </c>
      <c r="D2282" s="1" t="s">
        <v>75</v>
      </c>
      <c r="E2282">
        <v>0</v>
      </c>
      <c r="F2282">
        <v>86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774</v>
      </c>
      <c r="N2282">
        <v>0</v>
      </c>
      <c r="O2282">
        <v>0</v>
      </c>
      <c r="P2282">
        <v>0</v>
      </c>
      <c r="Q2282">
        <v>1258</v>
      </c>
      <c r="R2282">
        <v>86</v>
      </c>
      <c r="S2282" s="18">
        <f t="shared" si="356"/>
        <v>9</v>
      </c>
      <c r="T2282" s="17">
        <f t="shared" si="357"/>
        <v>86</v>
      </c>
      <c r="U2282" s="17">
        <f t="shared" si="358"/>
        <v>0</v>
      </c>
      <c r="V2282" s="17">
        <f t="shared" si="359"/>
        <v>0</v>
      </c>
      <c r="W2282" s="17">
        <f t="shared" si="360"/>
        <v>0</v>
      </c>
      <c r="X2282" s="17">
        <f t="shared" si="361"/>
        <v>1172</v>
      </c>
      <c r="Y2282" s="19">
        <f t="shared" si="362"/>
        <v>0</v>
      </c>
      <c r="Z2282">
        <v>86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f t="shared" si="363"/>
        <v>0</v>
      </c>
      <c r="BF2282">
        <v>86</v>
      </c>
      <c r="BG2282">
        <v>86</v>
      </c>
      <c r="BH2282" t="s">
        <v>109</v>
      </c>
      <c r="BI2282" t="s">
        <v>1114</v>
      </c>
      <c r="BJ2282">
        <v>0</v>
      </c>
      <c r="BK2282">
        <v>0</v>
      </c>
      <c r="BL2282">
        <v>86</v>
      </c>
      <c r="BM2282">
        <v>774</v>
      </c>
      <c r="BN2282">
        <v>0</v>
      </c>
      <c r="BO2282">
        <v>0</v>
      </c>
      <c r="BP2282">
        <v>0</v>
      </c>
      <c r="BQ2282">
        <v>774</v>
      </c>
      <c r="BR2282">
        <f t="shared" si="364"/>
        <v>-1172</v>
      </c>
      <c r="BS2282">
        <f t="shared" si="365"/>
        <v>1344</v>
      </c>
    </row>
    <row r="2283" spans="1:74" x14ac:dyDescent="0.25">
      <c r="A2283" s="5" t="s">
        <v>1337</v>
      </c>
      <c r="B2283" s="5" t="s">
        <v>207</v>
      </c>
      <c r="C2283" s="5" t="s">
        <v>207</v>
      </c>
      <c r="D2283" s="1" t="s">
        <v>71</v>
      </c>
      <c r="E2283">
        <v>3514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15534</v>
      </c>
      <c r="O2283">
        <v>0</v>
      </c>
      <c r="P2283">
        <v>43326</v>
      </c>
      <c r="Q2283">
        <v>7739</v>
      </c>
      <c r="R2283">
        <v>6540</v>
      </c>
      <c r="S2283" s="18">
        <f t="shared" si="356"/>
        <v>9</v>
      </c>
      <c r="T2283" s="17">
        <f t="shared" si="357"/>
        <v>0</v>
      </c>
      <c r="U2283" s="17">
        <f t="shared" si="358"/>
        <v>1726</v>
      </c>
      <c r="V2283" s="17">
        <f t="shared" si="359"/>
        <v>0</v>
      </c>
      <c r="W2283" s="17">
        <f t="shared" si="360"/>
        <v>4814</v>
      </c>
      <c r="X2283" s="17">
        <f t="shared" si="361"/>
        <v>1199</v>
      </c>
      <c r="Y2283" s="19">
        <f t="shared" si="362"/>
        <v>0</v>
      </c>
      <c r="Z2283">
        <v>25030</v>
      </c>
      <c r="AA2283">
        <v>0</v>
      </c>
      <c r="AB2283">
        <v>400</v>
      </c>
      <c r="AC2283">
        <v>26478</v>
      </c>
      <c r="AD2283">
        <v>0</v>
      </c>
      <c r="AE2283">
        <v>1438</v>
      </c>
      <c r="AF2283">
        <v>0</v>
      </c>
      <c r="AG2283">
        <v>1892</v>
      </c>
      <c r="AH2283">
        <v>3330</v>
      </c>
      <c r="AI2283">
        <v>0</v>
      </c>
      <c r="AJ2283">
        <v>0</v>
      </c>
      <c r="AK2283">
        <v>3649</v>
      </c>
      <c r="AL2283">
        <v>3649</v>
      </c>
      <c r="AM2283">
        <v>0</v>
      </c>
      <c r="AN2283">
        <v>3302</v>
      </c>
      <c r="AO2283">
        <v>6092</v>
      </c>
      <c r="AP2283">
        <v>9085</v>
      </c>
      <c r="AQ2283">
        <v>9394</v>
      </c>
      <c r="AR2283">
        <v>309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60</v>
      </c>
      <c r="BA2283">
        <v>60</v>
      </c>
      <c r="BB2283">
        <v>0</v>
      </c>
      <c r="BC2283">
        <v>0</v>
      </c>
      <c r="BD2283">
        <v>0</v>
      </c>
      <c r="BE2283">
        <f t="shared" si="363"/>
        <v>68738</v>
      </c>
      <c r="BF2283">
        <v>81905</v>
      </c>
      <c r="BG2283">
        <v>81905</v>
      </c>
      <c r="BH2283" t="s">
        <v>226</v>
      </c>
      <c r="BI2283" t="s">
        <v>1412</v>
      </c>
      <c r="BJ2283">
        <v>30392</v>
      </c>
      <c r="BK2283">
        <v>16433</v>
      </c>
      <c r="BL2283">
        <v>71855</v>
      </c>
      <c r="BM2283">
        <v>0</v>
      </c>
      <c r="BN2283">
        <v>20274</v>
      </c>
      <c r="BO2283">
        <v>0</v>
      </c>
      <c r="BP2283">
        <v>55019</v>
      </c>
      <c r="BQ2283">
        <v>75293</v>
      </c>
      <c r="BR2283">
        <f t="shared" si="364"/>
        <v>-1199</v>
      </c>
      <c r="BS2283">
        <f t="shared" si="365"/>
        <v>14279</v>
      </c>
    </row>
    <row r="2284" spans="1:74" x14ac:dyDescent="0.25">
      <c r="A2284" s="5" t="s">
        <v>1451</v>
      </c>
      <c r="B2284" s="5" t="s">
        <v>207</v>
      </c>
      <c r="C2284" s="5" t="s">
        <v>61</v>
      </c>
      <c r="D2284" s="1" t="s">
        <v>79</v>
      </c>
      <c r="E2284">
        <v>0</v>
      </c>
      <c r="F2284">
        <v>0</v>
      </c>
      <c r="G2284">
        <v>0</v>
      </c>
      <c r="H2284">
        <v>0</v>
      </c>
      <c r="I2284">
        <v>3910</v>
      </c>
      <c r="J2284">
        <v>895</v>
      </c>
      <c r="K2284">
        <v>1539</v>
      </c>
      <c r="L2284">
        <v>180</v>
      </c>
      <c r="M2284">
        <v>0</v>
      </c>
      <c r="N2284">
        <v>0</v>
      </c>
      <c r="O2284">
        <v>0</v>
      </c>
      <c r="P2284">
        <v>0</v>
      </c>
      <c r="Q2284">
        <v>1203</v>
      </c>
      <c r="R2284">
        <v>0</v>
      </c>
      <c r="S2284" s="18" t="e">
        <f t="shared" si="356"/>
        <v>#DIV/0!</v>
      </c>
      <c r="T2284" s="17" t="e">
        <f t="shared" si="357"/>
        <v>#DIV/0!</v>
      </c>
      <c r="U2284" s="17" t="e">
        <f t="shared" si="358"/>
        <v>#DIV/0!</v>
      </c>
      <c r="V2284" s="17" t="e">
        <f t="shared" si="359"/>
        <v>#DIV/0!</v>
      </c>
      <c r="W2284" s="17" t="e">
        <f t="shared" si="360"/>
        <v>#DIV/0!</v>
      </c>
      <c r="X2284" s="17" t="e">
        <f t="shared" si="361"/>
        <v>#DIV/0!</v>
      </c>
      <c r="Y2284" s="19" t="e">
        <f t="shared" si="362"/>
        <v>#DIV/0!</v>
      </c>
      <c r="Z2284">
        <v>0</v>
      </c>
      <c r="AA2284">
        <v>0</v>
      </c>
      <c r="AB2284">
        <v>0</v>
      </c>
      <c r="AC2284">
        <v>350</v>
      </c>
      <c r="AD2284">
        <v>910</v>
      </c>
      <c r="AE2284">
        <v>0</v>
      </c>
      <c r="AF2284">
        <v>0</v>
      </c>
      <c r="AG2284">
        <v>3000</v>
      </c>
      <c r="AH2284">
        <v>3910</v>
      </c>
      <c r="AI2284">
        <v>0</v>
      </c>
      <c r="AJ2284">
        <v>0</v>
      </c>
      <c r="AK2284">
        <v>895</v>
      </c>
      <c r="AL2284">
        <v>895</v>
      </c>
      <c r="AM2284">
        <v>0</v>
      </c>
      <c r="AN2284">
        <v>0</v>
      </c>
      <c r="AO2284">
        <v>1539</v>
      </c>
      <c r="AP2284">
        <v>771</v>
      </c>
      <c r="AQ2284">
        <v>1539</v>
      </c>
      <c r="AR2284">
        <v>768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180</v>
      </c>
      <c r="BA2284">
        <v>180</v>
      </c>
      <c r="BB2284">
        <v>0</v>
      </c>
      <c r="BC2284">
        <v>0</v>
      </c>
      <c r="BD2284">
        <v>0</v>
      </c>
      <c r="BE2284">
        <f t="shared" si="363"/>
        <v>14937</v>
      </c>
      <c r="BF2284">
        <v>6874</v>
      </c>
      <c r="BG2284">
        <v>6874</v>
      </c>
      <c r="BH2284" t="s">
        <v>109</v>
      </c>
      <c r="BI2284" t="s">
        <v>1540</v>
      </c>
      <c r="BJ2284">
        <v>350</v>
      </c>
      <c r="BK2284">
        <v>6524</v>
      </c>
      <c r="BL2284">
        <v>6874</v>
      </c>
      <c r="BM2284">
        <v>910</v>
      </c>
      <c r="BN2284">
        <v>0</v>
      </c>
      <c r="BO2284">
        <v>0</v>
      </c>
      <c r="BP2284">
        <v>5614</v>
      </c>
      <c r="BQ2284">
        <v>6524</v>
      </c>
      <c r="BR2284">
        <f t="shared" si="364"/>
        <v>-1203</v>
      </c>
      <c r="BS2284">
        <f t="shared" si="365"/>
        <v>1203</v>
      </c>
    </row>
    <row r="2285" spans="1:74" x14ac:dyDescent="0.25">
      <c r="A2285" s="5" t="s">
        <v>1017</v>
      </c>
      <c r="B2285" s="5" t="s">
        <v>61</v>
      </c>
      <c r="C2285" s="5" t="s">
        <v>207</v>
      </c>
      <c r="D2285" s="1" t="s">
        <v>129</v>
      </c>
      <c r="E2285">
        <v>62</v>
      </c>
      <c r="F2285">
        <v>45</v>
      </c>
      <c r="G2285">
        <v>0</v>
      </c>
      <c r="H2285">
        <v>0</v>
      </c>
      <c r="I2285">
        <v>89</v>
      </c>
      <c r="J2285">
        <v>1655</v>
      </c>
      <c r="K2285">
        <v>453</v>
      </c>
      <c r="L2285">
        <v>100</v>
      </c>
      <c r="M2285">
        <v>0</v>
      </c>
      <c r="N2285">
        <v>0</v>
      </c>
      <c r="O2285">
        <v>0</v>
      </c>
      <c r="P2285">
        <v>198</v>
      </c>
      <c r="Q2285">
        <v>1230</v>
      </c>
      <c r="R2285">
        <v>22</v>
      </c>
      <c r="S2285" s="18">
        <f t="shared" si="356"/>
        <v>9</v>
      </c>
      <c r="T2285" s="17">
        <f t="shared" si="357"/>
        <v>0</v>
      </c>
      <c r="U2285" s="17">
        <f t="shared" si="358"/>
        <v>0</v>
      </c>
      <c r="V2285" s="17">
        <f t="shared" si="359"/>
        <v>0</v>
      </c>
      <c r="W2285" s="17">
        <f t="shared" si="360"/>
        <v>22</v>
      </c>
      <c r="X2285" s="17">
        <f t="shared" si="361"/>
        <v>1208</v>
      </c>
      <c r="Y2285" s="19">
        <f t="shared" si="362"/>
        <v>0</v>
      </c>
      <c r="Z2285">
        <v>45</v>
      </c>
      <c r="AA2285">
        <v>2</v>
      </c>
      <c r="AB2285">
        <v>258</v>
      </c>
      <c r="AC2285">
        <v>1447</v>
      </c>
      <c r="AD2285">
        <v>0</v>
      </c>
      <c r="AE2285">
        <v>0</v>
      </c>
      <c r="AF2285">
        <v>0</v>
      </c>
      <c r="AG2285">
        <v>89</v>
      </c>
      <c r="AH2285">
        <v>89</v>
      </c>
      <c r="AI2285">
        <v>0</v>
      </c>
      <c r="AJ2285">
        <v>0</v>
      </c>
      <c r="AK2285">
        <v>1655</v>
      </c>
      <c r="AL2285">
        <v>1655</v>
      </c>
      <c r="AM2285">
        <v>0</v>
      </c>
      <c r="AN2285">
        <v>0</v>
      </c>
      <c r="AO2285">
        <v>453</v>
      </c>
      <c r="AP2285">
        <v>153</v>
      </c>
      <c r="AQ2285">
        <v>453</v>
      </c>
      <c r="AR2285">
        <v>300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100</v>
      </c>
      <c r="BA2285">
        <v>100</v>
      </c>
      <c r="BB2285">
        <v>0</v>
      </c>
      <c r="BC2285">
        <v>0</v>
      </c>
      <c r="BD2285">
        <v>0</v>
      </c>
      <c r="BE2285">
        <f t="shared" si="363"/>
        <v>6494</v>
      </c>
      <c r="BF2285">
        <v>4111</v>
      </c>
      <c r="BG2285">
        <v>4111</v>
      </c>
      <c r="BH2285" t="s">
        <v>82</v>
      </c>
      <c r="BI2285" t="s">
        <v>1076</v>
      </c>
      <c r="BJ2285">
        <v>1769</v>
      </c>
      <c r="BK2285">
        <v>2297</v>
      </c>
      <c r="BL2285">
        <v>4111</v>
      </c>
      <c r="BM2285">
        <v>0</v>
      </c>
      <c r="BN2285">
        <v>0</v>
      </c>
      <c r="BO2285">
        <v>0</v>
      </c>
      <c r="BP2285">
        <v>2495</v>
      </c>
      <c r="BQ2285">
        <v>2495</v>
      </c>
      <c r="BR2285">
        <f t="shared" si="364"/>
        <v>-1208</v>
      </c>
      <c r="BS2285">
        <f t="shared" si="365"/>
        <v>1252</v>
      </c>
    </row>
    <row r="2286" spans="1:74" x14ac:dyDescent="0.25">
      <c r="A2286" s="5" t="s">
        <v>1661</v>
      </c>
      <c r="B2286" s="5" t="s">
        <v>359</v>
      </c>
      <c r="C2286" s="5" t="s">
        <v>61</v>
      </c>
      <c r="D2286" s="1" t="s">
        <v>121</v>
      </c>
      <c r="E2286">
        <v>0</v>
      </c>
      <c r="F2286">
        <v>130</v>
      </c>
      <c r="G2286">
        <v>0</v>
      </c>
      <c r="H2286">
        <v>0</v>
      </c>
      <c r="I2286">
        <v>343</v>
      </c>
      <c r="J2286">
        <v>10186</v>
      </c>
      <c r="K2286">
        <v>125</v>
      </c>
      <c r="L2286">
        <v>148</v>
      </c>
      <c r="M2286">
        <v>0</v>
      </c>
      <c r="N2286">
        <v>0</v>
      </c>
      <c r="O2286">
        <v>0</v>
      </c>
      <c r="P2286">
        <v>972</v>
      </c>
      <c r="Q2286">
        <v>1317</v>
      </c>
      <c r="R2286">
        <v>108</v>
      </c>
      <c r="S2286" s="18">
        <f t="shared" si="356"/>
        <v>9</v>
      </c>
      <c r="T2286" s="17">
        <f t="shared" si="357"/>
        <v>0</v>
      </c>
      <c r="U2286" s="17">
        <f t="shared" si="358"/>
        <v>0</v>
      </c>
      <c r="V2286" s="17">
        <f t="shared" si="359"/>
        <v>0</v>
      </c>
      <c r="W2286" s="17">
        <f t="shared" si="360"/>
        <v>108</v>
      </c>
      <c r="X2286" s="17">
        <f t="shared" si="361"/>
        <v>1209</v>
      </c>
      <c r="Y2286" s="19">
        <f t="shared" si="362"/>
        <v>0</v>
      </c>
      <c r="Z2286">
        <v>130</v>
      </c>
      <c r="AA2286">
        <v>0</v>
      </c>
      <c r="AB2286">
        <v>0</v>
      </c>
      <c r="AC2286">
        <v>10759</v>
      </c>
      <c r="AD2286">
        <v>0</v>
      </c>
      <c r="AE2286">
        <v>0</v>
      </c>
      <c r="AF2286">
        <v>0</v>
      </c>
      <c r="AG2286">
        <v>343</v>
      </c>
      <c r="AH2286">
        <v>343</v>
      </c>
      <c r="AI2286">
        <v>0</v>
      </c>
      <c r="AJ2286">
        <v>0</v>
      </c>
      <c r="AK2286">
        <v>10186</v>
      </c>
      <c r="AL2286">
        <v>10186</v>
      </c>
      <c r="AM2286">
        <v>0</v>
      </c>
      <c r="AN2286">
        <v>0</v>
      </c>
      <c r="AO2286">
        <v>125</v>
      </c>
      <c r="AP2286">
        <v>110</v>
      </c>
      <c r="AQ2286">
        <v>125</v>
      </c>
      <c r="AR2286">
        <v>15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148</v>
      </c>
      <c r="BA2286">
        <v>148</v>
      </c>
      <c r="BB2286">
        <v>0</v>
      </c>
      <c r="BC2286">
        <v>0</v>
      </c>
      <c r="BD2286">
        <v>0</v>
      </c>
      <c r="BE2286">
        <f t="shared" si="363"/>
        <v>32488</v>
      </c>
      <c r="BF2286">
        <v>21691</v>
      </c>
      <c r="BG2286">
        <v>21691</v>
      </c>
      <c r="BH2286" t="s">
        <v>82</v>
      </c>
      <c r="BI2286" t="s">
        <v>1879</v>
      </c>
      <c r="BJ2286">
        <v>10759</v>
      </c>
      <c r="BK2286">
        <v>10802</v>
      </c>
      <c r="BL2286">
        <v>21691</v>
      </c>
      <c r="BM2286">
        <v>0</v>
      </c>
      <c r="BN2286">
        <v>0</v>
      </c>
      <c r="BO2286">
        <v>0</v>
      </c>
      <c r="BP2286">
        <v>11774</v>
      </c>
      <c r="BQ2286">
        <v>11774</v>
      </c>
      <c r="BR2286">
        <f t="shared" si="364"/>
        <v>-1209</v>
      </c>
      <c r="BS2286">
        <f t="shared" si="365"/>
        <v>1425</v>
      </c>
    </row>
    <row r="2287" spans="1:74" x14ac:dyDescent="0.25">
      <c r="A2287" s="5" t="s">
        <v>2090</v>
      </c>
      <c r="B2287" s="5" t="s">
        <v>61</v>
      </c>
      <c r="C2287" s="5" t="s">
        <v>61</v>
      </c>
      <c r="D2287" s="1" t="s">
        <v>2206</v>
      </c>
      <c r="E2287">
        <v>886</v>
      </c>
      <c r="F2287">
        <v>1360</v>
      </c>
      <c r="G2287">
        <v>0</v>
      </c>
      <c r="H2287">
        <v>0</v>
      </c>
      <c r="I2287">
        <v>1272</v>
      </c>
      <c r="J2287">
        <v>7596</v>
      </c>
      <c r="K2287">
        <v>435</v>
      </c>
      <c r="L2287">
        <v>467</v>
      </c>
      <c r="M2287">
        <v>0</v>
      </c>
      <c r="N2287">
        <v>0</v>
      </c>
      <c r="O2287">
        <v>0</v>
      </c>
      <c r="P2287">
        <v>3087</v>
      </c>
      <c r="Q2287">
        <v>1575</v>
      </c>
      <c r="R2287">
        <v>343</v>
      </c>
      <c r="S2287" s="18">
        <f t="shared" si="356"/>
        <v>9</v>
      </c>
      <c r="T2287" s="17">
        <f t="shared" si="357"/>
        <v>0</v>
      </c>
      <c r="U2287" s="17">
        <f t="shared" si="358"/>
        <v>0</v>
      </c>
      <c r="V2287" s="17">
        <f t="shared" si="359"/>
        <v>0</v>
      </c>
      <c r="W2287" s="17">
        <f t="shared" si="360"/>
        <v>343</v>
      </c>
      <c r="X2287" s="17">
        <f t="shared" si="361"/>
        <v>1232</v>
      </c>
      <c r="Y2287" s="19">
        <f t="shared" si="362"/>
        <v>0</v>
      </c>
      <c r="Z2287">
        <v>1360</v>
      </c>
      <c r="AA2287">
        <v>0</v>
      </c>
      <c r="AB2287">
        <v>659</v>
      </c>
      <c r="AC2287">
        <v>18010</v>
      </c>
      <c r="AD2287">
        <v>0</v>
      </c>
      <c r="AE2287">
        <v>0</v>
      </c>
      <c r="AF2287">
        <v>0</v>
      </c>
      <c r="AG2287">
        <v>1272</v>
      </c>
      <c r="AH2287">
        <v>1272</v>
      </c>
      <c r="AI2287">
        <v>0</v>
      </c>
      <c r="AJ2287">
        <v>6596</v>
      </c>
      <c r="AK2287">
        <v>1000</v>
      </c>
      <c r="AL2287">
        <v>7596</v>
      </c>
      <c r="AM2287">
        <v>0</v>
      </c>
      <c r="AN2287">
        <v>0</v>
      </c>
      <c r="AO2287">
        <v>435</v>
      </c>
      <c r="AP2287">
        <v>62</v>
      </c>
      <c r="AQ2287">
        <v>435</v>
      </c>
      <c r="AR2287">
        <v>373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200</v>
      </c>
      <c r="AZ2287">
        <v>267</v>
      </c>
      <c r="BA2287">
        <v>467</v>
      </c>
      <c r="BB2287">
        <v>0</v>
      </c>
      <c r="BC2287">
        <v>0</v>
      </c>
      <c r="BD2287">
        <v>0</v>
      </c>
      <c r="BE2287">
        <f t="shared" si="363"/>
        <v>37985</v>
      </c>
      <c r="BF2287">
        <v>30685</v>
      </c>
      <c r="BG2287">
        <v>30685</v>
      </c>
      <c r="BH2287" t="s">
        <v>82</v>
      </c>
      <c r="BI2287" t="s">
        <v>2207</v>
      </c>
      <c r="BJ2287">
        <v>19555</v>
      </c>
      <c r="BK2287">
        <v>9770</v>
      </c>
      <c r="BL2287">
        <v>30685</v>
      </c>
      <c r="BM2287">
        <v>0</v>
      </c>
      <c r="BN2287">
        <v>6796</v>
      </c>
      <c r="BO2287">
        <v>0</v>
      </c>
      <c r="BP2287">
        <v>6061</v>
      </c>
      <c r="BQ2287">
        <v>12857</v>
      </c>
      <c r="BR2287">
        <f t="shared" si="364"/>
        <v>-1232</v>
      </c>
      <c r="BS2287">
        <f t="shared" si="365"/>
        <v>1918</v>
      </c>
    </row>
    <row r="2288" spans="1:74" x14ac:dyDescent="0.25">
      <c r="A2288" s="5" t="s">
        <v>1135</v>
      </c>
      <c r="B2288" s="5" t="s">
        <v>359</v>
      </c>
      <c r="C2288" s="5" t="s">
        <v>61</v>
      </c>
      <c r="D2288" s="1" t="s">
        <v>73</v>
      </c>
      <c r="E2288">
        <v>0</v>
      </c>
      <c r="F2288">
        <v>2920</v>
      </c>
      <c r="G2288">
        <v>0</v>
      </c>
      <c r="H2288">
        <v>0</v>
      </c>
      <c r="I2288">
        <v>1460</v>
      </c>
      <c r="J2288">
        <v>0</v>
      </c>
      <c r="K2288">
        <v>176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978</v>
      </c>
      <c r="R2288">
        <v>0</v>
      </c>
      <c r="S2288" s="18" t="e">
        <f t="shared" si="356"/>
        <v>#DIV/0!</v>
      </c>
      <c r="T2288" s="17" t="e">
        <f t="shared" si="357"/>
        <v>#DIV/0!</v>
      </c>
      <c r="U2288" s="17" t="e">
        <f t="shared" si="358"/>
        <v>#DIV/0!</v>
      </c>
      <c r="V2288" s="17" t="e">
        <f t="shared" si="359"/>
        <v>#DIV/0!</v>
      </c>
      <c r="W2288" s="17" t="e">
        <f t="shared" si="360"/>
        <v>#DIV/0!</v>
      </c>
      <c r="X2288" s="17" t="e">
        <f t="shared" si="361"/>
        <v>#DIV/0!</v>
      </c>
      <c r="Y2288" s="19" t="e">
        <f t="shared" si="362"/>
        <v>#DIV/0!</v>
      </c>
      <c r="Z2288">
        <v>2920</v>
      </c>
      <c r="AA2288">
        <v>0</v>
      </c>
      <c r="AB2288">
        <v>0</v>
      </c>
      <c r="AC2288">
        <v>0</v>
      </c>
      <c r="AD2288">
        <v>0</v>
      </c>
      <c r="AE2288">
        <v>1460</v>
      </c>
      <c r="AF2288">
        <v>0</v>
      </c>
      <c r="AG2288">
        <v>0</v>
      </c>
      <c r="AH2288">
        <v>1460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176</v>
      </c>
      <c r="AO2288">
        <v>0</v>
      </c>
      <c r="AP2288">
        <v>0</v>
      </c>
      <c r="AQ2288">
        <v>176</v>
      </c>
      <c r="AR2288">
        <v>176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f t="shared" si="363"/>
        <v>3448</v>
      </c>
      <c r="BF2288">
        <v>4556</v>
      </c>
      <c r="BG2288">
        <v>4556</v>
      </c>
      <c r="BH2288" t="s">
        <v>63</v>
      </c>
      <c r="BI2288" t="s">
        <v>1314</v>
      </c>
      <c r="BJ2288">
        <v>0</v>
      </c>
      <c r="BK2288">
        <v>1636</v>
      </c>
      <c r="BL2288">
        <v>4556</v>
      </c>
      <c r="BM2288">
        <v>0</v>
      </c>
      <c r="BN2288">
        <v>1636</v>
      </c>
      <c r="BO2288">
        <v>0</v>
      </c>
      <c r="BP2288">
        <v>0</v>
      </c>
      <c r="BQ2288">
        <v>1636</v>
      </c>
      <c r="BR2288">
        <f t="shared" si="364"/>
        <v>-978</v>
      </c>
      <c r="BS2288">
        <f t="shared" si="365"/>
        <v>978</v>
      </c>
      <c r="BU2288">
        <f>R2288*9</f>
        <v>0</v>
      </c>
      <c r="BV2288">
        <f>IF(BU2288&gt;BG2288, 1, 0)</f>
        <v>0</v>
      </c>
    </row>
    <row r="2289" spans="1:71" x14ac:dyDescent="0.25">
      <c r="A2289" s="5" t="s">
        <v>1661</v>
      </c>
      <c r="B2289" s="5" t="s">
        <v>207</v>
      </c>
      <c r="C2289" s="5" t="s">
        <v>61</v>
      </c>
      <c r="D2289" s="1" t="s">
        <v>77</v>
      </c>
      <c r="E2289">
        <v>273</v>
      </c>
      <c r="F2289">
        <v>30</v>
      </c>
      <c r="G2289">
        <v>0</v>
      </c>
      <c r="H2289">
        <v>0</v>
      </c>
      <c r="I2289">
        <v>1500</v>
      </c>
      <c r="J2289">
        <v>12199</v>
      </c>
      <c r="K2289">
        <v>4359</v>
      </c>
      <c r="L2289">
        <v>468</v>
      </c>
      <c r="M2289">
        <v>0</v>
      </c>
      <c r="N2289">
        <v>0</v>
      </c>
      <c r="O2289">
        <v>0</v>
      </c>
      <c r="P2289">
        <v>90</v>
      </c>
      <c r="Q2289">
        <v>1264</v>
      </c>
      <c r="R2289">
        <v>10</v>
      </c>
      <c r="S2289" s="18">
        <f t="shared" si="356"/>
        <v>9</v>
      </c>
      <c r="T2289" s="17">
        <f t="shared" si="357"/>
        <v>0</v>
      </c>
      <c r="U2289" s="17">
        <f t="shared" si="358"/>
        <v>0</v>
      </c>
      <c r="V2289" s="17">
        <f t="shared" si="359"/>
        <v>0</v>
      </c>
      <c r="W2289" s="17">
        <f t="shared" si="360"/>
        <v>10</v>
      </c>
      <c r="X2289" s="17">
        <f t="shared" si="361"/>
        <v>1254</v>
      </c>
      <c r="Y2289" s="19">
        <f t="shared" si="362"/>
        <v>0</v>
      </c>
      <c r="Z2289">
        <v>30</v>
      </c>
      <c r="AA2289">
        <v>150</v>
      </c>
      <c r="AB2289">
        <v>478</v>
      </c>
      <c r="AC2289">
        <v>9607</v>
      </c>
      <c r="AD2289">
        <v>0</v>
      </c>
      <c r="AE2289">
        <v>0</v>
      </c>
      <c r="AF2289">
        <v>0</v>
      </c>
      <c r="AG2289">
        <v>1500</v>
      </c>
      <c r="AH2289">
        <v>1500</v>
      </c>
      <c r="AI2289">
        <v>0</v>
      </c>
      <c r="AJ2289">
        <v>0</v>
      </c>
      <c r="AK2289">
        <v>12199</v>
      </c>
      <c r="AL2289">
        <v>12199</v>
      </c>
      <c r="AM2289">
        <v>0</v>
      </c>
      <c r="AN2289">
        <v>0</v>
      </c>
      <c r="AO2289">
        <v>4359</v>
      </c>
      <c r="AP2289">
        <v>3696</v>
      </c>
      <c r="AQ2289">
        <v>4359</v>
      </c>
      <c r="AR2289">
        <v>663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468</v>
      </c>
      <c r="BA2289">
        <v>468</v>
      </c>
      <c r="BB2289">
        <v>0</v>
      </c>
      <c r="BC2289">
        <v>0</v>
      </c>
      <c r="BD2289">
        <v>0</v>
      </c>
      <c r="BE2289">
        <f t="shared" si="363"/>
        <v>51018</v>
      </c>
      <c r="BF2289">
        <v>29064</v>
      </c>
      <c r="BG2289">
        <v>29064</v>
      </c>
      <c r="BH2289" t="s">
        <v>82</v>
      </c>
      <c r="BI2289" t="s">
        <v>1765</v>
      </c>
      <c r="BJ2289">
        <v>10508</v>
      </c>
      <c r="BK2289">
        <v>18526</v>
      </c>
      <c r="BL2289">
        <v>29064</v>
      </c>
      <c r="BM2289">
        <v>0</v>
      </c>
      <c r="BN2289">
        <v>0</v>
      </c>
      <c r="BO2289">
        <v>0</v>
      </c>
      <c r="BP2289">
        <v>18616</v>
      </c>
      <c r="BQ2289">
        <v>18616</v>
      </c>
      <c r="BR2289">
        <f t="shared" si="364"/>
        <v>-1254</v>
      </c>
      <c r="BS2289">
        <f t="shared" si="365"/>
        <v>1274</v>
      </c>
    </row>
    <row r="2290" spans="1:71" x14ac:dyDescent="0.25">
      <c r="A2290" s="5" t="s">
        <v>1451</v>
      </c>
      <c r="B2290" s="5" t="s">
        <v>61</v>
      </c>
      <c r="C2290" s="5" t="s">
        <v>207</v>
      </c>
      <c r="D2290" s="1" t="s">
        <v>111</v>
      </c>
      <c r="E2290">
        <v>0</v>
      </c>
      <c r="F2290">
        <v>1558</v>
      </c>
      <c r="G2290">
        <v>0</v>
      </c>
      <c r="H2290">
        <v>0</v>
      </c>
      <c r="I2290">
        <v>1124</v>
      </c>
      <c r="J2290">
        <v>22842</v>
      </c>
      <c r="K2290">
        <v>5493</v>
      </c>
      <c r="L2290">
        <v>370</v>
      </c>
      <c r="M2290">
        <v>0</v>
      </c>
      <c r="N2290">
        <v>0</v>
      </c>
      <c r="O2290">
        <v>0</v>
      </c>
      <c r="P2290">
        <v>6732</v>
      </c>
      <c r="Q2290">
        <v>2014</v>
      </c>
      <c r="R2290">
        <v>748</v>
      </c>
      <c r="S2290" s="18">
        <f t="shared" si="356"/>
        <v>9</v>
      </c>
      <c r="T2290" s="17">
        <f t="shared" si="357"/>
        <v>0</v>
      </c>
      <c r="U2290" s="17">
        <f t="shared" si="358"/>
        <v>0</v>
      </c>
      <c r="V2290" s="17">
        <f t="shared" si="359"/>
        <v>0</v>
      </c>
      <c r="W2290" s="17">
        <f t="shared" si="360"/>
        <v>748</v>
      </c>
      <c r="X2290" s="17">
        <f t="shared" si="361"/>
        <v>1266</v>
      </c>
      <c r="Y2290" s="19">
        <f t="shared" si="362"/>
        <v>0</v>
      </c>
      <c r="Z2290">
        <v>1679</v>
      </c>
      <c r="AA2290">
        <v>26</v>
      </c>
      <c r="AB2290">
        <v>0</v>
      </c>
      <c r="AC2290">
        <v>7500</v>
      </c>
      <c r="AD2290">
        <v>0</v>
      </c>
      <c r="AE2290">
        <v>656</v>
      </c>
      <c r="AF2290">
        <v>0</v>
      </c>
      <c r="AG2290">
        <v>468</v>
      </c>
      <c r="AH2290">
        <v>1124</v>
      </c>
      <c r="AI2290">
        <v>0</v>
      </c>
      <c r="AJ2290">
        <v>22842</v>
      </c>
      <c r="AK2290">
        <v>0</v>
      </c>
      <c r="AL2290">
        <v>22842</v>
      </c>
      <c r="AM2290">
        <v>0</v>
      </c>
      <c r="AN2290">
        <v>2289</v>
      </c>
      <c r="AO2290">
        <v>3152</v>
      </c>
      <c r="AP2290">
        <v>4069</v>
      </c>
      <c r="AQ2290">
        <v>5493</v>
      </c>
      <c r="AR2290">
        <v>1424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370</v>
      </c>
      <c r="AZ2290">
        <v>0</v>
      </c>
      <c r="BA2290">
        <v>370</v>
      </c>
      <c r="BB2290">
        <v>0</v>
      </c>
      <c r="BC2290">
        <v>0</v>
      </c>
      <c r="BD2290">
        <v>0</v>
      </c>
      <c r="BE2290">
        <f t="shared" si="363"/>
        <v>72599</v>
      </c>
      <c r="BF2290">
        <v>39034</v>
      </c>
      <c r="BG2290">
        <v>39034</v>
      </c>
      <c r="BH2290" t="s">
        <v>581</v>
      </c>
      <c r="BI2290" t="s">
        <v>1493</v>
      </c>
      <c r="BJ2290">
        <v>7526</v>
      </c>
      <c r="BK2290">
        <v>29829</v>
      </c>
      <c r="BL2290">
        <v>39034</v>
      </c>
      <c r="BM2290">
        <v>0</v>
      </c>
      <c r="BN2290">
        <v>26157</v>
      </c>
      <c r="BO2290">
        <v>0</v>
      </c>
      <c r="BP2290">
        <v>10352</v>
      </c>
      <c r="BQ2290">
        <v>36509</v>
      </c>
      <c r="BR2290">
        <f t="shared" si="364"/>
        <v>-1266</v>
      </c>
      <c r="BS2290">
        <f t="shared" si="365"/>
        <v>2762</v>
      </c>
    </row>
    <row r="2291" spans="1:71" x14ac:dyDescent="0.25">
      <c r="A2291" s="5" t="s">
        <v>1946</v>
      </c>
      <c r="B2291" s="5" t="s">
        <v>61</v>
      </c>
      <c r="C2291" s="5" t="s">
        <v>61</v>
      </c>
      <c r="D2291" s="1" t="s">
        <v>133</v>
      </c>
      <c r="E2291">
        <v>0</v>
      </c>
      <c r="F2291">
        <v>0</v>
      </c>
      <c r="G2291">
        <v>0</v>
      </c>
      <c r="H2291">
        <v>0</v>
      </c>
      <c r="I2291">
        <v>585</v>
      </c>
      <c r="J2291">
        <v>0</v>
      </c>
      <c r="K2291">
        <v>3928</v>
      </c>
      <c r="L2291">
        <v>200</v>
      </c>
      <c r="M2291">
        <v>0</v>
      </c>
      <c r="N2291">
        <v>0</v>
      </c>
      <c r="O2291">
        <v>0</v>
      </c>
      <c r="P2291">
        <v>0</v>
      </c>
      <c r="Q2291">
        <v>1267</v>
      </c>
      <c r="R2291">
        <v>0</v>
      </c>
      <c r="S2291" s="18" t="e">
        <f t="shared" si="356"/>
        <v>#DIV/0!</v>
      </c>
      <c r="T2291" s="17" t="e">
        <f t="shared" si="357"/>
        <v>#DIV/0!</v>
      </c>
      <c r="U2291" s="17" t="e">
        <f t="shared" si="358"/>
        <v>#DIV/0!</v>
      </c>
      <c r="V2291" s="17" t="e">
        <f t="shared" si="359"/>
        <v>#DIV/0!</v>
      </c>
      <c r="W2291" s="17" t="e">
        <f t="shared" si="360"/>
        <v>#DIV/0!</v>
      </c>
      <c r="X2291" s="17" t="e">
        <f t="shared" si="361"/>
        <v>#DIV/0!</v>
      </c>
      <c r="Y2291" s="19" t="e">
        <f t="shared" si="362"/>
        <v>#DIV/0!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585</v>
      </c>
      <c r="AH2291">
        <v>585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3142</v>
      </c>
      <c r="AO2291">
        <v>786</v>
      </c>
      <c r="AP2291">
        <v>1583</v>
      </c>
      <c r="AQ2291">
        <v>3928</v>
      </c>
      <c r="AR2291">
        <v>2345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200</v>
      </c>
      <c r="BA2291">
        <v>200</v>
      </c>
      <c r="BB2291">
        <v>0</v>
      </c>
      <c r="BC2291">
        <v>0</v>
      </c>
      <c r="BD2291">
        <v>0</v>
      </c>
      <c r="BE2291">
        <f t="shared" si="363"/>
        <v>13354</v>
      </c>
      <c r="BF2291">
        <v>4713</v>
      </c>
      <c r="BG2291">
        <v>4713</v>
      </c>
      <c r="BH2291" t="s">
        <v>109</v>
      </c>
      <c r="BI2291" t="s">
        <v>1979</v>
      </c>
      <c r="BJ2291">
        <v>0</v>
      </c>
      <c r="BK2291">
        <v>4713</v>
      </c>
      <c r="BL2291">
        <v>4713</v>
      </c>
      <c r="BM2291">
        <v>0</v>
      </c>
      <c r="BN2291">
        <v>3142</v>
      </c>
      <c r="BO2291">
        <v>0</v>
      </c>
      <c r="BP2291">
        <v>1571</v>
      </c>
      <c r="BQ2291">
        <v>4713</v>
      </c>
      <c r="BR2291">
        <f t="shared" si="364"/>
        <v>-1267</v>
      </c>
      <c r="BS2291">
        <f t="shared" si="365"/>
        <v>1267</v>
      </c>
    </row>
    <row r="2292" spans="1:71" x14ac:dyDescent="0.25">
      <c r="A2292" s="5" t="s">
        <v>875</v>
      </c>
      <c r="B2292" s="5" t="s">
        <v>61</v>
      </c>
      <c r="C2292" s="5" t="s">
        <v>207</v>
      </c>
      <c r="D2292" s="1" t="s">
        <v>957</v>
      </c>
      <c r="E2292">
        <v>0</v>
      </c>
      <c r="F2292">
        <v>1746</v>
      </c>
      <c r="G2292">
        <v>0</v>
      </c>
      <c r="H2292">
        <v>0</v>
      </c>
      <c r="I2292">
        <v>1625</v>
      </c>
      <c r="J2292">
        <v>19106</v>
      </c>
      <c r="K2292">
        <v>1010</v>
      </c>
      <c r="L2292">
        <v>395</v>
      </c>
      <c r="M2292">
        <v>0</v>
      </c>
      <c r="N2292">
        <v>0</v>
      </c>
      <c r="O2292">
        <v>0</v>
      </c>
      <c r="P2292">
        <v>5238</v>
      </c>
      <c r="Q2292">
        <v>1886</v>
      </c>
      <c r="R2292">
        <v>582</v>
      </c>
      <c r="S2292" s="18">
        <f t="shared" si="356"/>
        <v>9</v>
      </c>
      <c r="T2292" s="17">
        <f t="shared" si="357"/>
        <v>0</v>
      </c>
      <c r="U2292" s="17">
        <f t="shared" si="358"/>
        <v>0</v>
      </c>
      <c r="V2292" s="17">
        <f t="shared" si="359"/>
        <v>0</v>
      </c>
      <c r="W2292" s="17">
        <f t="shared" si="360"/>
        <v>582</v>
      </c>
      <c r="X2292" s="17">
        <f t="shared" si="361"/>
        <v>1304</v>
      </c>
      <c r="Y2292" s="19">
        <f t="shared" si="362"/>
        <v>0</v>
      </c>
      <c r="Z2292">
        <v>1746</v>
      </c>
      <c r="AA2292">
        <v>45</v>
      </c>
      <c r="AB2292">
        <v>250</v>
      </c>
      <c r="AC2292">
        <v>5500</v>
      </c>
      <c r="AD2292">
        <v>0</v>
      </c>
      <c r="AE2292">
        <v>0</v>
      </c>
      <c r="AF2292">
        <v>0</v>
      </c>
      <c r="AG2292">
        <v>1625</v>
      </c>
      <c r="AH2292">
        <v>1625</v>
      </c>
      <c r="AI2292">
        <v>0</v>
      </c>
      <c r="AJ2292">
        <v>7710</v>
      </c>
      <c r="AK2292">
        <v>11396</v>
      </c>
      <c r="AL2292">
        <v>19106</v>
      </c>
      <c r="AM2292">
        <v>0</v>
      </c>
      <c r="AN2292">
        <v>0</v>
      </c>
      <c r="AO2292">
        <v>1010</v>
      </c>
      <c r="AP2292">
        <v>366</v>
      </c>
      <c r="AQ2292">
        <v>1010</v>
      </c>
      <c r="AR2292">
        <v>644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200</v>
      </c>
      <c r="AZ2292">
        <v>195</v>
      </c>
      <c r="BA2292">
        <v>395</v>
      </c>
      <c r="BB2292">
        <v>0</v>
      </c>
      <c r="BC2292">
        <v>0</v>
      </c>
      <c r="BD2292">
        <v>0</v>
      </c>
      <c r="BE2292">
        <f t="shared" si="363"/>
        <v>50782</v>
      </c>
      <c r="BF2292">
        <v>29677</v>
      </c>
      <c r="BG2292">
        <v>29677</v>
      </c>
      <c r="BH2292" t="s">
        <v>82</v>
      </c>
      <c r="BI2292" t="s">
        <v>958</v>
      </c>
      <c r="BJ2292">
        <v>5795</v>
      </c>
      <c r="BK2292">
        <v>22136</v>
      </c>
      <c r="BL2292">
        <v>29677</v>
      </c>
      <c r="BM2292">
        <v>0</v>
      </c>
      <c r="BN2292">
        <v>7910</v>
      </c>
      <c r="BO2292">
        <v>0</v>
      </c>
      <c r="BP2292">
        <v>19464</v>
      </c>
      <c r="BQ2292">
        <v>27374</v>
      </c>
      <c r="BR2292">
        <f t="shared" si="364"/>
        <v>-1304</v>
      </c>
      <c r="BS2292">
        <f t="shared" si="365"/>
        <v>2468</v>
      </c>
    </row>
    <row r="2293" spans="1:71" x14ac:dyDescent="0.25">
      <c r="A2293" s="5" t="s">
        <v>1135</v>
      </c>
      <c r="B2293" s="5" t="s">
        <v>207</v>
      </c>
      <c r="C2293" s="5" t="s">
        <v>207</v>
      </c>
      <c r="D2293" s="1" t="s">
        <v>75</v>
      </c>
      <c r="E2293">
        <v>0</v>
      </c>
      <c r="F2293">
        <v>435</v>
      </c>
      <c r="G2293">
        <v>0</v>
      </c>
      <c r="H2293">
        <v>0</v>
      </c>
      <c r="I2293">
        <v>2350</v>
      </c>
      <c r="J2293">
        <v>3825</v>
      </c>
      <c r="K2293">
        <v>6221</v>
      </c>
      <c r="L2293">
        <v>460</v>
      </c>
      <c r="M2293">
        <v>1305</v>
      </c>
      <c r="N2293">
        <v>0</v>
      </c>
      <c r="O2293">
        <v>0</v>
      </c>
      <c r="P2293">
        <v>0</v>
      </c>
      <c r="Q2293">
        <v>1474</v>
      </c>
      <c r="R2293">
        <v>145</v>
      </c>
      <c r="S2293" s="18">
        <f t="shared" si="356"/>
        <v>9</v>
      </c>
      <c r="T2293" s="17">
        <f t="shared" si="357"/>
        <v>145</v>
      </c>
      <c r="U2293" s="17">
        <f t="shared" si="358"/>
        <v>0</v>
      </c>
      <c r="V2293" s="17">
        <f t="shared" si="359"/>
        <v>0</v>
      </c>
      <c r="W2293" s="17">
        <f t="shared" si="360"/>
        <v>0</v>
      </c>
      <c r="X2293" s="17">
        <f t="shared" si="361"/>
        <v>1329</v>
      </c>
      <c r="Y2293" s="19">
        <f t="shared" si="362"/>
        <v>0</v>
      </c>
      <c r="Z2293">
        <v>435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2350</v>
      </c>
      <c r="AH2293">
        <v>2350</v>
      </c>
      <c r="AI2293">
        <v>0</v>
      </c>
      <c r="AJ2293">
        <v>0</v>
      </c>
      <c r="AK2293">
        <v>3825</v>
      </c>
      <c r="AL2293">
        <v>3825</v>
      </c>
      <c r="AM2293">
        <v>0</v>
      </c>
      <c r="AN2293">
        <v>0</v>
      </c>
      <c r="AO2293">
        <v>6221</v>
      </c>
      <c r="AP2293">
        <v>1970</v>
      </c>
      <c r="AQ2293">
        <v>6221</v>
      </c>
      <c r="AR2293">
        <v>4251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460</v>
      </c>
      <c r="BA2293">
        <v>460</v>
      </c>
      <c r="BB2293">
        <v>0</v>
      </c>
      <c r="BC2293">
        <v>0</v>
      </c>
      <c r="BD2293">
        <v>0</v>
      </c>
      <c r="BE2293">
        <f t="shared" si="363"/>
        <v>31933</v>
      </c>
      <c r="BF2293">
        <v>13291</v>
      </c>
      <c r="BG2293">
        <v>13291</v>
      </c>
      <c r="BH2293" t="s">
        <v>109</v>
      </c>
      <c r="BI2293" t="s">
        <v>1261</v>
      </c>
      <c r="BJ2293">
        <v>0</v>
      </c>
      <c r="BK2293">
        <v>12856</v>
      </c>
      <c r="BL2293">
        <v>13291</v>
      </c>
      <c r="BM2293">
        <v>1305</v>
      </c>
      <c r="BN2293">
        <v>0</v>
      </c>
      <c r="BO2293">
        <v>0</v>
      </c>
      <c r="BP2293">
        <v>12856</v>
      </c>
      <c r="BQ2293">
        <v>14161</v>
      </c>
      <c r="BR2293">
        <f t="shared" si="364"/>
        <v>-1329</v>
      </c>
      <c r="BS2293">
        <f t="shared" si="365"/>
        <v>1619</v>
      </c>
    </row>
    <row r="2294" spans="1:71" x14ac:dyDescent="0.25">
      <c r="A2294" s="5" t="s">
        <v>1661</v>
      </c>
      <c r="B2294" s="5" t="s">
        <v>61</v>
      </c>
      <c r="C2294" s="5" t="s">
        <v>61</v>
      </c>
      <c r="D2294" s="1" t="s">
        <v>111</v>
      </c>
      <c r="E2294">
        <v>0</v>
      </c>
      <c r="F2294">
        <v>3200</v>
      </c>
      <c r="G2294">
        <v>0</v>
      </c>
      <c r="H2294">
        <v>0</v>
      </c>
      <c r="I2294">
        <v>5030</v>
      </c>
      <c r="J2294">
        <v>0</v>
      </c>
      <c r="K2294">
        <v>1955</v>
      </c>
      <c r="L2294">
        <v>0</v>
      </c>
      <c r="M2294">
        <v>0</v>
      </c>
      <c r="N2294">
        <v>0</v>
      </c>
      <c r="O2294">
        <v>0</v>
      </c>
      <c r="P2294">
        <v>3852</v>
      </c>
      <c r="Q2294">
        <v>1786</v>
      </c>
      <c r="R2294">
        <v>428</v>
      </c>
      <c r="S2294" s="18">
        <f t="shared" si="356"/>
        <v>9</v>
      </c>
      <c r="T2294" s="17">
        <f t="shared" si="357"/>
        <v>0</v>
      </c>
      <c r="U2294" s="17">
        <f t="shared" si="358"/>
        <v>0</v>
      </c>
      <c r="V2294" s="17">
        <f t="shared" si="359"/>
        <v>0</v>
      </c>
      <c r="W2294" s="17">
        <f t="shared" si="360"/>
        <v>428</v>
      </c>
      <c r="X2294" s="17">
        <f t="shared" si="361"/>
        <v>1358</v>
      </c>
      <c r="Y2294" s="19">
        <f t="shared" si="362"/>
        <v>0</v>
      </c>
      <c r="Z2294">
        <v>3200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5030</v>
      </c>
      <c r="AH2294">
        <v>5030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1955</v>
      </c>
      <c r="AP2294">
        <v>842</v>
      </c>
      <c r="AQ2294">
        <v>1955</v>
      </c>
      <c r="AR2294">
        <v>1113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f t="shared" si="363"/>
        <v>15925</v>
      </c>
      <c r="BF2294">
        <v>10185</v>
      </c>
      <c r="BG2294">
        <v>10185</v>
      </c>
      <c r="BH2294" t="s">
        <v>109</v>
      </c>
      <c r="BI2294" t="s">
        <v>1681</v>
      </c>
      <c r="BJ2294">
        <v>0</v>
      </c>
      <c r="BK2294">
        <v>6985</v>
      </c>
      <c r="BL2294">
        <v>10185</v>
      </c>
      <c r="BM2294">
        <v>0</v>
      </c>
      <c r="BN2294">
        <v>0</v>
      </c>
      <c r="BO2294">
        <v>0</v>
      </c>
      <c r="BP2294">
        <v>10837</v>
      </c>
      <c r="BQ2294">
        <v>10837</v>
      </c>
      <c r="BR2294">
        <f t="shared" si="364"/>
        <v>-1358</v>
      </c>
      <c r="BS2294">
        <f t="shared" si="365"/>
        <v>2214</v>
      </c>
    </row>
    <row r="2295" spans="1:71" x14ac:dyDescent="0.25">
      <c r="A2295" s="5" t="s">
        <v>359</v>
      </c>
      <c r="B2295" s="5" t="s">
        <v>627</v>
      </c>
      <c r="C2295" s="5" t="s">
        <v>61</v>
      </c>
      <c r="D2295" s="1" t="s">
        <v>92</v>
      </c>
      <c r="E2295">
        <v>0</v>
      </c>
      <c r="F2295">
        <v>2870</v>
      </c>
      <c r="G2295">
        <v>0</v>
      </c>
      <c r="H2295">
        <v>0</v>
      </c>
      <c r="I2295">
        <v>1368</v>
      </c>
      <c r="J2295">
        <v>0</v>
      </c>
      <c r="K2295">
        <v>6157</v>
      </c>
      <c r="L2295">
        <v>0</v>
      </c>
      <c r="M2295">
        <v>0</v>
      </c>
      <c r="N2295">
        <v>0</v>
      </c>
      <c r="O2295">
        <v>0</v>
      </c>
      <c r="P2295">
        <v>5166</v>
      </c>
      <c r="Q2295">
        <v>1950</v>
      </c>
      <c r="R2295">
        <v>574</v>
      </c>
      <c r="S2295" s="18">
        <f t="shared" si="356"/>
        <v>9</v>
      </c>
      <c r="T2295" s="17">
        <f t="shared" si="357"/>
        <v>0</v>
      </c>
      <c r="U2295" s="17">
        <f t="shared" si="358"/>
        <v>0</v>
      </c>
      <c r="V2295" s="17">
        <f t="shared" si="359"/>
        <v>0</v>
      </c>
      <c r="W2295" s="17">
        <f t="shared" si="360"/>
        <v>574</v>
      </c>
      <c r="X2295" s="17">
        <f t="shared" si="361"/>
        <v>1376</v>
      </c>
      <c r="Y2295" s="19">
        <f t="shared" si="362"/>
        <v>0</v>
      </c>
      <c r="Z2295">
        <v>2870</v>
      </c>
      <c r="AA2295">
        <v>0</v>
      </c>
      <c r="AB2295">
        <v>336</v>
      </c>
      <c r="AC2295">
        <v>8737</v>
      </c>
      <c r="AD2295">
        <v>0</v>
      </c>
      <c r="AE2295">
        <v>0</v>
      </c>
      <c r="AF2295">
        <v>0</v>
      </c>
      <c r="AG2295">
        <v>1368</v>
      </c>
      <c r="AH2295">
        <v>1368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6157</v>
      </c>
      <c r="AP2295">
        <v>5444</v>
      </c>
      <c r="AQ2295">
        <v>6157</v>
      </c>
      <c r="AR2295">
        <v>713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f t="shared" si="363"/>
        <v>29944</v>
      </c>
      <c r="BF2295">
        <v>19468</v>
      </c>
      <c r="BG2295">
        <v>19468</v>
      </c>
      <c r="BH2295" t="s">
        <v>82</v>
      </c>
      <c r="BI2295" t="s">
        <v>805</v>
      </c>
      <c r="BJ2295">
        <v>9073</v>
      </c>
      <c r="BK2295">
        <v>7525</v>
      </c>
      <c r="BL2295">
        <v>19468</v>
      </c>
      <c r="BM2295">
        <v>0</v>
      </c>
      <c r="BN2295">
        <v>0</v>
      </c>
      <c r="BO2295">
        <v>0</v>
      </c>
      <c r="BP2295">
        <v>12691</v>
      </c>
      <c r="BQ2295">
        <v>12691</v>
      </c>
      <c r="BR2295">
        <f t="shared" si="364"/>
        <v>-1376</v>
      </c>
      <c r="BS2295">
        <f t="shared" si="365"/>
        <v>2524</v>
      </c>
    </row>
    <row r="2296" spans="1:71" x14ac:dyDescent="0.25">
      <c r="A2296" s="5" t="s">
        <v>207</v>
      </c>
      <c r="B2296" s="5" t="s">
        <v>627</v>
      </c>
      <c r="C2296" s="5" t="s">
        <v>61</v>
      </c>
      <c r="D2296" s="1" t="s">
        <v>81</v>
      </c>
      <c r="E2296">
        <v>0</v>
      </c>
      <c r="F2296">
        <v>615</v>
      </c>
      <c r="G2296">
        <v>0</v>
      </c>
      <c r="H2296">
        <v>0</v>
      </c>
      <c r="I2296">
        <v>5350</v>
      </c>
      <c r="J2296">
        <v>0</v>
      </c>
      <c r="K2296">
        <v>0</v>
      </c>
      <c r="L2296">
        <v>0</v>
      </c>
      <c r="M2296">
        <v>1143</v>
      </c>
      <c r="N2296">
        <v>0</v>
      </c>
      <c r="O2296">
        <v>0</v>
      </c>
      <c r="P2296">
        <v>0</v>
      </c>
      <c r="Q2296">
        <v>1548</v>
      </c>
      <c r="R2296">
        <v>127</v>
      </c>
      <c r="S2296" s="18">
        <f t="shared" si="356"/>
        <v>9</v>
      </c>
      <c r="T2296" s="17">
        <f t="shared" si="357"/>
        <v>127</v>
      </c>
      <c r="U2296" s="17">
        <f t="shared" si="358"/>
        <v>0</v>
      </c>
      <c r="V2296" s="17">
        <f t="shared" si="359"/>
        <v>0</v>
      </c>
      <c r="W2296" s="17">
        <f t="shared" si="360"/>
        <v>0</v>
      </c>
      <c r="X2296" s="17">
        <f t="shared" si="361"/>
        <v>1421</v>
      </c>
      <c r="Y2296" s="19">
        <f t="shared" si="362"/>
        <v>0</v>
      </c>
      <c r="Z2296">
        <v>615</v>
      </c>
      <c r="AA2296">
        <v>0</v>
      </c>
      <c r="AB2296">
        <v>0</v>
      </c>
      <c r="AC2296">
        <v>0</v>
      </c>
      <c r="AD2296">
        <v>2700</v>
      </c>
      <c r="AE2296">
        <v>0</v>
      </c>
      <c r="AF2296">
        <v>0</v>
      </c>
      <c r="AG2296">
        <v>2650</v>
      </c>
      <c r="AH2296">
        <v>5350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f t="shared" si="363"/>
        <v>10700</v>
      </c>
      <c r="BF2296">
        <v>5965</v>
      </c>
      <c r="BG2296">
        <v>5965</v>
      </c>
      <c r="BH2296" t="s">
        <v>109</v>
      </c>
      <c r="BI2296" t="s">
        <v>512</v>
      </c>
      <c r="BJ2296">
        <v>0</v>
      </c>
      <c r="BK2296">
        <v>5350</v>
      </c>
      <c r="BL2296">
        <v>5965</v>
      </c>
      <c r="BM2296">
        <v>3843</v>
      </c>
      <c r="BN2296">
        <v>0</v>
      </c>
      <c r="BO2296">
        <v>0</v>
      </c>
      <c r="BP2296">
        <v>2650</v>
      </c>
      <c r="BQ2296">
        <v>6493</v>
      </c>
      <c r="BR2296">
        <f t="shared" si="364"/>
        <v>-1421</v>
      </c>
      <c r="BS2296">
        <f t="shared" si="365"/>
        <v>1675</v>
      </c>
    </row>
    <row r="2297" spans="1:71" x14ac:dyDescent="0.25">
      <c r="A2297" s="5" t="s">
        <v>1135</v>
      </c>
      <c r="B2297" s="6" t="s">
        <v>61</v>
      </c>
      <c r="C2297" s="6" t="s">
        <v>61</v>
      </c>
      <c r="D2297" s="1" t="s">
        <v>115</v>
      </c>
      <c r="E2297">
        <v>410</v>
      </c>
      <c r="F2297">
        <v>260</v>
      </c>
      <c r="G2297">
        <v>0</v>
      </c>
      <c r="H2297">
        <v>0</v>
      </c>
      <c r="I2297">
        <v>2200</v>
      </c>
      <c r="J2297">
        <v>13735</v>
      </c>
      <c r="K2297">
        <v>2400</v>
      </c>
      <c r="L2297">
        <v>350</v>
      </c>
      <c r="M2297">
        <v>0</v>
      </c>
      <c r="N2297">
        <v>0</v>
      </c>
      <c r="O2297">
        <v>0</v>
      </c>
      <c r="P2297">
        <v>1908</v>
      </c>
      <c r="Q2297">
        <v>1634</v>
      </c>
      <c r="R2297">
        <v>212</v>
      </c>
      <c r="S2297" s="18">
        <f t="shared" si="356"/>
        <v>9</v>
      </c>
      <c r="T2297" s="17">
        <f t="shared" si="357"/>
        <v>0</v>
      </c>
      <c r="U2297" s="17">
        <f t="shared" si="358"/>
        <v>0</v>
      </c>
      <c r="V2297" s="17">
        <f t="shared" si="359"/>
        <v>0</v>
      </c>
      <c r="W2297" s="17">
        <f t="shared" si="360"/>
        <v>212</v>
      </c>
      <c r="X2297" s="17">
        <f t="shared" si="361"/>
        <v>1422</v>
      </c>
      <c r="Y2297" s="19">
        <f t="shared" si="362"/>
        <v>0</v>
      </c>
      <c r="Z2297">
        <v>260</v>
      </c>
      <c r="AA2297">
        <v>60</v>
      </c>
      <c r="AB2297">
        <v>350</v>
      </c>
      <c r="AC2297">
        <v>7250</v>
      </c>
      <c r="AD2297">
        <v>0</v>
      </c>
      <c r="AE2297">
        <v>0</v>
      </c>
      <c r="AF2297">
        <v>0</v>
      </c>
      <c r="AG2297">
        <v>2200</v>
      </c>
      <c r="AH2297">
        <v>2200</v>
      </c>
      <c r="AI2297">
        <v>0</v>
      </c>
      <c r="AJ2297">
        <v>12840</v>
      </c>
      <c r="AK2297">
        <v>895</v>
      </c>
      <c r="AL2297">
        <v>13735</v>
      </c>
      <c r="AM2297">
        <v>0</v>
      </c>
      <c r="AN2297">
        <v>0</v>
      </c>
      <c r="AO2297">
        <v>2400</v>
      </c>
      <c r="AP2297">
        <v>1800</v>
      </c>
      <c r="AQ2297">
        <v>2400</v>
      </c>
      <c r="AR2297">
        <v>600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350</v>
      </c>
      <c r="BA2297">
        <v>350</v>
      </c>
      <c r="BB2297">
        <v>0</v>
      </c>
      <c r="BC2297">
        <v>0</v>
      </c>
      <c r="BD2297">
        <v>0</v>
      </c>
      <c r="BE2297">
        <f t="shared" si="363"/>
        <v>47020</v>
      </c>
      <c r="BF2297">
        <v>27015</v>
      </c>
      <c r="BG2297">
        <v>27015</v>
      </c>
      <c r="BH2297" t="s">
        <v>82</v>
      </c>
      <c r="BI2297" t="s">
        <v>1156</v>
      </c>
      <c r="BJ2297">
        <v>8070</v>
      </c>
      <c r="BK2297">
        <v>18685</v>
      </c>
      <c r="BL2297">
        <v>27015</v>
      </c>
      <c r="BM2297">
        <v>0</v>
      </c>
      <c r="BN2297">
        <v>12840</v>
      </c>
      <c r="BO2297">
        <v>0</v>
      </c>
      <c r="BP2297">
        <v>7753</v>
      </c>
      <c r="BQ2297">
        <v>20593</v>
      </c>
      <c r="BR2297">
        <f t="shared" si="364"/>
        <v>-1422</v>
      </c>
      <c r="BS2297">
        <f t="shared" si="365"/>
        <v>1846</v>
      </c>
    </row>
    <row r="2298" spans="1:71" x14ac:dyDescent="0.25">
      <c r="A2298" s="5" t="s">
        <v>1337</v>
      </c>
      <c r="B2298" s="7" t="s">
        <v>207</v>
      </c>
      <c r="C2298" s="7" t="s">
        <v>61</v>
      </c>
      <c r="D2298" s="1" t="s">
        <v>108</v>
      </c>
      <c r="E2298">
        <v>0</v>
      </c>
      <c r="F2298">
        <v>5076</v>
      </c>
      <c r="G2298">
        <v>0</v>
      </c>
      <c r="H2298">
        <v>0</v>
      </c>
      <c r="I2298">
        <v>0</v>
      </c>
      <c r="J2298">
        <v>0</v>
      </c>
      <c r="K2298">
        <v>76</v>
      </c>
      <c r="L2298">
        <v>0</v>
      </c>
      <c r="M2298">
        <v>0</v>
      </c>
      <c r="N2298">
        <v>0</v>
      </c>
      <c r="O2298">
        <v>0</v>
      </c>
      <c r="P2298">
        <v>2034</v>
      </c>
      <c r="Q2298">
        <v>1687</v>
      </c>
      <c r="R2298">
        <v>226</v>
      </c>
      <c r="S2298" s="18">
        <f t="shared" si="356"/>
        <v>9</v>
      </c>
      <c r="T2298" s="17">
        <f t="shared" si="357"/>
        <v>0</v>
      </c>
      <c r="U2298" s="17">
        <f t="shared" si="358"/>
        <v>0</v>
      </c>
      <c r="V2298" s="17">
        <f t="shared" si="359"/>
        <v>0</v>
      </c>
      <c r="W2298" s="17">
        <f t="shared" si="360"/>
        <v>226</v>
      </c>
      <c r="X2298" s="17">
        <f t="shared" si="361"/>
        <v>1461</v>
      </c>
      <c r="Y2298" s="19">
        <f t="shared" si="362"/>
        <v>0</v>
      </c>
      <c r="Z2298">
        <v>5076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2697</v>
      </c>
      <c r="AH2298">
        <v>2697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76</v>
      </c>
      <c r="AP2298">
        <v>0</v>
      </c>
      <c r="AQ2298">
        <v>76</v>
      </c>
      <c r="AR2298">
        <v>76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f t="shared" si="363"/>
        <v>5622</v>
      </c>
      <c r="BF2298">
        <v>7849</v>
      </c>
      <c r="BG2298">
        <v>7849</v>
      </c>
      <c r="BH2298" t="s">
        <v>109</v>
      </c>
      <c r="BI2298" t="s">
        <v>1392</v>
      </c>
      <c r="BJ2298">
        <v>0</v>
      </c>
      <c r="BK2298">
        <v>2773</v>
      </c>
      <c r="BL2298">
        <v>7849</v>
      </c>
      <c r="BM2298">
        <v>0</v>
      </c>
      <c r="BN2298">
        <v>0</v>
      </c>
      <c r="BO2298">
        <v>0</v>
      </c>
      <c r="BP2298">
        <v>4807</v>
      </c>
      <c r="BQ2298">
        <v>4807</v>
      </c>
      <c r="BR2298">
        <f t="shared" si="364"/>
        <v>-1461</v>
      </c>
      <c r="BS2298">
        <f t="shared" si="365"/>
        <v>1913</v>
      </c>
    </row>
    <row r="2299" spans="1:71" x14ac:dyDescent="0.25">
      <c r="A2299" s="5" t="s">
        <v>1661</v>
      </c>
      <c r="B2299" s="5" t="s">
        <v>359</v>
      </c>
      <c r="C2299" s="5" t="s">
        <v>359</v>
      </c>
      <c r="D2299" s="1" t="s">
        <v>115</v>
      </c>
      <c r="E2299">
        <v>0</v>
      </c>
      <c r="F2299">
        <v>1248</v>
      </c>
      <c r="G2299">
        <v>0</v>
      </c>
      <c r="H2299">
        <v>0</v>
      </c>
      <c r="I2299">
        <v>1461</v>
      </c>
      <c r="J2299">
        <v>18379</v>
      </c>
      <c r="K2299">
        <v>1725</v>
      </c>
      <c r="L2299">
        <v>395</v>
      </c>
      <c r="M2299">
        <v>0</v>
      </c>
      <c r="N2299">
        <v>0</v>
      </c>
      <c r="O2299">
        <v>0</v>
      </c>
      <c r="P2299">
        <v>2826</v>
      </c>
      <c r="Q2299">
        <v>1800</v>
      </c>
      <c r="R2299">
        <v>314</v>
      </c>
      <c r="S2299" s="18">
        <f t="shared" si="356"/>
        <v>9</v>
      </c>
      <c r="T2299" s="17">
        <f t="shared" si="357"/>
        <v>0</v>
      </c>
      <c r="U2299" s="17">
        <f t="shared" si="358"/>
        <v>0</v>
      </c>
      <c r="V2299" s="17">
        <f t="shared" si="359"/>
        <v>0</v>
      </c>
      <c r="W2299" s="17">
        <f t="shared" si="360"/>
        <v>314</v>
      </c>
      <c r="X2299" s="17">
        <f t="shared" si="361"/>
        <v>1486</v>
      </c>
      <c r="Y2299" s="19">
        <f t="shared" si="362"/>
        <v>0</v>
      </c>
      <c r="Z2299">
        <v>1248</v>
      </c>
      <c r="AA2299">
        <v>0</v>
      </c>
      <c r="AB2299">
        <v>0</v>
      </c>
      <c r="AC2299">
        <v>23579</v>
      </c>
      <c r="AD2299">
        <v>0</v>
      </c>
      <c r="AE2299">
        <v>0</v>
      </c>
      <c r="AF2299">
        <v>0</v>
      </c>
      <c r="AG2299">
        <v>1461</v>
      </c>
      <c r="AH2299">
        <v>1461</v>
      </c>
      <c r="AI2299">
        <v>0</v>
      </c>
      <c r="AJ2299">
        <v>0</v>
      </c>
      <c r="AK2299">
        <v>18379</v>
      </c>
      <c r="AL2299">
        <v>18379</v>
      </c>
      <c r="AM2299">
        <v>0</v>
      </c>
      <c r="AN2299">
        <v>0</v>
      </c>
      <c r="AO2299">
        <v>1725</v>
      </c>
      <c r="AP2299">
        <v>834</v>
      </c>
      <c r="AQ2299">
        <v>1725</v>
      </c>
      <c r="AR2299">
        <v>891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395</v>
      </c>
      <c r="BA2299">
        <v>395</v>
      </c>
      <c r="BB2299">
        <v>0</v>
      </c>
      <c r="BC2299">
        <v>0</v>
      </c>
      <c r="BD2299">
        <v>0</v>
      </c>
      <c r="BE2299">
        <f t="shared" si="363"/>
        <v>69224</v>
      </c>
      <c r="BF2299">
        <v>46787</v>
      </c>
      <c r="BG2299">
        <v>46787</v>
      </c>
      <c r="BH2299" t="s">
        <v>82</v>
      </c>
      <c r="BI2299" t="s">
        <v>1941</v>
      </c>
      <c r="BJ2299">
        <v>23579</v>
      </c>
      <c r="BK2299">
        <v>21960</v>
      </c>
      <c r="BL2299">
        <v>46787</v>
      </c>
      <c r="BM2299">
        <v>0</v>
      </c>
      <c r="BN2299">
        <v>0</v>
      </c>
      <c r="BO2299">
        <v>0</v>
      </c>
      <c r="BP2299">
        <v>24786</v>
      </c>
      <c r="BQ2299">
        <v>24786</v>
      </c>
      <c r="BR2299">
        <f t="shared" si="364"/>
        <v>-1486</v>
      </c>
      <c r="BS2299">
        <f t="shared" si="365"/>
        <v>2114</v>
      </c>
    </row>
    <row r="2300" spans="1:71" x14ac:dyDescent="0.25">
      <c r="A2300" s="5" t="s">
        <v>359</v>
      </c>
      <c r="B2300" s="5" t="s">
        <v>207</v>
      </c>
      <c r="C2300" s="5" t="s">
        <v>61</v>
      </c>
      <c r="D2300" s="1" t="s">
        <v>86</v>
      </c>
      <c r="E2300">
        <v>0</v>
      </c>
      <c r="F2300">
        <v>0</v>
      </c>
      <c r="G2300">
        <v>0</v>
      </c>
      <c r="H2300">
        <v>0</v>
      </c>
      <c r="I2300">
        <v>1450</v>
      </c>
      <c r="J2300">
        <v>12115</v>
      </c>
      <c r="K2300">
        <v>2196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1516</v>
      </c>
      <c r="R2300">
        <v>0</v>
      </c>
      <c r="S2300" s="18" t="e">
        <f t="shared" si="356"/>
        <v>#DIV/0!</v>
      </c>
      <c r="T2300" s="17" t="e">
        <f t="shared" si="357"/>
        <v>#DIV/0!</v>
      </c>
      <c r="U2300" s="17" t="e">
        <f t="shared" si="358"/>
        <v>#DIV/0!</v>
      </c>
      <c r="V2300" s="17" t="e">
        <f t="shared" si="359"/>
        <v>#DIV/0!</v>
      </c>
      <c r="W2300" s="17" t="e">
        <f t="shared" si="360"/>
        <v>#DIV/0!</v>
      </c>
      <c r="X2300" s="17" t="e">
        <f t="shared" si="361"/>
        <v>#DIV/0!</v>
      </c>
      <c r="Y2300" s="19" t="e">
        <f t="shared" si="362"/>
        <v>#DIV/0!</v>
      </c>
      <c r="Z2300">
        <v>0</v>
      </c>
      <c r="AA2300">
        <v>2</v>
      </c>
      <c r="AB2300">
        <v>0</v>
      </c>
      <c r="AC2300">
        <v>11160</v>
      </c>
      <c r="AD2300">
        <v>0</v>
      </c>
      <c r="AE2300">
        <v>0</v>
      </c>
      <c r="AF2300">
        <v>0</v>
      </c>
      <c r="AG2300">
        <v>1450</v>
      </c>
      <c r="AH2300">
        <v>1450</v>
      </c>
      <c r="AI2300">
        <v>0</v>
      </c>
      <c r="AJ2300">
        <v>0</v>
      </c>
      <c r="AK2300">
        <v>12115</v>
      </c>
      <c r="AL2300">
        <v>12115</v>
      </c>
      <c r="AM2300">
        <v>0</v>
      </c>
      <c r="AN2300">
        <v>0</v>
      </c>
      <c r="AO2300">
        <v>2196</v>
      </c>
      <c r="AP2300">
        <v>0</v>
      </c>
      <c r="AQ2300">
        <v>2196</v>
      </c>
      <c r="AR2300">
        <v>2196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f t="shared" si="363"/>
        <v>44878</v>
      </c>
      <c r="BF2300">
        <v>26923</v>
      </c>
      <c r="BG2300">
        <v>26923</v>
      </c>
      <c r="BH2300" t="s">
        <v>82</v>
      </c>
      <c r="BI2300" t="s">
        <v>741</v>
      </c>
      <c r="BJ2300">
        <v>11162</v>
      </c>
      <c r="BK2300">
        <v>15761</v>
      </c>
      <c r="BL2300">
        <v>26923</v>
      </c>
      <c r="BM2300">
        <v>0</v>
      </c>
      <c r="BN2300">
        <v>0</v>
      </c>
      <c r="BO2300">
        <v>0</v>
      </c>
      <c r="BP2300">
        <v>15761</v>
      </c>
      <c r="BQ2300">
        <v>15761</v>
      </c>
      <c r="BR2300">
        <f t="shared" si="364"/>
        <v>-1516</v>
      </c>
      <c r="BS2300">
        <f t="shared" si="365"/>
        <v>1516</v>
      </c>
    </row>
    <row r="2301" spans="1:71" x14ac:dyDescent="0.25">
      <c r="A2301" s="5" t="s">
        <v>1451</v>
      </c>
      <c r="B2301" s="5" t="s">
        <v>61</v>
      </c>
      <c r="C2301" s="5" t="s">
        <v>627</v>
      </c>
      <c r="D2301" s="1" t="s">
        <v>106</v>
      </c>
      <c r="E2301">
        <v>0</v>
      </c>
      <c r="F2301">
        <v>476</v>
      </c>
      <c r="G2301">
        <v>0</v>
      </c>
      <c r="H2301">
        <v>0</v>
      </c>
      <c r="I2301">
        <v>501</v>
      </c>
      <c r="J2301">
        <v>5158</v>
      </c>
      <c r="K2301">
        <v>3487</v>
      </c>
      <c r="L2301">
        <v>0</v>
      </c>
      <c r="M2301">
        <v>0</v>
      </c>
      <c r="N2301">
        <v>1422</v>
      </c>
      <c r="O2301">
        <v>0</v>
      </c>
      <c r="P2301">
        <v>684</v>
      </c>
      <c r="Q2301">
        <v>1842</v>
      </c>
      <c r="R2301">
        <v>234</v>
      </c>
      <c r="S2301" s="18">
        <f t="shared" si="356"/>
        <v>9</v>
      </c>
      <c r="T2301" s="17">
        <f t="shared" si="357"/>
        <v>0</v>
      </c>
      <c r="U2301" s="17">
        <f t="shared" si="358"/>
        <v>158</v>
      </c>
      <c r="V2301" s="17">
        <f t="shared" si="359"/>
        <v>0</v>
      </c>
      <c r="W2301" s="17">
        <f t="shared" si="360"/>
        <v>76</v>
      </c>
      <c r="X2301" s="17">
        <f t="shared" si="361"/>
        <v>1608</v>
      </c>
      <c r="Y2301" s="19">
        <f t="shared" si="362"/>
        <v>0</v>
      </c>
      <c r="Z2301">
        <v>476</v>
      </c>
      <c r="AA2301">
        <v>0</v>
      </c>
      <c r="AB2301">
        <v>0</v>
      </c>
      <c r="AC2301">
        <v>4682</v>
      </c>
      <c r="AD2301">
        <v>0</v>
      </c>
      <c r="AE2301">
        <v>468</v>
      </c>
      <c r="AF2301">
        <v>0</v>
      </c>
      <c r="AG2301">
        <v>33</v>
      </c>
      <c r="AH2301">
        <v>501</v>
      </c>
      <c r="AI2301">
        <v>0</v>
      </c>
      <c r="AJ2301">
        <v>5158</v>
      </c>
      <c r="AK2301">
        <v>0</v>
      </c>
      <c r="AL2301">
        <v>5158</v>
      </c>
      <c r="AM2301">
        <v>0</v>
      </c>
      <c r="AN2301">
        <v>3387</v>
      </c>
      <c r="AO2301">
        <v>100</v>
      </c>
      <c r="AP2301">
        <v>648</v>
      </c>
      <c r="AQ2301">
        <v>3487</v>
      </c>
      <c r="AR2301">
        <v>2839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f t="shared" si="363"/>
        <v>26461</v>
      </c>
      <c r="BF2301">
        <v>14304</v>
      </c>
      <c r="BG2301">
        <v>14304</v>
      </c>
      <c r="BH2301" t="s">
        <v>82</v>
      </c>
      <c r="BI2301" t="s">
        <v>1529</v>
      </c>
      <c r="BJ2301">
        <v>4682</v>
      </c>
      <c r="BK2301">
        <v>9146</v>
      </c>
      <c r="BL2301">
        <v>14304</v>
      </c>
      <c r="BM2301">
        <v>0</v>
      </c>
      <c r="BN2301">
        <v>10435</v>
      </c>
      <c r="BO2301">
        <v>0</v>
      </c>
      <c r="BP2301">
        <v>817</v>
      </c>
      <c r="BQ2301">
        <v>11252</v>
      </c>
      <c r="BR2301">
        <f t="shared" si="364"/>
        <v>-1608</v>
      </c>
      <c r="BS2301">
        <f t="shared" si="365"/>
        <v>2076</v>
      </c>
    </row>
    <row r="2302" spans="1:71" x14ac:dyDescent="0.25">
      <c r="A2302" s="5" t="s">
        <v>61</v>
      </c>
      <c r="B2302" s="5" t="s">
        <v>207</v>
      </c>
      <c r="C2302" s="5" t="s">
        <v>207</v>
      </c>
      <c r="D2302" s="1" t="s">
        <v>77</v>
      </c>
      <c r="E2302">
        <v>0</v>
      </c>
      <c r="F2302">
        <v>26</v>
      </c>
      <c r="G2302">
        <v>0</v>
      </c>
      <c r="H2302">
        <v>0</v>
      </c>
      <c r="I2302">
        <v>10296</v>
      </c>
      <c r="J2302">
        <v>0</v>
      </c>
      <c r="K2302">
        <v>222</v>
      </c>
      <c r="L2302">
        <v>0</v>
      </c>
      <c r="M2302">
        <v>0</v>
      </c>
      <c r="N2302">
        <v>0</v>
      </c>
      <c r="O2302">
        <v>0</v>
      </c>
      <c r="P2302">
        <v>234</v>
      </c>
      <c r="Q2302">
        <v>1641</v>
      </c>
      <c r="R2302">
        <v>26</v>
      </c>
      <c r="S2302" s="18">
        <f t="shared" si="356"/>
        <v>9</v>
      </c>
      <c r="T2302" s="17">
        <f t="shared" si="357"/>
        <v>0</v>
      </c>
      <c r="U2302" s="17">
        <f t="shared" si="358"/>
        <v>0</v>
      </c>
      <c r="V2302" s="17">
        <f t="shared" si="359"/>
        <v>0</v>
      </c>
      <c r="W2302" s="17">
        <f t="shared" si="360"/>
        <v>26</v>
      </c>
      <c r="X2302" s="17">
        <f t="shared" si="361"/>
        <v>1615</v>
      </c>
      <c r="Y2302" s="19">
        <f t="shared" si="362"/>
        <v>0</v>
      </c>
      <c r="Z2302">
        <v>26</v>
      </c>
      <c r="AA2302">
        <v>0</v>
      </c>
      <c r="AB2302">
        <v>0</v>
      </c>
      <c r="AC2302">
        <v>0</v>
      </c>
      <c r="AD2302">
        <v>0</v>
      </c>
      <c r="AE2302">
        <v>10296</v>
      </c>
      <c r="AF2302">
        <v>0</v>
      </c>
      <c r="AG2302">
        <v>0</v>
      </c>
      <c r="AH2302">
        <v>10296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222</v>
      </c>
      <c r="AO2302">
        <v>0</v>
      </c>
      <c r="AP2302">
        <v>39</v>
      </c>
      <c r="AQ2302">
        <v>222</v>
      </c>
      <c r="AR2302">
        <v>183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f t="shared" si="363"/>
        <v>21258</v>
      </c>
      <c r="BF2302">
        <v>10544</v>
      </c>
      <c r="BG2302">
        <v>10544</v>
      </c>
      <c r="BH2302" t="s">
        <v>109</v>
      </c>
      <c r="BI2302" t="s">
        <v>286</v>
      </c>
      <c r="BJ2302">
        <v>0</v>
      </c>
      <c r="BK2302">
        <v>10518</v>
      </c>
      <c r="BL2302">
        <v>10544</v>
      </c>
      <c r="BM2302">
        <v>0</v>
      </c>
      <c r="BN2302">
        <v>10518</v>
      </c>
      <c r="BO2302">
        <v>0</v>
      </c>
      <c r="BP2302">
        <v>234</v>
      </c>
      <c r="BQ2302">
        <v>10752</v>
      </c>
      <c r="BR2302">
        <f t="shared" si="364"/>
        <v>-1615</v>
      </c>
      <c r="BS2302">
        <f t="shared" si="365"/>
        <v>1667</v>
      </c>
    </row>
    <row r="2303" spans="1:71" x14ac:dyDescent="0.25">
      <c r="A2303" s="5" t="s">
        <v>207</v>
      </c>
      <c r="B2303" s="5" t="s">
        <v>627</v>
      </c>
      <c r="C2303" s="5" t="s">
        <v>61</v>
      </c>
      <c r="D2303" s="1" t="s">
        <v>75</v>
      </c>
      <c r="E2303">
        <v>0</v>
      </c>
      <c r="F2303">
        <v>500</v>
      </c>
      <c r="G2303">
        <v>0</v>
      </c>
      <c r="H2303">
        <v>0</v>
      </c>
      <c r="I2303">
        <v>2932</v>
      </c>
      <c r="J2303">
        <v>0</v>
      </c>
      <c r="K2303">
        <v>0</v>
      </c>
      <c r="L2303">
        <v>0</v>
      </c>
      <c r="M2303">
        <v>486</v>
      </c>
      <c r="N2303">
        <v>0</v>
      </c>
      <c r="O2303">
        <v>0</v>
      </c>
      <c r="P2303">
        <v>0</v>
      </c>
      <c r="Q2303">
        <v>1679</v>
      </c>
      <c r="R2303">
        <v>54</v>
      </c>
      <c r="S2303" s="18">
        <f t="shared" si="356"/>
        <v>9</v>
      </c>
      <c r="T2303" s="17">
        <f t="shared" si="357"/>
        <v>54</v>
      </c>
      <c r="U2303" s="17">
        <f t="shared" si="358"/>
        <v>0</v>
      </c>
      <c r="V2303" s="17">
        <f t="shared" si="359"/>
        <v>0</v>
      </c>
      <c r="W2303" s="17">
        <f t="shared" si="360"/>
        <v>0</v>
      </c>
      <c r="X2303" s="17">
        <f t="shared" si="361"/>
        <v>1625</v>
      </c>
      <c r="Y2303" s="19">
        <f t="shared" si="362"/>
        <v>0</v>
      </c>
      <c r="Z2303">
        <v>500</v>
      </c>
      <c r="AA2303">
        <v>0</v>
      </c>
      <c r="AB2303">
        <v>0</v>
      </c>
      <c r="AC2303">
        <v>0</v>
      </c>
      <c r="AD2303">
        <v>2932</v>
      </c>
      <c r="AE2303">
        <v>0</v>
      </c>
      <c r="AF2303">
        <v>0</v>
      </c>
      <c r="AG2303">
        <v>0</v>
      </c>
      <c r="AH2303">
        <v>2932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f t="shared" si="363"/>
        <v>5864</v>
      </c>
      <c r="BF2303">
        <v>3432</v>
      </c>
      <c r="BG2303">
        <v>3432</v>
      </c>
      <c r="BH2303" t="s">
        <v>109</v>
      </c>
      <c r="BI2303" t="s">
        <v>633</v>
      </c>
      <c r="BJ2303">
        <v>0</v>
      </c>
      <c r="BK2303">
        <v>2932</v>
      </c>
      <c r="BL2303">
        <v>3432</v>
      </c>
      <c r="BM2303">
        <v>3418</v>
      </c>
      <c r="BN2303">
        <v>0</v>
      </c>
      <c r="BO2303">
        <v>0</v>
      </c>
      <c r="BP2303">
        <v>0</v>
      </c>
      <c r="BQ2303">
        <v>3418</v>
      </c>
      <c r="BR2303">
        <f t="shared" si="364"/>
        <v>-1625</v>
      </c>
      <c r="BS2303">
        <f t="shared" si="365"/>
        <v>1733</v>
      </c>
    </row>
    <row r="2304" spans="1:71" x14ac:dyDescent="0.25">
      <c r="A2304" s="5" t="s">
        <v>1946</v>
      </c>
      <c r="B2304" s="5" t="s">
        <v>61</v>
      </c>
      <c r="C2304" s="5" t="s">
        <v>61</v>
      </c>
      <c r="D2304" s="1" t="s">
        <v>129</v>
      </c>
      <c r="E2304">
        <v>0</v>
      </c>
      <c r="F2304">
        <v>0</v>
      </c>
      <c r="G2304">
        <v>0</v>
      </c>
      <c r="H2304">
        <v>0</v>
      </c>
      <c r="I2304">
        <v>150</v>
      </c>
      <c r="J2304">
        <v>812</v>
      </c>
      <c r="K2304">
        <v>3457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1683</v>
      </c>
      <c r="R2304">
        <v>0</v>
      </c>
      <c r="S2304" s="18" t="e">
        <f t="shared" si="356"/>
        <v>#DIV/0!</v>
      </c>
      <c r="T2304" s="17" t="e">
        <f t="shared" si="357"/>
        <v>#DIV/0!</v>
      </c>
      <c r="U2304" s="17" t="e">
        <f t="shared" si="358"/>
        <v>#DIV/0!</v>
      </c>
      <c r="V2304" s="17" t="e">
        <f t="shared" si="359"/>
        <v>#DIV/0!</v>
      </c>
      <c r="W2304" s="17" t="e">
        <f t="shared" si="360"/>
        <v>#DIV/0!</v>
      </c>
      <c r="X2304" s="17" t="e">
        <f t="shared" si="361"/>
        <v>#DIV/0!</v>
      </c>
      <c r="Y2304" s="19" t="e">
        <f t="shared" si="362"/>
        <v>#DIV/0!</v>
      </c>
      <c r="Z2304">
        <v>0</v>
      </c>
      <c r="AA2304">
        <v>0</v>
      </c>
      <c r="AB2304">
        <v>0</v>
      </c>
      <c r="AC2304">
        <v>0</v>
      </c>
      <c r="AD2304">
        <v>150</v>
      </c>
      <c r="AE2304">
        <v>0</v>
      </c>
      <c r="AF2304">
        <v>0</v>
      </c>
      <c r="AG2304">
        <v>0</v>
      </c>
      <c r="AH2304">
        <v>150</v>
      </c>
      <c r="AI2304">
        <v>0</v>
      </c>
      <c r="AJ2304">
        <v>0</v>
      </c>
      <c r="AK2304">
        <v>812</v>
      </c>
      <c r="AL2304">
        <v>812</v>
      </c>
      <c r="AM2304">
        <v>0</v>
      </c>
      <c r="AN2304">
        <v>3457</v>
      </c>
      <c r="AO2304">
        <v>0</v>
      </c>
      <c r="AP2304">
        <v>691.4</v>
      </c>
      <c r="AQ2304">
        <v>3457</v>
      </c>
      <c r="AR2304">
        <v>2765.6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f t="shared" si="363"/>
        <v>12295</v>
      </c>
      <c r="BF2304">
        <v>4419</v>
      </c>
      <c r="BG2304">
        <v>4419</v>
      </c>
      <c r="BH2304" t="s">
        <v>109</v>
      </c>
      <c r="BI2304" t="s">
        <v>1977</v>
      </c>
      <c r="BJ2304">
        <v>0</v>
      </c>
      <c r="BK2304">
        <v>4419</v>
      </c>
      <c r="BL2304">
        <v>4419</v>
      </c>
      <c r="BM2304">
        <v>150</v>
      </c>
      <c r="BN2304">
        <v>3457</v>
      </c>
      <c r="BO2304">
        <v>0</v>
      </c>
      <c r="BP2304">
        <v>812</v>
      </c>
      <c r="BQ2304">
        <v>4419</v>
      </c>
      <c r="BR2304">
        <f t="shared" si="364"/>
        <v>-1683</v>
      </c>
      <c r="BS2304">
        <f t="shared" si="365"/>
        <v>1683</v>
      </c>
    </row>
    <row r="2305" spans="1:71" x14ac:dyDescent="0.25">
      <c r="A2305" s="5" t="s">
        <v>1135</v>
      </c>
      <c r="B2305" s="5" t="s">
        <v>207</v>
      </c>
      <c r="C2305" s="5" t="s">
        <v>61</v>
      </c>
      <c r="D2305" s="1" t="s">
        <v>137</v>
      </c>
      <c r="E2305">
        <v>95</v>
      </c>
      <c r="F2305">
        <v>2500</v>
      </c>
      <c r="G2305">
        <v>750</v>
      </c>
      <c r="H2305">
        <v>0</v>
      </c>
      <c r="I2305">
        <v>751</v>
      </c>
      <c r="J2305">
        <v>9500</v>
      </c>
      <c r="K2305">
        <v>205</v>
      </c>
      <c r="L2305">
        <v>135</v>
      </c>
      <c r="M2305">
        <v>0</v>
      </c>
      <c r="N2305">
        <v>0</v>
      </c>
      <c r="O2305">
        <v>0</v>
      </c>
      <c r="P2305">
        <v>4050</v>
      </c>
      <c r="Q2305">
        <v>2140</v>
      </c>
      <c r="R2305">
        <v>450</v>
      </c>
      <c r="S2305" s="18">
        <f t="shared" si="356"/>
        <v>9</v>
      </c>
      <c r="T2305" s="17">
        <f t="shared" si="357"/>
        <v>0</v>
      </c>
      <c r="U2305" s="17">
        <f t="shared" si="358"/>
        <v>0</v>
      </c>
      <c r="V2305" s="17">
        <f t="shared" si="359"/>
        <v>0</v>
      </c>
      <c r="W2305" s="17">
        <f t="shared" si="360"/>
        <v>450</v>
      </c>
      <c r="X2305" s="17">
        <f t="shared" si="361"/>
        <v>1690</v>
      </c>
      <c r="Y2305" s="19">
        <f t="shared" si="362"/>
        <v>0</v>
      </c>
      <c r="Z2305">
        <v>2500</v>
      </c>
      <c r="AA2305">
        <v>10</v>
      </c>
      <c r="AB2305">
        <v>234</v>
      </c>
      <c r="AC2305">
        <v>4882</v>
      </c>
      <c r="AD2305">
        <v>0</v>
      </c>
      <c r="AE2305">
        <v>0</v>
      </c>
      <c r="AF2305">
        <v>0</v>
      </c>
      <c r="AG2305">
        <v>751</v>
      </c>
      <c r="AH2305">
        <v>751</v>
      </c>
      <c r="AI2305">
        <v>0</v>
      </c>
      <c r="AJ2305">
        <v>0</v>
      </c>
      <c r="AK2305">
        <v>9500</v>
      </c>
      <c r="AL2305">
        <v>9500</v>
      </c>
      <c r="AM2305">
        <v>0</v>
      </c>
      <c r="AN2305">
        <v>0</v>
      </c>
      <c r="AO2305">
        <v>205</v>
      </c>
      <c r="AP2305">
        <v>65</v>
      </c>
      <c r="AQ2305">
        <v>205</v>
      </c>
      <c r="AR2305">
        <v>140</v>
      </c>
      <c r="AS2305">
        <v>0</v>
      </c>
      <c r="AT2305">
        <v>750</v>
      </c>
      <c r="AU2305">
        <v>750</v>
      </c>
      <c r="AV2305">
        <v>750</v>
      </c>
      <c r="AW2305">
        <v>0</v>
      </c>
      <c r="AX2305">
        <v>0</v>
      </c>
      <c r="AY2305">
        <v>0</v>
      </c>
      <c r="AZ2305">
        <v>135</v>
      </c>
      <c r="BA2305">
        <v>135</v>
      </c>
      <c r="BB2305">
        <v>0</v>
      </c>
      <c r="BC2305">
        <v>0</v>
      </c>
      <c r="BD2305">
        <v>0</v>
      </c>
      <c r="BE2305">
        <f t="shared" si="363"/>
        <v>28519</v>
      </c>
      <c r="BF2305">
        <v>19062</v>
      </c>
      <c r="BG2305">
        <v>19062</v>
      </c>
      <c r="BH2305" t="s">
        <v>82</v>
      </c>
      <c r="BI2305" t="s">
        <v>1232</v>
      </c>
      <c r="BJ2305">
        <v>5221</v>
      </c>
      <c r="BK2305">
        <v>11341</v>
      </c>
      <c r="BL2305">
        <v>19062</v>
      </c>
      <c r="BM2305">
        <v>0</v>
      </c>
      <c r="BN2305">
        <v>0</v>
      </c>
      <c r="BO2305">
        <v>0</v>
      </c>
      <c r="BP2305">
        <v>15391</v>
      </c>
      <c r="BQ2305">
        <v>15391</v>
      </c>
      <c r="BR2305">
        <f t="shared" si="364"/>
        <v>-1690</v>
      </c>
      <c r="BS2305">
        <f t="shared" si="365"/>
        <v>2590</v>
      </c>
    </row>
    <row r="2306" spans="1:71" x14ac:dyDescent="0.25">
      <c r="A2306" s="5" t="s">
        <v>1017</v>
      </c>
      <c r="B2306" s="5" t="s">
        <v>61</v>
      </c>
      <c r="C2306" s="5" t="s">
        <v>207</v>
      </c>
      <c r="D2306" s="1" t="s">
        <v>117</v>
      </c>
      <c r="E2306">
        <v>124</v>
      </c>
      <c r="F2306">
        <v>35</v>
      </c>
      <c r="G2306">
        <v>0</v>
      </c>
      <c r="H2306">
        <v>0</v>
      </c>
      <c r="I2306">
        <v>1605</v>
      </c>
      <c r="J2306">
        <v>8404</v>
      </c>
      <c r="K2306">
        <v>1891</v>
      </c>
      <c r="L2306">
        <v>1235</v>
      </c>
      <c r="M2306">
        <v>0</v>
      </c>
      <c r="N2306">
        <v>0</v>
      </c>
      <c r="O2306">
        <v>0</v>
      </c>
      <c r="P2306">
        <v>261</v>
      </c>
      <c r="Q2306">
        <v>1730</v>
      </c>
      <c r="R2306">
        <v>29</v>
      </c>
      <c r="S2306" s="18">
        <f t="shared" ref="S2306:S2369" si="366">(M2306+N2306+O2306+P2306)/R2306</f>
        <v>9</v>
      </c>
      <c r="T2306" s="17">
        <f t="shared" ref="T2306:T2341" si="367">M2306/$S2306</f>
        <v>0</v>
      </c>
      <c r="U2306" s="17">
        <f t="shared" ref="U2306:U2341" si="368">N2306/$S2306</f>
        <v>0</v>
      </c>
      <c r="V2306" s="17">
        <f t="shared" ref="V2306:V2341" si="369">O2306/$S2306</f>
        <v>0</v>
      </c>
      <c r="W2306" s="17">
        <f t="shared" ref="W2306:W2341" si="370">P2306/$S2306</f>
        <v>29</v>
      </c>
      <c r="X2306" s="17">
        <f t="shared" ref="X2306:X2369" si="371">Q2306-T2306-U2306-W2306</f>
        <v>1701</v>
      </c>
      <c r="Y2306" s="19">
        <f t="shared" ref="Y2306:Y2369" si="372">V2306/X2306</f>
        <v>0</v>
      </c>
      <c r="Z2306">
        <v>35</v>
      </c>
      <c r="AA2306">
        <v>0</v>
      </c>
      <c r="AB2306">
        <v>0</v>
      </c>
      <c r="AC2306">
        <v>11400</v>
      </c>
      <c r="AD2306">
        <v>0</v>
      </c>
      <c r="AE2306">
        <v>0</v>
      </c>
      <c r="AF2306">
        <v>0</v>
      </c>
      <c r="AG2306">
        <v>1605</v>
      </c>
      <c r="AH2306">
        <v>1605</v>
      </c>
      <c r="AI2306">
        <v>0</v>
      </c>
      <c r="AJ2306">
        <v>0</v>
      </c>
      <c r="AK2306">
        <v>8404</v>
      </c>
      <c r="AL2306">
        <v>8404</v>
      </c>
      <c r="AM2306">
        <v>0</v>
      </c>
      <c r="AN2306">
        <v>0</v>
      </c>
      <c r="AO2306">
        <v>1891</v>
      </c>
      <c r="AP2306">
        <v>275</v>
      </c>
      <c r="AQ2306">
        <v>1891</v>
      </c>
      <c r="AR2306">
        <v>1616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1235</v>
      </c>
      <c r="BA2306">
        <v>1235</v>
      </c>
      <c r="BB2306">
        <v>0</v>
      </c>
      <c r="BC2306">
        <v>0</v>
      </c>
      <c r="BD2306">
        <v>0</v>
      </c>
      <c r="BE2306">
        <f t="shared" ref="BE2306:BE2369" si="373">SUM(AC2306:BD2306)</f>
        <v>39561</v>
      </c>
      <c r="BF2306">
        <v>24694</v>
      </c>
      <c r="BG2306">
        <v>24694</v>
      </c>
      <c r="BH2306" t="s">
        <v>82</v>
      </c>
      <c r="BI2306" t="s">
        <v>1070</v>
      </c>
      <c r="BJ2306">
        <v>11524</v>
      </c>
      <c r="BK2306">
        <v>13135</v>
      </c>
      <c r="BL2306">
        <v>24694</v>
      </c>
      <c r="BM2306">
        <v>0</v>
      </c>
      <c r="BN2306">
        <v>0</v>
      </c>
      <c r="BO2306">
        <v>0</v>
      </c>
      <c r="BP2306">
        <v>13396</v>
      </c>
      <c r="BQ2306">
        <v>13396</v>
      </c>
      <c r="BR2306">
        <f t="shared" ref="BR2306:BR2341" si="374">R2306-Q2306</f>
        <v>-1701</v>
      </c>
      <c r="BS2306">
        <f t="shared" ref="BS2306:BS2341" si="375">R2306+Q2306</f>
        <v>1759</v>
      </c>
    </row>
    <row r="2307" spans="1:71" x14ac:dyDescent="0.25">
      <c r="A2307" s="5" t="s">
        <v>1017</v>
      </c>
      <c r="B2307" s="5" t="s">
        <v>61</v>
      </c>
      <c r="C2307" s="5" t="s">
        <v>207</v>
      </c>
      <c r="D2307" s="1" t="s">
        <v>135</v>
      </c>
      <c r="E2307">
        <v>12</v>
      </c>
      <c r="F2307">
        <v>65</v>
      </c>
      <c r="G2307">
        <v>0</v>
      </c>
      <c r="H2307">
        <v>0</v>
      </c>
      <c r="I2307">
        <v>1597</v>
      </c>
      <c r="J2307">
        <v>6527</v>
      </c>
      <c r="K2307">
        <v>4645</v>
      </c>
      <c r="L2307">
        <v>157</v>
      </c>
      <c r="M2307">
        <v>0</v>
      </c>
      <c r="N2307">
        <v>0</v>
      </c>
      <c r="O2307">
        <v>0</v>
      </c>
      <c r="P2307">
        <v>1170</v>
      </c>
      <c r="Q2307">
        <v>1833</v>
      </c>
      <c r="R2307">
        <v>130</v>
      </c>
      <c r="S2307" s="18">
        <f t="shared" si="366"/>
        <v>9</v>
      </c>
      <c r="T2307" s="17">
        <f t="shared" si="367"/>
        <v>0</v>
      </c>
      <c r="U2307" s="17">
        <f t="shared" si="368"/>
        <v>0</v>
      </c>
      <c r="V2307" s="17">
        <f t="shared" si="369"/>
        <v>0</v>
      </c>
      <c r="W2307" s="17">
        <f t="shared" si="370"/>
        <v>130</v>
      </c>
      <c r="X2307" s="17">
        <f t="shared" si="371"/>
        <v>1703</v>
      </c>
      <c r="Y2307" s="19">
        <f t="shared" si="372"/>
        <v>0</v>
      </c>
      <c r="Z2307">
        <v>65</v>
      </c>
      <c r="AA2307">
        <v>0</v>
      </c>
      <c r="AB2307">
        <v>0</v>
      </c>
      <c r="AC2307">
        <v>1808</v>
      </c>
      <c r="AD2307">
        <v>0</v>
      </c>
      <c r="AE2307">
        <v>0</v>
      </c>
      <c r="AF2307">
        <v>0</v>
      </c>
      <c r="AG2307">
        <v>1597</v>
      </c>
      <c r="AH2307">
        <v>1597</v>
      </c>
      <c r="AI2307">
        <v>0</v>
      </c>
      <c r="AJ2307">
        <v>0</v>
      </c>
      <c r="AK2307">
        <v>6527</v>
      </c>
      <c r="AL2307">
        <v>6527</v>
      </c>
      <c r="AM2307">
        <v>0</v>
      </c>
      <c r="AN2307">
        <v>0</v>
      </c>
      <c r="AO2307">
        <v>4645</v>
      </c>
      <c r="AP2307">
        <v>4438</v>
      </c>
      <c r="AQ2307">
        <v>4645</v>
      </c>
      <c r="AR2307">
        <v>207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157</v>
      </c>
      <c r="BA2307">
        <v>157</v>
      </c>
      <c r="BB2307">
        <v>0</v>
      </c>
      <c r="BC2307">
        <v>0</v>
      </c>
      <c r="BD2307">
        <v>0</v>
      </c>
      <c r="BE2307">
        <f t="shared" si="373"/>
        <v>32305</v>
      </c>
      <c r="BF2307">
        <v>14811</v>
      </c>
      <c r="BG2307">
        <v>14811</v>
      </c>
      <c r="BH2307" t="s">
        <v>82</v>
      </c>
      <c r="BI2307" t="s">
        <v>1079</v>
      </c>
      <c r="BJ2307">
        <v>1820</v>
      </c>
      <c r="BK2307">
        <v>12926</v>
      </c>
      <c r="BL2307">
        <v>14811</v>
      </c>
      <c r="BM2307">
        <v>0</v>
      </c>
      <c r="BN2307">
        <v>0</v>
      </c>
      <c r="BO2307">
        <v>0</v>
      </c>
      <c r="BP2307">
        <v>14096</v>
      </c>
      <c r="BQ2307">
        <v>14096</v>
      </c>
      <c r="BR2307">
        <f t="shared" si="374"/>
        <v>-1703</v>
      </c>
      <c r="BS2307">
        <f t="shared" si="375"/>
        <v>1963</v>
      </c>
    </row>
    <row r="2308" spans="1:71" x14ac:dyDescent="0.25">
      <c r="A2308" s="5" t="s">
        <v>359</v>
      </c>
      <c r="B2308" s="5" t="s">
        <v>207</v>
      </c>
      <c r="C2308" s="5" t="s">
        <v>61</v>
      </c>
      <c r="D2308" s="1" t="s">
        <v>102</v>
      </c>
      <c r="E2308">
        <v>0</v>
      </c>
      <c r="F2308">
        <v>3408</v>
      </c>
      <c r="G2308">
        <v>0</v>
      </c>
      <c r="H2308">
        <v>0</v>
      </c>
      <c r="I2308">
        <v>1961</v>
      </c>
      <c r="J2308">
        <v>4865</v>
      </c>
      <c r="K2308">
        <v>4161</v>
      </c>
      <c r="L2308">
        <v>0</v>
      </c>
      <c r="M2308">
        <v>0</v>
      </c>
      <c r="N2308">
        <v>0</v>
      </c>
      <c r="O2308">
        <v>0</v>
      </c>
      <c r="P2308">
        <v>3600</v>
      </c>
      <c r="Q2308">
        <v>2192</v>
      </c>
      <c r="R2308">
        <v>400</v>
      </c>
      <c r="S2308" s="18">
        <f t="shared" si="366"/>
        <v>9</v>
      </c>
      <c r="T2308" s="17">
        <f t="shared" si="367"/>
        <v>0</v>
      </c>
      <c r="U2308" s="17">
        <f t="shared" si="368"/>
        <v>0</v>
      </c>
      <c r="V2308" s="17">
        <f t="shared" si="369"/>
        <v>0</v>
      </c>
      <c r="W2308" s="17">
        <f t="shared" si="370"/>
        <v>400</v>
      </c>
      <c r="X2308" s="17">
        <f t="shared" si="371"/>
        <v>1792</v>
      </c>
      <c r="Y2308" s="19">
        <f t="shared" si="372"/>
        <v>0</v>
      </c>
      <c r="Z2308">
        <v>3408</v>
      </c>
      <c r="AA2308">
        <v>2</v>
      </c>
      <c r="AB2308">
        <v>0</v>
      </c>
      <c r="AC2308">
        <v>10541</v>
      </c>
      <c r="AD2308">
        <v>0</v>
      </c>
      <c r="AE2308">
        <v>0</v>
      </c>
      <c r="AF2308">
        <v>0</v>
      </c>
      <c r="AG2308">
        <v>1961</v>
      </c>
      <c r="AH2308">
        <v>1961</v>
      </c>
      <c r="AI2308">
        <v>0</v>
      </c>
      <c r="AJ2308">
        <v>0</v>
      </c>
      <c r="AK2308">
        <v>4865</v>
      </c>
      <c r="AL2308">
        <v>4865</v>
      </c>
      <c r="AM2308">
        <v>0</v>
      </c>
      <c r="AN2308">
        <v>0</v>
      </c>
      <c r="AO2308">
        <v>6211</v>
      </c>
      <c r="AP2308">
        <v>1700</v>
      </c>
      <c r="AQ2308">
        <v>4161</v>
      </c>
      <c r="AR2308">
        <v>2461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f t="shared" si="373"/>
        <v>38726</v>
      </c>
      <c r="BF2308">
        <v>20938</v>
      </c>
      <c r="BG2308">
        <v>20938</v>
      </c>
      <c r="BH2308" t="s">
        <v>82</v>
      </c>
      <c r="BI2308" t="s">
        <v>748</v>
      </c>
      <c r="BJ2308">
        <v>10543</v>
      </c>
      <c r="BK2308">
        <v>10987</v>
      </c>
      <c r="BL2308">
        <v>24938</v>
      </c>
      <c r="BM2308">
        <v>0</v>
      </c>
      <c r="BN2308">
        <v>0</v>
      </c>
      <c r="BO2308">
        <v>0</v>
      </c>
      <c r="BP2308">
        <v>16637</v>
      </c>
      <c r="BQ2308">
        <v>16637</v>
      </c>
      <c r="BR2308">
        <f t="shared" si="374"/>
        <v>-1792</v>
      </c>
      <c r="BS2308">
        <f t="shared" si="375"/>
        <v>2592</v>
      </c>
    </row>
    <row r="2309" spans="1:71" x14ac:dyDescent="0.25">
      <c r="A2309" s="5" t="s">
        <v>1451</v>
      </c>
      <c r="B2309" s="5" t="s">
        <v>61</v>
      </c>
      <c r="C2309" s="5" t="s">
        <v>61</v>
      </c>
      <c r="D2309" s="1" t="s">
        <v>90</v>
      </c>
      <c r="E2309">
        <v>0</v>
      </c>
      <c r="F2309">
        <v>0</v>
      </c>
      <c r="G2309">
        <v>0</v>
      </c>
      <c r="H2309">
        <v>0</v>
      </c>
      <c r="I2309">
        <v>150</v>
      </c>
      <c r="J2309">
        <v>16930</v>
      </c>
      <c r="K2309">
        <v>6865</v>
      </c>
      <c r="L2309">
        <v>40</v>
      </c>
      <c r="M2309">
        <v>0</v>
      </c>
      <c r="N2309">
        <v>0</v>
      </c>
      <c r="O2309">
        <v>0</v>
      </c>
      <c r="P2309">
        <v>0</v>
      </c>
      <c r="Q2309">
        <v>1821</v>
      </c>
      <c r="R2309">
        <v>0</v>
      </c>
      <c r="S2309" s="18" t="e">
        <f t="shared" si="366"/>
        <v>#DIV/0!</v>
      </c>
      <c r="T2309" s="17" t="e">
        <f t="shared" si="367"/>
        <v>#DIV/0!</v>
      </c>
      <c r="U2309" s="17" t="e">
        <f t="shared" si="368"/>
        <v>#DIV/0!</v>
      </c>
      <c r="V2309" s="17" t="e">
        <f t="shared" si="369"/>
        <v>#DIV/0!</v>
      </c>
      <c r="W2309" s="17" t="e">
        <f t="shared" si="370"/>
        <v>#DIV/0!</v>
      </c>
      <c r="X2309" s="17" t="e">
        <f t="shared" si="371"/>
        <v>#DIV/0!</v>
      </c>
      <c r="Y2309" s="19" t="e">
        <f t="shared" si="372"/>
        <v>#DIV/0!</v>
      </c>
      <c r="Z2309">
        <v>0</v>
      </c>
      <c r="AA2309">
        <v>14</v>
      </c>
      <c r="AB2309">
        <v>0</v>
      </c>
      <c r="AC2309">
        <v>2300</v>
      </c>
      <c r="AD2309">
        <v>0</v>
      </c>
      <c r="AE2309">
        <v>0</v>
      </c>
      <c r="AF2309">
        <v>0</v>
      </c>
      <c r="AG2309">
        <v>150</v>
      </c>
      <c r="AH2309">
        <v>150</v>
      </c>
      <c r="AI2309">
        <v>0</v>
      </c>
      <c r="AJ2309">
        <v>0</v>
      </c>
      <c r="AK2309">
        <v>16930</v>
      </c>
      <c r="AL2309">
        <v>16930</v>
      </c>
      <c r="AM2309">
        <v>0</v>
      </c>
      <c r="AN2309">
        <v>0</v>
      </c>
      <c r="AO2309">
        <v>6865</v>
      </c>
      <c r="AP2309">
        <v>3665</v>
      </c>
      <c r="AQ2309">
        <v>6865</v>
      </c>
      <c r="AR2309">
        <v>3200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40</v>
      </c>
      <c r="BA2309">
        <v>40</v>
      </c>
      <c r="BB2309">
        <v>0</v>
      </c>
      <c r="BC2309">
        <v>0</v>
      </c>
      <c r="BD2309">
        <v>0</v>
      </c>
      <c r="BE2309">
        <f t="shared" si="373"/>
        <v>57135</v>
      </c>
      <c r="BF2309">
        <v>26299</v>
      </c>
      <c r="BG2309">
        <v>26299</v>
      </c>
      <c r="BH2309" t="s">
        <v>560</v>
      </c>
      <c r="BI2309" t="s">
        <v>1461</v>
      </c>
      <c r="BJ2309">
        <v>2314</v>
      </c>
      <c r="BK2309">
        <v>23985</v>
      </c>
      <c r="BL2309">
        <v>26299</v>
      </c>
      <c r="BM2309">
        <v>0</v>
      </c>
      <c r="BN2309">
        <v>0</v>
      </c>
      <c r="BO2309">
        <v>0</v>
      </c>
      <c r="BP2309">
        <v>23985</v>
      </c>
      <c r="BQ2309">
        <v>23985</v>
      </c>
      <c r="BR2309">
        <f t="shared" si="374"/>
        <v>-1821</v>
      </c>
      <c r="BS2309">
        <f t="shared" si="375"/>
        <v>1821</v>
      </c>
    </row>
    <row r="2310" spans="1:71" x14ac:dyDescent="0.25">
      <c r="A2310" s="5" t="s">
        <v>359</v>
      </c>
      <c r="B2310" s="5" t="s">
        <v>359</v>
      </c>
      <c r="C2310" s="5" t="s">
        <v>207</v>
      </c>
      <c r="D2310" s="1" t="s">
        <v>65</v>
      </c>
      <c r="E2310">
        <v>0</v>
      </c>
      <c r="F2310">
        <v>71879</v>
      </c>
      <c r="G2310">
        <v>0</v>
      </c>
      <c r="H2310">
        <v>0</v>
      </c>
      <c r="I2310">
        <v>5753</v>
      </c>
      <c r="J2310">
        <v>6940</v>
      </c>
      <c r="K2310">
        <v>15226</v>
      </c>
      <c r="L2310">
        <v>100</v>
      </c>
      <c r="M2310">
        <v>0</v>
      </c>
      <c r="N2310">
        <v>0</v>
      </c>
      <c r="O2310">
        <v>0</v>
      </c>
      <c r="P2310">
        <v>35658</v>
      </c>
      <c r="Q2310">
        <v>5791</v>
      </c>
      <c r="R2310">
        <v>3962</v>
      </c>
      <c r="S2310" s="18">
        <f t="shared" si="366"/>
        <v>9</v>
      </c>
      <c r="T2310" s="17">
        <f t="shared" si="367"/>
        <v>0</v>
      </c>
      <c r="U2310" s="17">
        <f t="shared" si="368"/>
        <v>0</v>
      </c>
      <c r="V2310" s="17">
        <f t="shared" si="369"/>
        <v>0</v>
      </c>
      <c r="W2310" s="17">
        <f t="shared" si="370"/>
        <v>3962</v>
      </c>
      <c r="X2310" s="17">
        <f t="shared" si="371"/>
        <v>1829</v>
      </c>
      <c r="Y2310" s="19">
        <f t="shared" si="372"/>
        <v>0</v>
      </c>
      <c r="Z2310">
        <v>71879</v>
      </c>
      <c r="AA2310">
        <v>0</v>
      </c>
      <c r="AB2310">
        <v>0</v>
      </c>
      <c r="AC2310">
        <v>38031.24</v>
      </c>
      <c r="AD2310">
        <v>0</v>
      </c>
      <c r="AE2310">
        <v>2000</v>
      </c>
      <c r="AF2310">
        <v>0</v>
      </c>
      <c r="AG2310">
        <v>3753</v>
      </c>
      <c r="AH2310">
        <v>5753</v>
      </c>
      <c r="AI2310">
        <v>0</v>
      </c>
      <c r="AJ2310">
        <v>6940</v>
      </c>
      <c r="AK2310">
        <v>0</v>
      </c>
      <c r="AL2310">
        <v>6940</v>
      </c>
      <c r="AM2310">
        <v>0</v>
      </c>
      <c r="AN2310">
        <v>15226</v>
      </c>
      <c r="AO2310">
        <v>0</v>
      </c>
      <c r="AP2310">
        <v>14976</v>
      </c>
      <c r="AQ2310">
        <v>15226</v>
      </c>
      <c r="AR2310">
        <v>250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100</v>
      </c>
      <c r="AZ2310">
        <v>0</v>
      </c>
      <c r="BA2310">
        <v>100</v>
      </c>
      <c r="BB2310">
        <v>0</v>
      </c>
      <c r="BC2310">
        <v>0</v>
      </c>
      <c r="BD2310">
        <v>0</v>
      </c>
      <c r="BE2310">
        <f t="shared" si="373"/>
        <v>109295.23999999999</v>
      </c>
      <c r="BF2310">
        <v>137929.24</v>
      </c>
      <c r="BG2310">
        <v>137929.24</v>
      </c>
      <c r="BH2310" t="s">
        <v>226</v>
      </c>
      <c r="BI2310" t="s">
        <v>790</v>
      </c>
      <c r="BJ2310">
        <v>38031.24</v>
      </c>
      <c r="BK2310">
        <v>28019</v>
      </c>
      <c r="BL2310">
        <v>137929.24</v>
      </c>
      <c r="BM2310">
        <v>0</v>
      </c>
      <c r="BN2310">
        <v>24266</v>
      </c>
      <c r="BO2310">
        <v>0</v>
      </c>
      <c r="BP2310">
        <v>39411</v>
      </c>
      <c r="BQ2310">
        <v>63677</v>
      </c>
      <c r="BR2310">
        <f t="shared" si="374"/>
        <v>-1829</v>
      </c>
      <c r="BS2310">
        <f t="shared" si="375"/>
        <v>9753</v>
      </c>
    </row>
    <row r="2311" spans="1:71" x14ac:dyDescent="0.25">
      <c r="A2311" s="5" t="s">
        <v>627</v>
      </c>
      <c r="B2311" s="5" t="s">
        <v>359</v>
      </c>
      <c r="C2311" s="5" t="s">
        <v>61</v>
      </c>
      <c r="D2311" s="1" t="s">
        <v>86</v>
      </c>
      <c r="E2311">
        <v>120</v>
      </c>
      <c r="F2311">
        <v>968</v>
      </c>
      <c r="G2311">
        <v>0</v>
      </c>
      <c r="H2311">
        <v>0</v>
      </c>
      <c r="I2311">
        <v>1811</v>
      </c>
      <c r="J2311">
        <v>9348</v>
      </c>
      <c r="K2311">
        <v>6056</v>
      </c>
      <c r="L2311">
        <v>414</v>
      </c>
      <c r="M2311">
        <v>0</v>
      </c>
      <c r="N2311">
        <v>0</v>
      </c>
      <c r="O2311">
        <v>0</v>
      </c>
      <c r="P2311">
        <v>495</v>
      </c>
      <c r="Q2311">
        <v>2024</v>
      </c>
      <c r="R2311">
        <v>55</v>
      </c>
      <c r="S2311" s="18">
        <f t="shared" si="366"/>
        <v>9</v>
      </c>
      <c r="T2311" s="17">
        <f t="shared" si="367"/>
        <v>0</v>
      </c>
      <c r="U2311" s="17">
        <f t="shared" si="368"/>
        <v>0</v>
      </c>
      <c r="V2311" s="17">
        <f t="shared" si="369"/>
        <v>0</v>
      </c>
      <c r="W2311" s="17">
        <f t="shared" si="370"/>
        <v>55</v>
      </c>
      <c r="X2311" s="17">
        <f t="shared" si="371"/>
        <v>1969</v>
      </c>
      <c r="Y2311" s="19">
        <f t="shared" si="372"/>
        <v>0</v>
      </c>
      <c r="Z2311">
        <v>968</v>
      </c>
      <c r="AA2311">
        <v>10</v>
      </c>
      <c r="AB2311">
        <v>770</v>
      </c>
      <c r="AC2311">
        <v>6000</v>
      </c>
      <c r="AD2311">
        <v>0</v>
      </c>
      <c r="AE2311">
        <v>1811</v>
      </c>
      <c r="AF2311">
        <v>0</v>
      </c>
      <c r="AG2311">
        <v>0</v>
      </c>
      <c r="AH2311">
        <v>1811</v>
      </c>
      <c r="AI2311">
        <v>0</v>
      </c>
      <c r="AJ2311">
        <v>9348</v>
      </c>
      <c r="AK2311">
        <v>0</v>
      </c>
      <c r="AL2311">
        <v>9348</v>
      </c>
      <c r="AM2311">
        <v>0</v>
      </c>
      <c r="AN2311">
        <v>5196</v>
      </c>
      <c r="AO2311">
        <v>860</v>
      </c>
      <c r="AP2311">
        <v>1398</v>
      </c>
      <c r="AQ2311">
        <v>6056</v>
      </c>
      <c r="AR2311">
        <v>4658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414</v>
      </c>
      <c r="AZ2311">
        <v>0</v>
      </c>
      <c r="BA2311">
        <v>414</v>
      </c>
      <c r="BB2311">
        <v>0</v>
      </c>
      <c r="BC2311">
        <v>0</v>
      </c>
      <c r="BD2311">
        <v>0</v>
      </c>
      <c r="BE2311">
        <f t="shared" si="373"/>
        <v>47314</v>
      </c>
      <c r="BF2311">
        <v>27804</v>
      </c>
      <c r="BG2311">
        <v>27804</v>
      </c>
      <c r="BH2311" t="s">
        <v>82</v>
      </c>
      <c r="BI2311" t="s">
        <v>857</v>
      </c>
      <c r="BJ2311">
        <v>6900</v>
      </c>
      <c r="BK2311">
        <v>17629</v>
      </c>
      <c r="BL2311">
        <v>25497</v>
      </c>
      <c r="BM2311">
        <v>0</v>
      </c>
      <c r="BN2311">
        <v>16769</v>
      </c>
      <c r="BO2311">
        <v>0</v>
      </c>
      <c r="BP2311">
        <v>1355</v>
      </c>
      <c r="BQ2311">
        <v>18124</v>
      </c>
      <c r="BR2311">
        <f t="shared" si="374"/>
        <v>-1969</v>
      </c>
      <c r="BS2311">
        <f t="shared" si="375"/>
        <v>2079</v>
      </c>
    </row>
    <row r="2312" spans="1:71" x14ac:dyDescent="0.25">
      <c r="A2312" s="5" t="s">
        <v>1135</v>
      </c>
      <c r="B2312" s="5" t="s">
        <v>61</v>
      </c>
      <c r="C2312" s="5" t="s">
        <v>61</v>
      </c>
      <c r="D2312" s="1" t="s">
        <v>113</v>
      </c>
      <c r="E2312">
        <v>220</v>
      </c>
      <c r="F2312">
        <v>2182</v>
      </c>
      <c r="G2312">
        <v>0</v>
      </c>
      <c r="H2312">
        <v>0</v>
      </c>
      <c r="I2312">
        <v>2153</v>
      </c>
      <c r="J2312">
        <v>3762</v>
      </c>
      <c r="K2312">
        <v>530</v>
      </c>
      <c r="L2312">
        <v>175</v>
      </c>
      <c r="M2312">
        <v>0</v>
      </c>
      <c r="N2312">
        <v>0</v>
      </c>
      <c r="O2312">
        <v>0</v>
      </c>
      <c r="P2312">
        <v>6543</v>
      </c>
      <c r="Q2312">
        <v>2807</v>
      </c>
      <c r="R2312">
        <v>727</v>
      </c>
      <c r="S2312" s="18">
        <f t="shared" si="366"/>
        <v>9</v>
      </c>
      <c r="T2312" s="17">
        <f t="shared" si="367"/>
        <v>0</v>
      </c>
      <c r="U2312" s="17">
        <f t="shared" si="368"/>
        <v>0</v>
      </c>
      <c r="V2312" s="17">
        <f t="shared" si="369"/>
        <v>0</v>
      </c>
      <c r="W2312" s="17">
        <f t="shared" si="370"/>
        <v>727</v>
      </c>
      <c r="X2312" s="17">
        <f t="shared" si="371"/>
        <v>2080</v>
      </c>
      <c r="Y2312" s="19">
        <f t="shared" si="372"/>
        <v>0</v>
      </c>
      <c r="Z2312">
        <v>2182</v>
      </c>
      <c r="AA2312">
        <v>250</v>
      </c>
      <c r="AB2312">
        <v>230</v>
      </c>
      <c r="AC2312">
        <v>16293</v>
      </c>
      <c r="AD2312">
        <v>0</v>
      </c>
      <c r="AE2312">
        <v>0</v>
      </c>
      <c r="AF2312">
        <v>0</v>
      </c>
      <c r="AG2312">
        <v>2153</v>
      </c>
      <c r="AH2312">
        <v>2153</v>
      </c>
      <c r="AI2312">
        <v>0</v>
      </c>
      <c r="AJ2312">
        <v>0</v>
      </c>
      <c r="AK2312">
        <v>3762</v>
      </c>
      <c r="AL2312">
        <v>3762</v>
      </c>
      <c r="AM2312">
        <v>0</v>
      </c>
      <c r="AN2312">
        <v>0</v>
      </c>
      <c r="AO2312">
        <v>530</v>
      </c>
      <c r="AP2312">
        <v>530</v>
      </c>
      <c r="AQ2312">
        <v>530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175</v>
      </c>
      <c r="BA2312">
        <v>175</v>
      </c>
      <c r="BB2312">
        <v>0</v>
      </c>
      <c r="BC2312">
        <v>0</v>
      </c>
      <c r="BD2312">
        <v>0</v>
      </c>
      <c r="BE2312">
        <f t="shared" si="373"/>
        <v>30063</v>
      </c>
      <c r="BF2312">
        <v>25795</v>
      </c>
      <c r="BG2312">
        <v>25795</v>
      </c>
      <c r="BH2312" t="s">
        <v>82</v>
      </c>
      <c r="BI2312" t="s">
        <v>1155</v>
      </c>
      <c r="BJ2312">
        <v>16993</v>
      </c>
      <c r="BK2312">
        <v>6620</v>
      </c>
      <c r="BL2312">
        <v>25795</v>
      </c>
      <c r="BM2312">
        <v>0</v>
      </c>
      <c r="BN2312">
        <v>0</v>
      </c>
      <c r="BO2312">
        <v>0</v>
      </c>
      <c r="BP2312">
        <v>13163</v>
      </c>
      <c r="BQ2312">
        <v>13163</v>
      </c>
      <c r="BR2312">
        <f t="shared" si="374"/>
        <v>-2080</v>
      </c>
      <c r="BS2312">
        <f t="shared" si="375"/>
        <v>3534</v>
      </c>
    </row>
    <row r="2313" spans="1:71" x14ac:dyDescent="0.25">
      <c r="A2313" s="5" t="s">
        <v>1946</v>
      </c>
      <c r="B2313" s="5" t="s">
        <v>207</v>
      </c>
      <c r="C2313" s="5" t="s">
        <v>61</v>
      </c>
      <c r="D2313" s="1" t="s">
        <v>88</v>
      </c>
      <c r="E2313">
        <v>0</v>
      </c>
      <c r="F2313">
        <v>3622</v>
      </c>
      <c r="G2313">
        <v>0</v>
      </c>
      <c r="H2313">
        <v>0</v>
      </c>
      <c r="I2313">
        <v>4363</v>
      </c>
      <c r="J2313">
        <v>730</v>
      </c>
      <c r="K2313">
        <v>13761</v>
      </c>
      <c r="L2313">
        <v>60</v>
      </c>
      <c r="M2313">
        <v>0</v>
      </c>
      <c r="N2313">
        <v>0</v>
      </c>
      <c r="O2313">
        <v>0</v>
      </c>
      <c r="P2313">
        <v>8298</v>
      </c>
      <c r="Q2313">
        <v>3011</v>
      </c>
      <c r="R2313">
        <v>922</v>
      </c>
      <c r="S2313" s="18">
        <f t="shared" si="366"/>
        <v>9</v>
      </c>
      <c r="T2313" s="17">
        <f t="shared" si="367"/>
        <v>0</v>
      </c>
      <c r="U2313" s="17">
        <f t="shared" si="368"/>
        <v>0</v>
      </c>
      <c r="V2313" s="17">
        <f t="shared" si="369"/>
        <v>0</v>
      </c>
      <c r="W2313" s="17">
        <f t="shared" si="370"/>
        <v>922</v>
      </c>
      <c r="X2313" s="17">
        <f t="shared" si="371"/>
        <v>2089</v>
      </c>
      <c r="Y2313" s="19">
        <f t="shared" si="372"/>
        <v>0</v>
      </c>
      <c r="Z2313">
        <v>3622</v>
      </c>
      <c r="AA2313">
        <v>0</v>
      </c>
      <c r="AB2313">
        <v>0</v>
      </c>
      <c r="AC2313">
        <v>0</v>
      </c>
      <c r="AD2313">
        <v>350</v>
      </c>
      <c r="AE2313">
        <v>0</v>
      </c>
      <c r="AF2313">
        <v>0</v>
      </c>
      <c r="AG2313">
        <v>4363</v>
      </c>
      <c r="AH2313">
        <v>4363</v>
      </c>
      <c r="AI2313">
        <v>0</v>
      </c>
      <c r="AJ2313">
        <v>0</v>
      </c>
      <c r="AK2313">
        <v>730</v>
      </c>
      <c r="AL2313">
        <v>730</v>
      </c>
      <c r="AM2313">
        <v>0</v>
      </c>
      <c r="AN2313">
        <v>0</v>
      </c>
      <c r="AO2313">
        <v>13761</v>
      </c>
      <c r="AP2313">
        <v>4350</v>
      </c>
      <c r="AQ2313">
        <v>13100</v>
      </c>
      <c r="AR2313">
        <v>9080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60</v>
      </c>
      <c r="BA2313">
        <v>60</v>
      </c>
      <c r="BB2313">
        <v>0</v>
      </c>
      <c r="BC2313">
        <v>0</v>
      </c>
      <c r="BD2313">
        <v>0</v>
      </c>
      <c r="BE2313">
        <f t="shared" si="373"/>
        <v>50947</v>
      </c>
      <c r="BF2313">
        <v>21875</v>
      </c>
      <c r="BG2313">
        <v>21875</v>
      </c>
      <c r="BH2313" t="s">
        <v>560</v>
      </c>
      <c r="BI2313" t="s">
        <v>1963</v>
      </c>
      <c r="BJ2313">
        <v>0</v>
      </c>
      <c r="BK2313">
        <v>18253</v>
      </c>
      <c r="BL2313">
        <v>21875</v>
      </c>
      <c r="BM2313">
        <v>350</v>
      </c>
      <c r="BN2313">
        <v>0</v>
      </c>
      <c r="BO2313">
        <v>0</v>
      </c>
      <c r="BP2313">
        <v>27212</v>
      </c>
      <c r="BQ2313">
        <v>27562</v>
      </c>
      <c r="BR2313">
        <f t="shared" si="374"/>
        <v>-2089</v>
      </c>
      <c r="BS2313">
        <f t="shared" si="375"/>
        <v>3933</v>
      </c>
    </row>
    <row r="2314" spans="1:71" x14ac:dyDescent="0.25">
      <c r="A2314" s="5" t="s">
        <v>875</v>
      </c>
      <c r="B2314" s="5" t="s">
        <v>61</v>
      </c>
      <c r="C2314" s="5" t="s">
        <v>61</v>
      </c>
      <c r="D2314" s="1" t="s">
        <v>62</v>
      </c>
      <c r="E2314">
        <v>1940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17478</v>
      </c>
      <c r="Q2314">
        <v>4068</v>
      </c>
      <c r="R2314">
        <v>1942</v>
      </c>
      <c r="S2314" s="18">
        <f t="shared" si="366"/>
        <v>9</v>
      </c>
      <c r="T2314" s="17">
        <f t="shared" si="367"/>
        <v>0</v>
      </c>
      <c r="U2314" s="17">
        <f t="shared" si="368"/>
        <v>0</v>
      </c>
      <c r="V2314" s="17">
        <f t="shared" si="369"/>
        <v>0</v>
      </c>
      <c r="W2314" s="17">
        <f t="shared" si="370"/>
        <v>1942</v>
      </c>
      <c r="X2314" s="17">
        <f t="shared" si="371"/>
        <v>2126</v>
      </c>
      <c r="Y2314" s="19">
        <f t="shared" si="372"/>
        <v>0</v>
      </c>
      <c r="Z2314">
        <v>7744</v>
      </c>
      <c r="AA2314">
        <v>381</v>
      </c>
      <c r="AB2314">
        <v>3065</v>
      </c>
      <c r="AC2314">
        <v>66624</v>
      </c>
      <c r="AD2314">
        <v>0</v>
      </c>
      <c r="AE2314">
        <v>1017</v>
      </c>
      <c r="AF2314">
        <v>0</v>
      </c>
      <c r="AG2314">
        <v>5689</v>
      </c>
      <c r="AH2314">
        <v>6706</v>
      </c>
      <c r="AI2314">
        <v>0</v>
      </c>
      <c r="AJ2314">
        <v>41238</v>
      </c>
      <c r="AK2314">
        <v>19016</v>
      </c>
      <c r="AL2314">
        <v>60254</v>
      </c>
      <c r="AM2314">
        <v>0</v>
      </c>
      <c r="AN2314">
        <v>193</v>
      </c>
      <c r="AO2314">
        <v>2375</v>
      </c>
      <c r="AP2314">
        <v>1161</v>
      </c>
      <c r="AQ2314">
        <v>2568</v>
      </c>
      <c r="AR2314">
        <v>1407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545</v>
      </c>
      <c r="AZ2314">
        <v>655</v>
      </c>
      <c r="BA2314">
        <v>1200</v>
      </c>
      <c r="BB2314">
        <v>0</v>
      </c>
      <c r="BC2314">
        <v>0</v>
      </c>
      <c r="BD2314">
        <v>0</v>
      </c>
      <c r="BE2314">
        <f t="shared" si="373"/>
        <v>210648</v>
      </c>
      <c r="BF2314">
        <v>160152</v>
      </c>
      <c r="BG2314">
        <v>160152</v>
      </c>
      <c r="BH2314" t="s">
        <v>226</v>
      </c>
      <c r="BI2314" t="s">
        <v>876</v>
      </c>
      <c r="BJ2314">
        <v>72010</v>
      </c>
      <c r="BK2314">
        <v>70728</v>
      </c>
      <c r="BL2314">
        <v>150482</v>
      </c>
      <c r="BM2314">
        <v>0</v>
      </c>
      <c r="BN2314">
        <v>42993</v>
      </c>
      <c r="BO2314">
        <v>0</v>
      </c>
      <c r="BP2314">
        <v>45213</v>
      </c>
      <c r="BQ2314">
        <v>88206</v>
      </c>
      <c r="BR2314">
        <f t="shared" si="374"/>
        <v>-2126</v>
      </c>
      <c r="BS2314">
        <f t="shared" si="375"/>
        <v>6010</v>
      </c>
    </row>
    <row r="2315" spans="1:71" x14ac:dyDescent="0.25">
      <c r="A2315" s="5" t="s">
        <v>1451</v>
      </c>
      <c r="B2315" s="5" t="s">
        <v>61</v>
      </c>
      <c r="C2315" s="5" t="s">
        <v>61</v>
      </c>
      <c r="D2315" s="1" t="s">
        <v>92</v>
      </c>
      <c r="E2315">
        <v>0</v>
      </c>
      <c r="F2315">
        <v>1185</v>
      </c>
      <c r="G2315">
        <v>0</v>
      </c>
      <c r="H2315">
        <v>0</v>
      </c>
      <c r="I2315">
        <v>190</v>
      </c>
      <c r="J2315">
        <v>38688</v>
      </c>
      <c r="K2315">
        <v>2790</v>
      </c>
      <c r="L2315">
        <v>500</v>
      </c>
      <c r="M2315">
        <v>6435</v>
      </c>
      <c r="N2315">
        <v>0</v>
      </c>
      <c r="O2315">
        <v>0</v>
      </c>
      <c r="P2315">
        <v>0</v>
      </c>
      <c r="Q2315">
        <v>2896</v>
      </c>
      <c r="R2315">
        <v>715</v>
      </c>
      <c r="S2315" s="18">
        <f t="shared" si="366"/>
        <v>9</v>
      </c>
      <c r="T2315" s="17">
        <f t="shared" si="367"/>
        <v>715</v>
      </c>
      <c r="U2315" s="17">
        <f t="shared" si="368"/>
        <v>0</v>
      </c>
      <c r="V2315" s="17">
        <f t="shared" si="369"/>
        <v>0</v>
      </c>
      <c r="W2315" s="17">
        <f t="shared" si="370"/>
        <v>0</v>
      </c>
      <c r="X2315" s="17">
        <f t="shared" si="371"/>
        <v>2181</v>
      </c>
      <c r="Y2315" s="19">
        <f t="shared" si="372"/>
        <v>0</v>
      </c>
      <c r="Z2315">
        <v>1185</v>
      </c>
      <c r="AA2315">
        <v>4</v>
      </c>
      <c r="AB2315">
        <v>0</v>
      </c>
      <c r="AC2315">
        <v>10773</v>
      </c>
      <c r="AD2315">
        <v>140</v>
      </c>
      <c r="AE2315">
        <v>0</v>
      </c>
      <c r="AF2315">
        <v>0</v>
      </c>
      <c r="AG2315">
        <v>50</v>
      </c>
      <c r="AH2315">
        <v>190</v>
      </c>
      <c r="AI2315">
        <v>0</v>
      </c>
      <c r="AJ2315">
        <v>36688</v>
      </c>
      <c r="AK2315">
        <v>2000</v>
      </c>
      <c r="AL2315">
        <v>38688</v>
      </c>
      <c r="AM2315">
        <v>0</v>
      </c>
      <c r="AN2315">
        <v>0</v>
      </c>
      <c r="AO2315">
        <v>2790</v>
      </c>
      <c r="AP2315">
        <v>1540</v>
      </c>
      <c r="AQ2315">
        <v>2790</v>
      </c>
      <c r="AR2315">
        <v>1250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500</v>
      </c>
      <c r="BA2315">
        <v>500</v>
      </c>
      <c r="BB2315">
        <v>0</v>
      </c>
      <c r="BC2315">
        <v>0</v>
      </c>
      <c r="BD2315">
        <v>0</v>
      </c>
      <c r="BE2315">
        <f t="shared" si="373"/>
        <v>97899</v>
      </c>
      <c r="BF2315">
        <v>54130</v>
      </c>
      <c r="BG2315">
        <v>54130</v>
      </c>
      <c r="BH2315" t="s">
        <v>560</v>
      </c>
      <c r="BI2315" t="s">
        <v>1462</v>
      </c>
      <c r="BJ2315">
        <v>10777</v>
      </c>
      <c r="BK2315">
        <v>42168</v>
      </c>
      <c r="BL2315">
        <v>54130</v>
      </c>
      <c r="BM2315">
        <v>6575</v>
      </c>
      <c r="BN2315">
        <v>36688</v>
      </c>
      <c r="BO2315">
        <v>0</v>
      </c>
      <c r="BP2315">
        <v>5340</v>
      </c>
      <c r="BQ2315">
        <v>48603</v>
      </c>
      <c r="BR2315">
        <f t="shared" si="374"/>
        <v>-2181</v>
      </c>
      <c r="BS2315">
        <f t="shared" si="375"/>
        <v>3611</v>
      </c>
    </row>
    <row r="2316" spans="1:71" x14ac:dyDescent="0.25">
      <c r="A2316" s="5" t="s">
        <v>1135</v>
      </c>
      <c r="B2316" s="5" t="s">
        <v>61</v>
      </c>
      <c r="C2316" s="5" t="s">
        <v>61</v>
      </c>
      <c r="D2316" s="1" t="s">
        <v>192</v>
      </c>
      <c r="E2316">
        <v>475</v>
      </c>
      <c r="F2316">
        <v>2750</v>
      </c>
      <c r="G2316">
        <v>0</v>
      </c>
      <c r="H2316">
        <v>0</v>
      </c>
      <c r="I2316">
        <v>1123</v>
      </c>
      <c r="J2316">
        <v>26382</v>
      </c>
      <c r="K2316">
        <v>2200</v>
      </c>
      <c r="L2316">
        <v>1900</v>
      </c>
      <c r="M2316">
        <v>2916</v>
      </c>
      <c r="N2316">
        <v>0</v>
      </c>
      <c r="O2316">
        <v>0</v>
      </c>
      <c r="P2316">
        <v>1980</v>
      </c>
      <c r="Q2316">
        <v>2750</v>
      </c>
      <c r="R2316">
        <v>544</v>
      </c>
      <c r="S2316" s="18">
        <f t="shared" si="366"/>
        <v>9</v>
      </c>
      <c r="T2316" s="17">
        <f t="shared" si="367"/>
        <v>324</v>
      </c>
      <c r="U2316" s="17">
        <f t="shared" si="368"/>
        <v>0</v>
      </c>
      <c r="V2316" s="17">
        <f t="shared" si="369"/>
        <v>0</v>
      </c>
      <c r="W2316" s="17">
        <f t="shared" si="370"/>
        <v>220</v>
      </c>
      <c r="X2316" s="17">
        <f t="shared" si="371"/>
        <v>2206</v>
      </c>
      <c r="Y2316" s="19">
        <f t="shared" si="372"/>
        <v>0</v>
      </c>
      <c r="Z2316">
        <v>2750</v>
      </c>
      <c r="AA2316">
        <v>0</v>
      </c>
      <c r="AB2316">
        <v>0</v>
      </c>
      <c r="AC2316">
        <v>1400</v>
      </c>
      <c r="AD2316">
        <v>0</v>
      </c>
      <c r="AE2316">
        <v>1123</v>
      </c>
      <c r="AF2316">
        <v>0</v>
      </c>
      <c r="AG2316">
        <v>0</v>
      </c>
      <c r="AH2316">
        <v>1123</v>
      </c>
      <c r="AI2316">
        <v>0</v>
      </c>
      <c r="AJ2316">
        <v>25558</v>
      </c>
      <c r="AK2316">
        <v>824</v>
      </c>
      <c r="AL2316">
        <v>26382</v>
      </c>
      <c r="AM2316">
        <v>0</v>
      </c>
      <c r="AN2316">
        <v>0</v>
      </c>
      <c r="AO2316">
        <v>2200</v>
      </c>
      <c r="AP2316">
        <v>500</v>
      </c>
      <c r="AQ2316">
        <v>2200</v>
      </c>
      <c r="AR2316">
        <v>1700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1900</v>
      </c>
      <c r="BA2316">
        <v>1900</v>
      </c>
      <c r="BB2316">
        <v>0</v>
      </c>
      <c r="BC2316">
        <v>0</v>
      </c>
      <c r="BD2316">
        <v>0</v>
      </c>
      <c r="BE2316">
        <f t="shared" si="373"/>
        <v>66810</v>
      </c>
      <c r="BF2316">
        <v>36230</v>
      </c>
      <c r="BG2316">
        <v>36230</v>
      </c>
      <c r="BH2316" t="s">
        <v>199</v>
      </c>
      <c r="BI2316" t="s">
        <v>1194</v>
      </c>
      <c r="BJ2316">
        <v>1875</v>
      </c>
      <c r="BK2316">
        <v>31605</v>
      </c>
      <c r="BL2316">
        <v>36230</v>
      </c>
      <c r="BM2316">
        <v>2916</v>
      </c>
      <c r="BN2316">
        <v>26681</v>
      </c>
      <c r="BO2316">
        <v>0</v>
      </c>
      <c r="BP2316">
        <v>6904</v>
      </c>
      <c r="BQ2316">
        <v>36501</v>
      </c>
      <c r="BR2316">
        <f t="shared" si="374"/>
        <v>-2206</v>
      </c>
      <c r="BS2316">
        <f t="shared" si="375"/>
        <v>3294</v>
      </c>
    </row>
    <row r="2317" spans="1:71" x14ac:dyDescent="0.25">
      <c r="A2317" s="5" t="s">
        <v>359</v>
      </c>
      <c r="B2317" s="5" t="s">
        <v>207</v>
      </c>
      <c r="C2317" s="5" t="s">
        <v>61</v>
      </c>
      <c r="D2317" s="1" t="s">
        <v>84</v>
      </c>
      <c r="E2317">
        <v>180</v>
      </c>
      <c r="F2317">
        <v>352</v>
      </c>
      <c r="G2317">
        <v>0</v>
      </c>
      <c r="H2317">
        <v>0</v>
      </c>
      <c r="I2317">
        <v>2509</v>
      </c>
      <c r="J2317">
        <v>11504</v>
      </c>
      <c r="K2317">
        <v>3625</v>
      </c>
      <c r="L2317">
        <v>150</v>
      </c>
      <c r="M2317">
        <v>0</v>
      </c>
      <c r="N2317">
        <v>0</v>
      </c>
      <c r="O2317">
        <v>0</v>
      </c>
      <c r="P2317">
        <v>639</v>
      </c>
      <c r="Q2317">
        <v>2287</v>
      </c>
      <c r="R2317">
        <v>71</v>
      </c>
      <c r="S2317" s="18">
        <f t="shared" si="366"/>
        <v>9</v>
      </c>
      <c r="T2317" s="17">
        <f t="shared" si="367"/>
        <v>0</v>
      </c>
      <c r="U2317" s="17">
        <f t="shared" si="368"/>
        <v>0</v>
      </c>
      <c r="V2317" s="17">
        <f t="shared" si="369"/>
        <v>0</v>
      </c>
      <c r="W2317" s="17">
        <f t="shared" si="370"/>
        <v>71</v>
      </c>
      <c r="X2317" s="17">
        <f t="shared" si="371"/>
        <v>2216</v>
      </c>
      <c r="Y2317" s="19">
        <f t="shared" si="372"/>
        <v>0</v>
      </c>
      <c r="Z2317">
        <v>352</v>
      </c>
      <c r="AA2317">
        <v>2</v>
      </c>
      <c r="AB2317">
        <v>760</v>
      </c>
      <c r="AC2317">
        <v>11300</v>
      </c>
      <c r="AD2317">
        <v>0</v>
      </c>
      <c r="AE2317">
        <v>0</v>
      </c>
      <c r="AF2317">
        <v>0</v>
      </c>
      <c r="AG2317">
        <v>2509</v>
      </c>
      <c r="AH2317">
        <v>2509</v>
      </c>
      <c r="AI2317">
        <v>0</v>
      </c>
      <c r="AJ2317">
        <v>0</v>
      </c>
      <c r="AK2317">
        <v>11504</v>
      </c>
      <c r="AL2317">
        <v>11504</v>
      </c>
      <c r="AM2317">
        <v>0</v>
      </c>
      <c r="AN2317">
        <v>0</v>
      </c>
      <c r="AO2317">
        <v>3625</v>
      </c>
      <c r="AP2317">
        <v>2502</v>
      </c>
      <c r="AQ2317">
        <v>3625</v>
      </c>
      <c r="AR2317">
        <v>1123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150</v>
      </c>
      <c r="BA2317">
        <v>150</v>
      </c>
      <c r="BB2317">
        <v>0</v>
      </c>
      <c r="BC2317">
        <v>0</v>
      </c>
      <c r="BD2317">
        <v>0</v>
      </c>
      <c r="BE2317">
        <f t="shared" si="373"/>
        <v>50501</v>
      </c>
      <c r="BF2317">
        <v>29582</v>
      </c>
      <c r="BG2317">
        <v>29582</v>
      </c>
      <c r="BH2317" t="s">
        <v>82</v>
      </c>
      <c r="BI2317" t="s">
        <v>740</v>
      </c>
      <c r="BJ2317">
        <v>12242</v>
      </c>
      <c r="BK2317">
        <v>17788</v>
      </c>
      <c r="BL2317">
        <v>30382</v>
      </c>
      <c r="BM2317">
        <v>0</v>
      </c>
      <c r="BN2317">
        <v>0</v>
      </c>
      <c r="BO2317">
        <v>0</v>
      </c>
      <c r="BP2317">
        <v>18427</v>
      </c>
      <c r="BQ2317">
        <v>18427</v>
      </c>
      <c r="BR2317">
        <f t="shared" si="374"/>
        <v>-2216</v>
      </c>
      <c r="BS2317">
        <f t="shared" si="375"/>
        <v>2358</v>
      </c>
    </row>
    <row r="2318" spans="1:71" x14ac:dyDescent="0.25">
      <c r="A2318" s="5" t="s">
        <v>2090</v>
      </c>
      <c r="B2318" s="5" t="s">
        <v>207</v>
      </c>
      <c r="C2318" s="5" t="s">
        <v>61</v>
      </c>
      <c r="D2318" s="1" t="s">
        <v>357</v>
      </c>
      <c r="E2318">
        <v>105</v>
      </c>
      <c r="F2318">
        <v>2070</v>
      </c>
      <c r="G2318">
        <v>0</v>
      </c>
      <c r="H2318">
        <v>0</v>
      </c>
      <c r="I2318">
        <v>1294</v>
      </c>
      <c r="J2318">
        <v>18500</v>
      </c>
      <c r="K2318">
        <v>2041</v>
      </c>
      <c r="L2318">
        <v>1187</v>
      </c>
      <c r="M2318">
        <v>0</v>
      </c>
      <c r="N2318">
        <v>0</v>
      </c>
      <c r="O2318">
        <v>0</v>
      </c>
      <c r="P2318">
        <v>2880</v>
      </c>
      <c r="Q2318">
        <v>2554</v>
      </c>
      <c r="R2318">
        <v>320</v>
      </c>
      <c r="S2318" s="18">
        <f t="shared" si="366"/>
        <v>9</v>
      </c>
      <c r="T2318" s="17">
        <f t="shared" si="367"/>
        <v>0</v>
      </c>
      <c r="U2318" s="17">
        <f t="shared" si="368"/>
        <v>0</v>
      </c>
      <c r="V2318" s="17">
        <f t="shared" si="369"/>
        <v>0</v>
      </c>
      <c r="W2318" s="17">
        <f t="shared" si="370"/>
        <v>320</v>
      </c>
      <c r="X2318" s="17">
        <f t="shared" si="371"/>
        <v>2234</v>
      </c>
      <c r="Y2318" s="19">
        <f t="shared" si="372"/>
        <v>0</v>
      </c>
      <c r="Z2318">
        <v>2070</v>
      </c>
      <c r="AA2318">
        <v>220</v>
      </c>
      <c r="AB2318">
        <v>747</v>
      </c>
      <c r="AC2318">
        <v>8500</v>
      </c>
      <c r="AD2318">
        <v>0</v>
      </c>
      <c r="AE2318">
        <v>54</v>
      </c>
      <c r="AF2318">
        <v>0</v>
      </c>
      <c r="AG2318">
        <v>1240</v>
      </c>
      <c r="AH2318">
        <v>1294</v>
      </c>
      <c r="AI2318">
        <v>0</v>
      </c>
      <c r="AJ2318">
        <v>18500</v>
      </c>
      <c r="AK2318">
        <v>0</v>
      </c>
      <c r="AL2318">
        <v>18500</v>
      </c>
      <c r="AM2318">
        <v>0</v>
      </c>
      <c r="AN2318">
        <v>325</v>
      </c>
      <c r="AO2318">
        <v>1716</v>
      </c>
      <c r="AP2318">
        <v>788</v>
      </c>
      <c r="AQ2318">
        <v>2041</v>
      </c>
      <c r="AR2318">
        <v>1253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384</v>
      </c>
      <c r="AZ2318">
        <v>803</v>
      </c>
      <c r="BA2318">
        <v>1187</v>
      </c>
      <c r="BB2318">
        <v>0</v>
      </c>
      <c r="BC2318">
        <v>0</v>
      </c>
      <c r="BD2318">
        <v>0</v>
      </c>
      <c r="BE2318">
        <f t="shared" si="373"/>
        <v>56585</v>
      </c>
      <c r="BF2318">
        <v>48785</v>
      </c>
      <c r="BG2318">
        <v>48785</v>
      </c>
      <c r="BH2318" t="s">
        <v>82</v>
      </c>
      <c r="BI2318" t="s">
        <v>2280</v>
      </c>
      <c r="BJ2318">
        <v>9572</v>
      </c>
      <c r="BK2318">
        <v>23022</v>
      </c>
      <c r="BL2318">
        <v>34664</v>
      </c>
      <c r="BM2318">
        <v>0</v>
      </c>
      <c r="BN2318">
        <v>19263</v>
      </c>
      <c r="BO2318">
        <v>0</v>
      </c>
      <c r="BP2318">
        <v>6639</v>
      </c>
      <c r="BQ2318">
        <v>25902</v>
      </c>
      <c r="BR2318">
        <f t="shared" si="374"/>
        <v>-2234</v>
      </c>
      <c r="BS2318">
        <f t="shared" si="375"/>
        <v>2874</v>
      </c>
    </row>
    <row r="2319" spans="1:71" x14ac:dyDescent="0.25">
      <c r="A2319" s="5" t="s">
        <v>1337</v>
      </c>
      <c r="B2319" s="5" t="s">
        <v>207</v>
      </c>
      <c r="C2319" s="5" t="s">
        <v>207</v>
      </c>
      <c r="D2319" s="1" t="s">
        <v>67</v>
      </c>
      <c r="E2319">
        <v>3292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4059</v>
      </c>
      <c r="Q2319">
        <v>2715</v>
      </c>
      <c r="R2319">
        <v>451</v>
      </c>
      <c r="S2319" s="18">
        <f t="shared" si="366"/>
        <v>9</v>
      </c>
      <c r="T2319" s="17">
        <f t="shared" si="367"/>
        <v>0</v>
      </c>
      <c r="U2319" s="17">
        <f t="shared" si="368"/>
        <v>0</v>
      </c>
      <c r="V2319" s="17">
        <f t="shared" si="369"/>
        <v>0</v>
      </c>
      <c r="W2319" s="17">
        <f t="shared" si="370"/>
        <v>451</v>
      </c>
      <c r="X2319" s="17">
        <f t="shared" si="371"/>
        <v>2264</v>
      </c>
      <c r="Y2319" s="19">
        <f t="shared" si="372"/>
        <v>0</v>
      </c>
      <c r="Z2319">
        <v>1900</v>
      </c>
      <c r="AA2319">
        <v>0</v>
      </c>
      <c r="AB2319">
        <v>0</v>
      </c>
      <c r="AC2319">
        <v>65498</v>
      </c>
      <c r="AD2319">
        <v>0</v>
      </c>
      <c r="AE2319">
        <v>731</v>
      </c>
      <c r="AF2319">
        <v>0</v>
      </c>
      <c r="AG2319">
        <v>4708</v>
      </c>
      <c r="AH2319">
        <v>5439</v>
      </c>
      <c r="AI2319">
        <v>0</v>
      </c>
      <c r="AJ2319">
        <v>9813</v>
      </c>
      <c r="AK2319">
        <v>21672</v>
      </c>
      <c r="AL2319">
        <v>31485</v>
      </c>
      <c r="AM2319">
        <v>0</v>
      </c>
      <c r="AN2319">
        <v>55</v>
      </c>
      <c r="AO2319">
        <v>1099</v>
      </c>
      <c r="AP2319">
        <v>935</v>
      </c>
      <c r="AQ2319">
        <v>1154</v>
      </c>
      <c r="AR2319">
        <v>219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341</v>
      </c>
      <c r="AZ2319">
        <v>634</v>
      </c>
      <c r="BA2319">
        <v>975</v>
      </c>
      <c r="BB2319">
        <v>0</v>
      </c>
      <c r="BC2319">
        <v>0</v>
      </c>
      <c r="BD2319">
        <v>0</v>
      </c>
      <c r="BE2319">
        <f t="shared" si="373"/>
        <v>144758</v>
      </c>
      <c r="BF2319">
        <v>115931</v>
      </c>
      <c r="BG2319">
        <v>115931</v>
      </c>
      <c r="BH2319" t="s">
        <v>226</v>
      </c>
      <c r="BI2319" t="s">
        <v>1410</v>
      </c>
      <c r="BJ2319">
        <v>68790</v>
      </c>
      <c r="BK2319">
        <v>39053</v>
      </c>
      <c r="BL2319">
        <v>109743</v>
      </c>
      <c r="BM2319">
        <v>0</v>
      </c>
      <c r="BN2319">
        <v>10940</v>
      </c>
      <c r="BO2319">
        <v>0</v>
      </c>
      <c r="BP2319">
        <v>32172</v>
      </c>
      <c r="BQ2319">
        <v>43112</v>
      </c>
      <c r="BR2319">
        <f t="shared" si="374"/>
        <v>-2264</v>
      </c>
      <c r="BS2319">
        <f t="shared" si="375"/>
        <v>3166</v>
      </c>
    </row>
    <row r="2320" spans="1:71" x14ac:dyDescent="0.25">
      <c r="A2320" s="5" t="s">
        <v>1661</v>
      </c>
      <c r="B2320" s="5" t="s">
        <v>359</v>
      </c>
      <c r="C2320" s="5" t="s">
        <v>61</v>
      </c>
      <c r="D2320" s="1" t="s">
        <v>125</v>
      </c>
      <c r="E2320">
        <v>300</v>
      </c>
      <c r="F2320">
        <v>480</v>
      </c>
      <c r="G2320">
        <v>0</v>
      </c>
      <c r="H2320">
        <v>0</v>
      </c>
      <c r="I2320">
        <v>1956</v>
      </c>
      <c r="J2320">
        <v>22567</v>
      </c>
      <c r="K2320">
        <v>1222</v>
      </c>
      <c r="L2320">
        <v>370</v>
      </c>
      <c r="M2320">
        <v>0</v>
      </c>
      <c r="N2320">
        <v>0</v>
      </c>
      <c r="O2320">
        <v>0</v>
      </c>
      <c r="P2320">
        <v>684</v>
      </c>
      <c r="Q2320">
        <v>2357</v>
      </c>
      <c r="R2320">
        <v>76</v>
      </c>
      <c r="S2320" s="18">
        <f t="shared" si="366"/>
        <v>9</v>
      </c>
      <c r="T2320" s="17">
        <f t="shared" si="367"/>
        <v>0</v>
      </c>
      <c r="U2320" s="17">
        <f t="shared" si="368"/>
        <v>0</v>
      </c>
      <c r="V2320" s="17">
        <f t="shared" si="369"/>
        <v>0</v>
      </c>
      <c r="W2320" s="17">
        <f t="shared" si="370"/>
        <v>76</v>
      </c>
      <c r="X2320" s="17">
        <f t="shared" si="371"/>
        <v>2281</v>
      </c>
      <c r="Y2320" s="19">
        <f t="shared" si="372"/>
        <v>0</v>
      </c>
      <c r="Z2320">
        <v>480</v>
      </c>
      <c r="AA2320">
        <v>123</v>
      </c>
      <c r="AB2320">
        <v>750</v>
      </c>
      <c r="AC2320">
        <v>25710</v>
      </c>
      <c r="AD2320">
        <v>0</v>
      </c>
      <c r="AE2320">
        <v>0</v>
      </c>
      <c r="AF2320">
        <v>0</v>
      </c>
      <c r="AG2320">
        <v>1956</v>
      </c>
      <c r="AH2320">
        <v>1956</v>
      </c>
      <c r="AI2320">
        <v>0</v>
      </c>
      <c r="AJ2320">
        <v>22567</v>
      </c>
      <c r="AK2320">
        <v>0</v>
      </c>
      <c r="AL2320">
        <v>22567</v>
      </c>
      <c r="AM2320">
        <v>0</v>
      </c>
      <c r="AN2320">
        <v>0</v>
      </c>
      <c r="AO2320">
        <v>1222</v>
      </c>
      <c r="AP2320">
        <v>251</v>
      </c>
      <c r="AQ2320">
        <v>1222</v>
      </c>
      <c r="AR2320">
        <v>971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370</v>
      </c>
      <c r="BA2320">
        <v>370</v>
      </c>
      <c r="BB2320">
        <v>0</v>
      </c>
      <c r="BC2320">
        <v>0</v>
      </c>
      <c r="BD2320">
        <v>0</v>
      </c>
      <c r="BE2320">
        <f t="shared" si="373"/>
        <v>79162</v>
      </c>
      <c r="BF2320">
        <v>53478</v>
      </c>
      <c r="BG2320">
        <v>53478</v>
      </c>
      <c r="BH2320" t="s">
        <v>82</v>
      </c>
      <c r="BI2320" t="s">
        <v>1880</v>
      </c>
      <c r="BJ2320">
        <v>26883</v>
      </c>
      <c r="BK2320">
        <v>26115</v>
      </c>
      <c r="BL2320">
        <v>53478</v>
      </c>
      <c r="BM2320">
        <v>0</v>
      </c>
      <c r="BN2320">
        <v>22567</v>
      </c>
      <c r="BO2320">
        <v>0</v>
      </c>
      <c r="BP2320">
        <v>4232</v>
      </c>
      <c r="BQ2320">
        <v>26799</v>
      </c>
      <c r="BR2320">
        <f t="shared" si="374"/>
        <v>-2281</v>
      </c>
      <c r="BS2320">
        <f t="shared" si="375"/>
        <v>2433</v>
      </c>
    </row>
    <row r="2321" spans="1:74" x14ac:dyDescent="0.25">
      <c r="A2321" s="5" t="s">
        <v>1337</v>
      </c>
      <c r="B2321" s="5" t="s">
        <v>207</v>
      </c>
      <c r="C2321" s="5" t="s">
        <v>207</v>
      </c>
      <c r="D2321" s="1" t="s">
        <v>69</v>
      </c>
      <c r="E2321">
        <v>2919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2853</v>
      </c>
      <c r="O2321">
        <v>0</v>
      </c>
      <c r="P2321">
        <v>8406</v>
      </c>
      <c r="Q2321">
        <v>3534</v>
      </c>
      <c r="R2321">
        <v>1251</v>
      </c>
      <c r="S2321" s="18">
        <f t="shared" si="366"/>
        <v>9</v>
      </c>
      <c r="T2321" s="17">
        <f t="shared" si="367"/>
        <v>0</v>
      </c>
      <c r="U2321" s="17">
        <f t="shared" si="368"/>
        <v>317</v>
      </c>
      <c r="V2321" s="17">
        <f t="shared" si="369"/>
        <v>0</v>
      </c>
      <c r="W2321" s="17">
        <f t="shared" si="370"/>
        <v>934</v>
      </c>
      <c r="X2321" s="17">
        <f t="shared" si="371"/>
        <v>2283</v>
      </c>
      <c r="Y2321" s="19">
        <f t="shared" si="372"/>
        <v>0</v>
      </c>
      <c r="Z2321">
        <v>2645</v>
      </c>
      <c r="AA2321">
        <v>806</v>
      </c>
      <c r="AB2321">
        <v>2248</v>
      </c>
      <c r="AC2321">
        <v>66319</v>
      </c>
      <c r="AD2321">
        <v>0</v>
      </c>
      <c r="AE2321">
        <v>906</v>
      </c>
      <c r="AF2321">
        <v>0</v>
      </c>
      <c r="AG2321">
        <v>2284</v>
      </c>
      <c r="AH2321">
        <v>3190</v>
      </c>
      <c r="AI2321">
        <v>0</v>
      </c>
      <c r="AJ2321">
        <v>15902</v>
      </c>
      <c r="AK2321">
        <v>24460</v>
      </c>
      <c r="AL2321">
        <v>40362</v>
      </c>
      <c r="AM2321">
        <v>0</v>
      </c>
      <c r="AN2321">
        <v>214</v>
      </c>
      <c r="AO2321">
        <v>2324</v>
      </c>
      <c r="AP2321">
        <v>1089</v>
      </c>
      <c r="AQ2321">
        <v>2538</v>
      </c>
      <c r="AR2321">
        <v>1449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7</v>
      </c>
      <c r="AZ2321">
        <v>1688</v>
      </c>
      <c r="BA2321">
        <v>1695</v>
      </c>
      <c r="BB2321">
        <v>0</v>
      </c>
      <c r="BC2321">
        <v>0</v>
      </c>
      <c r="BD2321">
        <v>0</v>
      </c>
      <c r="BE2321">
        <f t="shared" si="373"/>
        <v>164427</v>
      </c>
      <c r="BF2321">
        <v>122722</v>
      </c>
      <c r="BG2321">
        <v>122722</v>
      </c>
      <c r="BH2321" t="s">
        <v>226</v>
      </c>
      <c r="BI2321" t="s">
        <v>1411</v>
      </c>
      <c r="BJ2321">
        <v>72292</v>
      </c>
      <c r="BK2321">
        <v>47785</v>
      </c>
      <c r="BL2321">
        <v>122722</v>
      </c>
      <c r="BM2321">
        <v>0</v>
      </c>
      <c r="BN2321">
        <v>19882</v>
      </c>
      <c r="BO2321">
        <v>0</v>
      </c>
      <c r="BP2321">
        <v>39162</v>
      </c>
      <c r="BQ2321">
        <v>59044</v>
      </c>
      <c r="BR2321">
        <f t="shared" si="374"/>
        <v>-2283</v>
      </c>
      <c r="BS2321">
        <f t="shared" si="375"/>
        <v>4785</v>
      </c>
    </row>
    <row r="2322" spans="1:74" x14ac:dyDescent="0.25">
      <c r="A2322" s="5" t="s">
        <v>1451</v>
      </c>
      <c r="B2322" s="5" t="s">
        <v>359</v>
      </c>
      <c r="C2322" s="5" t="s">
        <v>359</v>
      </c>
      <c r="D2322" s="1" t="s">
        <v>65</v>
      </c>
      <c r="E2322">
        <v>0</v>
      </c>
      <c r="F2322">
        <v>13872</v>
      </c>
      <c r="G2322">
        <v>0</v>
      </c>
      <c r="H2322">
        <v>0</v>
      </c>
      <c r="I2322">
        <v>1783</v>
      </c>
      <c r="J2322">
        <v>1982</v>
      </c>
      <c r="K2322">
        <v>9133</v>
      </c>
      <c r="L2322">
        <v>645</v>
      </c>
      <c r="M2322">
        <v>17064</v>
      </c>
      <c r="N2322">
        <v>0</v>
      </c>
      <c r="O2322">
        <v>0</v>
      </c>
      <c r="P2322">
        <v>15480</v>
      </c>
      <c r="Q2322">
        <v>6196</v>
      </c>
      <c r="R2322">
        <v>3616</v>
      </c>
      <c r="S2322" s="18">
        <f t="shared" si="366"/>
        <v>9</v>
      </c>
      <c r="T2322" s="17">
        <f t="shared" si="367"/>
        <v>1896</v>
      </c>
      <c r="U2322" s="17">
        <f t="shared" si="368"/>
        <v>0</v>
      </c>
      <c r="V2322" s="17">
        <f t="shared" si="369"/>
        <v>0</v>
      </c>
      <c r="W2322" s="17">
        <f t="shared" si="370"/>
        <v>1720</v>
      </c>
      <c r="X2322" s="17">
        <f t="shared" si="371"/>
        <v>2580</v>
      </c>
      <c r="Y2322" s="19">
        <f t="shared" si="372"/>
        <v>0</v>
      </c>
      <c r="Z2322">
        <v>14202</v>
      </c>
      <c r="AA2322">
        <v>17</v>
      </c>
      <c r="AB2322">
        <v>0</v>
      </c>
      <c r="AC2322">
        <v>715</v>
      </c>
      <c r="AD2322">
        <v>940</v>
      </c>
      <c r="AE2322">
        <v>489</v>
      </c>
      <c r="AF2322">
        <v>0</v>
      </c>
      <c r="AG2322">
        <v>354</v>
      </c>
      <c r="AH2322">
        <v>1783</v>
      </c>
      <c r="AI2322">
        <v>292</v>
      </c>
      <c r="AJ2322">
        <v>0</v>
      </c>
      <c r="AK2322">
        <v>1690</v>
      </c>
      <c r="AL2322">
        <v>1982</v>
      </c>
      <c r="AM2322">
        <v>295</v>
      </c>
      <c r="AN2322">
        <v>6552</v>
      </c>
      <c r="AO2322">
        <v>2376</v>
      </c>
      <c r="AP2322">
        <v>4412</v>
      </c>
      <c r="AQ2322">
        <v>9223</v>
      </c>
      <c r="AR2322">
        <v>4746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85</v>
      </c>
      <c r="AY2322">
        <v>148</v>
      </c>
      <c r="AZ2322">
        <v>617</v>
      </c>
      <c r="BA2322">
        <v>850</v>
      </c>
      <c r="BB2322">
        <v>0</v>
      </c>
      <c r="BC2322">
        <v>0</v>
      </c>
      <c r="BD2322">
        <v>0</v>
      </c>
      <c r="BE2322">
        <f t="shared" si="373"/>
        <v>37549</v>
      </c>
      <c r="BF2322">
        <v>28772</v>
      </c>
      <c r="BG2322">
        <v>28772</v>
      </c>
      <c r="BH2322" t="s">
        <v>560</v>
      </c>
      <c r="BI2322" t="s">
        <v>1659</v>
      </c>
      <c r="BJ2322">
        <v>732</v>
      </c>
      <c r="BK2322">
        <v>13838</v>
      </c>
      <c r="BL2322">
        <v>28772</v>
      </c>
      <c r="BM2322">
        <v>18676</v>
      </c>
      <c r="BN2322">
        <v>7189</v>
      </c>
      <c r="BO2322">
        <v>0</v>
      </c>
      <c r="BP2322">
        <v>20517</v>
      </c>
      <c r="BQ2322">
        <v>46382</v>
      </c>
      <c r="BR2322">
        <f t="shared" si="374"/>
        <v>-2580</v>
      </c>
      <c r="BS2322">
        <f t="shared" si="375"/>
        <v>9812</v>
      </c>
    </row>
    <row r="2323" spans="1:74" x14ac:dyDescent="0.25">
      <c r="A2323" s="5" t="s">
        <v>1451</v>
      </c>
      <c r="B2323" s="5" t="s">
        <v>359</v>
      </c>
      <c r="C2323" s="5" t="s">
        <v>207</v>
      </c>
      <c r="D2323" s="1" t="s">
        <v>75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2250</v>
      </c>
      <c r="Q2323">
        <v>2900</v>
      </c>
      <c r="R2323">
        <v>250</v>
      </c>
      <c r="S2323" s="18">
        <f t="shared" si="366"/>
        <v>9</v>
      </c>
      <c r="T2323" s="17">
        <f t="shared" si="367"/>
        <v>0</v>
      </c>
      <c r="U2323" s="17">
        <f t="shared" si="368"/>
        <v>0</v>
      </c>
      <c r="V2323" s="17">
        <f t="shared" si="369"/>
        <v>0</v>
      </c>
      <c r="W2323" s="17">
        <f t="shared" si="370"/>
        <v>250</v>
      </c>
      <c r="X2323" s="17">
        <f t="shared" si="371"/>
        <v>2650</v>
      </c>
      <c r="Y2323" s="19">
        <f t="shared" si="372"/>
        <v>0</v>
      </c>
      <c r="Z2323">
        <v>596</v>
      </c>
      <c r="AA2323">
        <v>0</v>
      </c>
      <c r="AB2323">
        <v>0</v>
      </c>
      <c r="AC2323">
        <v>39298</v>
      </c>
      <c r="AD2323">
        <v>0</v>
      </c>
      <c r="AE2323">
        <v>0</v>
      </c>
      <c r="AF2323">
        <v>0</v>
      </c>
      <c r="AG2323">
        <v>1044</v>
      </c>
      <c r="AH2323">
        <v>1044</v>
      </c>
      <c r="AI2323">
        <v>0</v>
      </c>
      <c r="AJ2323">
        <v>0</v>
      </c>
      <c r="AK2323">
        <v>3100</v>
      </c>
      <c r="AL2323">
        <v>3100</v>
      </c>
      <c r="AM2323">
        <v>0</v>
      </c>
      <c r="AN2323">
        <v>0</v>
      </c>
      <c r="AO2323">
        <v>9710</v>
      </c>
      <c r="AP2323">
        <v>8410</v>
      </c>
      <c r="AQ2323">
        <v>9710</v>
      </c>
      <c r="AR2323">
        <v>1300</v>
      </c>
      <c r="AS2323">
        <v>1450</v>
      </c>
      <c r="AT2323">
        <v>0</v>
      </c>
      <c r="AU2323">
        <v>1450</v>
      </c>
      <c r="AV2323">
        <v>1450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f t="shared" si="373"/>
        <v>81066</v>
      </c>
      <c r="BF2323">
        <v>15900</v>
      </c>
      <c r="BG2323">
        <v>15900</v>
      </c>
      <c r="BH2323" t="s">
        <v>226</v>
      </c>
      <c r="BI2323" t="s">
        <v>1654</v>
      </c>
      <c r="BJ2323">
        <v>39298</v>
      </c>
      <c r="BK2323">
        <v>15304</v>
      </c>
      <c r="BL2323">
        <v>55198</v>
      </c>
      <c r="BM2323">
        <v>0</v>
      </c>
      <c r="BN2323">
        <v>1450</v>
      </c>
      <c r="BO2323">
        <v>0</v>
      </c>
      <c r="BP2323">
        <v>16104</v>
      </c>
      <c r="BQ2323">
        <v>17554</v>
      </c>
      <c r="BR2323">
        <f t="shared" si="374"/>
        <v>-2650</v>
      </c>
      <c r="BS2323">
        <f t="shared" si="375"/>
        <v>3150</v>
      </c>
    </row>
    <row r="2324" spans="1:74" x14ac:dyDescent="0.25">
      <c r="A2324" s="5" t="s">
        <v>1017</v>
      </c>
      <c r="B2324" s="5" t="s">
        <v>207</v>
      </c>
      <c r="C2324" s="5" t="s">
        <v>207</v>
      </c>
      <c r="D2324" s="1" t="s">
        <v>84</v>
      </c>
      <c r="E2324">
        <v>605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10404</v>
      </c>
      <c r="Q2324">
        <v>3828</v>
      </c>
      <c r="R2324">
        <v>1156</v>
      </c>
      <c r="S2324" s="18">
        <f t="shared" si="366"/>
        <v>9</v>
      </c>
      <c r="T2324" s="17">
        <f t="shared" si="367"/>
        <v>0</v>
      </c>
      <c r="U2324" s="17">
        <f t="shared" si="368"/>
        <v>0</v>
      </c>
      <c r="V2324" s="17">
        <f t="shared" si="369"/>
        <v>0</v>
      </c>
      <c r="W2324" s="17">
        <f t="shared" si="370"/>
        <v>1156</v>
      </c>
      <c r="X2324" s="17">
        <f t="shared" si="371"/>
        <v>2672</v>
      </c>
      <c r="Y2324" s="19">
        <f t="shared" si="372"/>
        <v>0</v>
      </c>
      <c r="Z2324">
        <v>9562</v>
      </c>
      <c r="AA2324">
        <v>117</v>
      </c>
      <c r="AB2324">
        <v>1185</v>
      </c>
      <c r="AC2324">
        <v>38492</v>
      </c>
      <c r="AD2324">
        <v>0</v>
      </c>
      <c r="AE2324">
        <v>0</v>
      </c>
      <c r="AF2324">
        <v>0</v>
      </c>
      <c r="AG2324">
        <v>5488</v>
      </c>
      <c r="AH2324">
        <v>5488</v>
      </c>
      <c r="AI2324">
        <v>0</v>
      </c>
      <c r="AJ2324">
        <v>0</v>
      </c>
      <c r="AK2324">
        <v>38427</v>
      </c>
      <c r="AL2324">
        <v>38427</v>
      </c>
      <c r="AM2324">
        <v>0</v>
      </c>
      <c r="AN2324">
        <v>0</v>
      </c>
      <c r="AO2324">
        <v>1465</v>
      </c>
      <c r="AP2324">
        <v>512</v>
      </c>
      <c r="AQ2324">
        <v>1465</v>
      </c>
      <c r="AR2324">
        <v>953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731</v>
      </c>
      <c r="BA2324">
        <v>731</v>
      </c>
      <c r="BB2324">
        <v>0</v>
      </c>
      <c r="BC2324">
        <v>0</v>
      </c>
      <c r="BD2324">
        <v>0</v>
      </c>
      <c r="BE2324">
        <f t="shared" si="373"/>
        <v>132179</v>
      </c>
      <c r="BF2324">
        <v>97990</v>
      </c>
      <c r="BG2324">
        <v>97990</v>
      </c>
      <c r="BH2324" t="s">
        <v>226</v>
      </c>
      <c r="BI2324" t="s">
        <v>1118</v>
      </c>
      <c r="BJ2324">
        <v>40399</v>
      </c>
      <c r="BK2324">
        <v>46111</v>
      </c>
      <c r="BL2324">
        <v>96072</v>
      </c>
      <c r="BM2324">
        <v>0</v>
      </c>
      <c r="BN2324">
        <v>0</v>
      </c>
      <c r="BO2324">
        <v>0</v>
      </c>
      <c r="BP2324">
        <v>56515</v>
      </c>
      <c r="BQ2324">
        <v>56515</v>
      </c>
      <c r="BR2324">
        <f t="shared" si="374"/>
        <v>-2672</v>
      </c>
      <c r="BS2324">
        <f t="shared" si="375"/>
        <v>4984</v>
      </c>
    </row>
    <row r="2325" spans="1:74" x14ac:dyDescent="0.25">
      <c r="A2325" s="5" t="s">
        <v>1337</v>
      </c>
      <c r="B2325" s="5" t="s">
        <v>359</v>
      </c>
      <c r="C2325" s="5" t="s">
        <v>61</v>
      </c>
      <c r="D2325" s="1" t="s">
        <v>65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20353</v>
      </c>
      <c r="K2325">
        <v>1015</v>
      </c>
      <c r="L2325">
        <v>523</v>
      </c>
      <c r="M2325">
        <v>0</v>
      </c>
      <c r="N2325">
        <v>0</v>
      </c>
      <c r="O2325">
        <v>0</v>
      </c>
      <c r="P2325">
        <v>0</v>
      </c>
      <c r="Q2325">
        <v>1235</v>
      </c>
      <c r="R2325">
        <v>0</v>
      </c>
      <c r="S2325" s="18" t="e">
        <f t="shared" si="366"/>
        <v>#DIV/0!</v>
      </c>
      <c r="T2325" s="17" t="e">
        <f t="shared" si="367"/>
        <v>#DIV/0!</v>
      </c>
      <c r="U2325" s="17" t="e">
        <f t="shared" si="368"/>
        <v>#DIV/0!</v>
      </c>
      <c r="V2325" s="17" t="e">
        <f t="shared" si="369"/>
        <v>#DIV/0!</v>
      </c>
      <c r="W2325" s="17" t="e">
        <f t="shared" si="370"/>
        <v>#DIV/0!</v>
      </c>
      <c r="X2325" s="17" t="e">
        <f t="shared" si="371"/>
        <v>#DIV/0!</v>
      </c>
      <c r="Y2325" s="19" t="e">
        <f t="shared" si="372"/>
        <v>#DIV/0!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13887</v>
      </c>
      <c r="AK2325">
        <v>6466</v>
      </c>
      <c r="AL2325">
        <v>20353</v>
      </c>
      <c r="AM2325">
        <v>0</v>
      </c>
      <c r="AN2325">
        <v>1015</v>
      </c>
      <c r="AO2325">
        <v>0</v>
      </c>
      <c r="AP2325">
        <v>620</v>
      </c>
      <c r="AQ2325">
        <v>1015</v>
      </c>
      <c r="AR2325">
        <v>395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523</v>
      </c>
      <c r="AZ2325">
        <v>0</v>
      </c>
      <c r="BA2325">
        <v>523</v>
      </c>
      <c r="BB2325">
        <v>0</v>
      </c>
      <c r="BC2325">
        <v>0</v>
      </c>
      <c r="BD2325">
        <v>0</v>
      </c>
      <c r="BE2325">
        <f t="shared" si="373"/>
        <v>44797</v>
      </c>
      <c r="BF2325">
        <v>21891</v>
      </c>
      <c r="BG2325">
        <v>21891</v>
      </c>
      <c r="BH2325" t="s">
        <v>543</v>
      </c>
      <c r="BI2325" t="s">
        <v>1414</v>
      </c>
      <c r="BJ2325">
        <v>0</v>
      </c>
      <c r="BK2325">
        <v>21891</v>
      </c>
      <c r="BL2325">
        <v>21891</v>
      </c>
      <c r="BM2325">
        <v>0</v>
      </c>
      <c r="BN2325">
        <v>15425</v>
      </c>
      <c r="BO2325">
        <v>0</v>
      </c>
      <c r="BP2325">
        <v>6466</v>
      </c>
      <c r="BQ2325">
        <v>21891</v>
      </c>
      <c r="BR2325">
        <f t="shared" si="374"/>
        <v>-1235</v>
      </c>
      <c r="BS2325">
        <f t="shared" si="375"/>
        <v>1235</v>
      </c>
      <c r="BU2325">
        <f>R2325*9</f>
        <v>0</v>
      </c>
      <c r="BV2325">
        <f>IF(BU2325&gt;BG2325, 1, 0)</f>
        <v>0</v>
      </c>
    </row>
    <row r="2326" spans="1:74" x14ac:dyDescent="0.25">
      <c r="A2326" s="5" t="s">
        <v>1451</v>
      </c>
      <c r="B2326" s="5" t="s">
        <v>61</v>
      </c>
      <c r="C2326" s="5" t="s">
        <v>207</v>
      </c>
      <c r="D2326" s="1" t="s">
        <v>108</v>
      </c>
      <c r="E2326">
        <v>0</v>
      </c>
      <c r="F2326">
        <v>350</v>
      </c>
      <c r="G2326">
        <v>0</v>
      </c>
      <c r="H2326">
        <v>0</v>
      </c>
      <c r="I2326">
        <v>1434</v>
      </c>
      <c r="J2326">
        <v>44801</v>
      </c>
      <c r="K2326">
        <v>2713</v>
      </c>
      <c r="L2326">
        <v>540</v>
      </c>
      <c r="M2326">
        <v>3150</v>
      </c>
      <c r="N2326">
        <v>0</v>
      </c>
      <c r="O2326">
        <v>0</v>
      </c>
      <c r="P2326">
        <v>0</v>
      </c>
      <c r="Q2326">
        <v>3133</v>
      </c>
      <c r="R2326">
        <v>350</v>
      </c>
      <c r="S2326" s="18">
        <f t="shared" si="366"/>
        <v>9</v>
      </c>
      <c r="T2326" s="17">
        <f t="shared" si="367"/>
        <v>350</v>
      </c>
      <c r="U2326" s="17">
        <f t="shared" si="368"/>
        <v>0</v>
      </c>
      <c r="V2326" s="17">
        <f t="shared" si="369"/>
        <v>0</v>
      </c>
      <c r="W2326" s="17">
        <f t="shared" si="370"/>
        <v>0</v>
      </c>
      <c r="X2326" s="17">
        <f t="shared" si="371"/>
        <v>2783</v>
      </c>
      <c r="Y2326" s="19">
        <f t="shared" si="372"/>
        <v>0</v>
      </c>
      <c r="Z2326">
        <v>350</v>
      </c>
      <c r="AA2326">
        <v>20</v>
      </c>
      <c r="AB2326">
        <v>0</v>
      </c>
      <c r="AC2326">
        <v>28000</v>
      </c>
      <c r="AD2326">
        <v>0</v>
      </c>
      <c r="AE2326">
        <v>0</v>
      </c>
      <c r="AF2326">
        <v>0</v>
      </c>
      <c r="AG2326">
        <v>1434</v>
      </c>
      <c r="AH2326">
        <v>1434</v>
      </c>
      <c r="AI2326">
        <v>0</v>
      </c>
      <c r="AJ2326">
        <v>0</v>
      </c>
      <c r="AK2326">
        <v>44801</v>
      </c>
      <c r="AL2326">
        <v>44801</v>
      </c>
      <c r="AM2326">
        <v>0</v>
      </c>
      <c r="AN2326">
        <v>0</v>
      </c>
      <c r="AO2326">
        <v>2713</v>
      </c>
      <c r="AP2326">
        <v>1439</v>
      </c>
      <c r="AQ2326">
        <v>2713</v>
      </c>
      <c r="AR2326">
        <v>1274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540</v>
      </c>
      <c r="BA2326">
        <v>540</v>
      </c>
      <c r="BB2326">
        <v>0</v>
      </c>
      <c r="BC2326">
        <v>0</v>
      </c>
      <c r="BD2326">
        <v>0</v>
      </c>
      <c r="BE2326">
        <f t="shared" si="373"/>
        <v>129689</v>
      </c>
      <c r="BF2326">
        <v>77858</v>
      </c>
      <c r="BG2326">
        <v>77858</v>
      </c>
      <c r="BH2326" t="s">
        <v>581</v>
      </c>
      <c r="BI2326" t="s">
        <v>1492</v>
      </c>
      <c r="BJ2326">
        <v>28020</v>
      </c>
      <c r="BK2326">
        <v>49488</v>
      </c>
      <c r="BL2326">
        <v>77858</v>
      </c>
      <c r="BM2326">
        <v>3150</v>
      </c>
      <c r="BN2326">
        <v>0</v>
      </c>
      <c r="BO2326">
        <v>0</v>
      </c>
      <c r="BP2326">
        <v>49488</v>
      </c>
      <c r="BQ2326">
        <v>52638</v>
      </c>
      <c r="BR2326">
        <f t="shared" si="374"/>
        <v>-2783</v>
      </c>
      <c r="BS2326">
        <f t="shared" si="375"/>
        <v>3483</v>
      </c>
    </row>
    <row r="2327" spans="1:74" x14ac:dyDescent="0.25">
      <c r="A2327" s="5" t="s">
        <v>359</v>
      </c>
      <c r="B2327" s="5" t="s">
        <v>359</v>
      </c>
      <c r="C2327" s="5" t="s">
        <v>61</v>
      </c>
      <c r="D2327" s="1" t="s">
        <v>113</v>
      </c>
      <c r="E2327">
        <v>0</v>
      </c>
      <c r="F2327">
        <v>743</v>
      </c>
      <c r="G2327">
        <v>0</v>
      </c>
      <c r="H2327">
        <v>0</v>
      </c>
      <c r="I2327">
        <v>4613</v>
      </c>
      <c r="J2327">
        <v>23754</v>
      </c>
      <c r="K2327">
        <v>3642</v>
      </c>
      <c r="L2327">
        <v>34</v>
      </c>
      <c r="M2327">
        <v>0</v>
      </c>
      <c r="N2327">
        <v>0</v>
      </c>
      <c r="O2327">
        <v>0</v>
      </c>
      <c r="P2327">
        <v>9540</v>
      </c>
      <c r="Q2327">
        <v>3902</v>
      </c>
      <c r="R2327">
        <v>1060</v>
      </c>
      <c r="S2327" s="18">
        <f t="shared" si="366"/>
        <v>9</v>
      </c>
      <c r="T2327" s="17">
        <f t="shared" si="367"/>
        <v>0</v>
      </c>
      <c r="U2327" s="17">
        <f t="shared" si="368"/>
        <v>0</v>
      </c>
      <c r="V2327" s="17">
        <f t="shared" si="369"/>
        <v>0</v>
      </c>
      <c r="W2327" s="17">
        <f t="shared" si="370"/>
        <v>1060</v>
      </c>
      <c r="X2327" s="17">
        <f t="shared" si="371"/>
        <v>2842</v>
      </c>
      <c r="Y2327" s="19">
        <f t="shared" si="372"/>
        <v>0</v>
      </c>
      <c r="Z2327">
        <v>743</v>
      </c>
      <c r="AA2327">
        <v>4</v>
      </c>
      <c r="AB2327">
        <v>145</v>
      </c>
      <c r="AC2327">
        <v>13135</v>
      </c>
      <c r="AD2327">
        <v>0</v>
      </c>
      <c r="AE2327">
        <v>0</v>
      </c>
      <c r="AF2327">
        <v>0</v>
      </c>
      <c r="AG2327">
        <v>4613</v>
      </c>
      <c r="AH2327">
        <v>4613</v>
      </c>
      <c r="AI2327">
        <v>0</v>
      </c>
      <c r="AJ2327">
        <v>0</v>
      </c>
      <c r="AK2327">
        <v>23754</v>
      </c>
      <c r="AL2327">
        <v>23754</v>
      </c>
      <c r="AM2327">
        <v>0</v>
      </c>
      <c r="AN2327">
        <v>0</v>
      </c>
      <c r="AO2327">
        <v>3642</v>
      </c>
      <c r="AP2327">
        <v>1124</v>
      </c>
      <c r="AQ2327">
        <v>3642</v>
      </c>
      <c r="AR2327">
        <v>2518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34</v>
      </c>
      <c r="BA2327">
        <v>34</v>
      </c>
      <c r="BB2327">
        <v>0</v>
      </c>
      <c r="BC2327">
        <v>0</v>
      </c>
      <c r="BD2327">
        <v>0</v>
      </c>
      <c r="BE2327">
        <f t="shared" si="373"/>
        <v>80863</v>
      </c>
      <c r="BF2327">
        <v>46070</v>
      </c>
      <c r="BG2327">
        <v>46070</v>
      </c>
      <c r="BH2327" t="s">
        <v>82</v>
      </c>
      <c r="BI2327" t="s">
        <v>780</v>
      </c>
      <c r="BJ2327">
        <v>13284</v>
      </c>
      <c r="BK2327">
        <v>32043</v>
      </c>
      <c r="BL2327">
        <v>46070</v>
      </c>
      <c r="BM2327">
        <v>0</v>
      </c>
      <c r="BN2327">
        <v>0</v>
      </c>
      <c r="BO2327">
        <v>0</v>
      </c>
      <c r="BP2327">
        <v>41583</v>
      </c>
      <c r="BQ2327">
        <v>41583</v>
      </c>
      <c r="BR2327">
        <f t="shared" si="374"/>
        <v>-2842</v>
      </c>
      <c r="BS2327">
        <f t="shared" si="375"/>
        <v>4962</v>
      </c>
    </row>
    <row r="2328" spans="1:74" x14ac:dyDescent="0.25">
      <c r="A2328" s="5" t="s">
        <v>1946</v>
      </c>
      <c r="B2328" s="5" t="s">
        <v>207</v>
      </c>
      <c r="C2328" s="5" t="s">
        <v>359</v>
      </c>
      <c r="D2328" s="1" t="s">
        <v>62</v>
      </c>
      <c r="E2328">
        <v>866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29070</v>
      </c>
      <c r="Q2328">
        <v>6125</v>
      </c>
      <c r="R2328">
        <v>3230</v>
      </c>
      <c r="S2328" s="18">
        <f t="shared" si="366"/>
        <v>9</v>
      </c>
      <c r="T2328" s="17">
        <f t="shared" si="367"/>
        <v>0</v>
      </c>
      <c r="U2328" s="17">
        <f t="shared" si="368"/>
        <v>0</v>
      </c>
      <c r="V2328" s="17">
        <f t="shared" si="369"/>
        <v>0</v>
      </c>
      <c r="W2328" s="17">
        <f t="shared" si="370"/>
        <v>3230</v>
      </c>
      <c r="X2328" s="17">
        <f t="shared" si="371"/>
        <v>2895</v>
      </c>
      <c r="Y2328" s="19">
        <f t="shared" si="372"/>
        <v>0</v>
      </c>
      <c r="Z2328">
        <v>17277</v>
      </c>
      <c r="AA2328">
        <v>579</v>
      </c>
      <c r="AB2328">
        <v>1891</v>
      </c>
      <c r="AC2328">
        <v>49474</v>
      </c>
      <c r="AD2328">
        <v>0</v>
      </c>
      <c r="AE2328">
        <v>0</v>
      </c>
      <c r="AF2328">
        <v>0</v>
      </c>
      <c r="AG2328">
        <v>347</v>
      </c>
      <c r="AH2328">
        <v>347</v>
      </c>
      <c r="AI2328">
        <v>0</v>
      </c>
      <c r="AJ2328">
        <v>27035</v>
      </c>
      <c r="AK2328">
        <v>8200</v>
      </c>
      <c r="AL2328">
        <v>35235</v>
      </c>
      <c r="AM2328">
        <v>0</v>
      </c>
      <c r="AN2328">
        <v>0</v>
      </c>
      <c r="AO2328">
        <v>7896</v>
      </c>
      <c r="AP2328">
        <v>6728</v>
      </c>
      <c r="AQ2328">
        <v>7896</v>
      </c>
      <c r="AR2328">
        <v>1168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500</v>
      </c>
      <c r="BA2328">
        <v>500</v>
      </c>
      <c r="BB2328">
        <v>0</v>
      </c>
      <c r="BC2328">
        <v>0</v>
      </c>
      <c r="BD2328">
        <v>0</v>
      </c>
      <c r="BE2328">
        <f t="shared" si="373"/>
        <v>145326</v>
      </c>
      <c r="BF2328">
        <v>130414</v>
      </c>
      <c r="BG2328">
        <v>130414</v>
      </c>
      <c r="BH2328" t="s">
        <v>226</v>
      </c>
      <c r="BI2328" t="s">
        <v>2089</v>
      </c>
      <c r="BJ2328">
        <v>52810</v>
      </c>
      <c r="BK2328">
        <v>43978</v>
      </c>
      <c r="BL2328">
        <v>114065</v>
      </c>
      <c r="BM2328">
        <v>0</v>
      </c>
      <c r="BN2328">
        <v>27035</v>
      </c>
      <c r="BO2328">
        <v>0</v>
      </c>
      <c r="BP2328">
        <v>46013</v>
      </c>
      <c r="BQ2328">
        <v>73048</v>
      </c>
      <c r="BR2328">
        <f t="shared" si="374"/>
        <v>-2895</v>
      </c>
      <c r="BS2328">
        <f t="shared" si="375"/>
        <v>9355</v>
      </c>
    </row>
    <row r="2329" spans="1:74" x14ac:dyDescent="0.25">
      <c r="A2329" s="5" t="s">
        <v>1337</v>
      </c>
      <c r="B2329" s="5" t="s">
        <v>207</v>
      </c>
      <c r="C2329" s="5" t="s">
        <v>61</v>
      </c>
      <c r="D2329" s="1" t="s">
        <v>79</v>
      </c>
      <c r="E2329">
        <v>0</v>
      </c>
      <c r="F2329">
        <v>3031</v>
      </c>
      <c r="G2329">
        <v>0</v>
      </c>
      <c r="H2329">
        <v>0</v>
      </c>
      <c r="I2329">
        <v>14908</v>
      </c>
      <c r="J2329">
        <v>0</v>
      </c>
      <c r="K2329">
        <v>156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2973</v>
      </c>
      <c r="R2329">
        <v>0</v>
      </c>
      <c r="S2329" s="18" t="e">
        <f t="shared" si="366"/>
        <v>#DIV/0!</v>
      </c>
      <c r="T2329" s="17" t="e">
        <f t="shared" si="367"/>
        <v>#DIV/0!</v>
      </c>
      <c r="U2329" s="17" t="e">
        <f t="shared" si="368"/>
        <v>#DIV/0!</v>
      </c>
      <c r="V2329" s="17" t="e">
        <f t="shared" si="369"/>
        <v>#DIV/0!</v>
      </c>
      <c r="W2329" s="17" t="e">
        <f t="shared" si="370"/>
        <v>#DIV/0!</v>
      </c>
      <c r="X2329" s="17" t="e">
        <f t="shared" si="371"/>
        <v>#DIV/0!</v>
      </c>
      <c r="Y2329" s="19" t="e">
        <f t="shared" si="372"/>
        <v>#DIV/0!</v>
      </c>
      <c r="Z2329">
        <v>3031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10000</v>
      </c>
      <c r="AG2329">
        <v>4908</v>
      </c>
      <c r="AH2329">
        <v>14908</v>
      </c>
      <c r="AI2329">
        <v>0</v>
      </c>
      <c r="AJ2329">
        <v>0</v>
      </c>
      <c r="AK2329">
        <v>0</v>
      </c>
      <c r="AL2329">
        <v>0</v>
      </c>
      <c r="AM2329">
        <v>156</v>
      </c>
      <c r="AN2329">
        <v>0</v>
      </c>
      <c r="AO2329">
        <v>0</v>
      </c>
      <c r="AP2329">
        <v>0</v>
      </c>
      <c r="AQ2329">
        <v>156</v>
      </c>
      <c r="AR2329">
        <v>156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f t="shared" si="373"/>
        <v>30284</v>
      </c>
      <c r="BF2329">
        <v>18095</v>
      </c>
      <c r="BG2329">
        <v>18095</v>
      </c>
      <c r="BH2329" t="s">
        <v>109</v>
      </c>
      <c r="BI2329" t="s">
        <v>1378</v>
      </c>
      <c r="BJ2329">
        <v>0</v>
      </c>
      <c r="BK2329">
        <v>15064</v>
      </c>
      <c r="BL2329">
        <v>18095</v>
      </c>
      <c r="BM2329">
        <v>156</v>
      </c>
      <c r="BN2329">
        <v>0</v>
      </c>
      <c r="BO2329">
        <v>10000</v>
      </c>
      <c r="BP2329">
        <v>4908</v>
      </c>
      <c r="BQ2329">
        <v>15064</v>
      </c>
      <c r="BR2329">
        <f t="shared" si="374"/>
        <v>-2973</v>
      </c>
      <c r="BS2329">
        <f t="shared" si="375"/>
        <v>2973</v>
      </c>
    </row>
    <row r="2330" spans="1:74" x14ac:dyDescent="0.25">
      <c r="A2330" s="5" t="s">
        <v>1661</v>
      </c>
      <c r="B2330" s="5" t="s">
        <v>359</v>
      </c>
      <c r="C2330" s="5" t="s">
        <v>359</v>
      </c>
      <c r="D2330" s="1" t="s">
        <v>127</v>
      </c>
      <c r="E2330">
        <v>0</v>
      </c>
      <c r="F2330">
        <v>2395</v>
      </c>
      <c r="G2330">
        <v>0</v>
      </c>
      <c r="H2330">
        <v>0</v>
      </c>
      <c r="I2330">
        <v>729</v>
      </c>
      <c r="J2330">
        <v>5693</v>
      </c>
      <c r="K2330">
        <v>6518</v>
      </c>
      <c r="L2330">
        <v>937</v>
      </c>
      <c r="M2330">
        <v>0</v>
      </c>
      <c r="N2330">
        <v>0</v>
      </c>
      <c r="O2330">
        <v>0</v>
      </c>
      <c r="P2330">
        <v>351</v>
      </c>
      <c r="Q2330">
        <v>3168</v>
      </c>
      <c r="R2330">
        <v>39</v>
      </c>
      <c r="S2330" s="18">
        <f t="shared" si="366"/>
        <v>9</v>
      </c>
      <c r="T2330" s="17">
        <f t="shared" si="367"/>
        <v>0</v>
      </c>
      <c r="U2330" s="17">
        <f t="shared" si="368"/>
        <v>0</v>
      </c>
      <c r="V2330" s="17">
        <f t="shared" si="369"/>
        <v>0</v>
      </c>
      <c r="W2330" s="17">
        <f t="shared" si="370"/>
        <v>39</v>
      </c>
      <c r="X2330" s="17">
        <f t="shared" si="371"/>
        <v>3129</v>
      </c>
      <c r="Y2330" s="19">
        <f t="shared" si="372"/>
        <v>0</v>
      </c>
      <c r="Z2330">
        <v>2395</v>
      </c>
      <c r="AA2330">
        <v>0</v>
      </c>
      <c r="AB2330">
        <v>0</v>
      </c>
      <c r="AC2330">
        <v>10892</v>
      </c>
      <c r="AD2330">
        <v>0</v>
      </c>
      <c r="AE2330">
        <v>0</v>
      </c>
      <c r="AF2330">
        <v>0</v>
      </c>
      <c r="AG2330">
        <v>729</v>
      </c>
      <c r="AH2330">
        <v>729</v>
      </c>
      <c r="AI2330">
        <v>0</v>
      </c>
      <c r="AJ2330">
        <v>0</v>
      </c>
      <c r="AK2330">
        <v>5693</v>
      </c>
      <c r="AL2330">
        <v>5693</v>
      </c>
      <c r="AM2330">
        <v>0</v>
      </c>
      <c r="AN2330">
        <v>0</v>
      </c>
      <c r="AO2330">
        <v>6518</v>
      </c>
      <c r="AP2330">
        <v>5021</v>
      </c>
      <c r="AQ2330">
        <v>6518</v>
      </c>
      <c r="AR2330">
        <v>1497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937</v>
      </c>
      <c r="BA2330">
        <v>937</v>
      </c>
      <c r="BB2330">
        <v>0</v>
      </c>
      <c r="BC2330">
        <v>0</v>
      </c>
      <c r="BD2330">
        <v>0</v>
      </c>
      <c r="BE2330">
        <f t="shared" si="373"/>
        <v>45164</v>
      </c>
      <c r="BF2330">
        <v>30181</v>
      </c>
      <c r="BG2330">
        <v>30181</v>
      </c>
      <c r="BH2330" t="s">
        <v>82</v>
      </c>
      <c r="BI2330" t="s">
        <v>1944</v>
      </c>
      <c r="BJ2330">
        <v>10892</v>
      </c>
      <c r="BK2330">
        <v>13877</v>
      </c>
      <c r="BL2330">
        <v>27164</v>
      </c>
      <c r="BM2330">
        <v>0</v>
      </c>
      <c r="BN2330">
        <v>0</v>
      </c>
      <c r="BO2330">
        <v>0</v>
      </c>
      <c r="BP2330">
        <v>14228</v>
      </c>
      <c r="BQ2330">
        <v>14228</v>
      </c>
      <c r="BR2330">
        <f t="shared" si="374"/>
        <v>-3129</v>
      </c>
      <c r="BS2330">
        <f t="shared" si="375"/>
        <v>3207</v>
      </c>
    </row>
    <row r="2331" spans="1:74" x14ac:dyDescent="0.25">
      <c r="A2331" s="5" t="s">
        <v>1017</v>
      </c>
      <c r="B2331" s="5" t="s">
        <v>207</v>
      </c>
      <c r="C2331" s="5" t="s">
        <v>207</v>
      </c>
      <c r="D2331" s="1" t="s">
        <v>81</v>
      </c>
      <c r="E2331">
        <v>400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909</v>
      </c>
      <c r="Q2331">
        <v>3407</v>
      </c>
      <c r="R2331">
        <v>101</v>
      </c>
      <c r="S2331" s="18">
        <f t="shared" si="366"/>
        <v>9</v>
      </c>
      <c r="T2331" s="17">
        <f t="shared" si="367"/>
        <v>0</v>
      </c>
      <c r="U2331" s="17">
        <f t="shared" si="368"/>
        <v>0</v>
      </c>
      <c r="V2331" s="17">
        <f t="shared" si="369"/>
        <v>0</v>
      </c>
      <c r="W2331" s="17">
        <f t="shared" si="370"/>
        <v>101</v>
      </c>
      <c r="X2331" s="17">
        <f t="shared" si="371"/>
        <v>3306</v>
      </c>
      <c r="Y2331" s="19">
        <f t="shared" si="372"/>
        <v>0</v>
      </c>
      <c r="Z2331">
        <v>1380</v>
      </c>
      <c r="AA2331">
        <v>505</v>
      </c>
      <c r="AB2331">
        <v>967</v>
      </c>
      <c r="AC2331">
        <v>23826</v>
      </c>
      <c r="AD2331">
        <v>0</v>
      </c>
      <c r="AE2331">
        <v>0</v>
      </c>
      <c r="AF2331">
        <v>0</v>
      </c>
      <c r="AG2331">
        <v>3122</v>
      </c>
      <c r="AH2331">
        <v>3122</v>
      </c>
      <c r="AI2331">
        <v>0</v>
      </c>
      <c r="AJ2331">
        <v>0</v>
      </c>
      <c r="AK2331">
        <v>32100</v>
      </c>
      <c r="AL2331">
        <v>32100</v>
      </c>
      <c r="AM2331">
        <v>0</v>
      </c>
      <c r="AN2331">
        <v>0</v>
      </c>
      <c r="AO2331">
        <v>5534</v>
      </c>
      <c r="AP2331">
        <v>2201</v>
      </c>
      <c r="AQ2331">
        <v>5534</v>
      </c>
      <c r="AR2331">
        <v>3333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288</v>
      </c>
      <c r="BA2331">
        <v>288</v>
      </c>
      <c r="BB2331">
        <v>0</v>
      </c>
      <c r="BC2331">
        <v>0</v>
      </c>
      <c r="BD2331">
        <v>0</v>
      </c>
      <c r="BE2331">
        <f t="shared" si="373"/>
        <v>111448</v>
      </c>
      <c r="BF2331">
        <v>68122</v>
      </c>
      <c r="BG2331">
        <v>68122</v>
      </c>
      <c r="BH2331" t="s">
        <v>581</v>
      </c>
      <c r="BI2331" t="s">
        <v>1117</v>
      </c>
      <c r="BJ2331">
        <v>25698</v>
      </c>
      <c r="BK2331">
        <v>41044</v>
      </c>
      <c r="BL2331">
        <v>68122</v>
      </c>
      <c r="BM2331">
        <v>0</v>
      </c>
      <c r="BN2331">
        <v>0</v>
      </c>
      <c r="BO2331">
        <v>0</v>
      </c>
      <c r="BP2331">
        <v>41953</v>
      </c>
      <c r="BQ2331">
        <v>41953</v>
      </c>
      <c r="BR2331">
        <f t="shared" si="374"/>
        <v>-3306</v>
      </c>
      <c r="BS2331">
        <f t="shared" si="375"/>
        <v>3508</v>
      </c>
    </row>
    <row r="2332" spans="1:74" x14ac:dyDescent="0.25">
      <c r="A2332" s="5" t="s">
        <v>207</v>
      </c>
      <c r="B2332" s="5" t="s">
        <v>627</v>
      </c>
      <c r="C2332" s="5" t="s">
        <v>207</v>
      </c>
      <c r="D2332" s="1" t="s">
        <v>84</v>
      </c>
      <c r="E2332">
        <v>2016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1674</v>
      </c>
      <c r="Q2332">
        <v>3592</v>
      </c>
      <c r="R2332">
        <v>186</v>
      </c>
      <c r="S2332" s="18">
        <f t="shared" si="366"/>
        <v>9</v>
      </c>
      <c r="T2332" s="17">
        <f t="shared" si="367"/>
        <v>0</v>
      </c>
      <c r="U2332" s="17">
        <f t="shared" si="368"/>
        <v>0</v>
      </c>
      <c r="V2332" s="17">
        <f t="shared" si="369"/>
        <v>0</v>
      </c>
      <c r="W2332" s="17">
        <f t="shared" si="370"/>
        <v>186</v>
      </c>
      <c r="X2332" s="17">
        <f t="shared" si="371"/>
        <v>3406</v>
      </c>
      <c r="Y2332" s="19">
        <f t="shared" si="372"/>
        <v>0</v>
      </c>
      <c r="Z2332">
        <v>267</v>
      </c>
      <c r="AA2332">
        <v>1168</v>
      </c>
      <c r="AB2332">
        <v>1010</v>
      </c>
      <c r="AC2332">
        <v>50752</v>
      </c>
      <c r="AD2332">
        <v>0</v>
      </c>
      <c r="AE2332">
        <v>0</v>
      </c>
      <c r="AF2332">
        <v>0</v>
      </c>
      <c r="AG2332">
        <v>5163</v>
      </c>
      <c r="AH2332">
        <v>5163</v>
      </c>
      <c r="AI2332">
        <v>0</v>
      </c>
      <c r="AJ2332">
        <v>16700</v>
      </c>
      <c r="AK2332">
        <v>13695</v>
      </c>
      <c r="AL2332">
        <v>30395</v>
      </c>
      <c r="AM2332">
        <v>0</v>
      </c>
      <c r="AN2332">
        <v>0</v>
      </c>
      <c r="AO2332">
        <v>1005</v>
      </c>
      <c r="AP2332">
        <v>24</v>
      </c>
      <c r="AQ2332">
        <v>1005</v>
      </c>
      <c r="AR2332">
        <v>981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368</v>
      </c>
      <c r="BA2332">
        <v>368</v>
      </c>
      <c r="BB2332">
        <v>0</v>
      </c>
      <c r="BC2332">
        <v>0</v>
      </c>
      <c r="BD2332">
        <v>0</v>
      </c>
      <c r="BE2332">
        <f t="shared" si="373"/>
        <v>125619</v>
      </c>
      <c r="BF2332">
        <v>92144</v>
      </c>
      <c r="BG2332">
        <v>92144</v>
      </c>
      <c r="BH2332" t="s">
        <v>226</v>
      </c>
      <c r="BI2332" t="s">
        <v>669</v>
      </c>
      <c r="BJ2332">
        <v>54946</v>
      </c>
      <c r="BK2332">
        <v>36931</v>
      </c>
      <c r="BL2332">
        <v>92144</v>
      </c>
      <c r="BM2332">
        <v>0</v>
      </c>
      <c r="BN2332">
        <v>16700</v>
      </c>
      <c r="BO2332">
        <v>0</v>
      </c>
      <c r="BP2332">
        <v>21905</v>
      </c>
      <c r="BQ2332">
        <v>38605</v>
      </c>
      <c r="BR2332">
        <f t="shared" si="374"/>
        <v>-3406</v>
      </c>
      <c r="BS2332">
        <f t="shared" si="375"/>
        <v>3778</v>
      </c>
    </row>
    <row r="2333" spans="1:74" x14ac:dyDescent="0.25">
      <c r="A2333" s="5" t="s">
        <v>627</v>
      </c>
      <c r="B2333" s="5" t="s">
        <v>207</v>
      </c>
      <c r="C2333" s="5" t="s">
        <v>61</v>
      </c>
      <c r="D2333" s="1" t="s">
        <v>88</v>
      </c>
      <c r="E2333">
        <v>650</v>
      </c>
      <c r="F2333">
        <v>1725</v>
      </c>
      <c r="G2333">
        <v>0</v>
      </c>
      <c r="H2333">
        <v>0</v>
      </c>
      <c r="I2333">
        <v>2450</v>
      </c>
      <c r="J2333">
        <v>88922</v>
      </c>
      <c r="K2333">
        <v>2190</v>
      </c>
      <c r="L2333">
        <v>1311</v>
      </c>
      <c r="M2333">
        <v>0</v>
      </c>
      <c r="N2333">
        <v>0</v>
      </c>
      <c r="O2333">
        <v>0</v>
      </c>
      <c r="P2333">
        <v>5175</v>
      </c>
      <c r="Q2333">
        <v>4015</v>
      </c>
      <c r="R2333">
        <v>575</v>
      </c>
      <c r="S2333" s="18">
        <f t="shared" si="366"/>
        <v>9</v>
      </c>
      <c r="T2333" s="17">
        <f t="shared" si="367"/>
        <v>0</v>
      </c>
      <c r="U2333" s="17">
        <f t="shared" si="368"/>
        <v>0</v>
      </c>
      <c r="V2333" s="17">
        <f t="shared" si="369"/>
        <v>0</v>
      </c>
      <c r="W2333" s="17">
        <f t="shared" si="370"/>
        <v>575</v>
      </c>
      <c r="X2333" s="17">
        <f t="shared" si="371"/>
        <v>3440</v>
      </c>
      <c r="Y2333" s="19">
        <f t="shared" si="372"/>
        <v>0</v>
      </c>
      <c r="Z2333">
        <v>1725</v>
      </c>
      <c r="AA2333">
        <v>197</v>
      </c>
      <c r="AB2333">
        <v>4581</v>
      </c>
      <c r="AC2333">
        <v>43656</v>
      </c>
      <c r="AD2333">
        <v>0</v>
      </c>
      <c r="AE2333">
        <v>680</v>
      </c>
      <c r="AF2333">
        <v>0</v>
      </c>
      <c r="AG2333">
        <v>1770</v>
      </c>
      <c r="AH2333">
        <v>2450</v>
      </c>
      <c r="AI2333">
        <v>0</v>
      </c>
      <c r="AJ2333">
        <v>71172</v>
      </c>
      <c r="AK2333">
        <v>17750</v>
      </c>
      <c r="AL2333">
        <v>88922</v>
      </c>
      <c r="AM2333">
        <v>0</v>
      </c>
      <c r="AN2333">
        <v>360</v>
      </c>
      <c r="AO2333">
        <v>1830</v>
      </c>
      <c r="AP2333">
        <v>1330</v>
      </c>
      <c r="AQ2333">
        <v>2190</v>
      </c>
      <c r="AR2333">
        <v>860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1170</v>
      </c>
      <c r="AZ2333">
        <v>141</v>
      </c>
      <c r="BA2333">
        <v>1311</v>
      </c>
      <c r="BB2333">
        <v>0</v>
      </c>
      <c r="BC2333">
        <v>0</v>
      </c>
      <c r="BD2333">
        <v>0</v>
      </c>
      <c r="BE2333">
        <f t="shared" si="373"/>
        <v>235592</v>
      </c>
      <c r="BF2333">
        <v>145682</v>
      </c>
      <c r="BG2333">
        <v>145682</v>
      </c>
      <c r="BH2333" t="s">
        <v>226</v>
      </c>
      <c r="BI2333" t="s">
        <v>842</v>
      </c>
      <c r="BJ2333">
        <v>49084</v>
      </c>
      <c r="BK2333">
        <v>94873</v>
      </c>
      <c r="BL2333">
        <v>145682</v>
      </c>
      <c r="BM2333">
        <v>0</v>
      </c>
      <c r="BN2333">
        <v>73382</v>
      </c>
      <c r="BO2333">
        <v>0</v>
      </c>
      <c r="BP2333">
        <v>26666</v>
      </c>
      <c r="BQ2333">
        <v>100048</v>
      </c>
      <c r="BR2333">
        <f t="shared" si="374"/>
        <v>-3440</v>
      </c>
      <c r="BS2333">
        <f t="shared" si="375"/>
        <v>4590</v>
      </c>
    </row>
    <row r="2334" spans="1:74" x14ac:dyDescent="0.25">
      <c r="A2334" s="5" t="s">
        <v>207</v>
      </c>
      <c r="B2334" s="5" t="s">
        <v>207</v>
      </c>
      <c r="C2334" s="5" t="s">
        <v>207</v>
      </c>
      <c r="D2334" s="1" t="s">
        <v>67</v>
      </c>
      <c r="E2334">
        <v>3555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10296</v>
      </c>
      <c r="Q2334">
        <v>5072</v>
      </c>
      <c r="R2334">
        <v>1144</v>
      </c>
      <c r="S2334" s="18">
        <f t="shared" si="366"/>
        <v>9</v>
      </c>
      <c r="T2334" s="17">
        <f t="shared" si="367"/>
        <v>0</v>
      </c>
      <c r="U2334" s="17">
        <f t="shared" si="368"/>
        <v>0</v>
      </c>
      <c r="V2334" s="17">
        <f t="shared" si="369"/>
        <v>0</v>
      </c>
      <c r="W2334" s="17">
        <f t="shared" si="370"/>
        <v>1144</v>
      </c>
      <c r="X2334" s="17">
        <f t="shared" si="371"/>
        <v>3928</v>
      </c>
      <c r="Y2334" s="19">
        <f t="shared" si="372"/>
        <v>0</v>
      </c>
      <c r="Z2334">
        <v>9811</v>
      </c>
      <c r="AA2334">
        <v>1100</v>
      </c>
      <c r="AB2334">
        <v>2317</v>
      </c>
      <c r="AC2334">
        <v>52310</v>
      </c>
      <c r="AD2334">
        <v>0</v>
      </c>
      <c r="AE2334">
        <v>480</v>
      </c>
      <c r="AF2334">
        <v>0</v>
      </c>
      <c r="AG2334">
        <v>4378</v>
      </c>
      <c r="AH2334">
        <v>4858</v>
      </c>
      <c r="AI2334">
        <v>0</v>
      </c>
      <c r="AJ2334">
        <v>21459</v>
      </c>
      <c r="AK2334">
        <v>72011</v>
      </c>
      <c r="AL2334">
        <v>93470</v>
      </c>
      <c r="AM2334">
        <v>0</v>
      </c>
      <c r="AN2334">
        <v>488</v>
      </c>
      <c r="AO2334">
        <v>4927</v>
      </c>
      <c r="AP2334">
        <v>2517</v>
      </c>
      <c r="AQ2334">
        <v>5415</v>
      </c>
      <c r="AR2334">
        <v>2898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2640</v>
      </c>
      <c r="BA2334">
        <v>2640</v>
      </c>
      <c r="BB2334">
        <v>0</v>
      </c>
      <c r="BC2334">
        <v>0</v>
      </c>
      <c r="BD2334">
        <v>0</v>
      </c>
      <c r="BE2334">
        <f t="shared" si="373"/>
        <v>270491</v>
      </c>
      <c r="BF2334">
        <v>177996</v>
      </c>
      <c r="BG2334">
        <v>177996</v>
      </c>
      <c r="BH2334" t="s">
        <v>226</v>
      </c>
      <c r="BI2334" t="s">
        <v>589</v>
      </c>
      <c r="BJ2334">
        <v>59282</v>
      </c>
      <c r="BK2334">
        <v>106383</v>
      </c>
      <c r="BL2334">
        <v>175476</v>
      </c>
      <c r="BM2334">
        <v>0</v>
      </c>
      <c r="BN2334">
        <v>22427</v>
      </c>
      <c r="BO2334">
        <v>0</v>
      </c>
      <c r="BP2334">
        <v>94252</v>
      </c>
      <c r="BQ2334">
        <v>116679</v>
      </c>
      <c r="BR2334">
        <f t="shared" si="374"/>
        <v>-3928</v>
      </c>
      <c r="BS2334">
        <f t="shared" si="375"/>
        <v>6216</v>
      </c>
    </row>
    <row r="2335" spans="1:74" x14ac:dyDescent="0.25">
      <c r="A2335" s="5" t="s">
        <v>1017</v>
      </c>
      <c r="B2335" s="5" t="s">
        <v>359</v>
      </c>
      <c r="C2335" s="5" t="s">
        <v>61</v>
      </c>
      <c r="D2335" s="1" t="s">
        <v>94</v>
      </c>
      <c r="E2335">
        <v>950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15327</v>
      </c>
      <c r="O2335">
        <v>0</v>
      </c>
      <c r="P2335">
        <v>4464</v>
      </c>
      <c r="Q2335">
        <v>6150</v>
      </c>
      <c r="R2335">
        <v>2199</v>
      </c>
      <c r="S2335" s="18">
        <f t="shared" si="366"/>
        <v>9</v>
      </c>
      <c r="T2335" s="17">
        <f t="shared" si="367"/>
        <v>0</v>
      </c>
      <c r="U2335" s="17">
        <f t="shared" si="368"/>
        <v>1703</v>
      </c>
      <c r="V2335" s="17">
        <f t="shared" si="369"/>
        <v>0</v>
      </c>
      <c r="W2335" s="17">
        <f t="shared" si="370"/>
        <v>496</v>
      </c>
      <c r="X2335" s="17">
        <f t="shared" si="371"/>
        <v>3951</v>
      </c>
      <c r="Y2335" s="19">
        <f t="shared" si="372"/>
        <v>0</v>
      </c>
      <c r="Z2335">
        <v>31120</v>
      </c>
      <c r="AA2335">
        <v>18</v>
      </c>
      <c r="AB2335">
        <v>3463</v>
      </c>
      <c r="AC2335">
        <v>73035</v>
      </c>
      <c r="AD2335">
        <v>0</v>
      </c>
      <c r="AE2335">
        <v>3947</v>
      </c>
      <c r="AF2335">
        <v>0</v>
      </c>
      <c r="AG2335">
        <v>3762</v>
      </c>
      <c r="AH2335">
        <v>7709</v>
      </c>
      <c r="AI2335">
        <v>0</v>
      </c>
      <c r="AJ2335">
        <v>16601</v>
      </c>
      <c r="AK2335">
        <v>16602</v>
      </c>
      <c r="AL2335">
        <v>33203</v>
      </c>
      <c r="AM2335">
        <v>0</v>
      </c>
      <c r="AN2335">
        <v>3232</v>
      </c>
      <c r="AO2335">
        <v>200</v>
      </c>
      <c r="AP2335">
        <v>230</v>
      </c>
      <c r="AQ2335">
        <v>3432</v>
      </c>
      <c r="AR2335">
        <v>3202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1665</v>
      </c>
      <c r="BA2335">
        <v>1665</v>
      </c>
      <c r="BB2335">
        <v>0</v>
      </c>
      <c r="BC2335">
        <v>0</v>
      </c>
      <c r="BD2335">
        <v>0</v>
      </c>
      <c r="BE2335">
        <f t="shared" si="373"/>
        <v>168485</v>
      </c>
      <c r="BF2335">
        <v>154595</v>
      </c>
      <c r="BG2335">
        <v>154595</v>
      </c>
      <c r="BH2335" t="s">
        <v>226</v>
      </c>
      <c r="BI2335" t="s">
        <v>1133</v>
      </c>
      <c r="BJ2335">
        <v>77466</v>
      </c>
      <c r="BK2335">
        <v>46009</v>
      </c>
      <c r="BL2335">
        <v>154595</v>
      </c>
      <c r="BM2335">
        <v>0</v>
      </c>
      <c r="BN2335">
        <v>39107</v>
      </c>
      <c r="BO2335">
        <v>0</v>
      </c>
      <c r="BP2335">
        <v>26693</v>
      </c>
      <c r="BQ2335">
        <v>65800</v>
      </c>
      <c r="BR2335">
        <f t="shared" si="374"/>
        <v>-3951</v>
      </c>
      <c r="BS2335">
        <f t="shared" si="375"/>
        <v>8349</v>
      </c>
    </row>
    <row r="2336" spans="1:74" x14ac:dyDescent="0.25">
      <c r="A2336" s="6" t="s">
        <v>1337</v>
      </c>
      <c r="B2336" s="6" t="s">
        <v>207</v>
      </c>
      <c r="C2336" s="6" t="s">
        <v>207</v>
      </c>
      <c r="D2336" s="1" t="s">
        <v>65</v>
      </c>
      <c r="E2336">
        <v>3063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43137</v>
      </c>
      <c r="O2336">
        <v>0</v>
      </c>
      <c r="P2336">
        <v>25398</v>
      </c>
      <c r="Q2336">
        <v>11805</v>
      </c>
      <c r="R2336">
        <v>7615</v>
      </c>
      <c r="S2336" s="18">
        <f t="shared" si="366"/>
        <v>9</v>
      </c>
      <c r="T2336" s="17">
        <f t="shared" si="367"/>
        <v>0</v>
      </c>
      <c r="U2336" s="17">
        <f t="shared" si="368"/>
        <v>4793</v>
      </c>
      <c r="V2336" s="17">
        <f t="shared" si="369"/>
        <v>0</v>
      </c>
      <c r="W2336" s="17">
        <f t="shared" si="370"/>
        <v>2822</v>
      </c>
      <c r="X2336" s="17">
        <f t="shared" si="371"/>
        <v>4190</v>
      </c>
      <c r="Y2336" s="19">
        <f t="shared" si="372"/>
        <v>0</v>
      </c>
      <c r="Z2336">
        <v>20726</v>
      </c>
      <c r="AA2336">
        <v>225</v>
      </c>
      <c r="AB2336">
        <v>816</v>
      </c>
      <c r="AC2336">
        <v>89576</v>
      </c>
      <c r="AD2336">
        <v>0</v>
      </c>
      <c r="AE2336">
        <v>2653</v>
      </c>
      <c r="AF2336">
        <v>0</v>
      </c>
      <c r="AG2336">
        <v>6966</v>
      </c>
      <c r="AH2336">
        <v>9619</v>
      </c>
      <c r="AI2336">
        <v>0</v>
      </c>
      <c r="AJ2336">
        <v>1014</v>
      </c>
      <c r="AK2336">
        <v>50352</v>
      </c>
      <c r="AL2336">
        <v>51366</v>
      </c>
      <c r="AM2336">
        <v>0</v>
      </c>
      <c r="AN2336">
        <v>5459</v>
      </c>
      <c r="AO2336">
        <v>5090</v>
      </c>
      <c r="AP2336">
        <v>7243</v>
      </c>
      <c r="AQ2336">
        <v>10549</v>
      </c>
      <c r="AR2336">
        <v>3306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850</v>
      </c>
      <c r="BA2336">
        <v>850</v>
      </c>
      <c r="BB2336">
        <v>0</v>
      </c>
      <c r="BC2336">
        <v>0</v>
      </c>
      <c r="BD2336">
        <v>0</v>
      </c>
      <c r="BE2336">
        <f t="shared" si="373"/>
        <v>244893</v>
      </c>
      <c r="BF2336">
        <v>209573</v>
      </c>
      <c r="BG2336">
        <v>209573</v>
      </c>
      <c r="BH2336" t="s">
        <v>226</v>
      </c>
      <c r="BI2336" t="s">
        <v>1409</v>
      </c>
      <c r="BJ2336">
        <v>93680</v>
      </c>
      <c r="BK2336">
        <v>72384</v>
      </c>
      <c r="BL2336">
        <v>186790</v>
      </c>
      <c r="BM2336">
        <v>0</v>
      </c>
      <c r="BN2336">
        <v>52263</v>
      </c>
      <c r="BO2336">
        <v>0</v>
      </c>
      <c r="BP2336">
        <v>88656</v>
      </c>
      <c r="BQ2336">
        <v>140919</v>
      </c>
      <c r="BR2336">
        <f t="shared" si="374"/>
        <v>-4190</v>
      </c>
      <c r="BS2336">
        <f t="shared" si="375"/>
        <v>19420</v>
      </c>
    </row>
    <row r="2337" spans="1:71" x14ac:dyDescent="0.25">
      <c r="A2337" s="7" t="s">
        <v>61</v>
      </c>
      <c r="B2337" s="7" t="s">
        <v>207</v>
      </c>
      <c r="C2337" s="7" t="s">
        <v>61</v>
      </c>
      <c r="D2337" s="1" t="s">
        <v>100</v>
      </c>
      <c r="E2337">
        <v>604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7065</v>
      </c>
      <c r="Q2337">
        <v>5018</v>
      </c>
      <c r="R2337">
        <v>785</v>
      </c>
      <c r="S2337" s="18">
        <f t="shared" si="366"/>
        <v>9</v>
      </c>
      <c r="T2337" s="17">
        <f t="shared" si="367"/>
        <v>0</v>
      </c>
      <c r="U2337" s="17">
        <f t="shared" si="368"/>
        <v>0</v>
      </c>
      <c r="V2337" s="17">
        <f t="shared" si="369"/>
        <v>0</v>
      </c>
      <c r="W2337" s="17">
        <f t="shared" si="370"/>
        <v>785</v>
      </c>
      <c r="X2337" s="17">
        <f t="shared" si="371"/>
        <v>4233</v>
      </c>
      <c r="Y2337" s="19">
        <f t="shared" si="372"/>
        <v>0</v>
      </c>
      <c r="Z2337">
        <v>16385</v>
      </c>
      <c r="AA2337">
        <v>0</v>
      </c>
      <c r="AB2337">
        <v>5088</v>
      </c>
      <c r="AC2337">
        <v>0</v>
      </c>
      <c r="AD2337">
        <v>0</v>
      </c>
      <c r="AE2337">
        <v>0</v>
      </c>
      <c r="AF2337">
        <v>0</v>
      </c>
      <c r="AG2337">
        <v>4568</v>
      </c>
      <c r="AH2337">
        <v>4568</v>
      </c>
      <c r="AI2337">
        <v>0</v>
      </c>
      <c r="AJ2337">
        <v>0</v>
      </c>
      <c r="AK2337">
        <v>80973</v>
      </c>
      <c r="AL2337">
        <v>80973</v>
      </c>
      <c r="AM2337">
        <v>0</v>
      </c>
      <c r="AN2337">
        <v>0</v>
      </c>
      <c r="AO2337">
        <v>4956</v>
      </c>
      <c r="AP2337">
        <v>4071</v>
      </c>
      <c r="AQ2337">
        <v>4956</v>
      </c>
      <c r="AR2337">
        <v>885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1313</v>
      </c>
      <c r="BA2337">
        <v>1313</v>
      </c>
      <c r="BB2337">
        <v>0</v>
      </c>
      <c r="BC2337">
        <v>0</v>
      </c>
      <c r="BD2337">
        <v>0</v>
      </c>
      <c r="BE2337">
        <f t="shared" si="373"/>
        <v>188576</v>
      </c>
      <c r="BF2337">
        <v>113887</v>
      </c>
      <c r="BG2337">
        <v>113887</v>
      </c>
      <c r="BH2337" t="s">
        <v>226</v>
      </c>
      <c r="BI2337" t="s">
        <v>227</v>
      </c>
      <c r="BJ2337">
        <v>5692</v>
      </c>
      <c r="BK2337">
        <v>91810</v>
      </c>
      <c r="BL2337">
        <v>113887</v>
      </c>
      <c r="BM2337">
        <v>0</v>
      </c>
      <c r="BN2337">
        <v>0</v>
      </c>
      <c r="BO2337">
        <v>0</v>
      </c>
      <c r="BP2337">
        <v>98875</v>
      </c>
      <c r="BQ2337">
        <v>98875</v>
      </c>
      <c r="BR2337">
        <f t="shared" si="374"/>
        <v>-4233</v>
      </c>
      <c r="BS2337">
        <f t="shared" si="375"/>
        <v>5803</v>
      </c>
    </row>
    <row r="2338" spans="1:71" x14ac:dyDescent="0.25">
      <c r="A2338" s="5" t="s">
        <v>1451</v>
      </c>
      <c r="B2338" s="6" t="s">
        <v>61</v>
      </c>
      <c r="C2338" s="6" t="s">
        <v>627</v>
      </c>
      <c r="D2338" s="1" t="s">
        <v>115</v>
      </c>
      <c r="E2338">
        <v>4000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21501</v>
      </c>
      <c r="Q2338">
        <v>7929</v>
      </c>
      <c r="R2338">
        <v>2389</v>
      </c>
      <c r="S2338" s="18">
        <f t="shared" si="366"/>
        <v>9</v>
      </c>
      <c r="T2338" s="17">
        <f t="shared" si="367"/>
        <v>0</v>
      </c>
      <c r="U2338" s="17">
        <f t="shared" si="368"/>
        <v>0</v>
      </c>
      <c r="V2338" s="17">
        <f t="shared" si="369"/>
        <v>0</v>
      </c>
      <c r="W2338" s="17">
        <f t="shared" si="370"/>
        <v>2389</v>
      </c>
      <c r="X2338" s="17">
        <f t="shared" si="371"/>
        <v>5540</v>
      </c>
      <c r="Y2338" s="19">
        <f t="shared" si="372"/>
        <v>0</v>
      </c>
      <c r="Z2338">
        <v>32060</v>
      </c>
      <c r="AA2338">
        <v>320</v>
      </c>
      <c r="AB2338">
        <v>800</v>
      </c>
      <c r="AC2338">
        <v>53100</v>
      </c>
      <c r="AD2338">
        <v>0</v>
      </c>
      <c r="AE2338">
        <v>0</v>
      </c>
      <c r="AF2338">
        <v>0</v>
      </c>
      <c r="AG2338">
        <v>2218</v>
      </c>
      <c r="AH2338">
        <v>2218</v>
      </c>
      <c r="AI2338">
        <v>0</v>
      </c>
      <c r="AJ2338">
        <v>3799</v>
      </c>
      <c r="AK2338">
        <v>19365</v>
      </c>
      <c r="AL2338">
        <v>23164</v>
      </c>
      <c r="AM2338">
        <v>0</v>
      </c>
      <c r="AN2338">
        <v>0</v>
      </c>
      <c r="AO2338">
        <v>5850</v>
      </c>
      <c r="AP2338">
        <v>3208</v>
      </c>
      <c r="AQ2338">
        <v>5850</v>
      </c>
      <c r="AR2338">
        <v>2642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239</v>
      </c>
      <c r="BA2338">
        <v>239</v>
      </c>
      <c r="BB2338">
        <v>0</v>
      </c>
      <c r="BC2338">
        <v>0</v>
      </c>
      <c r="BD2338">
        <v>0</v>
      </c>
      <c r="BE2338">
        <f t="shared" si="373"/>
        <v>121892</v>
      </c>
      <c r="BF2338">
        <v>83951</v>
      </c>
      <c r="BG2338">
        <v>83951</v>
      </c>
      <c r="BH2338" t="s">
        <v>226</v>
      </c>
      <c r="BI2338" t="s">
        <v>1532</v>
      </c>
      <c r="BJ2338">
        <v>58220</v>
      </c>
      <c r="BK2338">
        <v>31471</v>
      </c>
      <c r="BL2338">
        <v>121751</v>
      </c>
      <c r="BM2338">
        <v>0</v>
      </c>
      <c r="BN2338">
        <v>3799</v>
      </c>
      <c r="BO2338">
        <v>0</v>
      </c>
      <c r="BP2338">
        <v>49173</v>
      </c>
      <c r="BQ2338">
        <v>52972</v>
      </c>
      <c r="BR2338">
        <f t="shared" si="374"/>
        <v>-5540</v>
      </c>
      <c r="BS2338">
        <f t="shared" si="375"/>
        <v>10318</v>
      </c>
    </row>
    <row r="2339" spans="1:71" x14ac:dyDescent="0.25">
      <c r="A2339" s="5" t="s">
        <v>627</v>
      </c>
      <c r="B2339" s="1" t="s">
        <v>359</v>
      </c>
      <c r="C2339" s="1" t="s">
        <v>61</v>
      </c>
      <c r="D2339" s="1" t="s">
        <v>75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30141</v>
      </c>
      <c r="Q2339">
        <v>9416</v>
      </c>
      <c r="R2339">
        <v>3349</v>
      </c>
      <c r="S2339" s="18">
        <f t="shared" si="366"/>
        <v>9</v>
      </c>
      <c r="T2339" s="17">
        <f t="shared" si="367"/>
        <v>0</v>
      </c>
      <c r="U2339" s="17">
        <f t="shared" si="368"/>
        <v>0</v>
      </c>
      <c r="V2339" s="17">
        <f t="shared" si="369"/>
        <v>0</v>
      </c>
      <c r="W2339" s="17">
        <f t="shared" si="370"/>
        <v>3349</v>
      </c>
      <c r="X2339" s="17">
        <f t="shared" si="371"/>
        <v>6067</v>
      </c>
      <c r="Y2339" s="19">
        <f t="shared" si="372"/>
        <v>0</v>
      </c>
      <c r="Z2339">
        <v>36299</v>
      </c>
      <c r="AA2339">
        <v>283</v>
      </c>
      <c r="AB2339">
        <v>1898</v>
      </c>
      <c r="AC2339">
        <v>47768</v>
      </c>
      <c r="AD2339">
        <v>0</v>
      </c>
      <c r="AE2339">
        <v>0</v>
      </c>
      <c r="AF2339">
        <v>0</v>
      </c>
      <c r="AG2339">
        <v>7681</v>
      </c>
      <c r="AH2339">
        <v>7681</v>
      </c>
      <c r="AI2339">
        <v>0</v>
      </c>
      <c r="AJ2339">
        <v>0</v>
      </c>
      <c r="AK2339">
        <v>30050</v>
      </c>
      <c r="AL2339">
        <v>30050</v>
      </c>
      <c r="AM2339">
        <v>0</v>
      </c>
      <c r="AN2339">
        <v>0</v>
      </c>
      <c r="AO2339">
        <v>1127</v>
      </c>
      <c r="AP2339">
        <v>638</v>
      </c>
      <c r="AQ2339">
        <v>1127</v>
      </c>
      <c r="AR2339">
        <v>489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1000</v>
      </c>
      <c r="BA2339">
        <v>1000</v>
      </c>
      <c r="BB2339">
        <v>0</v>
      </c>
      <c r="BC2339">
        <v>0</v>
      </c>
      <c r="BD2339">
        <v>0</v>
      </c>
      <c r="BE2339">
        <f t="shared" si="373"/>
        <v>128611</v>
      </c>
      <c r="BF2339">
        <v>133606</v>
      </c>
      <c r="BG2339">
        <v>133606</v>
      </c>
      <c r="BH2339" t="s">
        <v>226</v>
      </c>
      <c r="BI2339" t="s">
        <v>852</v>
      </c>
      <c r="BJ2339">
        <v>49949</v>
      </c>
      <c r="BK2339">
        <v>39858</v>
      </c>
      <c r="BL2339">
        <v>126106</v>
      </c>
      <c r="BM2339">
        <v>0</v>
      </c>
      <c r="BN2339">
        <v>0</v>
      </c>
      <c r="BO2339">
        <v>0</v>
      </c>
      <c r="BP2339">
        <v>69999</v>
      </c>
      <c r="BQ2339">
        <v>69999</v>
      </c>
      <c r="BR2339">
        <f t="shared" si="374"/>
        <v>-6067</v>
      </c>
      <c r="BS2339">
        <f t="shared" si="375"/>
        <v>12765</v>
      </c>
    </row>
    <row r="2340" spans="1:71" x14ac:dyDescent="0.25">
      <c r="A2340" s="5" t="s">
        <v>359</v>
      </c>
      <c r="B2340" s="1" t="s">
        <v>359</v>
      </c>
      <c r="C2340" s="1" t="s">
        <v>207</v>
      </c>
      <c r="D2340" s="1" t="s">
        <v>62</v>
      </c>
      <c r="E2340">
        <v>0</v>
      </c>
      <c r="F2340">
        <v>133084</v>
      </c>
      <c r="G2340">
        <v>0</v>
      </c>
      <c r="H2340">
        <v>0</v>
      </c>
      <c r="I2340">
        <v>11047</v>
      </c>
      <c r="J2340">
        <v>124520</v>
      </c>
      <c r="K2340">
        <v>31048</v>
      </c>
      <c r="L2340">
        <v>971</v>
      </c>
      <c r="M2340">
        <v>0</v>
      </c>
      <c r="N2340">
        <v>0</v>
      </c>
      <c r="O2340">
        <v>0</v>
      </c>
      <c r="P2340">
        <v>71604</v>
      </c>
      <c r="Q2340">
        <v>18080</v>
      </c>
      <c r="R2340">
        <v>7956</v>
      </c>
      <c r="S2340" s="18">
        <f t="shared" si="366"/>
        <v>9</v>
      </c>
      <c r="T2340" s="17">
        <f t="shared" si="367"/>
        <v>0</v>
      </c>
      <c r="U2340" s="17">
        <f t="shared" si="368"/>
        <v>0</v>
      </c>
      <c r="V2340" s="17">
        <f t="shared" si="369"/>
        <v>0</v>
      </c>
      <c r="W2340" s="17">
        <f t="shared" si="370"/>
        <v>7956</v>
      </c>
      <c r="X2340" s="17">
        <f t="shared" si="371"/>
        <v>10124</v>
      </c>
      <c r="Y2340" s="19">
        <f t="shared" si="372"/>
        <v>0</v>
      </c>
      <c r="Z2340">
        <v>133084</v>
      </c>
      <c r="AA2340">
        <v>106</v>
      </c>
      <c r="AB2340">
        <v>1640</v>
      </c>
      <c r="AC2340">
        <v>115943</v>
      </c>
      <c r="AD2340">
        <v>0</v>
      </c>
      <c r="AE2340">
        <v>1400</v>
      </c>
      <c r="AF2340">
        <v>0</v>
      </c>
      <c r="AG2340">
        <v>9647</v>
      </c>
      <c r="AH2340">
        <v>11047</v>
      </c>
      <c r="AI2340">
        <v>0</v>
      </c>
      <c r="AJ2340">
        <v>115892</v>
      </c>
      <c r="AK2340">
        <v>8628</v>
      </c>
      <c r="AL2340">
        <v>124520</v>
      </c>
      <c r="AM2340">
        <v>0</v>
      </c>
      <c r="AN2340">
        <v>8592</v>
      </c>
      <c r="AO2340">
        <v>22456</v>
      </c>
      <c r="AP2340">
        <v>17729</v>
      </c>
      <c r="AQ2340">
        <v>31048</v>
      </c>
      <c r="AR2340">
        <v>13319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645</v>
      </c>
      <c r="AZ2340">
        <v>326</v>
      </c>
      <c r="BA2340">
        <v>971</v>
      </c>
      <c r="BB2340">
        <v>0</v>
      </c>
      <c r="BC2340">
        <v>0</v>
      </c>
      <c r="BD2340">
        <v>0</v>
      </c>
      <c r="BE2340">
        <f t="shared" si="373"/>
        <v>482163</v>
      </c>
      <c r="BF2340">
        <v>418359</v>
      </c>
      <c r="BG2340">
        <v>418359</v>
      </c>
      <c r="BH2340" t="s">
        <v>226</v>
      </c>
      <c r="BI2340" t="s">
        <v>789</v>
      </c>
      <c r="BJ2340">
        <v>117689</v>
      </c>
      <c r="BK2340">
        <v>167586</v>
      </c>
      <c r="BL2340">
        <v>418359</v>
      </c>
      <c r="BM2340">
        <v>0</v>
      </c>
      <c r="BN2340">
        <v>126529</v>
      </c>
      <c r="BO2340">
        <v>0</v>
      </c>
      <c r="BP2340">
        <v>112661</v>
      </c>
      <c r="BQ2340">
        <v>239190</v>
      </c>
      <c r="BR2340">
        <f t="shared" si="374"/>
        <v>-10124</v>
      </c>
      <c r="BS2340">
        <f t="shared" si="375"/>
        <v>26036</v>
      </c>
    </row>
    <row r="2341" spans="1:71" x14ac:dyDescent="0.25">
      <c r="A2341" s="6" t="s">
        <v>2359</v>
      </c>
      <c r="B2341" s="2" t="s">
        <v>1135</v>
      </c>
      <c r="C2341" s="2" t="s">
        <v>61</v>
      </c>
      <c r="D2341" s="1" t="s">
        <v>65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65702.255639097741</v>
      </c>
      <c r="O2341" s="16">
        <v>43801.503759398503</v>
      </c>
      <c r="P2341">
        <v>65264.240601503763</v>
      </c>
      <c r="Q2341">
        <v>0</v>
      </c>
      <c r="R2341">
        <v>79800</v>
      </c>
      <c r="S2341" s="18">
        <f t="shared" si="366"/>
        <v>2.1900751879699247</v>
      </c>
      <c r="T2341" s="17">
        <f t="shared" si="367"/>
        <v>0</v>
      </c>
      <c r="U2341" s="17">
        <f t="shared" si="368"/>
        <v>30000</v>
      </c>
      <c r="V2341" s="17">
        <f t="shared" si="369"/>
        <v>20000.000000000004</v>
      </c>
      <c r="W2341" s="17">
        <f t="shared" si="370"/>
        <v>29800.000000000004</v>
      </c>
      <c r="X2341" s="17">
        <f t="shared" si="371"/>
        <v>-59800</v>
      </c>
      <c r="Y2341" s="19">
        <f t="shared" si="372"/>
        <v>-0.33444816053511711</v>
      </c>
      <c r="Z2341">
        <v>79800</v>
      </c>
      <c r="AA2341">
        <v>0</v>
      </c>
      <c r="AB2341">
        <v>0</v>
      </c>
      <c r="AC2341">
        <v>0</v>
      </c>
      <c r="AD2341">
        <v>0</v>
      </c>
      <c r="AE2341">
        <v>1000</v>
      </c>
      <c r="AF2341">
        <v>3000</v>
      </c>
      <c r="AG2341">
        <v>8300</v>
      </c>
      <c r="AH2341">
        <v>12300</v>
      </c>
      <c r="AI2341">
        <v>0</v>
      </c>
      <c r="AJ2341">
        <v>4776</v>
      </c>
      <c r="AK2341">
        <v>43440</v>
      </c>
      <c r="AL2341">
        <v>48216</v>
      </c>
      <c r="AM2341">
        <v>0</v>
      </c>
      <c r="AN2341">
        <v>2200</v>
      </c>
      <c r="AO2341">
        <v>23052</v>
      </c>
      <c r="AP2341">
        <v>0</v>
      </c>
      <c r="AQ2341">
        <v>25252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4000</v>
      </c>
      <c r="AZ2341">
        <v>5200</v>
      </c>
      <c r="BA2341">
        <v>9200</v>
      </c>
      <c r="BB2341">
        <v>0</v>
      </c>
      <c r="BC2341">
        <v>0</v>
      </c>
      <c r="BD2341">
        <v>0</v>
      </c>
      <c r="BE2341">
        <f t="shared" si="373"/>
        <v>189936</v>
      </c>
      <c r="BF2341">
        <v>0</v>
      </c>
      <c r="BG2341">
        <v>174768</v>
      </c>
      <c r="BH2341" t="s">
        <v>226</v>
      </c>
      <c r="BI2341" t="s">
        <v>2361</v>
      </c>
      <c r="BJ2341">
        <v>0</v>
      </c>
      <c r="BK2341">
        <v>94968</v>
      </c>
      <c r="BL2341">
        <v>174768</v>
      </c>
      <c r="BM2341">
        <v>0</v>
      </c>
      <c r="BN2341">
        <v>77678.255639097741</v>
      </c>
      <c r="BO2341">
        <v>46801.503759398503</v>
      </c>
      <c r="BP2341">
        <v>145256.24060150381</v>
      </c>
      <c r="BQ2341">
        <v>269736</v>
      </c>
      <c r="BR2341">
        <f t="shared" si="374"/>
        <v>79800</v>
      </c>
      <c r="BS2341">
        <f t="shared" si="375"/>
        <v>79800</v>
      </c>
    </row>
  </sheetData>
  <conditionalFormatting sqref="X2:Y23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23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8598-1CC1-4154-A97D-388BA29CB38F}">
  <dimension ref="A1:M107"/>
  <sheetViews>
    <sheetView topLeftCell="A71" workbookViewId="0">
      <selection activeCell="F5" sqref="F5"/>
    </sheetView>
  </sheetViews>
  <sheetFormatPr defaultRowHeight="15" x14ac:dyDescent="0.25"/>
  <cols>
    <col min="1" max="1" width="9.42578125" bestFit="1" customWidth="1"/>
    <col min="2" max="3" width="9" bestFit="1" customWidth="1"/>
    <col min="4" max="4" width="9.28515625" bestFit="1" customWidth="1"/>
    <col min="5" max="8" width="14.28515625" customWidth="1"/>
    <col min="9" max="9" width="22.140625" bestFit="1" customWidth="1"/>
    <col min="10" max="10" width="21.85546875" customWidth="1"/>
    <col min="11" max="11" width="14.28515625" customWidth="1"/>
  </cols>
  <sheetData>
    <row r="1" spans="1:11" s="4" customFormat="1" ht="63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16</v>
      </c>
      <c r="F1" s="13" t="s">
        <v>17</v>
      </c>
      <c r="G1" s="13" t="s">
        <v>18</v>
      </c>
      <c r="H1" s="13" t="s">
        <v>50</v>
      </c>
      <c r="I1" s="13" t="s">
        <v>51</v>
      </c>
      <c r="J1" s="13" t="s">
        <v>52</v>
      </c>
      <c r="K1" s="13" t="s">
        <v>2364</v>
      </c>
    </row>
    <row r="2" spans="1:11" ht="21" x14ac:dyDescent="0.6">
      <c r="A2" s="11" t="s">
        <v>61</v>
      </c>
      <c r="B2" s="11" t="s">
        <v>207</v>
      </c>
      <c r="C2" s="11" t="s">
        <v>61</v>
      </c>
      <c r="D2" s="11" t="s">
        <v>169</v>
      </c>
      <c r="E2" s="12">
        <v>22</v>
      </c>
      <c r="F2" s="12">
        <v>32</v>
      </c>
      <c r="G2" s="12">
        <v>32</v>
      </c>
      <c r="H2" s="12">
        <v>36</v>
      </c>
      <c r="I2" s="14" t="s">
        <v>109</v>
      </c>
      <c r="J2" s="14" t="s">
        <v>261</v>
      </c>
      <c r="K2" s="12">
        <f t="shared" ref="K2:K33" si="0">F2-E2</f>
        <v>10</v>
      </c>
    </row>
    <row r="3" spans="1:11" ht="21" x14ac:dyDescent="0.6">
      <c r="A3" s="11" t="s">
        <v>61</v>
      </c>
      <c r="B3" s="11" t="s">
        <v>207</v>
      </c>
      <c r="C3" s="11" t="s">
        <v>207</v>
      </c>
      <c r="D3" s="11" t="s">
        <v>177</v>
      </c>
      <c r="E3" s="12">
        <v>0</v>
      </c>
      <c r="F3" s="12">
        <v>7</v>
      </c>
      <c r="G3" s="12">
        <v>0</v>
      </c>
      <c r="H3" s="12">
        <v>95</v>
      </c>
      <c r="I3" s="14" t="s">
        <v>190</v>
      </c>
      <c r="J3" s="14" t="s">
        <v>335</v>
      </c>
      <c r="K3" s="12">
        <f t="shared" si="0"/>
        <v>7</v>
      </c>
    </row>
    <row r="4" spans="1:11" ht="21" x14ac:dyDescent="0.6">
      <c r="A4" s="11" t="s">
        <v>61</v>
      </c>
      <c r="B4" s="11" t="s">
        <v>359</v>
      </c>
      <c r="C4" s="11" t="s">
        <v>61</v>
      </c>
      <c r="D4" s="11" t="s">
        <v>177</v>
      </c>
      <c r="E4" s="12">
        <v>10</v>
      </c>
      <c r="F4" s="12">
        <v>12</v>
      </c>
      <c r="G4" s="12">
        <v>12</v>
      </c>
      <c r="H4" s="12">
        <v>162</v>
      </c>
      <c r="I4" s="14" t="s">
        <v>190</v>
      </c>
      <c r="J4" s="14" t="s">
        <v>416</v>
      </c>
      <c r="K4" s="12">
        <f t="shared" si="0"/>
        <v>2</v>
      </c>
    </row>
    <row r="5" spans="1:11" ht="21" x14ac:dyDescent="0.6">
      <c r="A5" s="11" t="s">
        <v>207</v>
      </c>
      <c r="B5" s="11" t="s">
        <v>359</v>
      </c>
      <c r="C5" s="11" t="s">
        <v>61</v>
      </c>
      <c r="D5" s="11" t="s">
        <v>94</v>
      </c>
      <c r="E5" s="12">
        <v>1780</v>
      </c>
      <c r="F5" s="12">
        <v>30280</v>
      </c>
      <c r="G5" s="12">
        <v>28500</v>
      </c>
      <c r="H5" s="12">
        <v>28500</v>
      </c>
      <c r="I5" s="14" t="s">
        <v>546</v>
      </c>
      <c r="J5" s="14" t="s">
        <v>608</v>
      </c>
      <c r="K5" s="12">
        <f t="shared" si="0"/>
        <v>28500</v>
      </c>
    </row>
    <row r="6" spans="1:11" ht="21" x14ac:dyDescent="0.6">
      <c r="A6" s="11" t="s">
        <v>207</v>
      </c>
      <c r="B6" s="11" t="s">
        <v>207</v>
      </c>
      <c r="C6" s="11" t="s">
        <v>61</v>
      </c>
      <c r="D6" s="11" t="s">
        <v>119</v>
      </c>
      <c r="E6" s="12">
        <v>296</v>
      </c>
      <c r="F6" s="12">
        <v>1852</v>
      </c>
      <c r="G6" s="12">
        <v>500</v>
      </c>
      <c r="H6" s="12">
        <v>15145</v>
      </c>
      <c r="I6" s="14" t="s">
        <v>560</v>
      </c>
      <c r="J6" s="14" t="s">
        <v>569</v>
      </c>
      <c r="K6" s="12">
        <f t="shared" si="0"/>
        <v>1556</v>
      </c>
    </row>
    <row r="7" spans="1:11" ht="21" x14ac:dyDescent="0.6">
      <c r="A7" s="11" t="s">
        <v>207</v>
      </c>
      <c r="B7" s="11" t="s">
        <v>627</v>
      </c>
      <c r="C7" s="11" t="s">
        <v>207</v>
      </c>
      <c r="D7" s="11" t="s">
        <v>141</v>
      </c>
      <c r="E7" s="12">
        <v>530</v>
      </c>
      <c r="F7" s="12">
        <v>1394</v>
      </c>
      <c r="G7" s="12">
        <v>1200</v>
      </c>
      <c r="H7" s="12">
        <v>14852</v>
      </c>
      <c r="I7" s="14" t="s">
        <v>82</v>
      </c>
      <c r="J7" s="14" t="s">
        <v>696</v>
      </c>
      <c r="K7" s="12">
        <f t="shared" si="0"/>
        <v>864</v>
      </c>
    </row>
    <row r="8" spans="1:11" ht="21" x14ac:dyDescent="0.6">
      <c r="A8" s="11" t="s">
        <v>207</v>
      </c>
      <c r="B8" s="11" t="s">
        <v>359</v>
      </c>
      <c r="C8" s="11" t="s">
        <v>61</v>
      </c>
      <c r="D8" s="11" t="s">
        <v>98</v>
      </c>
      <c r="E8" s="12">
        <v>115</v>
      </c>
      <c r="F8" s="12">
        <v>262</v>
      </c>
      <c r="G8" s="12">
        <v>395</v>
      </c>
      <c r="H8" s="12">
        <v>795</v>
      </c>
      <c r="I8" s="14" t="s">
        <v>109</v>
      </c>
      <c r="J8" s="14" t="s">
        <v>609</v>
      </c>
      <c r="K8" s="12">
        <f t="shared" si="0"/>
        <v>147</v>
      </c>
    </row>
    <row r="9" spans="1:11" ht="21" x14ac:dyDescent="0.6">
      <c r="A9" s="11" t="s">
        <v>207</v>
      </c>
      <c r="B9" s="11" t="s">
        <v>359</v>
      </c>
      <c r="C9" s="11" t="s">
        <v>61</v>
      </c>
      <c r="D9" s="11" t="s">
        <v>102</v>
      </c>
      <c r="E9" s="12">
        <v>300</v>
      </c>
      <c r="F9" s="12">
        <v>371</v>
      </c>
      <c r="G9" s="12">
        <v>371</v>
      </c>
      <c r="H9" s="12">
        <v>1771</v>
      </c>
      <c r="I9" s="14" t="s">
        <v>109</v>
      </c>
      <c r="J9" s="14" t="s">
        <v>611</v>
      </c>
      <c r="K9" s="12">
        <f t="shared" si="0"/>
        <v>71</v>
      </c>
    </row>
    <row r="10" spans="1:11" ht="21" x14ac:dyDescent="0.6">
      <c r="A10" s="11" t="s">
        <v>207</v>
      </c>
      <c r="B10" s="11" t="s">
        <v>207</v>
      </c>
      <c r="C10" s="11" t="s">
        <v>61</v>
      </c>
      <c r="D10" s="11" t="s">
        <v>125</v>
      </c>
      <c r="E10" s="12">
        <v>0</v>
      </c>
      <c r="F10" s="12">
        <v>17</v>
      </c>
      <c r="G10" s="12">
        <v>0</v>
      </c>
      <c r="H10" s="12"/>
      <c r="I10" s="14" t="s">
        <v>190</v>
      </c>
      <c r="J10" s="14" t="s">
        <v>572</v>
      </c>
      <c r="K10" s="12">
        <f t="shared" si="0"/>
        <v>17</v>
      </c>
    </row>
    <row r="11" spans="1:11" ht="21" x14ac:dyDescent="0.6">
      <c r="A11" s="11" t="s">
        <v>207</v>
      </c>
      <c r="B11" s="11" t="s">
        <v>61</v>
      </c>
      <c r="C11" s="11" t="s">
        <v>359</v>
      </c>
      <c r="D11" s="11" t="s">
        <v>84</v>
      </c>
      <c r="E11" s="12">
        <v>368</v>
      </c>
      <c r="F11" s="12">
        <v>383</v>
      </c>
      <c r="G11" s="12">
        <v>1700</v>
      </c>
      <c r="H11" s="12">
        <v>1900</v>
      </c>
      <c r="I11" s="14" t="s">
        <v>109</v>
      </c>
      <c r="J11" s="14" t="s">
        <v>510</v>
      </c>
      <c r="K11" s="12">
        <f t="shared" si="0"/>
        <v>15</v>
      </c>
    </row>
    <row r="12" spans="1:11" ht="21" x14ac:dyDescent="0.6">
      <c r="A12" s="11" t="s">
        <v>207</v>
      </c>
      <c r="B12" s="11" t="s">
        <v>627</v>
      </c>
      <c r="C12" s="11" t="s">
        <v>61</v>
      </c>
      <c r="D12" s="11" t="s">
        <v>125</v>
      </c>
      <c r="E12" s="12">
        <v>80</v>
      </c>
      <c r="F12" s="12">
        <v>94</v>
      </c>
      <c r="G12" s="12">
        <v>200</v>
      </c>
      <c r="H12" s="12">
        <v>1451</v>
      </c>
      <c r="I12" s="14" t="s">
        <v>82</v>
      </c>
      <c r="J12" s="14" t="s">
        <v>536</v>
      </c>
      <c r="K12" s="12">
        <f t="shared" si="0"/>
        <v>14</v>
      </c>
    </row>
    <row r="13" spans="1:11" ht="21" x14ac:dyDescent="0.6">
      <c r="A13" s="11" t="s">
        <v>207</v>
      </c>
      <c r="B13" s="11" t="s">
        <v>627</v>
      </c>
      <c r="C13" s="11" t="s">
        <v>61</v>
      </c>
      <c r="D13" s="11" t="s">
        <v>73</v>
      </c>
      <c r="E13" s="12">
        <v>485</v>
      </c>
      <c r="F13" s="12">
        <v>495</v>
      </c>
      <c r="G13" s="12">
        <v>3300</v>
      </c>
      <c r="H13" s="12">
        <v>3350</v>
      </c>
      <c r="I13" s="14" t="s">
        <v>109</v>
      </c>
      <c r="J13" s="14" t="s">
        <v>632</v>
      </c>
      <c r="K13" s="12">
        <f t="shared" si="0"/>
        <v>10</v>
      </c>
    </row>
    <row r="14" spans="1:11" ht="21" x14ac:dyDescent="0.6">
      <c r="A14" s="11" t="s">
        <v>207</v>
      </c>
      <c r="B14" s="11" t="s">
        <v>627</v>
      </c>
      <c r="C14" s="11" t="s">
        <v>61</v>
      </c>
      <c r="D14" s="11" t="s">
        <v>71</v>
      </c>
      <c r="E14" s="12">
        <v>85</v>
      </c>
      <c r="F14" s="12">
        <v>86</v>
      </c>
      <c r="G14" s="12">
        <v>400</v>
      </c>
      <c r="H14" s="12">
        <v>1582</v>
      </c>
      <c r="I14" s="14" t="s">
        <v>63</v>
      </c>
      <c r="J14" s="14" t="s">
        <v>631</v>
      </c>
      <c r="K14" s="12">
        <f t="shared" si="0"/>
        <v>1</v>
      </c>
    </row>
    <row r="15" spans="1:11" ht="21" x14ac:dyDescent="0.6">
      <c r="A15" s="11" t="s">
        <v>359</v>
      </c>
      <c r="B15" s="11" t="s">
        <v>207</v>
      </c>
      <c r="C15" s="11" t="s">
        <v>61</v>
      </c>
      <c r="D15" s="11" t="s">
        <v>106</v>
      </c>
      <c r="E15" s="12">
        <v>560</v>
      </c>
      <c r="F15" s="12">
        <v>6021</v>
      </c>
      <c r="G15" s="12">
        <v>17909</v>
      </c>
      <c r="H15" s="12">
        <v>25371</v>
      </c>
      <c r="I15" s="14" t="s">
        <v>560</v>
      </c>
      <c r="J15" s="14" t="s">
        <v>750</v>
      </c>
      <c r="K15" s="12">
        <f t="shared" si="0"/>
        <v>5461</v>
      </c>
    </row>
    <row r="16" spans="1:11" ht="21" x14ac:dyDescent="0.6">
      <c r="A16" s="11" t="s">
        <v>359</v>
      </c>
      <c r="B16" s="11" t="s">
        <v>359</v>
      </c>
      <c r="C16" s="11" t="s">
        <v>61</v>
      </c>
      <c r="D16" s="11" t="s">
        <v>129</v>
      </c>
      <c r="E16" s="12">
        <v>1030</v>
      </c>
      <c r="F16" s="12">
        <v>1612</v>
      </c>
      <c r="G16" s="12">
        <v>10066</v>
      </c>
      <c r="H16" s="12">
        <v>10121</v>
      </c>
      <c r="I16" s="14" t="s">
        <v>546</v>
      </c>
      <c r="J16" s="14" t="s">
        <v>788</v>
      </c>
      <c r="K16" s="12">
        <f t="shared" si="0"/>
        <v>582</v>
      </c>
    </row>
    <row r="17" spans="1:11" ht="21" x14ac:dyDescent="0.6">
      <c r="A17" s="11" t="s">
        <v>359</v>
      </c>
      <c r="B17" s="11" t="s">
        <v>359</v>
      </c>
      <c r="C17" s="11" t="s">
        <v>61</v>
      </c>
      <c r="D17" s="11" t="s">
        <v>90</v>
      </c>
      <c r="E17" s="12">
        <v>304</v>
      </c>
      <c r="F17" s="12">
        <v>769</v>
      </c>
      <c r="G17" s="12">
        <v>2040</v>
      </c>
      <c r="H17" s="12">
        <v>2080</v>
      </c>
      <c r="I17" s="14" t="s">
        <v>190</v>
      </c>
      <c r="J17" s="14" t="s">
        <v>769</v>
      </c>
      <c r="K17" s="12">
        <f t="shared" si="0"/>
        <v>465</v>
      </c>
    </row>
    <row r="18" spans="1:11" ht="21" x14ac:dyDescent="0.6">
      <c r="A18" s="11" t="s">
        <v>359</v>
      </c>
      <c r="B18" s="11" t="s">
        <v>359</v>
      </c>
      <c r="C18" s="11" t="s">
        <v>61</v>
      </c>
      <c r="D18" s="11" t="s">
        <v>62</v>
      </c>
      <c r="E18" s="12">
        <v>235</v>
      </c>
      <c r="F18" s="12">
        <v>636</v>
      </c>
      <c r="G18" s="12">
        <v>1840</v>
      </c>
      <c r="H18" s="12">
        <v>3858</v>
      </c>
      <c r="I18" s="14" t="s">
        <v>546</v>
      </c>
      <c r="J18" s="14" t="s">
        <v>756</v>
      </c>
      <c r="K18" s="12">
        <f t="shared" si="0"/>
        <v>401</v>
      </c>
    </row>
    <row r="19" spans="1:11" ht="21" x14ac:dyDescent="0.6">
      <c r="A19" s="11" t="s">
        <v>359</v>
      </c>
      <c r="B19" s="11" t="s">
        <v>359</v>
      </c>
      <c r="C19" s="11" t="s">
        <v>61</v>
      </c>
      <c r="D19" s="11" t="s">
        <v>121</v>
      </c>
      <c r="E19" s="12">
        <v>0</v>
      </c>
      <c r="F19" s="12">
        <v>176</v>
      </c>
      <c r="G19" s="12">
        <v>0</v>
      </c>
      <c r="H19" s="12"/>
      <c r="I19" s="14" t="s">
        <v>82</v>
      </c>
      <c r="J19" s="14" t="s">
        <v>784</v>
      </c>
      <c r="K19" s="12">
        <f t="shared" si="0"/>
        <v>176</v>
      </c>
    </row>
    <row r="20" spans="1:11" ht="21" x14ac:dyDescent="0.6">
      <c r="A20" s="11" t="s">
        <v>359</v>
      </c>
      <c r="B20" s="11" t="s">
        <v>359</v>
      </c>
      <c r="C20" s="11" t="s">
        <v>61</v>
      </c>
      <c r="D20" s="11" t="s">
        <v>75</v>
      </c>
      <c r="E20" s="12">
        <v>113</v>
      </c>
      <c r="F20" s="12">
        <v>130</v>
      </c>
      <c r="G20" s="12">
        <v>1350</v>
      </c>
      <c r="H20" s="12">
        <v>1680</v>
      </c>
      <c r="I20" s="14" t="s">
        <v>546</v>
      </c>
      <c r="J20" s="14" t="s">
        <v>762</v>
      </c>
      <c r="K20" s="12">
        <f t="shared" si="0"/>
        <v>17</v>
      </c>
    </row>
    <row r="21" spans="1:11" ht="21" x14ac:dyDescent="0.6">
      <c r="A21" s="11" t="s">
        <v>627</v>
      </c>
      <c r="B21" s="11" t="s">
        <v>61</v>
      </c>
      <c r="C21" s="11" t="s">
        <v>61</v>
      </c>
      <c r="D21" s="11" t="s">
        <v>75</v>
      </c>
      <c r="E21" s="12">
        <v>7162</v>
      </c>
      <c r="F21" s="12">
        <v>7787</v>
      </c>
      <c r="G21" s="12">
        <v>14944</v>
      </c>
      <c r="H21" s="12">
        <v>146624</v>
      </c>
      <c r="I21" s="14" t="s">
        <v>226</v>
      </c>
      <c r="J21" s="14" t="s">
        <v>815</v>
      </c>
      <c r="K21" s="12">
        <f t="shared" si="0"/>
        <v>625</v>
      </c>
    </row>
    <row r="22" spans="1:11" ht="21" x14ac:dyDescent="0.6">
      <c r="A22" s="11" t="s">
        <v>627</v>
      </c>
      <c r="B22" s="11" t="s">
        <v>207</v>
      </c>
      <c r="C22" s="11" t="s">
        <v>61</v>
      </c>
      <c r="D22" s="11" t="s">
        <v>81</v>
      </c>
      <c r="E22" s="12">
        <v>95</v>
      </c>
      <c r="F22" s="12">
        <v>195</v>
      </c>
      <c r="G22" s="12">
        <v>340</v>
      </c>
      <c r="H22" s="12">
        <v>350</v>
      </c>
      <c r="I22" s="14" t="s">
        <v>190</v>
      </c>
      <c r="J22" s="14" t="s">
        <v>839</v>
      </c>
      <c r="K22" s="12">
        <f t="shared" si="0"/>
        <v>100</v>
      </c>
    </row>
    <row r="23" spans="1:11" ht="21" x14ac:dyDescent="0.6">
      <c r="A23" s="11" t="s">
        <v>627</v>
      </c>
      <c r="B23" s="11" t="s">
        <v>207</v>
      </c>
      <c r="C23" s="11" t="s">
        <v>61</v>
      </c>
      <c r="D23" s="11" t="s">
        <v>65</v>
      </c>
      <c r="E23" s="12">
        <v>72</v>
      </c>
      <c r="F23" s="12">
        <v>73</v>
      </c>
      <c r="G23" s="12">
        <v>250</v>
      </c>
      <c r="H23" s="12">
        <v>4723</v>
      </c>
      <c r="I23" s="14" t="s">
        <v>63</v>
      </c>
      <c r="J23" s="14" t="s">
        <v>833</v>
      </c>
      <c r="K23" s="12">
        <f t="shared" si="0"/>
        <v>1</v>
      </c>
    </row>
    <row r="24" spans="1:11" ht="21" x14ac:dyDescent="0.6">
      <c r="A24" s="11" t="s">
        <v>875</v>
      </c>
      <c r="B24" s="11" t="s">
        <v>61</v>
      </c>
      <c r="C24" s="11" t="s">
        <v>207</v>
      </c>
      <c r="D24" s="11" t="s">
        <v>183</v>
      </c>
      <c r="E24" s="12">
        <v>0</v>
      </c>
      <c r="F24" s="12">
        <v>150</v>
      </c>
      <c r="G24" s="12">
        <v>299</v>
      </c>
      <c r="H24" s="12">
        <v>299</v>
      </c>
      <c r="I24" s="14" t="s">
        <v>190</v>
      </c>
      <c r="J24" s="14" t="s">
        <v>931</v>
      </c>
      <c r="K24" s="12">
        <f t="shared" si="0"/>
        <v>150</v>
      </c>
    </row>
    <row r="25" spans="1:11" ht="21" x14ac:dyDescent="0.6">
      <c r="A25" s="11" t="s">
        <v>1017</v>
      </c>
      <c r="B25" s="11" t="s">
        <v>61</v>
      </c>
      <c r="C25" s="11" t="s">
        <v>207</v>
      </c>
      <c r="D25" s="11" t="s">
        <v>81</v>
      </c>
      <c r="E25" s="12">
        <v>2228</v>
      </c>
      <c r="F25" s="12">
        <v>5804</v>
      </c>
      <c r="G25" s="12">
        <v>7676</v>
      </c>
      <c r="H25" s="12">
        <v>15954</v>
      </c>
      <c r="I25" s="14" t="s">
        <v>82</v>
      </c>
      <c r="J25" s="14" t="s">
        <v>1055</v>
      </c>
      <c r="K25" s="12">
        <f t="shared" si="0"/>
        <v>3576</v>
      </c>
    </row>
    <row r="26" spans="1:11" ht="21" x14ac:dyDescent="0.6">
      <c r="A26" s="11" t="s">
        <v>1017</v>
      </c>
      <c r="B26" s="11" t="s">
        <v>61</v>
      </c>
      <c r="C26" s="11" t="s">
        <v>207</v>
      </c>
      <c r="D26" s="11" t="s">
        <v>139</v>
      </c>
      <c r="E26" s="12">
        <v>640</v>
      </c>
      <c r="F26" s="12">
        <v>1515</v>
      </c>
      <c r="G26" s="12">
        <v>1853</v>
      </c>
      <c r="H26" s="12">
        <v>7729</v>
      </c>
      <c r="I26" s="14" t="s">
        <v>82</v>
      </c>
      <c r="J26" s="14" t="s">
        <v>1081</v>
      </c>
      <c r="K26" s="12">
        <f t="shared" si="0"/>
        <v>875</v>
      </c>
    </row>
    <row r="27" spans="1:11" ht="21" x14ac:dyDescent="0.6">
      <c r="A27" s="11" t="s">
        <v>1017</v>
      </c>
      <c r="B27" s="11" t="s">
        <v>61</v>
      </c>
      <c r="C27" s="11" t="s">
        <v>207</v>
      </c>
      <c r="D27" s="11" t="s">
        <v>88</v>
      </c>
      <c r="E27" s="12">
        <v>118</v>
      </c>
      <c r="F27" s="12">
        <v>231</v>
      </c>
      <c r="G27" s="12">
        <v>132</v>
      </c>
      <c r="H27" s="12">
        <v>264</v>
      </c>
      <c r="I27" s="14" t="s">
        <v>190</v>
      </c>
      <c r="J27" s="14" t="s">
        <v>1058</v>
      </c>
      <c r="K27" s="12">
        <f t="shared" si="0"/>
        <v>113</v>
      </c>
    </row>
    <row r="28" spans="1:11" ht="21" x14ac:dyDescent="0.6">
      <c r="A28" s="11" t="s">
        <v>1017</v>
      </c>
      <c r="B28" s="11" t="s">
        <v>61</v>
      </c>
      <c r="C28" s="11" t="s">
        <v>61</v>
      </c>
      <c r="D28" s="11" t="s">
        <v>71</v>
      </c>
      <c r="E28" s="12">
        <v>139</v>
      </c>
      <c r="F28" s="12">
        <v>204</v>
      </c>
      <c r="G28" s="12">
        <v>0</v>
      </c>
      <c r="H28" s="12">
        <v>1863</v>
      </c>
      <c r="I28" s="14" t="s">
        <v>63</v>
      </c>
      <c r="J28" s="14" t="s">
        <v>887</v>
      </c>
      <c r="K28" s="12">
        <f t="shared" si="0"/>
        <v>65</v>
      </c>
    </row>
    <row r="29" spans="1:11" ht="21" x14ac:dyDescent="0.6">
      <c r="A29" s="11" t="s">
        <v>1135</v>
      </c>
      <c r="B29" s="11" t="s">
        <v>359</v>
      </c>
      <c r="C29" s="11" t="s">
        <v>207</v>
      </c>
      <c r="D29" s="11" t="s">
        <v>65</v>
      </c>
      <c r="E29" s="12">
        <v>28713</v>
      </c>
      <c r="F29" s="12">
        <v>496831</v>
      </c>
      <c r="G29" s="12">
        <v>780000</v>
      </c>
      <c r="H29" s="12">
        <v>780100</v>
      </c>
      <c r="I29" s="14" t="s">
        <v>546</v>
      </c>
      <c r="J29" s="14" t="s">
        <v>1333</v>
      </c>
      <c r="K29" s="12">
        <f t="shared" si="0"/>
        <v>468118</v>
      </c>
    </row>
    <row r="30" spans="1:11" ht="21" x14ac:dyDescent="0.6">
      <c r="A30" s="11" t="s">
        <v>1135</v>
      </c>
      <c r="B30" s="11" t="s">
        <v>207</v>
      </c>
      <c r="C30" s="11" t="s">
        <v>627</v>
      </c>
      <c r="D30" s="11" t="s">
        <v>62</v>
      </c>
      <c r="E30" s="12">
        <v>79646</v>
      </c>
      <c r="F30" s="12">
        <v>340199</v>
      </c>
      <c r="G30" s="12">
        <v>761395</v>
      </c>
      <c r="H30" s="12">
        <v>968839</v>
      </c>
      <c r="I30" s="14" t="s">
        <v>226</v>
      </c>
      <c r="J30" s="14" t="s">
        <v>1303</v>
      </c>
      <c r="K30" s="12">
        <f t="shared" si="0"/>
        <v>260553</v>
      </c>
    </row>
    <row r="31" spans="1:11" ht="21" x14ac:dyDescent="0.6">
      <c r="A31" s="11" t="s">
        <v>1135</v>
      </c>
      <c r="B31" s="11" t="s">
        <v>207</v>
      </c>
      <c r="C31" s="11" t="s">
        <v>875</v>
      </c>
      <c r="D31" s="11" t="s">
        <v>69</v>
      </c>
      <c r="E31" s="12">
        <v>15690</v>
      </c>
      <c r="F31" s="12">
        <v>212725</v>
      </c>
      <c r="G31" s="12">
        <v>197375</v>
      </c>
      <c r="H31" s="12">
        <v>208378</v>
      </c>
      <c r="I31" s="14" t="s">
        <v>546</v>
      </c>
      <c r="J31" s="14" t="s">
        <v>1307</v>
      </c>
      <c r="K31" s="12">
        <f t="shared" si="0"/>
        <v>197035</v>
      </c>
    </row>
    <row r="32" spans="1:11" ht="21" x14ac:dyDescent="0.6">
      <c r="A32" s="11" t="s">
        <v>1135</v>
      </c>
      <c r="B32" s="11" t="s">
        <v>207</v>
      </c>
      <c r="C32" s="11" t="s">
        <v>875</v>
      </c>
      <c r="D32" s="11" t="s">
        <v>71</v>
      </c>
      <c r="E32" s="12">
        <v>15330</v>
      </c>
      <c r="F32" s="12">
        <v>102301</v>
      </c>
      <c r="G32" s="12">
        <v>256219</v>
      </c>
      <c r="H32" s="12">
        <v>269567</v>
      </c>
      <c r="I32" s="14" t="s">
        <v>546</v>
      </c>
      <c r="J32" s="14" t="s">
        <v>1308</v>
      </c>
      <c r="K32" s="12">
        <f t="shared" si="0"/>
        <v>86971</v>
      </c>
    </row>
    <row r="33" spans="1:11" ht="21" x14ac:dyDescent="0.6">
      <c r="A33" s="11" t="s">
        <v>1135</v>
      </c>
      <c r="B33" s="11" t="s">
        <v>207</v>
      </c>
      <c r="C33" s="11" t="s">
        <v>875</v>
      </c>
      <c r="D33" s="11" t="s">
        <v>65</v>
      </c>
      <c r="E33" s="12">
        <v>11724</v>
      </c>
      <c r="F33" s="12">
        <v>83644</v>
      </c>
      <c r="G33" s="12">
        <v>165472</v>
      </c>
      <c r="H33" s="12">
        <v>174649.8</v>
      </c>
      <c r="I33" s="14" t="s">
        <v>546</v>
      </c>
      <c r="J33" s="14" t="s">
        <v>1305</v>
      </c>
      <c r="K33" s="12">
        <f t="shared" si="0"/>
        <v>71920</v>
      </c>
    </row>
    <row r="34" spans="1:11" ht="21" x14ac:dyDescent="0.6">
      <c r="A34" s="11" t="s">
        <v>1135</v>
      </c>
      <c r="B34" s="11" t="s">
        <v>207</v>
      </c>
      <c r="C34" s="11" t="s">
        <v>875</v>
      </c>
      <c r="D34" s="11" t="s">
        <v>67</v>
      </c>
      <c r="E34" s="12">
        <v>13050</v>
      </c>
      <c r="F34" s="12">
        <v>74181</v>
      </c>
      <c r="G34" s="12">
        <v>160064</v>
      </c>
      <c r="H34" s="12">
        <v>176476</v>
      </c>
      <c r="I34" s="14" t="s">
        <v>546</v>
      </c>
      <c r="J34" s="14" t="s">
        <v>1306</v>
      </c>
      <c r="K34" s="12">
        <f t="shared" ref="K34:K65" si="1">F34-E34</f>
        <v>61131</v>
      </c>
    </row>
    <row r="35" spans="1:11" ht="21" x14ac:dyDescent="0.6">
      <c r="A35" s="11" t="s">
        <v>1135</v>
      </c>
      <c r="B35" s="11" t="s">
        <v>207</v>
      </c>
      <c r="C35" s="11" t="s">
        <v>359</v>
      </c>
      <c r="D35" s="11" t="s">
        <v>79</v>
      </c>
      <c r="E35" s="12">
        <v>12505</v>
      </c>
      <c r="F35" s="12">
        <v>65886</v>
      </c>
      <c r="G35" s="12">
        <v>97790</v>
      </c>
      <c r="H35" s="12">
        <v>127080</v>
      </c>
      <c r="I35" s="14" t="s">
        <v>581</v>
      </c>
      <c r="J35" s="14" t="s">
        <v>1291</v>
      </c>
      <c r="K35" s="12">
        <f t="shared" si="1"/>
        <v>53381</v>
      </c>
    </row>
    <row r="36" spans="1:11" ht="21" x14ac:dyDescent="0.6">
      <c r="A36" s="11" t="s">
        <v>1135</v>
      </c>
      <c r="B36" s="11" t="s">
        <v>207</v>
      </c>
      <c r="C36" s="11" t="s">
        <v>359</v>
      </c>
      <c r="D36" s="11" t="s">
        <v>98</v>
      </c>
      <c r="E36" s="12">
        <v>2478</v>
      </c>
      <c r="F36" s="12">
        <v>55719</v>
      </c>
      <c r="G36" s="12">
        <v>53241</v>
      </c>
      <c r="H36" s="12">
        <v>55263</v>
      </c>
      <c r="I36" s="14" t="s">
        <v>560</v>
      </c>
      <c r="J36" s="14" t="s">
        <v>1300</v>
      </c>
      <c r="K36" s="12">
        <f t="shared" si="1"/>
        <v>53241</v>
      </c>
    </row>
    <row r="37" spans="1:11" ht="21" x14ac:dyDescent="0.6">
      <c r="A37" s="11" t="s">
        <v>1135</v>
      </c>
      <c r="B37" s="11" t="s">
        <v>207</v>
      </c>
      <c r="C37" s="11" t="s">
        <v>359</v>
      </c>
      <c r="D37" s="11" t="s">
        <v>81</v>
      </c>
      <c r="E37" s="12">
        <v>11926</v>
      </c>
      <c r="F37" s="12">
        <v>46664</v>
      </c>
      <c r="G37" s="12">
        <v>64425</v>
      </c>
      <c r="H37" s="12">
        <v>85650</v>
      </c>
      <c r="I37" s="14" t="s">
        <v>581</v>
      </c>
      <c r="J37" s="14" t="s">
        <v>1292</v>
      </c>
      <c r="K37" s="12">
        <f t="shared" si="1"/>
        <v>34738</v>
      </c>
    </row>
    <row r="38" spans="1:11" ht="21" x14ac:dyDescent="0.6">
      <c r="A38" s="11" t="s">
        <v>1135</v>
      </c>
      <c r="B38" s="11" t="s">
        <v>207</v>
      </c>
      <c r="C38" s="11" t="s">
        <v>359</v>
      </c>
      <c r="D38" s="11" t="s">
        <v>96</v>
      </c>
      <c r="E38" s="12">
        <v>1974</v>
      </c>
      <c r="F38" s="12">
        <v>18124</v>
      </c>
      <c r="G38" s="12">
        <v>16250</v>
      </c>
      <c r="H38" s="12">
        <v>16250</v>
      </c>
      <c r="I38" s="14" t="s">
        <v>560</v>
      </c>
      <c r="J38" s="14" t="s">
        <v>1299</v>
      </c>
      <c r="K38" s="12">
        <f t="shared" si="1"/>
        <v>16150</v>
      </c>
    </row>
    <row r="39" spans="1:11" ht="21" x14ac:dyDescent="0.6">
      <c r="A39" s="11" t="s">
        <v>1135</v>
      </c>
      <c r="B39" s="11" t="s">
        <v>61</v>
      </c>
      <c r="C39" s="11" t="s">
        <v>61</v>
      </c>
      <c r="D39" s="11" t="s">
        <v>125</v>
      </c>
      <c r="E39" s="12">
        <v>1960</v>
      </c>
      <c r="F39" s="12">
        <v>16710</v>
      </c>
      <c r="G39" s="12">
        <v>38854</v>
      </c>
      <c r="H39" s="12">
        <v>39214</v>
      </c>
      <c r="I39" s="14" t="s">
        <v>546</v>
      </c>
      <c r="J39" s="14" t="s">
        <v>1161</v>
      </c>
      <c r="K39" s="12">
        <f t="shared" si="1"/>
        <v>14750</v>
      </c>
    </row>
    <row r="40" spans="1:11" ht="21" x14ac:dyDescent="0.6">
      <c r="A40" s="11" t="s">
        <v>1135</v>
      </c>
      <c r="B40" s="11" t="s">
        <v>61</v>
      </c>
      <c r="C40" s="11" t="s">
        <v>61</v>
      </c>
      <c r="D40" s="11" t="s">
        <v>153</v>
      </c>
      <c r="E40" s="12">
        <v>1320</v>
      </c>
      <c r="F40" s="12">
        <v>2580</v>
      </c>
      <c r="G40" s="12">
        <v>8700</v>
      </c>
      <c r="H40" s="12">
        <v>10023</v>
      </c>
      <c r="I40" s="14" t="s">
        <v>560</v>
      </c>
      <c r="J40" s="14" t="s">
        <v>1175</v>
      </c>
      <c r="K40" s="12">
        <f t="shared" si="1"/>
        <v>1260</v>
      </c>
    </row>
    <row r="41" spans="1:11" ht="21" x14ac:dyDescent="0.6">
      <c r="A41" s="11" t="s">
        <v>1135</v>
      </c>
      <c r="B41" s="11" t="s">
        <v>207</v>
      </c>
      <c r="C41" s="11" t="s">
        <v>359</v>
      </c>
      <c r="D41" s="11" t="s">
        <v>86</v>
      </c>
      <c r="E41" s="12">
        <v>7822</v>
      </c>
      <c r="F41" s="12">
        <v>8010</v>
      </c>
      <c r="G41" s="12">
        <v>40293</v>
      </c>
      <c r="H41" s="12">
        <v>42663</v>
      </c>
      <c r="I41" s="14" t="s">
        <v>546</v>
      </c>
      <c r="J41" s="14" t="s">
        <v>1294</v>
      </c>
      <c r="K41" s="12">
        <f t="shared" si="1"/>
        <v>188</v>
      </c>
    </row>
    <row r="42" spans="1:11" ht="21" x14ac:dyDescent="0.6">
      <c r="A42" s="11" t="s">
        <v>1135</v>
      </c>
      <c r="B42" s="11" t="s">
        <v>61</v>
      </c>
      <c r="C42" s="11" t="s">
        <v>61</v>
      </c>
      <c r="D42" s="11" t="s">
        <v>129</v>
      </c>
      <c r="E42" s="12">
        <v>513</v>
      </c>
      <c r="F42" s="12">
        <v>530</v>
      </c>
      <c r="G42" s="12">
        <v>2652</v>
      </c>
      <c r="H42" s="12">
        <v>3616</v>
      </c>
      <c r="I42" s="14" t="s">
        <v>109</v>
      </c>
      <c r="J42" s="14" t="s">
        <v>1163</v>
      </c>
      <c r="K42" s="12">
        <f t="shared" si="1"/>
        <v>17</v>
      </c>
    </row>
    <row r="43" spans="1:11" ht="21" x14ac:dyDescent="0.6">
      <c r="A43" s="11" t="s">
        <v>1337</v>
      </c>
      <c r="B43" s="11" t="s">
        <v>207</v>
      </c>
      <c r="C43" s="11" t="s">
        <v>61</v>
      </c>
      <c r="D43" s="11" t="s">
        <v>94</v>
      </c>
      <c r="E43" s="12">
        <v>44</v>
      </c>
      <c r="F43" s="12">
        <v>100</v>
      </c>
      <c r="G43" s="12">
        <v>44</v>
      </c>
      <c r="H43" s="12">
        <v>249</v>
      </c>
      <c r="I43" s="14" t="s">
        <v>109</v>
      </c>
      <c r="J43" s="14" t="s">
        <v>1385</v>
      </c>
      <c r="K43" s="12">
        <f t="shared" si="1"/>
        <v>56</v>
      </c>
    </row>
    <row r="44" spans="1:11" ht="21" x14ac:dyDescent="0.6">
      <c r="A44" s="11" t="s">
        <v>1337</v>
      </c>
      <c r="B44" s="11" t="s">
        <v>359</v>
      </c>
      <c r="C44" s="11" t="s">
        <v>61</v>
      </c>
      <c r="D44" s="11" t="s">
        <v>79</v>
      </c>
      <c r="E44" s="12">
        <v>173</v>
      </c>
      <c r="F44" s="12">
        <v>196</v>
      </c>
      <c r="G44" s="12">
        <v>340</v>
      </c>
      <c r="H44" s="12">
        <v>4098</v>
      </c>
      <c r="I44" s="14" t="s">
        <v>109</v>
      </c>
      <c r="J44" s="14" t="s">
        <v>1421</v>
      </c>
      <c r="K44" s="12">
        <f t="shared" si="1"/>
        <v>23</v>
      </c>
    </row>
    <row r="45" spans="1:11" ht="21" x14ac:dyDescent="0.6">
      <c r="A45" s="11" t="s">
        <v>1451</v>
      </c>
      <c r="B45" s="11" t="s">
        <v>207</v>
      </c>
      <c r="C45" s="11" t="s">
        <v>61</v>
      </c>
      <c r="D45" s="11" t="s">
        <v>119</v>
      </c>
      <c r="E45" s="12">
        <v>787</v>
      </c>
      <c r="F45" s="12">
        <v>15012</v>
      </c>
      <c r="G45" s="12">
        <v>14225</v>
      </c>
      <c r="H45" s="12">
        <v>14225</v>
      </c>
      <c r="I45" s="14" t="s">
        <v>546</v>
      </c>
      <c r="J45" s="14" t="s">
        <v>1554</v>
      </c>
      <c r="K45" s="12">
        <f t="shared" si="1"/>
        <v>14225</v>
      </c>
    </row>
    <row r="46" spans="1:11" ht="21" x14ac:dyDescent="0.6">
      <c r="A46" s="11" t="s">
        <v>1451</v>
      </c>
      <c r="B46" s="11" t="s">
        <v>359</v>
      </c>
      <c r="C46" s="11" t="s">
        <v>207</v>
      </c>
      <c r="D46" s="11" t="s">
        <v>65</v>
      </c>
      <c r="E46" s="12">
        <v>4752</v>
      </c>
      <c r="F46" s="12">
        <v>16159</v>
      </c>
      <c r="G46" s="12">
        <v>38008</v>
      </c>
      <c r="H46" s="12">
        <v>47046</v>
      </c>
      <c r="I46" s="14" t="s">
        <v>226</v>
      </c>
      <c r="J46" s="14" t="s">
        <v>1649</v>
      </c>
      <c r="K46" s="12">
        <f t="shared" si="1"/>
        <v>11407</v>
      </c>
    </row>
    <row r="47" spans="1:11" ht="21" x14ac:dyDescent="0.6">
      <c r="A47" s="11" t="s">
        <v>1451</v>
      </c>
      <c r="B47" s="11" t="s">
        <v>359</v>
      </c>
      <c r="C47" s="11" t="s">
        <v>207</v>
      </c>
      <c r="D47" s="11" t="s">
        <v>79</v>
      </c>
      <c r="E47" s="12">
        <v>4258</v>
      </c>
      <c r="F47" s="12">
        <v>13573</v>
      </c>
      <c r="G47" s="12">
        <v>59763</v>
      </c>
      <c r="H47" s="12">
        <v>85858</v>
      </c>
      <c r="I47" s="14" t="s">
        <v>226</v>
      </c>
      <c r="J47" s="14" t="s">
        <v>1656</v>
      </c>
      <c r="K47" s="12">
        <f t="shared" si="1"/>
        <v>9315</v>
      </c>
    </row>
    <row r="48" spans="1:11" ht="21" x14ac:dyDescent="0.6">
      <c r="A48" s="11" t="s">
        <v>1451</v>
      </c>
      <c r="B48" s="11" t="s">
        <v>359</v>
      </c>
      <c r="C48" s="11" t="s">
        <v>207</v>
      </c>
      <c r="D48" s="11" t="s">
        <v>67</v>
      </c>
      <c r="E48" s="12">
        <v>4217</v>
      </c>
      <c r="F48" s="12">
        <v>13450</v>
      </c>
      <c r="G48" s="12">
        <v>68214</v>
      </c>
      <c r="H48" s="12">
        <v>78040</v>
      </c>
      <c r="I48" s="14" t="s">
        <v>226</v>
      </c>
      <c r="J48" s="14" t="s">
        <v>1650</v>
      </c>
      <c r="K48" s="12">
        <f t="shared" si="1"/>
        <v>9233</v>
      </c>
    </row>
    <row r="49" spans="1:11" ht="21" x14ac:dyDescent="0.6">
      <c r="A49" s="11" t="s">
        <v>1451</v>
      </c>
      <c r="B49" s="11" t="s">
        <v>359</v>
      </c>
      <c r="C49" s="11" t="s">
        <v>207</v>
      </c>
      <c r="D49" s="11" t="s">
        <v>69</v>
      </c>
      <c r="E49" s="12">
        <v>5963</v>
      </c>
      <c r="F49" s="12">
        <v>12820</v>
      </c>
      <c r="G49" s="12">
        <v>39022</v>
      </c>
      <c r="H49" s="12">
        <v>52421</v>
      </c>
      <c r="I49" s="14" t="s">
        <v>226</v>
      </c>
      <c r="J49" s="14" t="s">
        <v>1651</v>
      </c>
      <c r="K49" s="12">
        <f t="shared" si="1"/>
        <v>6857</v>
      </c>
    </row>
    <row r="50" spans="1:11" ht="21" x14ac:dyDescent="0.6">
      <c r="A50" s="11" t="s">
        <v>1451</v>
      </c>
      <c r="B50" s="11" t="s">
        <v>359</v>
      </c>
      <c r="C50" s="11" t="s">
        <v>207</v>
      </c>
      <c r="D50" s="11" t="s">
        <v>62</v>
      </c>
      <c r="E50" s="12">
        <v>5454</v>
      </c>
      <c r="F50" s="12">
        <v>12122</v>
      </c>
      <c r="G50" s="12">
        <v>72167</v>
      </c>
      <c r="H50" s="12">
        <v>106305</v>
      </c>
      <c r="I50" s="14" t="s">
        <v>226</v>
      </c>
      <c r="J50" s="14" t="s">
        <v>1648</v>
      </c>
      <c r="K50" s="12">
        <f t="shared" si="1"/>
        <v>6668</v>
      </c>
    </row>
    <row r="51" spans="1:11" ht="21" x14ac:dyDescent="0.6">
      <c r="A51" s="11" t="s">
        <v>1451</v>
      </c>
      <c r="B51" s="11" t="s">
        <v>207</v>
      </c>
      <c r="C51" s="11" t="s">
        <v>61</v>
      </c>
      <c r="D51" s="11" t="s">
        <v>117</v>
      </c>
      <c r="E51" s="12">
        <v>828</v>
      </c>
      <c r="F51" s="12">
        <v>7028</v>
      </c>
      <c r="G51" s="12">
        <v>6200</v>
      </c>
      <c r="H51" s="12">
        <v>6200</v>
      </c>
      <c r="I51" s="14" t="s">
        <v>546</v>
      </c>
      <c r="J51" s="14" t="s">
        <v>1553</v>
      </c>
      <c r="K51" s="12">
        <f t="shared" si="1"/>
        <v>6200</v>
      </c>
    </row>
    <row r="52" spans="1:11" ht="21" x14ac:dyDescent="0.6">
      <c r="A52" s="11" t="s">
        <v>1451</v>
      </c>
      <c r="B52" s="11" t="s">
        <v>207</v>
      </c>
      <c r="C52" s="11" t="s">
        <v>61</v>
      </c>
      <c r="D52" s="11" t="s">
        <v>121</v>
      </c>
      <c r="E52" s="12">
        <v>722</v>
      </c>
      <c r="F52" s="12">
        <v>4222</v>
      </c>
      <c r="G52" s="12">
        <v>3500</v>
      </c>
      <c r="H52" s="12">
        <v>3500</v>
      </c>
      <c r="I52" s="14" t="s">
        <v>546</v>
      </c>
      <c r="J52" s="14" t="s">
        <v>1555</v>
      </c>
      <c r="K52" s="12">
        <f t="shared" si="1"/>
        <v>3500</v>
      </c>
    </row>
    <row r="53" spans="1:11" ht="21" x14ac:dyDescent="0.6">
      <c r="A53" s="11" t="s">
        <v>1451</v>
      </c>
      <c r="B53" s="11" t="s">
        <v>61</v>
      </c>
      <c r="C53" s="11" t="s">
        <v>207</v>
      </c>
      <c r="D53" s="11" t="s">
        <v>104</v>
      </c>
      <c r="E53" s="12">
        <v>165</v>
      </c>
      <c r="F53" s="12">
        <v>2965</v>
      </c>
      <c r="G53" s="12">
        <v>2800</v>
      </c>
      <c r="H53" s="12">
        <v>2800</v>
      </c>
      <c r="I53" s="14" t="s">
        <v>546</v>
      </c>
      <c r="J53" s="14" t="s">
        <v>1490</v>
      </c>
      <c r="K53" s="12">
        <f t="shared" si="1"/>
        <v>2800</v>
      </c>
    </row>
    <row r="54" spans="1:11" ht="21" x14ac:dyDescent="0.6">
      <c r="A54" s="11" t="s">
        <v>1451</v>
      </c>
      <c r="B54" s="11" t="s">
        <v>61</v>
      </c>
      <c r="C54" s="11" t="s">
        <v>207</v>
      </c>
      <c r="D54" s="11" t="s">
        <v>106</v>
      </c>
      <c r="E54" s="12">
        <v>391</v>
      </c>
      <c r="F54" s="12">
        <v>3031</v>
      </c>
      <c r="G54" s="12">
        <v>2934</v>
      </c>
      <c r="H54" s="12">
        <v>2934</v>
      </c>
      <c r="I54" s="14" t="s">
        <v>546</v>
      </c>
      <c r="J54" s="14" t="s">
        <v>1491</v>
      </c>
      <c r="K54" s="12">
        <f t="shared" si="1"/>
        <v>2640</v>
      </c>
    </row>
    <row r="55" spans="1:11" ht="21" x14ac:dyDescent="0.6">
      <c r="A55" s="11" t="s">
        <v>1451</v>
      </c>
      <c r="B55" s="11" t="s">
        <v>359</v>
      </c>
      <c r="C55" s="11" t="s">
        <v>61</v>
      </c>
      <c r="D55" s="11" t="s">
        <v>149</v>
      </c>
      <c r="E55" s="12">
        <v>260</v>
      </c>
      <c r="F55" s="12">
        <v>2783</v>
      </c>
      <c r="G55" s="12">
        <v>2523</v>
      </c>
      <c r="H55" s="12">
        <v>2523</v>
      </c>
      <c r="I55" s="14" t="s">
        <v>546</v>
      </c>
      <c r="J55" s="14" t="s">
        <v>1637</v>
      </c>
      <c r="K55" s="12">
        <f t="shared" si="1"/>
        <v>2523</v>
      </c>
    </row>
    <row r="56" spans="1:11" ht="21" x14ac:dyDescent="0.6">
      <c r="A56" s="11" t="s">
        <v>1451</v>
      </c>
      <c r="B56" s="11" t="s">
        <v>359</v>
      </c>
      <c r="C56" s="11" t="s">
        <v>61</v>
      </c>
      <c r="D56" s="11" t="s">
        <v>137</v>
      </c>
      <c r="E56" s="12">
        <v>400</v>
      </c>
      <c r="F56" s="12">
        <v>2611</v>
      </c>
      <c r="G56" s="12">
        <v>2450</v>
      </c>
      <c r="H56" s="12">
        <v>6948</v>
      </c>
      <c r="I56" s="14" t="s">
        <v>82</v>
      </c>
      <c r="J56" s="14" t="s">
        <v>1631</v>
      </c>
      <c r="K56" s="12">
        <f t="shared" si="1"/>
        <v>2211</v>
      </c>
    </row>
    <row r="57" spans="1:11" ht="21" x14ac:dyDescent="0.6">
      <c r="A57" s="11" t="s">
        <v>1451</v>
      </c>
      <c r="B57" s="11" t="s">
        <v>61</v>
      </c>
      <c r="C57" s="11" t="s">
        <v>627</v>
      </c>
      <c r="D57" s="11" t="s">
        <v>77</v>
      </c>
      <c r="E57" s="12">
        <v>444</v>
      </c>
      <c r="F57" s="12">
        <v>1844</v>
      </c>
      <c r="G57" s="12">
        <v>2300</v>
      </c>
      <c r="H57" s="12">
        <v>2400</v>
      </c>
      <c r="I57" s="14" t="s">
        <v>546</v>
      </c>
      <c r="J57" s="14" t="s">
        <v>1516</v>
      </c>
      <c r="K57" s="12">
        <f t="shared" si="1"/>
        <v>1400</v>
      </c>
    </row>
    <row r="58" spans="1:11" ht="21" x14ac:dyDescent="0.6">
      <c r="A58" s="11" t="s">
        <v>1451</v>
      </c>
      <c r="B58" s="11" t="s">
        <v>359</v>
      </c>
      <c r="C58" s="11" t="s">
        <v>61</v>
      </c>
      <c r="D58" s="11" t="s">
        <v>147</v>
      </c>
      <c r="E58" s="12">
        <v>540</v>
      </c>
      <c r="F58" s="12">
        <v>1860</v>
      </c>
      <c r="G58" s="12">
        <v>3640</v>
      </c>
      <c r="H58" s="12">
        <v>3640</v>
      </c>
      <c r="I58" s="14" t="s">
        <v>546</v>
      </c>
      <c r="J58" s="14" t="s">
        <v>1636</v>
      </c>
      <c r="K58" s="12">
        <f t="shared" si="1"/>
        <v>1320</v>
      </c>
    </row>
    <row r="59" spans="1:11" ht="21" x14ac:dyDescent="0.6">
      <c r="A59" s="11" t="s">
        <v>1451</v>
      </c>
      <c r="B59" s="11" t="s">
        <v>359</v>
      </c>
      <c r="C59" s="11" t="s">
        <v>207</v>
      </c>
      <c r="D59" s="11" t="s">
        <v>71</v>
      </c>
      <c r="E59" s="12">
        <v>4264</v>
      </c>
      <c r="F59" s="12">
        <v>5310</v>
      </c>
      <c r="G59" s="12">
        <v>43055</v>
      </c>
      <c r="H59" s="12">
        <v>84384</v>
      </c>
      <c r="I59" s="14" t="s">
        <v>226</v>
      </c>
      <c r="J59" s="14" t="s">
        <v>1652</v>
      </c>
      <c r="K59" s="12">
        <f t="shared" si="1"/>
        <v>1046</v>
      </c>
    </row>
    <row r="60" spans="1:11" ht="21" x14ac:dyDescent="0.6">
      <c r="A60" s="11" t="s">
        <v>1451</v>
      </c>
      <c r="B60" s="11" t="s">
        <v>359</v>
      </c>
      <c r="C60" s="11" t="s">
        <v>61</v>
      </c>
      <c r="D60" s="11" t="s">
        <v>151</v>
      </c>
      <c r="E60" s="12">
        <v>124</v>
      </c>
      <c r="F60" s="12">
        <v>984</v>
      </c>
      <c r="G60" s="12">
        <v>860</v>
      </c>
      <c r="H60" s="12">
        <v>860</v>
      </c>
      <c r="I60" s="14" t="s">
        <v>546</v>
      </c>
      <c r="J60" s="14" t="s">
        <v>1638</v>
      </c>
      <c r="K60" s="12">
        <f t="shared" si="1"/>
        <v>860</v>
      </c>
    </row>
    <row r="61" spans="1:11" ht="21" x14ac:dyDescent="0.6">
      <c r="A61" s="11" t="s">
        <v>1451</v>
      </c>
      <c r="B61" s="11" t="s">
        <v>359</v>
      </c>
      <c r="C61" s="11" t="s">
        <v>61</v>
      </c>
      <c r="D61" s="11" t="s">
        <v>104</v>
      </c>
      <c r="E61" s="12">
        <v>1715</v>
      </c>
      <c r="F61" s="12">
        <v>2484</v>
      </c>
      <c r="G61" s="12">
        <v>3992</v>
      </c>
      <c r="H61" s="12">
        <v>5347</v>
      </c>
      <c r="I61" s="14" t="s">
        <v>109</v>
      </c>
      <c r="J61" s="14" t="s">
        <v>1618</v>
      </c>
      <c r="K61" s="12">
        <f t="shared" si="1"/>
        <v>769</v>
      </c>
    </row>
    <row r="62" spans="1:11" ht="21" x14ac:dyDescent="0.6">
      <c r="A62" s="11" t="s">
        <v>1451</v>
      </c>
      <c r="B62" s="11" t="s">
        <v>61</v>
      </c>
      <c r="C62" s="11" t="s">
        <v>627</v>
      </c>
      <c r="D62" s="11" t="s">
        <v>79</v>
      </c>
      <c r="E62" s="12">
        <v>258</v>
      </c>
      <c r="F62" s="12">
        <v>843</v>
      </c>
      <c r="G62" s="12">
        <v>850</v>
      </c>
      <c r="H62" s="12">
        <v>1300</v>
      </c>
      <c r="I62" s="14" t="s">
        <v>82</v>
      </c>
      <c r="J62" s="14" t="s">
        <v>1517</v>
      </c>
      <c r="K62" s="12">
        <f t="shared" si="1"/>
        <v>585</v>
      </c>
    </row>
    <row r="63" spans="1:11" ht="21" x14ac:dyDescent="0.6">
      <c r="A63" s="11" t="s">
        <v>1451</v>
      </c>
      <c r="B63" s="11" t="s">
        <v>207</v>
      </c>
      <c r="C63" s="11" t="s">
        <v>61</v>
      </c>
      <c r="D63" s="11" t="s">
        <v>94</v>
      </c>
      <c r="E63" s="12">
        <v>0</v>
      </c>
      <c r="F63" s="12">
        <v>210</v>
      </c>
      <c r="G63" s="12">
        <v>0</v>
      </c>
      <c r="H63" s="12"/>
      <c r="I63" s="14" t="s">
        <v>82</v>
      </c>
      <c r="J63" s="14" t="s">
        <v>1545</v>
      </c>
      <c r="K63" s="12">
        <f t="shared" si="1"/>
        <v>210</v>
      </c>
    </row>
    <row r="64" spans="1:11" ht="21" x14ac:dyDescent="0.6">
      <c r="A64" s="11" t="s">
        <v>1451</v>
      </c>
      <c r="B64" s="11" t="s">
        <v>359</v>
      </c>
      <c r="C64" s="11" t="s">
        <v>61</v>
      </c>
      <c r="D64" s="11" t="s">
        <v>102</v>
      </c>
      <c r="E64" s="12">
        <v>1042</v>
      </c>
      <c r="F64" s="12">
        <v>1144</v>
      </c>
      <c r="G64" s="12">
        <v>3065</v>
      </c>
      <c r="H64" s="12">
        <v>4215</v>
      </c>
      <c r="I64" s="14" t="s">
        <v>109</v>
      </c>
      <c r="J64" s="14" t="s">
        <v>1567</v>
      </c>
      <c r="K64" s="12">
        <f t="shared" si="1"/>
        <v>102</v>
      </c>
    </row>
    <row r="65" spans="1:11" ht="21" x14ac:dyDescent="0.6">
      <c r="A65" s="11" t="s">
        <v>1451</v>
      </c>
      <c r="B65" s="11" t="s">
        <v>207</v>
      </c>
      <c r="C65" s="11" t="s">
        <v>207</v>
      </c>
      <c r="D65" s="11" t="s">
        <v>139</v>
      </c>
      <c r="E65" s="12">
        <v>328</v>
      </c>
      <c r="F65" s="12">
        <v>375</v>
      </c>
      <c r="G65" s="12">
        <v>3150</v>
      </c>
      <c r="H65" s="12">
        <v>3150</v>
      </c>
      <c r="I65" s="14" t="s">
        <v>109</v>
      </c>
      <c r="J65" s="14" t="s">
        <v>1588</v>
      </c>
      <c r="K65" s="12">
        <f t="shared" si="1"/>
        <v>47</v>
      </c>
    </row>
    <row r="66" spans="1:11" ht="21" x14ac:dyDescent="0.6">
      <c r="A66" s="11" t="s">
        <v>1451</v>
      </c>
      <c r="B66" s="11" t="s">
        <v>207</v>
      </c>
      <c r="C66" s="11" t="s">
        <v>207</v>
      </c>
      <c r="D66" s="11" t="s">
        <v>86</v>
      </c>
      <c r="E66" s="12">
        <v>1177</v>
      </c>
      <c r="F66" s="12">
        <v>1204</v>
      </c>
      <c r="G66" s="12">
        <v>3120</v>
      </c>
      <c r="H66" s="12">
        <v>6559</v>
      </c>
      <c r="I66" s="14" t="s">
        <v>109</v>
      </c>
      <c r="J66" s="14" t="s">
        <v>1567</v>
      </c>
      <c r="K66" s="12">
        <f t="shared" ref="K66:K97" si="2">F66-E66</f>
        <v>27</v>
      </c>
    </row>
    <row r="67" spans="1:11" ht="21" x14ac:dyDescent="0.6">
      <c r="A67" s="11" t="s">
        <v>1451</v>
      </c>
      <c r="B67" s="11" t="s">
        <v>207</v>
      </c>
      <c r="C67" s="11" t="s">
        <v>207</v>
      </c>
      <c r="D67" s="11" t="s">
        <v>65</v>
      </c>
      <c r="E67" s="12">
        <v>213</v>
      </c>
      <c r="F67" s="12">
        <v>230</v>
      </c>
      <c r="G67" s="12">
        <v>920</v>
      </c>
      <c r="H67" s="12">
        <v>4692</v>
      </c>
      <c r="I67" s="14" t="s">
        <v>63</v>
      </c>
      <c r="J67" s="14" t="s">
        <v>1535</v>
      </c>
      <c r="K67" s="12">
        <f t="shared" si="2"/>
        <v>17</v>
      </c>
    </row>
    <row r="68" spans="1:11" ht="21" x14ac:dyDescent="0.6">
      <c r="A68" s="11" t="s">
        <v>1661</v>
      </c>
      <c r="B68" s="11" t="s">
        <v>61</v>
      </c>
      <c r="C68" s="11" t="s">
        <v>627</v>
      </c>
      <c r="D68" s="11" t="s">
        <v>75</v>
      </c>
      <c r="E68" s="12">
        <v>5312</v>
      </c>
      <c r="F68" s="12">
        <v>29680</v>
      </c>
      <c r="G68" s="12">
        <v>24368</v>
      </c>
      <c r="H68" s="12">
        <v>33364</v>
      </c>
      <c r="I68" s="14" t="s">
        <v>199</v>
      </c>
      <c r="J68" s="14" t="s">
        <v>1757</v>
      </c>
      <c r="K68" s="12">
        <f t="shared" si="2"/>
        <v>24368</v>
      </c>
    </row>
    <row r="69" spans="1:11" ht="21" x14ac:dyDescent="0.6">
      <c r="A69" s="11" t="s">
        <v>1661</v>
      </c>
      <c r="B69" s="11" t="s">
        <v>359</v>
      </c>
      <c r="C69" s="11" t="s">
        <v>207</v>
      </c>
      <c r="D69" s="11" t="s">
        <v>62</v>
      </c>
      <c r="E69" s="12">
        <v>2532</v>
      </c>
      <c r="F69" s="12">
        <v>3613</v>
      </c>
      <c r="G69" s="12">
        <v>27375</v>
      </c>
      <c r="H69" s="12">
        <v>35724</v>
      </c>
      <c r="I69" s="14" t="s">
        <v>560</v>
      </c>
      <c r="J69" s="14" t="s">
        <v>1882</v>
      </c>
      <c r="K69" s="12">
        <f t="shared" si="2"/>
        <v>1081</v>
      </c>
    </row>
    <row r="70" spans="1:11" ht="21" x14ac:dyDescent="0.6">
      <c r="A70" s="11" t="s">
        <v>1661</v>
      </c>
      <c r="B70" s="11" t="s">
        <v>61</v>
      </c>
      <c r="C70" s="11" t="s">
        <v>627</v>
      </c>
      <c r="D70" s="11" t="s">
        <v>73</v>
      </c>
      <c r="E70" s="12">
        <v>124</v>
      </c>
      <c r="F70" s="12">
        <v>850</v>
      </c>
      <c r="G70" s="12">
        <v>132</v>
      </c>
      <c r="H70" s="12">
        <v>667</v>
      </c>
      <c r="I70" s="14" t="s">
        <v>190</v>
      </c>
      <c r="J70" s="14" t="s">
        <v>1756</v>
      </c>
      <c r="K70" s="12">
        <f t="shared" si="2"/>
        <v>726</v>
      </c>
    </row>
    <row r="71" spans="1:11" ht="21" x14ac:dyDescent="0.6">
      <c r="A71" s="11" t="s">
        <v>1661</v>
      </c>
      <c r="B71" s="11" t="s">
        <v>61</v>
      </c>
      <c r="C71" s="11" t="s">
        <v>61</v>
      </c>
      <c r="D71" s="11" t="s">
        <v>104</v>
      </c>
      <c r="E71" s="12">
        <v>403</v>
      </c>
      <c r="F71" s="12">
        <v>543</v>
      </c>
      <c r="G71" s="12">
        <v>1881</v>
      </c>
      <c r="H71" s="12">
        <v>1881</v>
      </c>
      <c r="I71" s="14" t="s">
        <v>109</v>
      </c>
      <c r="J71" s="14" t="s">
        <v>1678</v>
      </c>
      <c r="K71" s="12">
        <f t="shared" si="2"/>
        <v>140</v>
      </c>
    </row>
    <row r="72" spans="1:11" ht="21" x14ac:dyDescent="0.6">
      <c r="A72" s="11" t="s">
        <v>1661</v>
      </c>
      <c r="B72" s="11" t="s">
        <v>359</v>
      </c>
      <c r="C72" s="11" t="s">
        <v>207</v>
      </c>
      <c r="D72" s="11" t="s">
        <v>108</v>
      </c>
      <c r="E72" s="12">
        <v>160</v>
      </c>
      <c r="F72" s="12">
        <v>206</v>
      </c>
      <c r="G72" s="12">
        <v>750</v>
      </c>
      <c r="H72" s="12">
        <v>1398</v>
      </c>
      <c r="I72" s="14" t="s">
        <v>190</v>
      </c>
      <c r="J72" s="14" t="s">
        <v>1904</v>
      </c>
      <c r="K72" s="12">
        <f t="shared" si="2"/>
        <v>46</v>
      </c>
    </row>
    <row r="73" spans="1:11" ht="21" x14ac:dyDescent="0.6">
      <c r="A73" s="11" t="s">
        <v>1661</v>
      </c>
      <c r="B73" s="11" t="s">
        <v>61</v>
      </c>
      <c r="C73" s="11" t="s">
        <v>359</v>
      </c>
      <c r="D73" s="11" t="s">
        <v>106</v>
      </c>
      <c r="E73" s="12">
        <v>725</v>
      </c>
      <c r="F73" s="12">
        <v>760</v>
      </c>
      <c r="G73" s="12">
        <v>7514</v>
      </c>
      <c r="H73" s="12">
        <v>7889</v>
      </c>
      <c r="I73" s="14" t="s">
        <v>190</v>
      </c>
      <c r="J73" s="14" t="s">
        <v>1733</v>
      </c>
      <c r="K73" s="12">
        <f t="shared" si="2"/>
        <v>35</v>
      </c>
    </row>
    <row r="74" spans="1:11" ht="21" x14ac:dyDescent="0.6">
      <c r="A74" s="11" t="s">
        <v>1661</v>
      </c>
      <c r="B74" s="11" t="s">
        <v>61</v>
      </c>
      <c r="C74" s="11" t="s">
        <v>61</v>
      </c>
      <c r="D74" s="11" t="s">
        <v>121</v>
      </c>
      <c r="E74" s="12">
        <v>342</v>
      </c>
      <c r="F74" s="12">
        <v>365</v>
      </c>
      <c r="G74" s="12">
        <v>554</v>
      </c>
      <c r="H74" s="12">
        <v>554</v>
      </c>
      <c r="I74" s="14" t="s">
        <v>109</v>
      </c>
      <c r="J74" s="14" t="s">
        <v>1686</v>
      </c>
      <c r="K74" s="12">
        <f t="shared" si="2"/>
        <v>23</v>
      </c>
    </row>
    <row r="75" spans="1:11" ht="21" x14ac:dyDescent="0.6">
      <c r="A75" s="11" t="s">
        <v>1661</v>
      </c>
      <c r="B75" s="11" t="s">
        <v>359</v>
      </c>
      <c r="C75" s="11" t="s">
        <v>207</v>
      </c>
      <c r="D75" s="11" t="s">
        <v>149</v>
      </c>
      <c r="E75" s="12">
        <v>91</v>
      </c>
      <c r="F75" s="12">
        <v>98</v>
      </c>
      <c r="G75" s="12">
        <v>127</v>
      </c>
      <c r="H75" s="12">
        <v>4001</v>
      </c>
      <c r="I75" s="14" t="s">
        <v>82</v>
      </c>
      <c r="J75" s="14" t="s">
        <v>1921</v>
      </c>
      <c r="K75" s="12">
        <f t="shared" si="2"/>
        <v>7</v>
      </c>
    </row>
    <row r="76" spans="1:11" ht="21" x14ac:dyDescent="0.6">
      <c r="A76" s="11" t="s">
        <v>1946</v>
      </c>
      <c r="B76" s="11" t="s">
        <v>61</v>
      </c>
      <c r="C76" s="11" t="s">
        <v>61</v>
      </c>
      <c r="D76" s="11" t="s">
        <v>123</v>
      </c>
      <c r="E76" s="12">
        <v>2124</v>
      </c>
      <c r="F76" s="12">
        <v>4147</v>
      </c>
      <c r="G76" s="12">
        <v>6372</v>
      </c>
      <c r="H76" s="12">
        <v>6372</v>
      </c>
      <c r="I76" s="14" t="s">
        <v>546</v>
      </c>
      <c r="J76" s="14" t="s">
        <v>1974</v>
      </c>
      <c r="K76" s="12">
        <f t="shared" si="2"/>
        <v>2023</v>
      </c>
    </row>
    <row r="77" spans="1:11" ht="21" x14ac:dyDescent="0.6">
      <c r="A77" s="11" t="s">
        <v>1946</v>
      </c>
      <c r="B77" s="11" t="s">
        <v>61</v>
      </c>
      <c r="C77" s="11" t="s">
        <v>61</v>
      </c>
      <c r="D77" s="11" t="s">
        <v>92</v>
      </c>
      <c r="E77" s="12">
        <v>1330</v>
      </c>
      <c r="F77" s="12">
        <v>1910</v>
      </c>
      <c r="G77" s="12">
        <v>2775</v>
      </c>
      <c r="H77" s="12">
        <v>6040</v>
      </c>
      <c r="I77" s="14" t="s">
        <v>109</v>
      </c>
      <c r="J77" s="14" t="s">
        <v>1961</v>
      </c>
      <c r="K77" s="12">
        <f t="shared" si="2"/>
        <v>580</v>
      </c>
    </row>
    <row r="78" spans="1:11" ht="21" x14ac:dyDescent="0.6">
      <c r="A78" s="11" t="s">
        <v>1946</v>
      </c>
      <c r="B78" s="11" t="s">
        <v>207</v>
      </c>
      <c r="C78" s="11" t="s">
        <v>61</v>
      </c>
      <c r="D78" s="11" t="s">
        <v>86</v>
      </c>
      <c r="E78" s="12">
        <v>142</v>
      </c>
      <c r="F78" s="12">
        <v>710</v>
      </c>
      <c r="G78" s="12">
        <v>142</v>
      </c>
      <c r="H78" s="12">
        <v>822</v>
      </c>
      <c r="I78" s="14" t="s">
        <v>109</v>
      </c>
      <c r="J78" s="14" t="s">
        <v>2020</v>
      </c>
      <c r="K78" s="12">
        <f t="shared" si="2"/>
        <v>568</v>
      </c>
    </row>
    <row r="79" spans="1:11" ht="21" x14ac:dyDescent="0.6">
      <c r="A79" s="11" t="s">
        <v>1946</v>
      </c>
      <c r="B79" s="11" t="s">
        <v>207</v>
      </c>
      <c r="C79" s="11" t="s">
        <v>207</v>
      </c>
      <c r="D79" s="11" t="s">
        <v>141</v>
      </c>
      <c r="E79" s="12">
        <v>52</v>
      </c>
      <c r="F79" s="12">
        <v>227</v>
      </c>
      <c r="G79" s="12">
        <v>1695</v>
      </c>
      <c r="H79" s="12">
        <v>2418</v>
      </c>
      <c r="I79" s="14" t="s">
        <v>190</v>
      </c>
      <c r="J79" s="14" t="s">
        <v>2074</v>
      </c>
      <c r="K79" s="12">
        <f t="shared" si="2"/>
        <v>175</v>
      </c>
    </row>
    <row r="80" spans="1:11" ht="21" x14ac:dyDescent="0.6">
      <c r="A80" s="11" t="s">
        <v>1946</v>
      </c>
      <c r="B80" s="11" t="s">
        <v>207</v>
      </c>
      <c r="C80" s="11" t="s">
        <v>207</v>
      </c>
      <c r="D80" s="11" t="s">
        <v>153</v>
      </c>
      <c r="E80" s="12">
        <v>95</v>
      </c>
      <c r="F80" s="12">
        <v>195</v>
      </c>
      <c r="G80" s="12">
        <v>870</v>
      </c>
      <c r="H80" s="12">
        <v>1130</v>
      </c>
      <c r="I80" s="14" t="s">
        <v>190</v>
      </c>
      <c r="J80" s="14" t="s">
        <v>2080</v>
      </c>
      <c r="K80" s="12">
        <f t="shared" si="2"/>
        <v>100</v>
      </c>
    </row>
    <row r="81" spans="1:13" ht="21" x14ac:dyDescent="0.6">
      <c r="A81" s="11" t="s">
        <v>2090</v>
      </c>
      <c r="B81" s="11" t="s">
        <v>207</v>
      </c>
      <c r="C81" s="11" t="s">
        <v>61</v>
      </c>
      <c r="D81" s="11" t="s">
        <v>127</v>
      </c>
      <c r="E81" s="12">
        <v>328</v>
      </c>
      <c r="F81" s="12">
        <v>9878</v>
      </c>
      <c r="G81" s="12">
        <v>9550</v>
      </c>
      <c r="H81" s="12">
        <v>9550</v>
      </c>
      <c r="I81" s="14" t="s">
        <v>546</v>
      </c>
      <c r="J81" s="14" t="s">
        <v>2242</v>
      </c>
      <c r="K81" s="12">
        <f t="shared" si="2"/>
        <v>9550</v>
      </c>
    </row>
    <row r="82" spans="1:13" ht="21" x14ac:dyDescent="0.6">
      <c r="A82" s="11" t="s">
        <v>2090</v>
      </c>
      <c r="B82" s="11" t="s">
        <v>61</v>
      </c>
      <c r="C82" s="11" t="s">
        <v>61</v>
      </c>
      <c r="D82" s="11" t="s">
        <v>90</v>
      </c>
      <c r="E82" s="12">
        <v>579</v>
      </c>
      <c r="F82" s="12">
        <v>10079</v>
      </c>
      <c r="G82" s="12">
        <v>9500</v>
      </c>
      <c r="H82" s="12">
        <v>9500</v>
      </c>
      <c r="I82" s="14" t="s">
        <v>109</v>
      </c>
      <c r="J82" s="14" t="s">
        <v>2104</v>
      </c>
      <c r="K82" s="12">
        <f t="shared" si="2"/>
        <v>9500</v>
      </c>
    </row>
    <row r="83" spans="1:13" ht="21" x14ac:dyDescent="0.6">
      <c r="A83" s="11" t="s">
        <v>2090</v>
      </c>
      <c r="B83" s="11" t="s">
        <v>359</v>
      </c>
      <c r="C83" s="11" t="s">
        <v>61</v>
      </c>
      <c r="D83" s="11" t="s">
        <v>71</v>
      </c>
      <c r="E83" s="12">
        <v>2000</v>
      </c>
      <c r="F83" s="12">
        <v>7000</v>
      </c>
      <c r="G83" s="12">
        <v>30000</v>
      </c>
      <c r="H83" s="12">
        <v>30000</v>
      </c>
      <c r="I83" s="14" t="s">
        <v>546</v>
      </c>
      <c r="J83" s="14" t="s">
        <v>2284</v>
      </c>
      <c r="K83" s="12">
        <f t="shared" si="2"/>
        <v>5000</v>
      </c>
    </row>
    <row r="84" spans="1:13" ht="21" x14ac:dyDescent="0.6">
      <c r="A84" s="11" t="s">
        <v>2090</v>
      </c>
      <c r="B84" s="11" t="s">
        <v>207</v>
      </c>
      <c r="C84" s="11" t="s">
        <v>61</v>
      </c>
      <c r="D84" s="11" t="s">
        <v>106</v>
      </c>
      <c r="E84" s="12">
        <v>357</v>
      </c>
      <c r="F84" s="12">
        <v>4581</v>
      </c>
      <c r="G84" s="12">
        <v>4224</v>
      </c>
      <c r="H84" s="12">
        <v>4224</v>
      </c>
      <c r="I84" s="14" t="s">
        <v>546</v>
      </c>
      <c r="J84" s="14" t="s">
        <v>2232</v>
      </c>
      <c r="K84" s="12">
        <f t="shared" si="2"/>
        <v>4224</v>
      </c>
      <c r="M84">
        <f>30000/9000</f>
        <v>3.3333333333333335</v>
      </c>
    </row>
    <row r="85" spans="1:13" ht="21" x14ac:dyDescent="0.6">
      <c r="A85" s="11" t="s">
        <v>2090</v>
      </c>
      <c r="B85" s="11" t="s">
        <v>207</v>
      </c>
      <c r="C85" s="11" t="s">
        <v>61</v>
      </c>
      <c r="D85" s="11" t="s">
        <v>119</v>
      </c>
      <c r="E85" s="12">
        <v>239</v>
      </c>
      <c r="F85" s="12">
        <v>3039</v>
      </c>
      <c r="G85" s="12">
        <v>2800</v>
      </c>
      <c r="H85" s="12">
        <v>2800</v>
      </c>
      <c r="I85" s="14" t="s">
        <v>546</v>
      </c>
      <c r="J85" s="14" t="s">
        <v>2238</v>
      </c>
      <c r="K85" s="12">
        <f t="shared" si="2"/>
        <v>2800</v>
      </c>
    </row>
    <row r="86" spans="1:13" ht="21" x14ac:dyDescent="0.6">
      <c r="A86" s="11" t="s">
        <v>2090</v>
      </c>
      <c r="B86" s="11" t="s">
        <v>207</v>
      </c>
      <c r="C86" s="11" t="s">
        <v>61</v>
      </c>
      <c r="D86" s="11" t="s">
        <v>123</v>
      </c>
      <c r="E86" s="12">
        <v>105</v>
      </c>
      <c r="F86" s="12">
        <v>2905</v>
      </c>
      <c r="G86" s="12">
        <v>2800</v>
      </c>
      <c r="H86" s="12">
        <v>2800</v>
      </c>
      <c r="I86" s="14" t="s">
        <v>546</v>
      </c>
      <c r="J86" s="14" t="s">
        <v>2240</v>
      </c>
      <c r="K86" s="12">
        <f t="shared" si="2"/>
        <v>2800</v>
      </c>
    </row>
    <row r="87" spans="1:13" ht="21" x14ac:dyDescent="0.6">
      <c r="A87" s="11" t="s">
        <v>2090</v>
      </c>
      <c r="B87" s="11" t="s">
        <v>207</v>
      </c>
      <c r="C87" s="11" t="s">
        <v>61</v>
      </c>
      <c r="D87" s="11" t="s">
        <v>115</v>
      </c>
      <c r="E87" s="12">
        <v>188</v>
      </c>
      <c r="F87" s="12">
        <v>2316</v>
      </c>
      <c r="G87" s="12">
        <v>2128</v>
      </c>
      <c r="H87" s="12">
        <v>2128</v>
      </c>
      <c r="I87" s="14" t="s">
        <v>546</v>
      </c>
      <c r="J87" s="14" t="s">
        <v>2236</v>
      </c>
      <c r="K87" s="12">
        <f t="shared" si="2"/>
        <v>2128</v>
      </c>
    </row>
    <row r="88" spans="1:13" ht="21" x14ac:dyDescent="0.6">
      <c r="A88" s="11" t="s">
        <v>2090</v>
      </c>
      <c r="B88" s="11" t="s">
        <v>207</v>
      </c>
      <c r="C88" s="11" t="s">
        <v>61</v>
      </c>
      <c r="D88" s="11" t="s">
        <v>121</v>
      </c>
      <c r="E88" s="12">
        <v>175</v>
      </c>
      <c r="F88" s="12">
        <v>2303</v>
      </c>
      <c r="G88" s="12">
        <v>2128</v>
      </c>
      <c r="H88" s="12">
        <v>2128</v>
      </c>
      <c r="I88" s="14" t="s">
        <v>546</v>
      </c>
      <c r="J88" s="14" t="s">
        <v>2239</v>
      </c>
      <c r="K88" s="12">
        <f t="shared" si="2"/>
        <v>2128</v>
      </c>
    </row>
    <row r="89" spans="1:13" ht="21" x14ac:dyDescent="0.6">
      <c r="A89" s="11" t="s">
        <v>2090</v>
      </c>
      <c r="B89" s="11" t="s">
        <v>207</v>
      </c>
      <c r="C89" s="11" t="s">
        <v>61</v>
      </c>
      <c r="D89" s="11" t="s">
        <v>117</v>
      </c>
      <c r="E89" s="12">
        <v>130</v>
      </c>
      <c r="F89" s="12">
        <v>1860</v>
      </c>
      <c r="G89" s="12">
        <v>1730</v>
      </c>
      <c r="H89" s="12">
        <v>1730</v>
      </c>
      <c r="I89" s="14" t="s">
        <v>546</v>
      </c>
      <c r="J89" s="14" t="s">
        <v>2237</v>
      </c>
      <c r="K89" s="12">
        <f t="shared" si="2"/>
        <v>1730</v>
      </c>
    </row>
    <row r="90" spans="1:13" ht="21" x14ac:dyDescent="0.6">
      <c r="A90" s="11" t="s">
        <v>2090</v>
      </c>
      <c r="B90" s="11" t="s">
        <v>207</v>
      </c>
      <c r="C90" s="11" t="s">
        <v>61</v>
      </c>
      <c r="D90" s="11" t="s">
        <v>77</v>
      </c>
      <c r="E90" s="12">
        <v>2668</v>
      </c>
      <c r="F90" s="12">
        <v>4327</v>
      </c>
      <c r="G90" s="12">
        <v>14485</v>
      </c>
      <c r="H90" s="12">
        <v>14786</v>
      </c>
      <c r="I90" s="14" t="s">
        <v>109</v>
      </c>
      <c r="J90" s="14" t="s">
        <v>2218</v>
      </c>
      <c r="K90" s="12">
        <f t="shared" si="2"/>
        <v>1659</v>
      </c>
    </row>
    <row r="91" spans="1:13" ht="21" x14ac:dyDescent="0.6">
      <c r="A91" s="11" t="s">
        <v>2090</v>
      </c>
      <c r="B91" s="11" t="s">
        <v>207</v>
      </c>
      <c r="C91" s="11" t="s">
        <v>61</v>
      </c>
      <c r="D91" s="11" t="s">
        <v>108</v>
      </c>
      <c r="E91" s="12">
        <v>1773</v>
      </c>
      <c r="F91" s="12">
        <v>3326</v>
      </c>
      <c r="G91" s="12">
        <v>23765</v>
      </c>
      <c r="H91" s="12">
        <v>23765</v>
      </c>
      <c r="I91" s="14" t="s">
        <v>546</v>
      </c>
      <c r="J91" s="14" t="s">
        <v>2233</v>
      </c>
      <c r="K91" s="12">
        <f t="shared" si="2"/>
        <v>1553</v>
      </c>
    </row>
    <row r="92" spans="1:13" ht="21" x14ac:dyDescent="0.6">
      <c r="A92" s="11" t="s">
        <v>2090</v>
      </c>
      <c r="B92" s="11" t="s">
        <v>207</v>
      </c>
      <c r="C92" s="11" t="s">
        <v>61</v>
      </c>
      <c r="D92" s="11" t="s">
        <v>100</v>
      </c>
      <c r="E92" s="12">
        <v>124</v>
      </c>
      <c r="F92" s="12">
        <v>1412</v>
      </c>
      <c r="G92" s="12">
        <v>1288</v>
      </c>
      <c r="H92" s="12">
        <v>1288</v>
      </c>
      <c r="I92" s="14" t="s">
        <v>546</v>
      </c>
      <c r="J92" s="14" t="s">
        <v>2229</v>
      </c>
      <c r="K92" s="12">
        <f t="shared" si="2"/>
        <v>1288</v>
      </c>
    </row>
    <row r="93" spans="1:13" ht="21" x14ac:dyDescent="0.6">
      <c r="A93" s="11" t="s">
        <v>2090</v>
      </c>
      <c r="B93" s="11" t="s">
        <v>207</v>
      </c>
      <c r="C93" s="11" t="s">
        <v>61</v>
      </c>
      <c r="D93" s="11" t="s">
        <v>102</v>
      </c>
      <c r="E93" s="12">
        <v>127</v>
      </c>
      <c r="F93" s="12">
        <v>1415</v>
      </c>
      <c r="G93" s="12">
        <v>1288</v>
      </c>
      <c r="H93" s="12">
        <v>1288</v>
      </c>
      <c r="I93" s="14" t="s">
        <v>546</v>
      </c>
      <c r="J93" s="14" t="s">
        <v>2230</v>
      </c>
      <c r="K93" s="12">
        <f t="shared" si="2"/>
        <v>1288</v>
      </c>
    </row>
    <row r="94" spans="1:13" ht="21" x14ac:dyDescent="0.6">
      <c r="A94" s="11" t="s">
        <v>2090</v>
      </c>
      <c r="B94" s="11" t="s">
        <v>207</v>
      </c>
      <c r="C94" s="11" t="s">
        <v>61</v>
      </c>
      <c r="D94" s="11" t="s">
        <v>113</v>
      </c>
      <c r="E94" s="12">
        <v>128</v>
      </c>
      <c r="F94" s="12">
        <v>1416</v>
      </c>
      <c r="G94" s="12">
        <v>1288</v>
      </c>
      <c r="H94" s="12">
        <v>1288</v>
      </c>
      <c r="I94" s="14" t="s">
        <v>546</v>
      </c>
      <c r="J94" s="14" t="s">
        <v>2235</v>
      </c>
      <c r="K94" s="12">
        <f t="shared" si="2"/>
        <v>1288</v>
      </c>
    </row>
    <row r="95" spans="1:13" ht="21" x14ac:dyDescent="0.6">
      <c r="A95" s="11" t="s">
        <v>2090</v>
      </c>
      <c r="B95" s="11" t="s">
        <v>207</v>
      </c>
      <c r="C95" s="11" t="s">
        <v>61</v>
      </c>
      <c r="D95" s="11" t="s">
        <v>125</v>
      </c>
      <c r="E95" s="12">
        <v>111</v>
      </c>
      <c r="F95" s="12">
        <v>1399</v>
      </c>
      <c r="G95" s="12">
        <v>1288</v>
      </c>
      <c r="H95" s="12">
        <v>1288</v>
      </c>
      <c r="I95" s="14" t="s">
        <v>546</v>
      </c>
      <c r="J95" s="14" t="s">
        <v>2241</v>
      </c>
      <c r="K95" s="12">
        <f t="shared" si="2"/>
        <v>1288</v>
      </c>
    </row>
    <row r="96" spans="1:13" ht="21" x14ac:dyDescent="0.6">
      <c r="A96" s="11" t="s">
        <v>2090</v>
      </c>
      <c r="B96" s="11" t="s">
        <v>207</v>
      </c>
      <c r="C96" s="11" t="s">
        <v>61</v>
      </c>
      <c r="D96" s="11" t="s">
        <v>90</v>
      </c>
      <c r="E96" s="12">
        <v>192</v>
      </c>
      <c r="F96" s="12">
        <v>800</v>
      </c>
      <c r="G96" s="12">
        <v>1900</v>
      </c>
      <c r="H96" s="12">
        <v>1900</v>
      </c>
      <c r="I96" s="14" t="s">
        <v>546</v>
      </c>
      <c r="J96" s="14" t="s">
        <v>2224</v>
      </c>
      <c r="K96" s="12">
        <f t="shared" si="2"/>
        <v>608</v>
      </c>
    </row>
    <row r="97" spans="1:11" ht="21" x14ac:dyDescent="0.6">
      <c r="A97" s="11" t="s">
        <v>2090</v>
      </c>
      <c r="B97" s="11" t="s">
        <v>207</v>
      </c>
      <c r="C97" s="11" t="s">
        <v>61</v>
      </c>
      <c r="D97" s="11" t="s">
        <v>88</v>
      </c>
      <c r="E97" s="12">
        <v>1300</v>
      </c>
      <c r="F97" s="12">
        <v>1887</v>
      </c>
      <c r="G97" s="12">
        <v>13251</v>
      </c>
      <c r="H97" s="12">
        <v>13854</v>
      </c>
      <c r="I97" s="14" t="s">
        <v>546</v>
      </c>
      <c r="J97" s="14" t="s">
        <v>2223</v>
      </c>
      <c r="K97" s="12">
        <f t="shared" si="2"/>
        <v>587</v>
      </c>
    </row>
    <row r="98" spans="1:11" ht="21" x14ac:dyDescent="0.6">
      <c r="A98" s="11" t="s">
        <v>2090</v>
      </c>
      <c r="B98" s="11" t="s">
        <v>61</v>
      </c>
      <c r="C98" s="11" t="s">
        <v>61</v>
      </c>
      <c r="D98" s="11" t="s">
        <v>141</v>
      </c>
      <c r="E98" s="12">
        <v>139</v>
      </c>
      <c r="F98" s="12">
        <v>587</v>
      </c>
      <c r="G98" s="12">
        <v>587</v>
      </c>
      <c r="H98" s="12">
        <v>587</v>
      </c>
      <c r="I98" s="14" t="s">
        <v>109</v>
      </c>
      <c r="J98" s="14" t="s">
        <v>2126</v>
      </c>
      <c r="K98" s="12">
        <f t="shared" ref="K98:K107" si="3">F98-E98</f>
        <v>448</v>
      </c>
    </row>
    <row r="99" spans="1:11" ht="21" x14ac:dyDescent="0.6">
      <c r="A99" s="11" t="s">
        <v>2090</v>
      </c>
      <c r="B99" s="11" t="s">
        <v>207</v>
      </c>
      <c r="C99" s="11" t="s">
        <v>61</v>
      </c>
      <c r="D99" s="11" t="s">
        <v>111</v>
      </c>
      <c r="E99" s="12">
        <v>46</v>
      </c>
      <c r="F99" s="12">
        <v>254</v>
      </c>
      <c r="G99" s="12">
        <v>1091</v>
      </c>
      <c r="H99" s="12">
        <v>1091</v>
      </c>
      <c r="I99" s="14" t="s">
        <v>546</v>
      </c>
      <c r="J99" s="14" t="s">
        <v>2234</v>
      </c>
      <c r="K99" s="12">
        <f t="shared" si="3"/>
        <v>208</v>
      </c>
    </row>
    <row r="100" spans="1:11" ht="21" x14ac:dyDescent="0.6">
      <c r="A100" s="11" t="s">
        <v>2090</v>
      </c>
      <c r="B100" s="11" t="s">
        <v>207</v>
      </c>
      <c r="C100" s="11" t="s">
        <v>61</v>
      </c>
      <c r="D100" s="11" t="s">
        <v>94</v>
      </c>
      <c r="E100" s="12">
        <v>133</v>
      </c>
      <c r="F100" s="12">
        <v>293</v>
      </c>
      <c r="G100" s="12">
        <v>1590</v>
      </c>
      <c r="H100" s="12">
        <v>1590</v>
      </c>
      <c r="I100" s="14" t="s">
        <v>546</v>
      </c>
      <c r="J100" s="14" t="s">
        <v>2226</v>
      </c>
      <c r="K100" s="12">
        <f t="shared" si="3"/>
        <v>160</v>
      </c>
    </row>
    <row r="101" spans="1:11" ht="21" x14ac:dyDescent="0.6">
      <c r="A101" s="11" t="s">
        <v>2090</v>
      </c>
      <c r="B101" s="11" t="s">
        <v>207</v>
      </c>
      <c r="C101" s="11" t="s">
        <v>61</v>
      </c>
      <c r="D101" s="11" t="s">
        <v>92</v>
      </c>
      <c r="E101" s="12">
        <v>124</v>
      </c>
      <c r="F101" s="12">
        <v>282</v>
      </c>
      <c r="G101" s="12">
        <v>990</v>
      </c>
      <c r="H101" s="12">
        <v>990</v>
      </c>
      <c r="I101" s="14" t="s">
        <v>546</v>
      </c>
      <c r="J101" s="14" t="s">
        <v>2225</v>
      </c>
      <c r="K101" s="12">
        <f t="shared" si="3"/>
        <v>158</v>
      </c>
    </row>
    <row r="102" spans="1:11" ht="21" x14ac:dyDescent="0.6">
      <c r="A102" s="11" t="s">
        <v>2090</v>
      </c>
      <c r="B102" s="11" t="s">
        <v>207</v>
      </c>
      <c r="C102" s="11" t="s">
        <v>61</v>
      </c>
      <c r="D102" s="11" t="s">
        <v>81</v>
      </c>
      <c r="E102" s="12">
        <v>1220</v>
      </c>
      <c r="F102" s="12">
        <v>1320</v>
      </c>
      <c r="G102" s="12">
        <v>2438</v>
      </c>
      <c r="H102" s="12">
        <v>2438</v>
      </c>
      <c r="I102" s="14" t="s">
        <v>109</v>
      </c>
      <c r="J102" s="14" t="s">
        <v>2220</v>
      </c>
      <c r="K102" s="12">
        <f t="shared" si="3"/>
        <v>100</v>
      </c>
    </row>
    <row r="103" spans="1:11" ht="21" x14ac:dyDescent="0.6">
      <c r="A103" s="11" t="s">
        <v>2090</v>
      </c>
      <c r="B103" s="11" t="s">
        <v>359</v>
      </c>
      <c r="C103" s="11" t="s">
        <v>61</v>
      </c>
      <c r="D103" s="11" t="s">
        <v>75</v>
      </c>
      <c r="E103" s="12">
        <v>1617</v>
      </c>
      <c r="F103" s="12">
        <v>1650</v>
      </c>
      <c r="G103" s="12">
        <v>16000</v>
      </c>
      <c r="H103" s="12">
        <v>16100</v>
      </c>
      <c r="I103" s="14" t="s">
        <v>109</v>
      </c>
      <c r="J103" s="14" t="s">
        <v>2286</v>
      </c>
      <c r="K103" s="12">
        <f t="shared" si="3"/>
        <v>33</v>
      </c>
    </row>
    <row r="104" spans="1:11" ht="21" x14ac:dyDescent="0.6">
      <c r="A104" s="11" t="s">
        <v>2090</v>
      </c>
      <c r="B104" s="11" t="s">
        <v>61</v>
      </c>
      <c r="C104" s="11" t="s">
        <v>61</v>
      </c>
      <c r="D104" s="11" t="s">
        <v>88</v>
      </c>
      <c r="E104" s="12">
        <v>68</v>
      </c>
      <c r="F104" s="12">
        <v>96</v>
      </c>
      <c r="G104" s="12">
        <v>408</v>
      </c>
      <c r="H104" s="12">
        <v>408</v>
      </c>
      <c r="I104" s="14" t="s">
        <v>109</v>
      </c>
      <c r="J104" s="14" t="s">
        <v>2103</v>
      </c>
      <c r="K104" s="12">
        <f t="shared" si="3"/>
        <v>28</v>
      </c>
    </row>
    <row r="105" spans="1:11" ht="21" x14ac:dyDescent="0.6">
      <c r="A105" s="11" t="s">
        <v>2090</v>
      </c>
      <c r="B105" s="11" t="s">
        <v>207</v>
      </c>
      <c r="C105" s="11" t="s">
        <v>61</v>
      </c>
      <c r="D105" s="11" t="s">
        <v>201</v>
      </c>
      <c r="E105" s="12">
        <v>0</v>
      </c>
      <c r="F105" s="12">
        <v>25</v>
      </c>
      <c r="G105" s="12">
        <v>0</v>
      </c>
      <c r="H105" s="12"/>
      <c r="I105" s="14" t="s">
        <v>82</v>
      </c>
      <c r="J105" s="14" t="s">
        <v>2196</v>
      </c>
      <c r="K105" s="12">
        <f t="shared" si="3"/>
        <v>25</v>
      </c>
    </row>
    <row r="106" spans="1:11" ht="21" x14ac:dyDescent="0.6">
      <c r="A106" s="11" t="s">
        <v>2359</v>
      </c>
      <c r="B106" s="11" t="s">
        <v>1135</v>
      </c>
      <c r="C106" s="11" t="s">
        <v>61</v>
      </c>
      <c r="D106" s="11" t="s">
        <v>65</v>
      </c>
      <c r="E106" s="12">
        <v>0</v>
      </c>
      <c r="F106" s="12">
        <v>79800</v>
      </c>
      <c r="G106" s="12">
        <v>79800</v>
      </c>
      <c r="H106" s="12">
        <v>174768</v>
      </c>
      <c r="I106" s="14" t="s">
        <v>226</v>
      </c>
      <c r="J106" s="14" t="s">
        <v>2361</v>
      </c>
      <c r="K106" s="12">
        <f t="shared" si="3"/>
        <v>79800</v>
      </c>
    </row>
    <row r="107" spans="1:11" ht="21" x14ac:dyDescent="0.6">
      <c r="A107" s="11" t="s">
        <v>2359</v>
      </c>
      <c r="B107" s="11" t="s">
        <v>1135</v>
      </c>
      <c r="C107" s="11" t="s">
        <v>61</v>
      </c>
      <c r="D107" s="11" t="s">
        <v>62</v>
      </c>
      <c r="E107" s="12">
        <v>0</v>
      </c>
      <c r="F107" s="12">
        <v>58423</v>
      </c>
      <c r="G107" s="12">
        <v>58423</v>
      </c>
      <c r="H107" s="12">
        <v>82094</v>
      </c>
      <c r="I107" s="14" t="s">
        <v>581</v>
      </c>
      <c r="J107" s="14" t="s">
        <v>2360</v>
      </c>
      <c r="K107" s="12">
        <f t="shared" si="3"/>
        <v>58423</v>
      </c>
    </row>
  </sheetData>
  <pageMargins left="0.7" right="0.7" top="0.75" bottom="0.75" header="0.3" footer="0.3"/>
  <ignoredErrors>
    <ignoredError sqref="A2:C107 D2:D107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43"/>
  <sheetViews>
    <sheetView workbookViewId="0">
      <selection activeCell="O40" sqref="O40:P40"/>
    </sheetView>
  </sheetViews>
  <sheetFormatPr defaultRowHeight="15" x14ac:dyDescent="0.25"/>
  <sheetData>
    <row r="1" spans="1:58" s="4" customFormat="1" ht="105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/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</row>
    <row r="2" spans="1:58" x14ac:dyDescent="0.25">
      <c r="A2" s="20" t="s">
        <v>61</v>
      </c>
      <c r="B2" s="1" t="s">
        <v>61</v>
      </c>
      <c r="C2">
        <v>502</v>
      </c>
      <c r="D2">
        <v>6461</v>
      </c>
      <c r="E2">
        <v>0</v>
      </c>
      <c r="F2">
        <v>0</v>
      </c>
      <c r="G2">
        <v>32448</v>
      </c>
      <c r="H2">
        <v>49263</v>
      </c>
      <c r="I2">
        <v>10920</v>
      </c>
      <c r="J2">
        <v>2869</v>
      </c>
      <c r="K2">
        <v>15687</v>
      </c>
      <c r="L2">
        <v>2187</v>
      </c>
      <c r="M2">
        <v>0</v>
      </c>
      <c r="N2">
        <v>19440</v>
      </c>
      <c r="O2">
        <v>18018</v>
      </c>
      <c r="P2">
        <v>4146</v>
      </c>
      <c r="Q2">
        <v>6461</v>
      </c>
      <c r="R2">
        <f>IF(P2&gt;O2,1,0)</f>
        <v>0</v>
      </c>
      <c r="S2">
        <v>93</v>
      </c>
      <c r="T2">
        <v>0</v>
      </c>
      <c r="U2">
        <v>18694</v>
      </c>
      <c r="V2">
        <v>6831</v>
      </c>
      <c r="W2">
        <v>4112</v>
      </c>
      <c r="X2">
        <v>0</v>
      </c>
      <c r="Y2">
        <v>22627</v>
      </c>
      <c r="Z2">
        <v>33552</v>
      </c>
      <c r="AA2">
        <v>0</v>
      </c>
      <c r="AB2">
        <v>14289</v>
      </c>
      <c r="AC2">
        <v>35457</v>
      </c>
      <c r="AD2">
        <v>49704</v>
      </c>
      <c r="AE2">
        <v>100</v>
      </c>
      <c r="AF2">
        <v>780</v>
      </c>
      <c r="AG2">
        <v>9062</v>
      </c>
      <c r="AH2">
        <v>3146</v>
      </c>
      <c r="AI2">
        <v>9960</v>
      </c>
      <c r="AJ2">
        <v>6796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850</v>
      </c>
      <c r="AR2">
        <v>2030</v>
      </c>
      <c r="AS2">
        <v>2880</v>
      </c>
      <c r="AT2">
        <v>0</v>
      </c>
      <c r="AU2">
        <v>0</v>
      </c>
      <c r="AV2">
        <v>0</v>
      </c>
      <c r="AW2">
        <v>122306</v>
      </c>
      <c r="AX2">
        <v>122306</v>
      </c>
      <c r="AY2">
        <v>19289</v>
      </c>
      <c r="AZ2">
        <v>96096</v>
      </c>
      <c r="BA2">
        <v>121846</v>
      </c>
      <c r="BB2">
        <v>22618</v>
      </c>
      <c r="BC2">
        <v>22218</v>
      </c>
      <c r="BD2">
        <v>0</v>
      </c>
      <c r="BE2">
        <v>88616</v>
      </c>
      <c r="BF2">
        <v>133452</v>
      </c>
    </row>
    <row r="3" spans="1:58" x14ac:dyDescent="0.25">
      <c r="A3" s="21"/>
      <c r="B3" s="1" t="s">
        <v>207</v>
      </c>
      <c r="C3">
        <v>1641</v>
      </c>
      <c r="D3">
        <v>7012</v>
      </c>
      <c r="E3">
        <v>0</v>
      </c>
      <c r="F3">
        <v>0</v>
      </c>
      <c r="G3">
        <v>56437</v>
      </c>
      <c r="H3">
        <v>57185</v>
      </c>
      <c r="I3">
        <v>15426</v>
      </c>
      <c r="J3">
        <v>4820</v>
      </c>
      <c r="K3">
        <v>38484</v>
      </c>
      <c r="L3">
        <v>0</v>
      </c>
      <c r="M3">
        <v>0</v>
      </c>
      <c r="N3">
        <v>23634</v>
      </c>
      <c r="O3">
        <v>32042</v>
      </c>
      <c r="P3">
        <v>6902</v>
      </c>
      <c r="Q3">
        <v>23404</v>
      </c>
      <c r="R3">
        <f t="shared" ref="R3:R43" si="0">IF(P3&gt;O3,1,0)</f>
        <v>0</v>
      </c>
      <c r="S3">
        <v>196</v>
      </c>
      <c r="T3">
        <v>6595</v>
      </c>
      <c r="U3">
        <v>31460</v>
      </c>
      <c r="V3">
        <v>12611</v>
      </c>
      <c r="W3">
        <v>13633</v>
      </c>
      <c r="X3">
        <v>0</v>
      </c>
      <c r="Y3">
        <v>34881</v>
      </c>
      <c r="Z3">
        <v>61125</v>
      </c>
      <c r="AA3">
        <v>0</v>
      </c>
      <c r="AB3">
        <v>9919</v>
      </c>
      <c r="AC3">
        <v>128239</v>
      </c>
      <c r="AD3">
        <v>138158</v>
      </c>
      <c r="AE3">
        <v>513</v>
      </c>
      <c r="AF3">
        <v>1214</v>
      </c>
      <c r="AG3">
        <v>18730</v>
      </c>
      <c r="AH3">
        <v>10805</v>
      </c>
      <c r="AI3">
        <v>20457</v>
      </c>
      <c r="AJ3">
        <v>9652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168</v>
      </c>
      <c r="AR3">
        <v>5986</v>
      </c>
      <c r="AS3">
        <v>6154</v>
      </c>
      <c r="AT3">
        <v>0</v>
      </c>
      <c r="AU3">
        <v>0</v>
      </c>
      <c r="AV3">
        <v>0</v>
      </c>
      <c r="AW3">
        <v>289095</v>
      </c>
      <c r="AX3">
        <v>289190</v>
      </c>
      <c r="AY3">
        <v>39892</v>
      </c>
      <c r="AZ3">
        <v>225894</v>
      </c>
      <c r="BA3">
        <v>289190</v>
      </c>
      <c r="BB3">
        <v>51608</v>
      </c>
      <c r="BC3">
        <v>24934</v>
      </c>
      <c r="BD3">
        <v>0</v>
      </c>
      <c r="BE3">
        <v>211470</v>
      </c>
      <c r="BF3">
        <v>288012</v>
      </c>
    </row>
    <row r="4" spans="1:58" x14ac:dyDescent="0.25">
      <c r="A4" s="22"/>
      <c r="B4" s="1" t="s">
        <v>359</v>
      </c>
      <c r="C4">
        <v>475</v>
      </c>
      <c r="D4">
        <v>16186</v>
      </c>
      <c r="E4">
        <v>0</v>
      </c>
      <c r="F4">
        <v>0</v>
      </c>
      <c r="G4">
        <v>45210</v>
      </c>
      <c r="H4">
        <v>8038</v>
      </c>
      <c r="I4">
        <v>2855</v>
      </c>
      <c r="J4">
        <v>1735</v>
      </c>
      <c r="K4">
        <v>52362</v>
      </c>
      <c r="L4">
        <v>0</v>
      </c>
      <c r="M4">
        <v>0</v>
      </c>
      <c r="N4">
        <v>14274</v>
      </c>
      <c r="O4">
        <v>15353</v>
      </c>
      <c r="P4">
        <v>7404</v>
      </c>
      <c r="Q4">
        <v>16186</v>
      </c>
      <c r="R4">
        <f t="shared" si="0"/>
        <v>0</v>
      </c>
      <c r="S4">
        <v>32</v>
      </c>
      <c r="T4">
        <v>410</v>
      </c>
      <c r="U4">
        <v>5393</v>
      </c>
      <c r="V4">
        <v>4080</v>
      </c>
      <c r="W4">
        <v>0</v>
      </c>
      <c r="X4">
        <v>0</v>
      </c>
      <c r="Y4">
        <v>41130</v>
      </c>
      <c r="Z4">
        <v>45210</v>
      </c>
      <c r="AA4">
        <v>0</v>
      </c>
      <c r="AB4">
        <v>0</v>
      </c>
      <c r="AC4">
        <v>8038</v>
      </c>
      <c r="AD4">
        <v>8038</v>
      </c>
      <c r="AE4">
        <v>0</v>
      </c>
      <c r="AF4">
        <v>0</v>
      </c>
      <c r="AG4">
        <v>2855</v>
      </c>
      <c r="AH4">
        <v>1345</v>
      </c>
      <c r="AI4">
        <v>2855</v>
      </c>
      <c r="AJ4">
        <v>1530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1735</v>
      </c>
      <c r="AS4">
        <v>1735</v>
      </c>
      <c r="AT4">
        <v>0</v>
      </c>
      <c r="AU4">
        <v>0</v>
      </c>
      <c r="AV4">
        <v>0</v>
      </c>
      <c r="AW4">
        <v>80000</v>
      </c>
      <c r="AX4">
        <v>79905</v>
      </c>
      <c r="AY4">
        <v>6310</v>
      </c>
      <c r="AZ4">
        <v>57838</v>
      </c>
      <c r="BA4">
        <v>80334</v>
      </c>
      <c r="BB4">
        <v>56442</v>
      </c>
      <c r="BC4">
        <v>0</v>
      </c>
      <c r="BD4">
        <v>0</v>
      </c>
      <c r="BE4">
        <v>68032</v>
      </c>
      <c r="BF4">
        <v>124474</v>
      </c>
    </row>
    <row r="5" spans="1:58" x14ac:dyDescent="0.25">
      <c r="A5" s="20" t="s">
        <v>207</v>
      </c>
      <c r="B5" s="1" t="s">
        <v>61</v>
      </c>
      <c r="C5">
        <v>1970</v>
      </c>
      <c r="D5">
        <v>71406</v>
      </c>
      <c r="E5">
        <v>0</v>
      </c>
      <c r="F5">
        <v>0</v>
      </c>
      <c r="G5">
        <v>66469</v>
      </c>
      <c r="H5">
        <v>171182</v>
      </c>
      <c r="I5">
        <v>23252</v>
      </c>
      <c r="J5">
        <v>9847</v>
      </c>
      <c r="K5">
        <v>71460</v>
      </c>
      <c r="L5">
        <v>351</v>
      </c>
      <c r="M5">
        <v>0</v>
      </c>
      <c r="N5">
        <v>70335</v>
      </c>
      <c r="O5">
        <v>34875</v>
      </c>
      <c r="P5">
        <v>15794</v>
      </c>
      <c r="Q5">
        <v>71814</v>
      </c>
      <c r="R5">
        <f t="shared" si="0"/>
        <v>0</v>
      </c>
      <c r="S5">
        <v>419</v>
      </c>
      <c r="T5">
        <v>5675</v>
      </c>
      <c r="U5">
        <v>90766</v>
      </c>
      <c r="V5">
        <v>23323</v>
      </c>
      <c r="W5">
        <v>845</v>
      </c>
      <c r="X5">
        <v>0</v>
      </c>
      <c r="Y5">
        <v>42301</v>
      </c>
      <c r="Z5">
        <v>66469</v>
      </c>
      <c r="AA5">
        <v>365</v>
      </c>
      <c r="AB5">
        <v>29766</v>
      </c>
      <c r="AC5">
        <v>141051</v>
      </c>
      <c r="AD5">
        <v>171182</v>
      </c>
      <c r="AE5">
        <v>1276</v>
      </c>
      <c r="AF5">
        <v>1184</v>
      </c>
      <c r="AG5">
        <v>20792</v>
      </c>
      <c r="AH5">
        <v>9537</v>
      </c>
      <c r="AI5">
        <v>23252</v>
      </c>
      <c r="AJ5">
        <v>13681</v>
      </c>
      <c r="AK5">
        <v>0</v>
      </c>
      <c r="AL5">
        <v>0</v>
      </c>
      <c r="AM5">
        <v>0</v>
      </c>
      <c r="AN5">
        <v>0</v>
      </c>
      <c r="AO5">
        <v>0</v>
      </c>
      <c r="AP5">
        <v>494</v>
      </c>
      <c r="AQ5">
        <v>394</v>
      </c>
      <c r="AR5">
        <v>8959</v>
      </c>
      <c r="AS5">
        <v>9847</v>
      </c>
      <c r="AT5">
        <v>0</v>
      </c>
      <c r="AU5">
        <v>0</v>
      </c>
      <c r="AV5">
        <v>0</v>
      </c>
      <c r="AW5">
        <v>441529</v>
      </c>
      <c r="AX5">
        <v>441529</v>
      </c>
      <c r="AY5">
        <v>98830</v>
      </c>
      <c r="AZ5">
        <v>270750</v>
      </c>
      <c r="BA5">
        <v>441394</v>
      </c>
      <c r="BB5">
        <v>96918</v>
      </c>
      <c r="BC5">
        <v>32540</v>
      </c>
      <c r="BD5">
        <v>0</v>
      </c>
      <c r="BE5">
        <v>283438</v>
      </c>
      <c r="BF5">
        <v>412896</v>
      </c>
    </row>
    <row r="6" spans="1:58" x14ac:dyDescent="0.25">
      <c r="A6" s="21"/>
      <c r="B6" s="1" t="s">
        <v>207</v>
      </c>
      <c r="C6">
        <v>3555</v>
      </c>
      <c r="D6">
        <v>300845</v>
      </c>
      <c r="E6">
        <v>3262</v>
      </c>
      <c r="F6">
        <v>0</v>
      </c>
      <c r="G6">
        <v>31728</v>
      </c>
      <c r="H6">
        <v>31247</v>
      </c>
      <c r="I6">
        <v>14110</v>
      </c>
      <c r="J6">
        <v>1085</v>
      </c>
      <c r="K6">
        <v>88827</v>
      </c>
      <c r="L6">
        <v>122085</v>
      </c>
      <c r="M6">
        <v>0</v>
      </c>
      <c r="N6">
        <v>163755</v>
      </c>
      <c r="O6">
        <v>48614</v>
      </c>
      <c r="P6">
        <v>42982</v>
      </c>
      <c r="Q6">
        <v>310656</v>
      </c>
      <c r="R6">
        <f t="shared" si="0"/>
        <v>0</v>
      </c>
      <c r="S6">
        <v>1140</v>
      </c>
      <c r="T6">
        <v>2605</v>
      </c>
      <c r="U6">
        <v>96123</v>
      </c>
      <c r="V6">
        <v>2924</v>
      </c>
      <c r="W6">
        <v>17044</v>
      </c>
      <c r="X6">
        <v>0</v>
      </c>
      <c r="Y6">
        <v>16618</v>
      </c>
      <c r="Z6">
        <v>36586</v>
      </c>
      <c r="AA6">
        <v>2150</v>
      </c>
      <c r="AB6">
        <v>27204</v>
      </c>
      <c r="AC6">
        <v>95363</v>
      </c>
      <c r="AD6">
        <v>124717</v>
      </c>
      <c r="AE6">
        <v>0</v>
      </c>
      <c r="AF6">
        <v>4317</v>
      </c>
      <c r="AG6">
        <v>14308</v>
      </c>
      <c r="AH6">
        <v>11547</v>
      </c>
      <c r="AI6">
        <v>18625</v>
      </c>
      <c r="AJ6">
        <v>7078</v>
      </c>
      <c r="AK6">
        <v>3262</v>
      </c>
      <c r="AL6">
        <v>0</v>
      </c>
      <c r="AM6">
        <v>3262</v>
      </c>
      <c r="AN6">
        <v>3262</v>
      </c>
      <c r="AO6">
        <v>0</v>
      </c>
      <c r="AP6">
        <v>470</v>
      </c>
      <c r="AQ6">
        <v>0</v>
      </c>
      <c r="AR6">
        <v>3255</v>
      </c>
      <c r="AS6">
        <v>3725</v>
      </c>
      <c r="AT6">
        <v>0</v>
      </c>
      <c r="AU6">
        <v>0</v>
      </c>
      <c r="AV6">
        <v>0</v>
      </c>
      <c r="AW6">
        <v>610965</v>
      </c>
      <c r="AX6">
        <v>610965</v>
      </c>
      <c r="AY6">
        <v>103423</v>
      </c>
      <c r="AZ6">
        <v>186915</v>
      </c>
      <c r="BA6">
        <v>600994</v>
      </c>
      <c r="BB6">
        <v>94371</v>
      </c>
      <c r="BC6">
        <v>173912</v>
      </c>
      <c r="BD6">
        <v>0</v>
      </c>
      <c r="BE6">
        <v>293299</v>
      </c>
      <c r="BF6">
        <v>561582</v>
      </c>
    </row>
    <row r="7" spans="1:58" x14ac:dyDescent="0.25">
      <c r="A7" s="21"/>
      <c r="B7" s="1" t="s">
        <v>359</v>
      </c>
      <c r="C7">
        <v>23</v>
      </c>
      <c r="D7">
        <v>40070</v>
      </c>
      <c r="E7">
        <v>0</v>
      </c>
      <c r="F7">
        <v>0</v>
      </c>
      <c r="G7">
        <v>17446</v>
      </c>
      <c r="H7">
        <v>29780</v>
      </c>
      <c r="I7">
        <v>19683</v>
      </c>
      <c r="J7">
        <v>1017</v>
      </c>
      <c r="K7">
        <v>10946.121532364599</v>
      </c>
      <c r="L7">
        <v>5058</v>
      </c>
      <c r="M7">
        <v>28405.878467635401</v>
      </c>
      <c r="N7">
        <v>1035</v>
      </c>
      <c r="O7">
        <v>9523</v>
      </c>
      <c r="P7">
        <v>32179</v>
      </c>
      <c r="Q7">
        <v>40145</v>
      </c>
      <c r="R7">
        <f t="shared" si="0"/>
        <v>1</v>
      </c>
      <c r="S7">
        <v>17</v>
      </c>
      <c r="T7">
        <v>729</v>
      </c>
      <c r="U7">
        <v>23978</v>
      </c>
      <c r="V7">
        <v>9593</v>
      </c>
      <c r="W7">
        <v>0</v>
      </c>
      <c r="X7">
        <v>0</v>
      </c>
      <c r="Y7">
        <v>9081</v>
      </c>
      <c r="Z7">
        <v>18521</v>
      </c>
      <c r="AA7">
        <v>600</v>
      </c>
      <c r="AB7">
        <v>0</v>
      </c>
      <c r="AC7">
        <v>29376</v>
      </c>
      <c r="AD7">
        <v>29976</v>
      </c>
      <c r="AE7">
        <v>3705</v>
      </c>
      <c r="AF7">
        <v>1038</v>
      </c>
      <c r="AG7">
        <v>14940</v>
      </c>
      <c r="AH7">
        <v>13885</v>
      </c>
      <c r="AI7">
        <v>19773</v>
      </c>
      <c r="AJ7">
        <v>5798</v>
      </c>
      <c r="AK7">
        <v>0</v>
      </c>
      <c r="AL7">
        <v>0</v>
      </c>
      <c r="AM7">
        <v>0</v>
      </c>
      <c r="AN7">
        <v>0</v>
      </c>
      <c r="AO7">
        <v>0</v>
      </c>
      <c r="AP7">
        <v>233</v>
      </c>
      <c r="AQ7">
        <v>0</v>
      </c>
      <c r="AR7">
        <v>784</v>
      </c>
      <c r="AS7">
        <v>1017</v>
      </c>
      <c r="AT7">
        <v>0</v>
      </c>
      <c r="AU7">
        <v>0</v>
      </c>
      <c r="AV7">
        <v>0</v>
      </c>
      <c r="AW7">
        <v>133652</v>
      </c>
      <c r="AX7">
        <v>134013</v>
      </c>
      <c r="AY7">
        <v>24747</v>
      </c>
      <c r="AZ7">
        <v>69287</v>
      </c>
      <c r="BA7">
        <v>134179</v>
      </c>
      <c r="BB7">
        <v>25077.121532364599</v>
      </c>
      <c r="BC7">
        <v>6096</v>
      </c>
      <c r="BD7">
        <v>28405.878467635401</v>
      </c>
      <c r="BE7">
        <v>55216</v>
      </c>
      <c r="BF7">
        <v>114795</v>
      </c>
    </row>
    <row r="8" spans="1:58" x14ac:dyDescent="0.25">
      <c r="A8" s="22"/>
      <c r="B8" s="1" t="s">
        <v>627</v>
      </c>
      <c r="C8">
        <v>4234</v>
      </c>
      <c r="D8">
        <v>30130</v>
      </c>
      <c r="E8">
        <v>0</v>
      </c>
      <c r="F8">
        <v>0</v>
      </c>
      <c r="G8">
        <v>53647</v>
      </c>
      <c r="H8">
        <v>145100</v>
      </c>
      <c r="I8">
        <v>23607</v>
      </c>
      <c r="J8">
        <v>6637</v>
      </c>
      <c r="K8">
        <v>30555</v>
      </c>
      <c r="L8">
        <v>333</v>
      </c>
      <c r="M8">
        <v>12546</v>
      </c>
      <c r="N8">
        <v>27405</v>
      </c>
      <c r="O8">
        <v>28201</v>
      </c>
      <c r="P8">
        <v>7871</v>
      </c>
      <c r="Q8">
        <v>30397</v>
      </c>
      <c r="R8">
        <f t="shared" si="0"/>
        <v>0</v>
      </c>
      <c r="S8">
        <v>1349</v>
      </c>
      <c r="T8">
        <v>5441</v>
      </c>
      <c r="U8">
        <v>165901</v>
      </c>
      <c r="V8">
        <v>31765</v>
      </c>
      <c r="W8">
        <v>872</v>
      </c>
      <c r="X8">
        <v>0</v>
      </c>
      <c r="Y8">
        <v>26173</v>
      </c>
      <c r="Z8">
        <v>58810</v>
      </c>
      <c r="AA8">
        <v>141</v>
      </c>
      <c r="AB8">
        <v>49518</v>
      </c>
      <c r="AC8">
        <v>125836</v>
      </c>
      <c r="AD8">
        <v>175495</v>
      </c>
      <c r="AE8">
        <v>2433</v>
      </c>
      <c r="AF8">
        <v>496</v>
      </c>
      <c r="AG8">
        <v>21713</v>
      </c>
      <c r="AH8">
        <v>10600</v>
      </c>
      <c r="AI8">
        <v>24612</v>
      </c>
      <c r="AJ8">
        <v>14012</v>
      </c>
      <c r="AK8">
        <v>0</v>
      </c>
      <c r="AL8">
        <v>0</v>
      </c>
      <c r="AM8">
        <v>0</v>
      </c>
      <c r="AN8">
        <v>0</v>
      </c>
      <c r="AO8">
        <v>0</v>
      </c>
      <c r="AP8">
        <v>260</v>
      </c>
      <c r="AQ8">
        <v>1928</v>
      </c>
      <c r="AR8">
        <v>4817</v>
      </c>
      <c r="AS8">
        <v>7005</v>
      </c>
      <c r="AT8">
        <v>0</v>
      </c>
      <c r="AU8">
        <v>0</v>
      </c>
      <c r="AV8">
        <v>0</v>
      </c>
      <c r="AW8">
        <v>477811</v>
      </c>
      <c r="AX8">
        <v>477811</v>
      </c>
      <c r="AY8">
        <v>176925</v>
      </c>
      <c r="AZ8">
        <v>265922</v>
      </c>
      <c r="BA8">
        <v>473244</v>
      </c>
      <c r="BB8">
        <v>65154</v>
      </c>
      <c r="BC8">
        <v>53147</v>
      </c>
      <c r="BD8">
        <v>12546</v>
      </c>
      <c r="BE8">
        <v>205944</v>
      </c>
      <c r="BF8">
        <v>336791</v>
      </c>
    </row>
    <row r="9" spans="1:58" x14ac:dyDescent="0.25">
      <c r="A9" s="20" t="s">
        <v>359</v>
      </c>
      <c r="B9" s="1" t="s">
        <v>61</v>
      </c>
      <c r="C9">
        <v>589</v>
      </c>
      <c r="D9">
        <v>11040</v>
      </c>
      <c r="E9">
        <v>0</v>
      </c>
      <c r="F9">
        <v>0</v>
      </c>
      <c r="G9">
        <v>35375</v>
      </c>
      <c r="H9">
        <v>43212</v>
      </c>
      <c r="I9">
        <v>15603</v>
      </c>
      <c r="J9">
        <v>1766</v>
      </c>
      <c r="K9">
        <v>22311</v>
      </c>
      <c r="L9">
        <v>3870</v>
      </c>
      <c r="M9">
        <v>0</v>
      </c>
      <c r="N9">
        <v>5688</v>
      </c>
      <c r="O9">
        <v>12394</v>
      </c>
      <c r="P9">
        <v>3541</v>
      </c>
      <c r="Q9">
        <v>11040</v>
      </c>
      <c r="R9">
        <f t="shared" si="0"/>
        <v>0</v>
      </c>
      <c r="S9">
        <v>8</v>
      </c>
      <c r="T9">
        <v>481</v>
      </c>
      <c r="U9">
        <v>50562</v>
      </c>
      <c r="V9">
        <v>2243</v>
      </c>
      <c r="W9">
        <v>3226</v>
      </c>
      <c r="X9">
        <v>0</v>
      </c>
      <c r="Y9">
        <v>29906</v>
      </c>
      <c r="Z9">
        <v>35375</v>
      </c>
      <c r="AA9">
        <v>0</v>
      </c>
      <c r="AB9">
        <v>5219</v>
      </c>
      <c r="AC9">
        <v>37993</v>
      </c>
      <c r="AD9">
        <v>43212</v>
      </c>
      <c r="AE9">
        <v>1635</v>
      </c>
      <c r="AF9">
        <v>2610</v>
      </c>
      <c r="AG9">
        <v>11358</v>
      </c>
      <c r="AH9">
        <v>9914</v>
      </c>
      <c r="AI9">
        <v>15603</v>
      </c>
      <c r="AJ9">
        <v>5689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1221</v>
      </c>
      <c r="AR9">
        <v>545</v>
      </c>
      <c r="AS9">
        <v>1766</v>
      </c>
      <c r="AT9">
        <v>0</v>
      </c>
      <c r="AU9">
        <v>0</v>
      </c>
      <c r="AV9">
        <v>0</v>
      </c>
      <c r="AW9">
        <v>158623</v>
      </c>
      <c r="AX9">
        <v>158623</v>
      </c>
      <c r="AY9">
        <v>51640</v>
      </c>
      <c r="AZ9">
        <v>95956</v>
      </c>
      <c r="BA9">
        <v>158636</v>
      </c>
      <c r="BB9">
        <v>26189</v>
      </c>
      <c r="BC9">
        <v>16146</v>
      </c>
      <c r="BD9">
        <v>0</v>
      </c>
      <c r="BE9">
        <v>85490</v>
      </c>
      <c r="BF9">
        <v>127825</v>
      </c>
    </row>
    <row r="10" spans="1:58" x14ac:dyDescent="0.25">
      <c r="A10" s="21"/>
      <c r="B10" s="1" t="s">
        <v>207</v>
      </c>
      <c r="C10">
        <v>180</v>
      </c>
      <c r="D10">
        <v>34111</v>
      </c>
      <c r="E10">
        <v>0</v>
      </c>
      <c r="F10">
        <v>0</v>
      </c>
      <c r="G10">
        <v>38295</v>
      </c>
      <c r="H10">
        <v>86765</v>
      </c>
      <c r="I10">
        <v>23546</v>
      </c>
      <c r="J10">
        <v>565</v>
      </c>
      <c r="K10">
        <v>5868</v>
      </c>
      <c r="L10">
        <v>0</v>
      </c>
      <c r="M10">
        <v>63774</v>
      </c>
      <c r="N10">
        <v>16578</v>
      </c>
      <c r="O10">
        <v>15078</v>
      </c>
      <c r="P10">
        <v>9580</v>
      </c>
      <c r="Q10">
        <v>34460</v>
      </c>
      <c r="R10">
        <f t="shared" si="0"/>
        <v>0</v>
      </c>
      <c r="S10">
        <v>21</v>
      </c>
      <c r="T10">
        <v>1818</v>
      </c>
      <c r="U10">
        <v>68170</v>
      </c>
      <c r="V10">
        <v>3091</v>
      </c>
      <c r="W10">
        <v>0</v>
      </c>
      <c r="X10">
        <v>0</v>
      </c>
      <c r="Y10">
        <v>35204</v>
      </c>
      <c r="Z10">
        <v>38034</v>
      </c>
      <c r="AA10">
        <v>0</v>
      </c>
      <c r="AB10">
        <v>0</v>
      </c>
      <c r="AC10">
        <v>86765</v>
      </c>
      <c r="AD10">
        <v>86765</v>
      </c>
      <c r="AE10">
        <v>280</v>
      </c>
      <c r="AF10">
        <v>0</v>
      </c>
      <c r="AG10">
        <v>25316</v>
      </c>
      <c r="AH10">
        <v>7620</v>
      </c>
      <c r="AI10">
        <v>23144</v>
      </c>
      <c r="AJ10">
        <v>16429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565</v>
      </c>
      <c r="AS10">
        <v>565</v>
      </c>
      <c r="AT10">
        <v>0</v>
      </c>
      <c r="AU10">
        <v>0</v>
      </c>
      <c r="AV10">
        <v>0</v>
      </c>
      <c r="AW10">
        <v>248484</v>
      </c>
      <c r="AX10">
        <v>248484</v>
      </c>
      <c r="AY10">
        <v>70189</v>
      </c>
      <c r="AZ10">
        <v>148508</v>
      </c>
      <c r="BA10">
        <v>253157</v>
      </c>
      <c r="BB10">
        <v>9239</v>
      </c>
      <c r="BC10">
        <v>0</v>
      </c>
      <c r="BD10">
        <v>63774</v>
      </c>
      <c r="BE10">
        <v>164428</v>
      </c>
      <c r="BF10">
        <v>237441</v>
      </c>
    </row>
    <row r="11" spans="1:58" x14ac:dyDescent="0.25">
      <c r="A11" s="21"/>
      <c r="B11" s="1" t="s">
        <v>359</v>
      </c>
      <c r="C11">
        <v>693</v>
      </c>
      <c r="D11">
        <v>267020</v>
      </c>
      <c r="E11">
        <v>2309</v>
      </c>
      <c r="F11">
        <v>0</v>
      </c>
      <c r="G11">
        <v>63102</v>
      </c>
      <c r="H11">
        <v>289527</v>
      </c>
      <c r="I11">
        <v>76531</v>
      </c>
      <c r="J11">
        <v>2703</v>
      </c>
      <c r="K11">
        <v>4653</v>
      </c>
      <c r="L11">
        <v>6246</v>
      </c>
      <c r="M11">
        <v>22684.942928039702</v>
      </c>
      <c r="N11">
        <v>209814.0570719603</v>
      </c>
      <c r="O11">
        <v>50556</v>
      </c>
      <c r="P11">
        <v>27915</v>
      </c>
      <c r="Q11">
        <v>267020</v>
      </c>
      <c r="R11">
        <f t="shared" si="0"/>
        <v>0</v>
      </c>
      <c r="S11">
        <v>872</v>
      </c>
      <c r="T11">
        <v>5787</v>
      </c>
      <c r="U11">
        <v>269217.24</v>
      </c>
      <c r="V11">
        <v>4579</v>
      </c>
      <c r="W11">
        <v>10164</v>
      </c>
      <c r="X11">
        <v>506</v>
      </c>
      <c r="Y11">
        <v>47853</v>
      </c>
      <c r="Z11">
        <v>63102</v>
      </c>
      <c r="AA11">
        <v>4350</v>
      </c>
      <c r="AB11">
        <v>139674</v>
      </c>
      <c r="AC11">
        <v>145503</v>
      </c>
      <c r="AD11">
        <v>289527</v>
      </c>
      <c r="AE11">
        <v>605</v>
      </c>
      <c r="AF11">
        <v>32213</v>
      </c>
      <c r="AG11">
        <v>43713</v>
      </c>
      <c r="AH11">
        <v>42819</v>
      </c>
      <c r="AI11">
        <v>76566</v>
      </c>
      <c r="AJ11">
        <v>33712</v>
      </c>
      <c r="AK11">
        <v>2309</v>
      </c>
      <c r="AL11">
        <v>0</v>
      </c>
      <c r="AM11">
        <v>1353</v>
      </c>
      <c r="AN11">
        <v>2309</v>
      </c>
      <c r="AO11">
        <v>956</v>
      </c>
      <c r="AP11">
        <v>0</v>
      </c>
      <c r="AQ11">
        <v>1155</v>
      </c>
      <c r="AR11">
        <v>1548</v>
      </c>
      <c r="AS11">
        <v>2703</v>
      </c>
      <c r="AT11">
        <v>0</v>
      </c>
      <c r="AU11">
        <v>0</v>
      </c>
      <c r="AV11">
        <v>0</v>
      </c>
      <c r="AW11">
        <v>998345.24</v>
      </c>
      <c r="AX11">
        <v>998345.24</v>
      </c>
      <c r="AY11">
        <v>276569.24</v>
      </c>
      <c r="AZ11">
        <v>434207</v>
      </c>
      <c r="BA11">
        <v>977796.24</v>
      </c>
      <c r="BB11">
        <v>14187</v>
      </c>
      <c r="BC11">
        <v>191761</v>
      </c>
      <c r="BD11">
        <v>23190.942928039702</v>
      </c>
      <c r="BE11">
        <v>448431.0570719603</v>
      </c>
      <c r="BF11">
        <v>677570</v>
      </c>
    </row>
    <row r="12" spans="1:58" x14ac:dyDescent="0.25">
      <c r="A12" s="22"/>
      <c r="B12" s="1" t="s">
        <v>627</v>
      </c>
      <c r="C12">
        <v>0</v>
      </c>
      <c r="D12">
        <v>15021</v>
      </c>
      <c r="E12">
        <v>0</v>
      </c>
      <c r="F12">
        <v>0</v>
      </c>
      <c r="G12">
        <v>14291</v>
      </c>
      <c r="H12">
        <v>3918</v>
      </c>
      <c r="I12">
        <v>11312</v>
      </c>
      <c r="J12">
        <v>132</v>
      </c>
      <c r="K12">
        <v>7902</v>
      </c>
      <c r="L12">
        <v>0</v>
      </c>
      <c r="M12">
        <v>0</v>
      </c>
      <c r="N12">
        <v>26190</v>
      </c>
      <c r="O12">
        <v>6914</v>
      </c>
      <c r="P12">
        <v>3788</v>
      </c>
      <c r="Q12">
        <v>15021</v>
      </c>
      <c r="R12">
        <f t="shared" si="0"/>
        <v>0</v>
      </c>
      <c r="S12">
        <v>0</v>
      </c>
      <c r="T12">
        <v>670</v>
      </c>
      <c r="U12">
        <v>13382</v>
      </c>
      <c r="V12">
        <v>400</v>
      </c>
      <c r="W12">
        <v>0</v>
      </c>
      <c r="X12">
        <v>0</v>
      </c>
      <c r="Y12">
        <v>13891</v>
      </c>
      <c r="Z12">
        <v>14291</v>
      </c>
      <c r="AA12">
        <v>0</v>
      </c>
      <c r="AB12">
        <v>0</v>
      </c>
      <c r="AC12">
        <v>3918</v>
      </c>
      <c r="AD12">
        <v>3918</v>
      </c>
      <c r="AE12">
        <v>400</v>
      </c>
      <c r="AF12">
        <v>0</v>
      </c>
      <c r="AG12">
        <v>10912</v>
      </c>
      <c r="AH12">
        <v>8549</v>
      </c>
      <c r="AI12">
        <v>11312</v>
      </c>
      <c r="AJ12">
        <v>2763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132</v>
      </c>
      <c r="AS12">
        <v>132</v>
      </c>
      <c r="AT12">
        <v>0</v>
      </c>
      <c r="AU12">
        <v>0</v>
      </c>
      <c r="AV12">
        <v>0</v>
      </c>
      <c r="AW12">
        <v>58726</v>
      </c>
      <c r="AX12">
        <v>58726</v>
      </c>
      <c r="AY12">
        <v>14052</v>
      </c>
      <c r="AZ12">
        <v>29653</v>
      </c>
      <c r="BA12">
        <v>58726</v>
      </c>
      <c r="BB12">
        <v>8702</v>
      </c>
      <c r="BC12">
        <v>0</v>
      </c>
      <c r="BD12">
        <v>0</v>
      </c>
      <c r="BE12">
        <v>55043</v>
      </c>
      <c r="BF12">
        <v>63745</v>
      </c>
    </row>
    <row r="13" spans="1:58" x14ac:dyDescent="0.25">
      <c r="A13" s="20" t="s">
        <v>627</v>
      </c>
      <c r="B13" s="1" t="s">
        <v>61</v>
      </c>
      <c r="C13">
        <v>3827</v>
      </c>
      <c r="D13">
        <v>20435</v>
      </c>
      <c r="E13">
        <v>370</v>
      </c>
      <c r="F13">
        <v>0</v>
      </c>
      <c r="G13">
        <v>18707</v>
      </c>
      <c r="H13">
        <v>79019</v>
      </c>
      <c r="I13">
        <v>9048</v>
      </c>
      <c r="J13">
        <v>4085</v>
      </c>
      <c r="K13">
        <v>5733</v>
      </c>
      <c r="L13">
        <v>0</v>
      </c>
      <c r="M13">
        <v>51813</v>
      </c>
      <c r="N13">
        <v>35019</v>
      </c>
      <c r="O13">
        <v>13045</v>
      </c>
      <c r="P13">
        <v>10285</v>
      </c>
      <c r="Q13">
        <v>20435</v>
      </c>
      <c r="R13">
        <f t="shared" si="0"/>
        <v>0</v>
      </c>
      <c r="S13">
        <v>150</v>
      </c>
      <c r="T13">
        <v>3259</v>
      </c>
      <c r="U13">
        <v>52323</v>
      </c>
      <c r="V13">
        <v>3561</v>
      </c>
      <c r="W13">
        <v>250</v>
      </c>
      <c r="X13">
        <v>0</v>
      </c>
      <c r="Y13">
        <v>14896</v>
      </c>
      <c r="Z13">
        <v>18707</v>
      </c>
      <c r="AA13">
        <v>0</v>
      </c>
      <c r="AB13">
        <v>14000</v>
      </c>
      <c r="AC13">
        <v>65019</v>
      </c>
      <c r="AD13">
        <v>79019</v>
      </c>
      <c r="AE13">
        <v>90</v>
      </c>
      <c r="AF13">
        <v>700</v>
      </c>
      <c r="AG13">
        <v>8258</v>
      </c>
      <c r="AH13">
        <v>6025</v>
      </c>
      <c r="AI13">
        <v>9041</v>
      </c>
      <c r="AJ13">
        <v>2998</v>
      </c>
      <c r="AK13">
        <v>0</v>
      </c>
      <c r="AL13">
        <v>370</v>
      </c>
      <c r="AM13">
        <v>0</v>
      </c>
      <c r="AN13">
        <v>370</v>
      </c>
      <c r="AO13">
        <v>0</v>
      </c>
      <c r="AP13">
        <v>48</v>
      </c>
      <c r="AQ13">
        <v>500</v>
      </c>
      <c r="AR13">
        <v>3537</v>
      </c>
      <c r="AS13">
        <v>4085</v>
      </c>
      <c r="AT13">
        <v>0</v>
      </c>
      <c r="AU13">
        <v>0</v>
      </c>
      <c r="AV13">
        <v>0</v>
      </c>
      <c r="AW13">
        <v>191363</v>
      </c>
      <c r="AX13">
        <v>191363</v>
      </c>
      <c r="AY13">
        <v>59559</v>
      </c>
      <c r="AZ13">
        <v>111222</v>
      </c>
      <c r="BA13">
        <v>191216</v>
      </c>
      <c r="BB13">
        <v>9432</v>
      </c>
      <c r="BC13">
        <v>15450</v>
      </c>
      <c r="BD13">
        <v>51813</v>
      </c>
      <c r="BE13">
        <v>127099</v>
      </c>
      <c r="BF13">
        <v>203794</v>
      </c>
    </row>
    <row r="14" spans="1:58" x14ac:dyDescent="0.25">
      <c r="A14" s="21"/>
      <c r="B14" s="1" t="s">
        <v>207</v>
      </c>
      <c r="C14">
        <v>699</v>
      </c>
      <c r="D14">
        <v>37572</v>
      </c>
      <c r="E14">
        <v>3344</v>
      </c>
      <c r="F14">
        <v>0</v>
      </c>
      <c r="G14">
        <v>11067</v>
      </c>
      <c r="H14">
        <v>131117</v>
      </c>
      <c r="I14">
        <v>7736</v>
      </c>
      <c r="J14">
        <v>2880</v>
      </c>
      <c r="K14">
        <v>15903</v>
      </c>
      <c r="L14">
        <v>0</v>
      </c>
      <c r="M14">
        <v>3510</v>
      </c>
      <c r="N14">
        <v>45927</v>
      </c>
      <c r="O14">
        <v>12636</v>
      </c>
      <c r="P14">
        <v>7260</v>
      </c>
      <c r="Q14">
        <v>37572</v>
      </c>
      <c r="R14">
        <f t="shared" si="0"/>
        <v>0</v>
      </c>
      <c r="S14">
        <v>197</v>
      </c>
      <c r="T14">
        <v>4905</v>
      </c>
      <c r="U14">
        <v>52633</v>
      </c>
      <c r="V14">
        <v>2142</v>
      </c>
      <c r="W14">
        <v>680</v>
      </c>
      <c r="X14">
        <v>0</v>
      </c>
      <c r="Y14">
        <v>8245</v>
      </c>
      <c r="Z14">
        <v>11067</v>
      </c>
      <c r="AA14">
        <v>785</v>
      </c>
      <c r="AB14">
        <v>95667</v>
      </c>
      <c r="AC14">
        <v>34665</v>
      </c>
      <c r="AD14">
        <v>131117</v>
      </c>
      <c r="AE14">
        <v>57</v>
      </c>
      <c r="AF14">
        <v>1212</v>
      </c>
      <c r="AG14">
        <v>6467</v>
      </c>
      <c r="AH14">
        <v>4832</v>
      </c>
      <c r="AI14">
        <v>7736</v>
      </c>
      <c r="AJ14">
        <v>2904</v>
      </c>
      <c r="AK14">
        <v>300</v>
      </c>
      <c r="AL14">
        <v>3044</v>
      </c>
      <c r="AM14">
        <v>3344</v>
      </c>
      <c r="AN14">
        <v>3344</v>
      </c>
      <c r="AO14">
        <v>0</v>
      </c>
      <c r="AP14">
        <v>10</v>
      </c>
      <c r="AQ14">
        <v>2055</v>
      </c>
      <c r="AR14">
        <v>815</v>
      </c>
      <c r="AS14">
        <v>2880</v>
      </c>
      <c r="AT14">
        <v>0</v>
      </c>
      <c r="AU14">
        <v>0</v>
      </c>
      <c r="AV14">
        <v>0</v>
      </c>
      <c r="AW14">
        <v>252175</v>
      </c>
      <c r="AX14">
        <v>252175</v>
      </c>
      <c r="AY14">
        <v>58434</v>
      </c>
      <c r="AZ14">
        <v>156144</v>
      </c>
      <c r="BA14">
        <v>252150</v>
      </c>
      <c r="BB14">
        <v>18897</v>
      </c>
      <c r="BC14">
        <v>99914</v>
      </c>
      <c r="BD14">
        <v>3510</v>
      </c>
      <c r="BE14">
        <v>99163</v>
      </c>
      <c r="BF14">
        <v>221484</v>
      </c>
    </row>
    <row r="15" spans="1:58" x14ac:dyDescent="0.25">
      <c r="A15" s="22"/>
      <c r="B15" s="1" t="s">
        <v>359</v>
      </c>
      <c r="C15">
        <v>207</v>
      </c>
      <c r="D15">
        <v>23447</v>
      </c>
      <c r="E15">
        <v>0</v>
      </c>
      <c r="F15">
        <v>0</v>
      </c>
      <c r="G15">
        <v>22887</v>
      </c>
      <c r="H15">
        <v>42367</v>
      </c>
      <c r="I15">
        <v>9565</v>
      </c>
      <c r="J15">
        <v>1801</v>
      </c>
      <c r="K15">
        <v>48168</v>
      </c>
      <c r="L15">
        <v>1638</v>
      </c>
      <c r="M15">
        <v>0</v>
      </c>
      <c r="N15">
        <v>64152</v>
      </c>
      <c r="O15">
        <v>24961</v>
      </c>
      <c r="P15">
        <v>12662</v>
      </c>
      <c r="Q15">
        <v>60625</v>
      </c>
      <c r="R15">
        <f t="shared" si="0"/>
        <v>0</v>
      </c>
      <c r="S15">
        <v>494</v>
      </c>
      <c r="T15">
        <v>4620</v>
      </c>
      <c r="U15">
        <v>87951</v>
      </c>
      <c r="V15">
        <v>1258</v>
      </c>
      <c r="W15">
        <v>5422</v>
      </c>
      <c r="X15">
        <v>0</v>
      </c>
      <c r="Y15">
        <v>24212</v>
      </c>
      <c r="Z15">
        <v>31220</v>
      </c>
      <c r="AA15">
        <v>0</v>
      </c>
      <c r="AB15">
        <v>27026</v>
      </c>
      <c r="AC15">
        <v>52867</v>
      </c>
      <c r="AD15">
        <v>79893</v>
      </c>
      <c r="AE15">
        <v>0</v>
      </c>
      <c r="AF15">
        <v>6408</v>
      </c>
      <c r="AG15">
        <v>12616</v>
      </c>
      <c r="AH15">
        <v>10376</v>
      </c>
      <c r="AI15">
        <v>19024</v>
      </c>
      <c r="AJ15">
        <v>8648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850</v>
      </c>
      <c r="AR15">
        <v>2065</v>
      </c>
      <c r="AS15">
        <v>2915</v>
      </c>
      <c r="AT15">
        <v>0</v>
      </c>
      <c r="AU15">
        <v>0</v>
      </c>
      <c r="AV15">
        <v>0</v>
      </c>
      <c r="AW15">
        <v>287631</v>
      </c>
      <c r="AX15">
        <v>287631</v>
      </c>
      <c r="AY15">
        <v>93272</v>
      </c>
      <c r="AZ15">
        <v>133052</v>
      </c>
      <c r="BA15">
        <v>286949</v>
      </c>
      <c r="BB15">
        <v>49426</v>
      </c>
      <c r="BC15">
        <v>41344</v>
      </c>
      <c r="BD15">
        <v>0</v>
      </c>
      <c r="BE15">
        <v>155912</v>
      </c>
      <c r="BF15">
        <v>246682</v>
      </c>
    </row>
    <row r="16" spans="1:58" x14ac:dyDescent="0.25">
      <c r="A16" s="20" t="s">
        <v>875</v>
      </c>
      <c r="B16" s="1" t="s">
        <v>61</v>
      </c>
      <c r="C16">
        <v>2675</v>
      </c>
      <c r="D16">
        <v>25297</v>
      </c>
      <c r="E16">
        <v>0</v>
      </c>
      <c r="F16">
        <v>0</v>
      </c>
      <c r="G16">
        <v>35232</v>
      </c>
      <c r="H16">
        <v>110883</v>
      </c>
      <c r="I16">
        <v>19368</v>
      </c>
      <c r="J16">
        <v>4108</v>
      </c>
      <c r="K16">
        <v>31869</v>
      </c>
      <c r="L16">
        <v>0</v>
      </c>
      <c r="M16">
        <v>0</v>
      </c>
      <c r="N16">
        <v>52227</v>
      </c>
      <c r="O16">
        <v>22734</v>
      </c>
      <c r="P16">
        <v>9649</v>
      </c>
      <c r="Q16">
        <v>33031</v>
      </c>
      <c r="R16">
        <f t="shared" si="0"/>
        <v>0</v>
      </c>
      <c r="S16">
        <v>607</v>
      </c>
      <c r="T16">
        <v>7611</v>
      </c>
      <c r="U16">
        <v>115428</v>
      </c>
      <c r="V16">
        <v>5976</v>
      </c>
      <c r="W16">
        <v>1652</v>
      </c>
      <c r="X16">
        <v>0</v>
      </c>
      <c r="Y16">
        <v>34310</v>
      </c>
      <c r="Z16">
        <v>41938</v>
      </c>
      <c r="AA16">
        <v>724</v>
      </c>
      <c r="AB16">
        <v>91600</v>
      </c>
      <c r="AC16">
        <v>78813</v>
      </c>
      <c r="AD16">
        <v>171137</v>
      </c>
      <c r="AE16">
        <v>370</v>
      </c>
      <c r="AF16">
        <v>423</v>
      </c>
      <c r="AG16">
        <v>21243</v>
      </c>
      <c r="AH16">
        <v>8366</v>
      </c>
      <c r="AI16">
        <v>21936</v>
      </c>
      <c r="AJ16">
        <v>13200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40</v>
      </c>
      <c r="AQ16">
        <v>1135</v>
      </c>
      <c r="AR16">
        <v>4133</v>
      </c>
      <c r="AS16">
        <v>5308</v>
      </c>
      <c r="AT16">
        <v>0</v>
      </c>
      <c r="AU16">
        <v>0</v>
      </c>
      <c r="AV16">
        <v>0</v>
      </c>
      <c r="AW16">
        <v>411428</v>
      </c>
      <c r="AX16">
        <v>411428</v>
      </c>
      <c r="AY16">
        <v>126321</v>
      </c>
      <c r="AZ16">
        <v>240319</v>
      </c>
      <c r="BA16">
        <v>399671</v>
      </c>
      <c r="BB16">
        <v>38979</v>
      </c>
      <c r="BC16">
        <v>94810</v>
      </c>
      <c r="BD16">
        <v>0</v>
      </c>
      <c r="BE16">
        <v>190726</v>
      </c>
      <c r="BF16">
        <v>324515</v>
      </c>
    </row>
    <row r="17" spans="1:58" x14ac:dyDescent="0.25">
      <c r="A17" s="22"/>
      <c r="B17" s="1" t="s">
        <v>207</v>
      </c>
      <c r="C17">
        <v>2234.5</v>
      </c>
      <c r="D17">
        <v>47411</v>
      </c>
      <c r="E17">
        <v>0</v>
      </c>
      <c r="F17">
        <v>0</v>
      </c>
      <c r="G17">
        <v>34299</v>
      </c>
      <c r="H17">
        <v>70436</v>
      </c>
      <c r="I17">
        <v>19166</v>
      </c>
      <c r="J17">
        <v>2136</v>
      </c>
      <c r="K17">
        <v>26856</v>
      </c>
      <c r="L17">
        <v>65250</v>
      </c>
      <c r="M17">
        <v>0</v>
      </c>
      <c r="N17">
        <v>189135</v>
      </c>
      <c r="O17">
        <v>37762</v>
      </c>
      <c r="P17">
        <v>31400</v>
      </c>
      <c r="Q17">
        <v>47411</v>
      </c>
      <c r="R17">
        <f t="shared" si="0"/>
        <v>0</v>
      </c>
      <c r="S17">
        <v>229</v>
      </c>
      <c r="T17">
        <v>3204</v>
      </c>
      <c r="U17">
        <v>93284</v>
      </c>
      <c r="V17">
        <v>935</v>
      </c>
      <c r="W17">
        <v>1067</v>
      </c>
      <c r="X17">
        <v>0</v>
      </c>
      <c r="Y17">
        <v>32297</v>
      </c>
      <c r="Z17">
        <v>34299</v>
      </c>
      <c r="AA17">
        <v>0</v>
      </c>
      <c r="AB17">
        <v>26600</v>
      </c>
      <c r="AC17">
        <v>43836</v>
      </c>
      <c r="AD17">
        <v>70436</v>
      </c>
      <c r="AE17">
        <v>86</v>
      </c>
      <c r="AF17">
        <v>6859</v>
      </c>
      <c r="AG17">
        <v>12221</v>
      </c>
      <c r="AH17">
        <v>12910</v>
      </c>
      <c r="AI17">
        <v>19166</v>
      </c>
      <c r="AJ17">
        <v>6256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444</v>
      </c>
      <c r="AR17">
        <v>1692</v>
      </c>
      <c r="AS17">
        <v>2136</v>
      </c>
      <c r="AT17">
        <v>0</v>
      </c>
      <c r="AU17">
        <v>0</v>
      </c>
      <c r="AV17">
        <v>0</v>
      </c>
      <c r="AW17">
        <v>263848.5</v>
      </c>
      <c r="AX17">
        <v>263848.5</v>
      </c>
      <c r="AY17">
        <v>98951.5</v>
      </c>
      <c r="AZ17">
        <v>126037</v>
      </c>
      <c r="BA17">
        <v>272399.5</v>
      </c>
      <c r="BB17">
        <v>27877</v>
      </c>
      <c r="BC17">
        <v>100220</v>
      </c>
      <c r="BD17">
        <v>0</v>
      </c>
      <c r="BE17">
        <v>279181</v>
      </c>
      <c r="BF17">
        <v>407278</v>
      </c>
    </row>
    <row r="18" spans="1:58" x14ac:dyDescent="0.25">
      <c r="A18" s="20" t="s">
        <v>1017</v>
      </c>
      <c r="B18" s="1" t="s">
        <v>61</v>
      </c>
      <c r="C18">
        <v>1881</v>
      </c>
      <c r="D18">
        <v>35992</v>
      </c>
      <c r="E18">
        <v>0</v>
      </c>
      <c r="F18">
        <v>0</v>
      </c>
      <c r="G18">
        <v>39667</v>
      </c>
      <c r="H18">
        <v>169426</v>
      </c>
      <c r="I18">
        <v>31824</v>
      </c>
      <c r="J18">
        <v>9684</v>
      </c>
      <c r="K18">
        <v>29205</v>
      </c>
      <c r="L18">
        <v>3798</v>
      </c>
      <c r="M18">
        <v>29227.138706889291</v>
      </c>
      <c r="N18">
        <v>20798.861293110709</v>
      </c>
      <c r="O18">
        <v>30071</v>
      </c>
      <c r="P18">
        <v>13913</v>
      </c>
      <c r="Q18">
        <v>36496</v>
      </c>
      <c r="R18">
        <f t="shared" si="0"/>
        <v>0</v>
      </c>
      <c r="S18">
        <v>44</v>
      </c>
      <c r="T18">
        <v>5038</v>
      </c>
      <c r="U18">
        <v>72500</v>
      </c>
      <c r="V18">
        <v>9009</v>
      </c>
      <c r="W18">
        <v>1781</v>
      </c>
      <c r="X18">
        <v>0</v>
      </c>
      <c r="Y18">
        <v>28877</v>
      </c>
      <c r="Z18">
        <v>39667</v>
      </c>
      <c r="AA18">
        <v>510</v>
      </c>
      <c r="AB18">
        <v>18073</v>
      </c>
      <c r="AC18">
        <v>150843</v>
      </c>
      <c r="AD18">
        <v>169426</v>
      </c>
      <c r="AE18">
        <v>626</v>
      </c>
      <c r="AF18">
        <v>2243</v>
      </c>
      <c r="AG18">
        <v>29691</v>
      </c>
      <c r="AH18">
        <v>16995</v>
      </c>
      <c r="AI18">
        <v>32560</v>
      </c>
      <c r="AJ18">
        <v>15583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50</v>
      </c>
      <c r="AR18">
        <v>9634</v>
      </c>
      <c r="AS18">
        <v>9684</v>
      </c>
      <c r="AT18">
        <v>0</v>
      </c>
      <c r="AU18">
        <v>0</v>
      </c>
      <c r="AV18">
        <v>0</v>
      </c>
      <c r="AW18">
        <v>360279</v>
      </c>
      <c r="AX18">
        <v>360279</v>
      </c>
      <c r="AY18">
        <v>79463</v>
      </c>
      <c r="AZ18">
        <v>251337</v>
      </c>
      <c r="BA18">
        <v>367296</v>
      </c>
      <c r="BB18">
        <v>39350</v>
      </c>
      <c r="BC18">
        <v>25945</v>
      </c>
      <c r="BD18">
        <v>29227.138706889291</v>
      </c>
      <c r="BE18">
        <v>239843.86129311071</v>
      </c>
      <c r="BF18">
        <v>334366</v>
      </c>
    </row>
    <row r="19" spans="1:58" x14ac:dyDescent="0.25">
      <c r="A19" s="21"/>
      <c r="B19" s="1" t="s">
        <v>207</v>
      </c>
      <c r="C19">
        <v>1275</v>
      </c>
      <c r="D19">
        <v>106235</v>
      </c>
      <c r="E19">
        <v>5596</v>
      </c>
      <c r="F19">
        <v>5</v>
      </c>
      <c r="G19">
        <v>45254</v>
      </c>
      <c r="H19">
        <v>75756</v>
      </c>
      <c r="I19">
        <v>33111</v>
      </c>
      <c r="J19">
        <v>5761</v>
      </c>
      <c r="K19">
        <v>7524</v>
      </c>
      <c r="L19">
        <v>37368</v>
      </c>
      <c r="M19">
        <v>0</v>
      </c>
      <c r="N19">
        <v>110007</v>
      </c>
      <c r="O19">
        <v>30687</v>
      </c>
      <c r="P19">
        <v>17211</v>
      </c>
      <c r="Q19">
        <v>117231</v>
      </c>
      <c r="R19">
        <f t="shared" si="0"/>
        <v>0</v>
      </c>
      <c r="S19">
        <v>628</v>
      </c>
      <c r="T19">
        <v>3127</v>
      </c>
      <c r="U19">
        <v>92791</v>
      </c>
      <c r="V19">
        <v>2498</v>
      </c>
      <c r="W19">
        <v>11874</v>
      </c>
      <c r="X19">
        <v>0</v>
      </c>
      <c r="Y19">
        <v>39492</v>
      </c>
      <c r="Z19">
        <v>53864</v>
      </c>
      <c r="AA19">
        <v>0</v>
      </c>
      <c r="AB19">
        <v>0</v>
      </c>
      <c r="AC19">
        <v>146283</v>
      </c>
      <c r="AD19">
        <v>146283</v>
      </c>
      <c r="AE19">
        <v>1100</v>
      </c>
      <c r="AF19">
        <v>1750</v>
      </c>
      <c r="AG19">
        <v>37260</v>
      </c>
      <c r="AH19">
        <v>16558</v>
      </c>
      <c r="AI19">
        <v>40110</v>
      </c>
      <c r="AJ19">
        <v>23802</v>
      </c>
      <c r="AK19">
        <v>0</v>
      </c>
      <c r="AL19">
        <v>5596</v>
      </c>
      <c r="AM19">
        <v>1618</v>
      </c>
      <c r="AN19">
        <v>5596</v>
      </c>
      <c r="AO19">
        <v>3978</v>
      </c>
      <c r="AP19">
        <v>0</v>
      </c>
      <c r="AQ19">
        <v>0</v>
      </c>
      <c r="AR19">
        <v>6961</v>
      </c>
      <c r="AS19">
        <v>6961</v>
      </c>
      <c r="AT19">
        <v>0</v>
      </c>
      <c r="AU19">
        <v>5</v>
      </c>
      <c r="AV19">
        <v>5</v>
      </c>
      <c r="AW19">
        <v>455666</v>
      </c>
      <c r="AX19">
        <v>455666</v>
      </c>
      <c r="AY19">
        <v>97821</v>
      </c>
      <c r="AZ19">
        <v>252819</v>
      </c>
      <c r="BA19">
        <v>467871</v>
      </c>
      <c r="BB19">
        <v>11122</v>
      </c>
      <c r="BC19">
        <v>50992</v>
      </c>
      <c r="BD19">
        <v>0</v>
      </c>
      <c r="BE19">
        <v>345604</v>
      </c>
      <c r="BF19">
        <v>407718</v>
      </c>
    </row>
    <row r="20" spans="1:58" x14ac:dyDescent="0.25">
      <c r="A20" s="22"/>
      <c r="B20" s="1" t="s">
        <v>359</v>
      </c>
      <c r="C20">
        <v>967</v>
      </c>
      <c r="D20">
        <v>8505</v>
      </c>
      <c r="E20">
        <v>0</v>
      </c>
      <c r="F20">
        <v>0</v>
      </c>
      <c r="G20">
        <v>9560</v>
      </c>
      <c r="H20">
        <v>27440</v>
      </c>
      <c r="I20">
        <v>13499</v>
      </c>
      <c r="J20">
        <v>1017</v>
      </c>
      <c r="K20">
        <v>11619</v>
      </c>
      <c r="L20">
        <v>15327</v>
      </c>
      <c r="M20">
        <v>0</v>
      </c>
      <c r="N20">
        <v>31858</v>
      </c>
      <c r="O20">
        <v>13082</v>
      </c>
      <c r="P20">
        <v>6536</v>
      </c>
      <c r="Q20">
        <v>39775</v>
      </c>
      <c r="R20">
        <f t="shared" si="0"/>
        <v>0</v>
      </c>
      <c r="S20">
        <v>46</v>
      </c>
      <c r="T20">
        <v>4187</v>
      </c>
      <c r="U20">
        <v>88265</v>
      </c>
      <c r="V20">
        <v>150</v>
      </c>
      <c r="W20">
        <v>3947</v>
      </c>
      <c r="X20">
        <v>0</v>
      </c>
      <c r="Y20">
        <v>10166</v>
      </c>
      <c r="Z20">
        <v>14263</v>
      </c>
      <c r="AA20">
        <v>0</v>
      </c>
      <c r="AB20">
        <v>16601</v>
      </c>
      <c r="AC20">
        <v>45388</v>
      </c>
      <c r="AD20">
        <v>61989</v>
      </c>
      <c r="AE20">
        <v>0</v>
      </c>
      <c r="AF20">
        <v>3232</v>
      </c>
      <c r="AG20">
        <v>10773</v>
      </c>
      <c r="AH20">
        <v>1615</v>
      </c>
      <c r="AI20">
        <v>13032</v>
      </c>
      <c r="AJ20">
        <v>8344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2682</v>
      </c>
      <c r="AS20">
        <v>2682</v>
      </c>
      <c r="AT20">
        <v>0</v>
      </c>
      <c r="AU20">
        <v>0</v>
      </c>
      <c r="AV20">
        <v>0</v>
      </c>
      <c r="AW20">
        <v>231236</v>
      </c>
      <c r="AX20">
        <v>231236</v>
      </c>
      <c r="AY20">
        <v>93465</v>
      </c>
      <c r="AZ20">
        <v>91966</v>
      </c>
      <c r="BA20">
        <v>225206</v>
      </c>
      <c r="BB20">
        <v>11769</v>
      </c>
      <c r="BC20">
        <v>39107</v>
      </c>
      <c r="BD20">
        <v>0</v>
      </c>
      <c r="BE20">
        <v>100867</v>
      </c>
      <c r="BF20">
        <v>151743</v>
      </c>
    </row>
    <row r="21" spans="1:58" x14ac:dyDescent="0.25">
      <c r="A21" s="20" t="s">
        <v>1135</v>
      </c>
      <c r="B21" s="1" t="s">
        <v>61</v>
      </c>
      <c r="C21">
        <v>1820</v>
      </c>
      <c r="D21">
        <v>169063</v>
      </c>
      <c r="E21">
        <v>0</v>
      </c>
      <c r="F21">
        <v>0</v>
      </c>
      <c r="G21">
        <v>52090</v>
      </c>
      <c r="H21">
        <v>129838</v>
      </c>
      <c r="I21">
        <v>33091</v>
      </c>
      <c r="J21">
        <v>9693</v>
      </c>
      <c r="K21">
        <v>40257</v>
      </c>
      <c r="L21">
        <v>21303</v>
      </c>
      <c r="M21">
        <v>62434</v>
      </c>
      <c r="N21">
        <v>150499</v>
      </c>
      <c r="O21">
        <v>41582</v>
      </c>
      <c r="P21">
        <v>43001</v>
      </c>
      <c r="Q21">
        <v>169063</v>
      </c>
      <c r="R21">
        <f t="shared" si="0"/>
        <v>1</v>
      </c>
      <c r="S21">
        <v>362</v>
      </c>
      <c r="T21">
        <v>1579</v>
      </c>
      <c r="U21">
        <v>65312</v>
      </c>
      <c r="V21">
        <v>4829</v>
      </c>
      <c r="W21">
        <v>7123</v>
      </c>
      <c r="X21">
        <v>45</v>
      </c>
      <c r="Y21">
        <v>40093</v>
      </c>
      <c r="Z21">
        <v>51948</v>
      </c>
      <c r="AA21">
        <v>1285</v>
      </c>
      <c r="AB21">
        <v>60072</v>
      </c>
      <c r="AC21">
        <v>68481</v>
      </c>
      <c r="AD21">
        <v>129838</v>
      </c>
      <c r="AE21">
        <v>0</v>
      </c>
      <c r="AF21">
        <v>0</v>
      </c>
      <c r="AG21">
        <v>33091</v>
      </c>
      <c r="AH21">
        <v>24682</v>
      </c>
      <c r="AI21">
        <v>32713</v>
      </c>
      <c r="AJ21">
        <v>8141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9693</v>
      </c>
      <c r="AS21">
        <v>9693</v>
      </c>
      <c r="AT21">
        <v>0</v>
      </c>
      <c r="AU21">
        <v>0</v>
      </c>
      <c r="AV21">
        <v>0</v>
      </c>
      <c r="AW21">
        <v>462328</v>
      </c>
      <c r="AX21">
        <v>462313</v>
      </c>
      <c r="AY21">
        <v>69073</v>
      </c>
      <c r="AZ21">
        <v>224192</v>
      </c>
      <c r="BA21">
        <v>462328</v>
      </c>
      <c r="BB21">
        <v>46371</v>
      </c>
      <c r="BC21">
        <v>88498</v>
      </c>
      <c r="BD21">
        <v>62479</v>
      </c>
      <c r="BE21">
        <v>301857</v>
      </c>
      <c r="BF21">
        <v>499205</v>
      </c>
    </row>
    <row r="22" spans="1:58" x14ac:dyDescent="0.25">
      <c r="A22" s="21"/>
      <c r="B22" s="1" t="s">
        <v>207</v>
      </c>
      <c r="C22">
        <v>1818</v>
      </c>
      <c r="D22">
        <v>621182</v>
      </c>
      <c r="E22">
        <v>7152</v>
      </c>
      <c r="F22">
        <v>620</v>
      </c>
      <c r="G22">
        <v>114960</v>
      </c>
      <c r="H22">
        <v>205235</v>
      </c>
      <c r="I22">
        <v>49544</v>
      </c>
      <c r="J22">
        <v>15486</v>
      </c>
      <c r="K22">
        <v>129122.86268214681</v>
      </c>
      <c r="L22">
        <v>85572.671161048696</v>
      </c>
      <c r="M22">
        <v>2648041.9074335708</v>
      </c>
      <c r="N22">
        <v>303694.35872323398</v>
      </c>
      <c r="O22">
        <v>237325</v>
      </c>
      <c r="P22">
        <v>1057291</v>
      </c>
      <c r="Q22">
        <v>2165457</v>
      </c>
      <c r="R22">
        <f t="shared" si="0"/>
        <v>1</v>
      </c>
      <c r="S22">
        <v>440</v>
      </c>
      <c r="T22">
        <v>11057</v>
      </c>
      <c r="U22">
        <v>328940.79999999999</v>
      </c>
      <c r="V22">
        <v>57289</v>
      </c>
      <c r="W22">
        <v>14409</v>
      </c>
      <c r="X22">
        <v>0</v>
      </c>
      <c r="Y22">
        <v>55459</v>
      </c>
      <c r="Z22">
        <v>127157</v>
      </c>
      <c r="AA22">
        <v>0</v>
      </c>
      <c r="AB22">
        <v>86288</v>
      </c>
      <c r="AC22">
        <v>139150</v>
      </c>
      <c r="AD22">
        <v>225438</v>
      </c>
      <c r="AE22">
        <v>1451</v>
      </c>
      <c r="AF22">
        <v>5315</v>
      </c>
      <c r="AG22">
        <v>51984</v>
      </c>
      <c r="AH22">
        <v>24669</v>
      </c>
      <c r="AI22">
        <v>58750</v>
      </c>
      <c r="AJ22">
        <v>34609</v>
      </c>
      <c r="AK22">
        <v>6402</v>
      </c>
      <c r="AL22">
        <v>1287</v>
      </c>
      <c r="AM22">
        <v>7689</v>
      </c>
      <c r="AN22">
        <v>7689</v>
      </c>
      <c r="AO22">
        <v>0</v>
      </c>
      <c r="AP22">
        <v>238</v>
      </c>
      <c r="AQ22">
        <v>2043</v>
      </c>
      <c r="AR22">
        <v>17816</v>
      </c>
      <c r="AS22">
        <v>20097</v>
      </c>
      <c r="AT22">
        <v>620</v>
      </c>
      <c r="AU22">
        <v>0</v>
      </c>
      <c r="AV22">
        <v>620</v>
      </c>
      <c r="AW22">
        <v>2962589.8</v>
      </c>
      <c r="AX22">
        <v>2962589.8</v>
      </c>
      <c r="AY22">
        <v>342255.8</v>
      </c>
      <c r="AZ22">
        <v>439751</v>
      </c>
      <c r="BA22">
        <v>2947463.8</v>
      </c>
      <c r="BB22">
        <v>188100.86268214681</v>
      </c>
      <c r="BC22">
        <v>200649.6711610487</v>
      </c>
      <c r="BD22">
        <v>2648041.9074335708</v>
      </c>
      <c r="BE22">
        <v>569390.35872323404</v>
      </c>
      <c r="BF22">
        <v>3606182.8</v>
      </c>
    </row>
    <row r="23" spans="1:58" x14ac:dyDescent="0.25">
      <c r="A23" s="22"/>
      <c r="B23" s="1" t="s">
        <v>359</v>
      </c>
      <c r="C23">
        <v>45</v>
      </c>
      <c r="D23">
        <v>1478726</v>
      </c>
      <c r="E23">
        <v>0</v>
      </c>
      <c r="F23">
        <v>0</v>
      </c>
      <c r="G23">
        <v>14959</v>
      </c>
      <c r="H23">
        <v>28075</v>
      </c>
      <c r="I23">
        <v>4370</v>
      </c>
      <c r="J23">
        <v>2388</v>
      </c>
      <c r="K23">
        <v>49716</v>
      </c>
      <c r="L23">
        <v>235285.47560236781</v>
      </c>
      <c r="M23">
        <v>757673.52439763222</v>
      </c>
      <c r="N23">
        <v>79542</v>
      </c>
      <c r="O23">
        <v>69740</v>
      </c>
      <c r="P23">
        <v>534844</v>
      </c>
      <c r="Q23">
        <v>1478726</v>
      </c>
      <c r="R23">
        <f t="shared" si="0"/>
        <v>1</v>
      </c>
      <c r="S23">
        <v>332</v>
      </c>
      <c r="T23">
        <v>2228</v>
      </c>
      <c r="U23">
        <v>25903</v>
      </c>
      <c r="V23">
        <v>2518</v>
      </c>
      <c r="W23">
        <v>3000</v>
      </c>
      <c r="X23">
        <v>0</v>
      </c>
      <c r="Y23">
        <v>9441</v>
      </c>
      <c r="Z23">
        <v>14959</v>
      </c>
      <c r="AA23">
        <v>0</v>
      </c>
      <c r="AB23">
        <v>1585</v>
      </c>
      <c r="AC23">
        <v>26490</v>
      </c>
      <c r="AD23">
        <v>28075</v>
      </c>
      <c r="AE23">
        <v>589</v>
      </c>
      <c r="AF23">
        <v>176</v>
      </c>
      <c r="AG23">
        <v>3605</v>
      </c>
      <c r="AH23">
        <v>938</v>
      </c>
      <c r="AI23">
        <v>4370</v>
      </c>
      <c r="AJ23">
        <v>3432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150</v>
      </c>
      <c r="AQ23">
        <v>60</v>
      </c>
      <c r="AR23">
        <v>2178</v>
      </c>
      <c r="AS23">
        <v>2388</v>
      </c>
      <c r="AT23">
        <v>0</v>
      </c>
      <c r="AU23">
        <v>0</v>
      </c>
      <c r="AV23">
        <v>0</v>
      </c>
      <c r="AW23">
        <v>1557026</v>
      </c>
      <c r="AX23">
        <v>1557026</v>
      </c>
      <c r="AY23">
        <v>28508</v>
      </c>
      <c r="AZ23">
        <v>49792</v>
      </c>
      <c r="BA23">
        <v>1557026</v>
      </c>
      <c r="BB23">
        <v>52973</v>
      </c>
      <c r="BC23">
        <v>240106.47560236781</v>
      </c>
      <c r="BD23">
        <v>757673.52439763222</v>
      </c>
      <c r="BE23">
        <v>121256</v>
      </c>
      <c r="BF23">
        <v>1172009</v>
      </c>
    </row>
    <row r="24" spans="1:58" x14ac:dyDescent="0.25">
      <c r="A24" s="20" t="s">
        <v>1337</v>
      </c>
      <c r="B24" s="1" t="s">
        <v>61</v>
      </c>
      <c r="C24">
        <v>763.5</v>
      </c>
      <c r="D24">
        <v>4507</v>
      </c>
      <c r="E24">
        <v>0</v>
      </c>
      <c r="F24">
        <v>0</v>
      </c>
      <c r="G24">
        <v>17671</v>
      </c>
      <c r="H24">
        <v>24556</v>
      </c>
      <c r="I24">
        <v>5512</v>
      </c>
      <c r="J24">
        <v>1367</v>
      </c>
      <c r="K24">
        <v>3618</v>
      </c>
      <c r="L24">
        <v>0</v>
      </c>
      <c r="M24">
        <v>0</v>
      </c>
      <c r="N24">
        <v>17523</v>
      </c>
      <c r="O24">
        <v>8442</v>
      </c>
      <c r="P24">
        <v>2349</v>
      </c>
      <c r="Q24">
        <v>4507</v>
      </c>
      <c r="R24">
        <f t="shared" si="0"/>
        <v>0</v>
      </c>
      <c r="S24">
        <v>214</v>
      </c>
      <c r="T24">
        <v>540</v>
      </c>
      <c r="U24">
        <v>21549</v>
      </c>
      <c r="V24">
        <v>1580</v>
      </c>
      <c r="W24">
        <v>6484</v>
      </c>
      <c r="X24">
        <v>0</v>
      </c>
      <c r="Y24">
        <v>9607</v>
      </c>
      <c r="Z24">
        <v>17671</v>
      </c>
      <c r="AA24">
        <v>0</v>
      </c>
      <c r="AB24">
        <v>7680</v>
      </c>
      <c r="AC24">
        <v>16876</v>
      </c>
      <c r="AD24">
        <v>24556</v>
      </c>
      <c r="AE24">
        <v>0</v>
      </c>
      <c r="AF24">
        <v>788</v>
      </c>
      <c r="AG24">
        <v>4724</v>
      </c>
      <c r="AH24">
        <v>2725</v>
      </c>
      <c r="AI24">
        <v>5512</v>
      </c>
      <c r="AJ24">
        <v>2787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63</v>
      </c>
      <c r="AR24">
        <v>1304</v>
      </c>
      <c r="AS24">
        <v>1367</v>
      </c>
      <c r="AT24">
        <v>0</v>
      </c>
      <c r="AU24">
        <v>0</v>
      </c>
      <c r="AV24">
        <v>0</v>
      </c>
      <c r="AW24">
        <v>76679.5</v>
      </c>
      <c r="AX24">
        <v>76679.5</v>
      </c>
      <c r="AY24">
        <v>23066.5</v>
      </c>
      <c r="AZ24">
        <v>49106</v>
      </c>
      <c r="BA24">
        <v>76679.5</v>
      </c>
      <c r="BB24">
        <v>5198</v>
      </c>
      <c r="BC24">
        <v>15015</v>
      </c>
      <c r="BD24">
        <v>0</v>
      </c>
      <c r="BE24">
        <v>50034</v>
      </c>
      <c r="BF24">
        <v>70247</v>
      </c>
    </row>
    <row r="25" spans="1:58" x14ac:dyDescent="0.25">
      <c r="A25" s="21"/>
      <c r="B25" s="1" t="s">
        <v>207</v>
      </c>
      <c r="C25">
        <v>12802</v>
      </c>
      <c r="D25">
        <v>37024</v>
      </c>
      <c r="E25">
        <v>0</v>
      </c>
      <c r="F25">
        <v>0</v>
      </c>
      <c r="G25">
        <v>31916</v>
      </c>
      <c r="H25">
        <v>12217</v>
      </c>
      <c r="I25">
        <v>5975</v>
      </c>
      <c r="J25">
        <v>1411</v>
      </c>
      <c r="K25">
        <v>21285</v>
      </c>
      <c r="L25">
        <v>126324</v>
      </c>
      <c r="M25">
        <v>0</v>
      </c>
      <c r="N25">
        <v>153531</v>
      </c>
      <c r="O25">
        <v>53733</v>
      </c>
      <c r="P25">
        <v>33460</v>
      </c>
      <c r="Q25">
        <v>169140</v>
      </c>
      <c r="R25">
        <f t="shared" si="0"/>
        <v>0</v>
      </c>
      <c r="S25">
        <v>1039</v>
      </c>
      <c r="T25">
        <v>3834</v>
      </c>
      <c r="U25">
        <v>315775</v>
      </c>
      <c r="V25">
        <v>4254</v>
      </c>
      <c r="W25">
        <v>18316</v>
      </c>
      <c r="X25">
        <v>10000</v>
      </c>
      <c r="Y25">
        <v>35240</v>
      </c>
      <c r="Z25">
        <v>67810</v>
      </c>
      <c r="AA25">
        <v>145</v>
      </c>
      <c r="AB25">
        <v>34549</v>
      </c>
      <c r="AC25">
        <v>124250</v>
      </c>
      <c r="AD25">
        <v>158944</v>
      </c>
      <c r="AE25">
        <v>231</v>
      </c>
      <c r="AF25">
        <v>9267</v>
      </c>
      <c r="AG25">
        <v>22020</v>
      </c>
      <c r="AH25">
        <v>22801</v>
      </c>
      <c r="AI25">
        <v>31518</v>
      </c>
      <c r="AJ25">
        <v>8717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40</v>
      </c>
      <c r="AQ25">
        <v>348</v>
      </c>
      <c r="AR25">
        <v>4618</v>
      </c>
      <c r="AS25">
        <v>5006</v>
      </c>
      <c r="AT25">
        <v>0</v>
      </c>
      <c r="AU25">
        <v>0</v>
      </c>
      <c r="AV25">
        <v>0</v>
      </c>
      <c r="AW25">
        <v>786753</v>
      </c>
      <c r="AX25">
        <v>787903</v>
      </c>
      <c r="AY25">
        <v>333450</v>
      </c>
      <c r="AZ25">
        <v>263278</v>
      </c>
      <c r="BA25">
        <v>765868</v>
      </c>
      <c r="BB25">
        <v>25955</v>
      </c>
      <c r="BC25">
        <v>188804</v>
      </c>
      <c r="BD25">
        <v>10000</v>
      </c>
      <c r="BE25">
        <v>339659</v>
      </c>
      <c r="BF25">
        <v>564418</v>
      </c>
    </row>
    <row r="26" spans="1:58" x14ac:dyDescent="0.25">
      <c r="A26" s="22"/>
      <c r="B26" s="1" t="s">
        <v>359</v>
      </c>
      <c r="C26">
        <v>1150</v>
      </c>
      <c r="D26">
        <v>523247</v>
      </c>
      <c r="E26">
        <v>0</v>
      </c>
      <c r="F26">
        <v>0</v>
      </c>
      <c r="G26">
        <v>49227</v>
      </c>
      <c r="H26">
        <v>41957</v>
      </c>
      <c r="I26">
        <v>9085</v>
      </c>
      <c r="J26">
        <v>3181</v>
      </c>
      <c r="K26">
        <v>44073</v>
      </c>
      <c r="L26">
        <v>72333</v>
      </c>
      <c r="M26">
        <v>0</v>
      </c>
      <c r="N26">
        <v>197022</v>
      </c>
      <c r="O26">
        <v>45647</v>
      </c>
      <c r="P26">
        <v>35704</v>
      </c>
      <c r="Q26">
        <v>523247</v>
      </c>
      <c r="R26">
        <f t="shared" si="0"/>
        <v>0</v>
      </c>
      <c r="S26">
        <v>20</v>
      </c>
      <c r="T26">
        <v>337</v>
      </c>
      <c r="U26">
        <v>23224</v>
      </c>
      <c r="V26">
        <v>2065</v>
      </c>
      <c r="W26">
        <v>26377</v>
      </c>
      <c r="X26">
        <v>0</v>
      </c>
      <c r="Y26">
        <v>20785</v>
      </c>
      <c r="Z26">
        <v>49227</v>
      </c>
      <c r="AA26">
        <v>0</v>
      </c>
      <c r="AB26">
        <v>16966</v>
      </c>
      <c r="AC26">
        <v>24991</v>
      </c>
      <c r="AD26">
        <v>41957</v>
      </c>
      <c r="AE26">
        <v>282</v>
      </c>
      <c r="AF26">
        <v>2294</v>
      </c>
      <c r="AG26">
        <v>6509</v>
      </c>
      <c r="AH26">
        <v>6280</v>
      </c>
      <c r="AI26">
        <v>9085</v>
      </c>
      <c r="AJ26">
        <v>2805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553</v>
      </c>
      <c r="AR26">
        <v>2628</v>
      </c>
      <c r="AS26">
        <v>3181</v>
      </c>
      <c r="AT26">
        <v>0</v>
      </c>
      <c r="AU26">
        <v>0</v>
      </c>
      <c r="AV26">
        <v>0</v>
      </c>
      <c r="AW26">
        <v>651428</v>
      </c>
      <c r="AX26">
        <v>651428</v>
      </c>
      <c r="AY26">
        <v>24731</v>
      </c>
      <c r="AZ26">
        <v>103450</v>
      </c>
      <c r="BA26">
        <v>651428</v>
      </c>
      <c r="BB26">
        <v>46420</v>
      </c>
      <c r="BC26">
        <v>118523</v>
      </c>
      <c r="BD26">
        <v>0</v>
      </c>
      <c r="BE26">
        <v>251935</v>
      </c>
      <c r="BF26">
        <v>416878</v>
      </c>
    </row>
    <row r="27" spans="1:58" x14ac:dyDescent="0.25">
      <c r="A27" s="20" t="s">
        <v>1451</v>
      </c>
      <c r="B27" s="1" t="s">
        <v>61</v>
      </c>
      <c r="C27">
        <v>4955</v>
      </c>
      <c r="D27">
        <v>140598</v>
      </c>
      <c r="E27">
        <v>2500</v>
      </c>
      <c r="F27">
        <v>0</v>
      </c>
      <c r="G27">
        <v>53175</v>
      </c>
      <c r="H27">
        <v>335486</v>
      </c>
      <c r="I27">
        <v>68910</v>
      </c>
      <c r="J27">
        <v>7256</v>
      </c>
      <c r="K27">
        <v>63534.385341665533</v>
      </c>
      <c r="L27">
        <v>39708</v>
      </c>
      <c r="M27">
        <v>9149.4087759815247</v>
      </c>
      <c r="N27">
        <v>312107.20588235301</v>
      </c>
      <c r="O27">
        <v>81733</v>
      </c>
      <c r="P27">
        <v>54811</v>
      </c>
      <c r="Q27">
        <v>532276</v>
      </c>
      <c r="R27">
        <f t="shared" si="0"/>
        <v>0</v>
      </c>
      <c r="S27">
        <v>853</v>
      </c>
      <c r="T27">
        <v>6709</v>
      </c>
      <c r="U27">
        <v>262123</v>
      </c>
      <c r="V27">
        <v>6640</v>
      </c>
      <c r="W27">
        <v>6948</v>
      </c>
      <c r="X27">
        <v>0</v>
      </c>
      <c r="Y27">
        <v>42643</v>
      </c>
      <c r="Z27">
        <v>56231</v>
      </c>
      <c r="AA27">
        <v>0</v>
      </c>
      <c r="AB27">
        <v>106045</v>
      </c>
      <c r="AC27">
        <v>254668</v>
      </c>
      <c r="AD27">
        <v>360713</v>
      </c>
      <c r="AE27">
        <v>835</v>
      </c>
      <c r="AF27">
        <v>10510</v>
      </c>
      <c r="AG27">
        <v>64011</v>
      </c>
      <c r="AH27">
        <v>43582</v>
      </c>
      <c r="AI27">
        <v>75408</v>
      </c>
      <c r="AJ27">
        <v>31826</v>
      </c>
      <c r="AK27">
        <v>0</v>
      </c>
      <c r="AL27">
        <v>2500</v>
      </c>
      <c r="AM27">
        <v>2500</v>
      </c>
      <c r="AN27">
        <v>2500</v>
      </c>
      <c r="AO27">
        <v>0</v>
      </c>
      <c r="AP27">
        <v>0</v>
      </c>
      <c r="AQ27">
        <v>1499</v>
      </c>
      <c r="AR27">
        <v>6075</v>
      </c>
      <c r="AS27">
        <v>7574</v>
      </c>
      <c r="AT27">
        <v>0</v>
      </c>
      <c r="AU27">
        <v>0</v>
      </c>
      <c r="AV27">
        <v>0</v>
      </c>
      <c r="AW27">
        <v>1190718</v>
      </c>
      <c r="AX27">
        <v>1251643</v>
      </c>
      <c r="AY27">
        <v>274640</v>
      </c>
      <c r="AZ27">
        <v>502426</v>
      </c>
      <c r="BA27">
        <v>1309342</v>
      </c>
      <c r="BB27">
        <v>71009.385341665533</v>
      </c>
      <c r="BC27">
        <v>164710</v>
      </c>
      <c r="BD27">
        <v>9149.4087759815247</v>
      </c>
      <c r="BE27">
        <v>682004.20588235301</v>
      </c>
      <c r="BF27">
        <v>926873</v>
      </c>
    </row>
    <row r="28" spans="1:58" x14ac:dyDescent="0.25">
      <c r="A28" s="21"/>
      <c r="B28" s="1" t="s">
        <v>207</v>
      </c>
      <c r="C28">
        <v>2284</v>
      </c>
      <c r="D28">
        <v>96854</v>
      </c>
      <c r="E28">
        <v>0</v>
      </c>
      <c r="F28">
        <v>108</v>
      </c>
      <c r="G28">
        <v>54850</v>
      </c>
      <c r="H28">
        <v>100698</v>
      </c>
      <c r="I28">
        <v>38332</v>
      </c>
      <c r="J28">
        <v>4851</v>
      </c>
      <c r="K28">
        <v>49653</v>
      </c>
      <c r="L28">
        <v>6300</v>
      </c>
      <c r="M28">
        <v>23925</v>
      </c>
      <c r="N28">
        <v>844962</v>
      </c>
      <c r="O28">
        <v>117950</v>
      </c>
      <c r="P28">
        <v>126642</v>
      </c>
      <c r="Q28">
        <v>1773092</v>
      </c>
      <c r="R28">
        <f t="shared" si="0"/>
        <v>1</v>
      </c>
      <c r="S28">
        <v>604</v>
      </c>
      <c r="T28">
        <v>6501</v>
      </c>
      <c r="U28">
        <v>113567</v>
      </c>
      <c r="V28">
        <v>16258</v>
      </c>
      <c r="W28">
        <v>4234</v>
      </c>
      <c r="X28">
        <v>0</v>
      </c>
      <c r="Y28">
        <v>35393</v>
      </c>
      <c r="Z28">
        <v>55885</v>
      </c>
      <c r="AA28">
        <v>70</v>
      </c>
      <c r="AB28">
        <v>4836</v>
      </c>
      <c r="AC28">
        <v>101400</v>
      </c>
      <c r="AD28">
        <v>106306</v>
      </c>
      <c r="AE28">
        <v>1515</v>
      </c>
      <c r="AF28">
        <v>1769</v>
      </c>
      <c r="AG28">
        <v>35551</v>
      </c>
      <c r="AH28">
        <v>17703</v>
      </c>
      <c r="AI28">
        <v>38835</v>
      </c>
      <c r="AJ28">
        <v>19884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450</v>
      </c>
      <c r="AR28">
        <v>5624</v>
      </c>
      <c r="AS28">
        <v>6214</v>
      </c>
      <c r="AT28">
        <v>0</v>
      </c>
      <c r="AU28">
        <v>0</v>
      </c>
      <c r="AV28">
        <v>0</v>
      </c>
      <c r="AW28">
        <v>1663921</v>
      </c>
      <c r="AX28">
        <v>2115331</v>
      </c>
      <c r="AY28">
        <v>122956</v>
      </c>
      <c r="AZ28">
        <v>207240</v>
      </c>
      <c r="BA28">
        <v>2103288</v>
      </c>
      <c r="BB28">
        <v>67496</v>
      </c>
      <c r="BC28">
        <v>17589</v>
      </c>
      <c r="BD28">
        <v>23925</v>
      </c>
      <c r="BE28">
        <v>1022930</v>
      </c>
      <c r="BF28">
        <v>1131940</v>
      </c>
    </row>
    <row r="29" spans="1:58" x14ac:dyDescent="0.25">
      <c r="A29" s="22"/>
      <c r="B29" s="1" t="s">
        <v>359</v>
      </c>
      <c r="C29">
        <v>3341</v>
      </c>
      <c r="D29">
        <v>148352</v>
      </c>
      <c r="E29">
        <v>0</v>
      </c>
      <c r="F29">
        <v>0</v>
      </c>
      <c r="G29">
        <v>59654</v>
      </c>
      <c r="H29">
        <v>119879</v>
      </c>
      <c r="I29">
        <v>72649</v>
      </c>
      <c r="J29">
        <v>3186</v>
      </c>
      <c r="K29">
        <v>83258.838480103965</v>
      </c>
      <c r="L29">
        <v>127467</v>
      </c>
      <c r="M29">
        <v>419483.88675898762</v>
      </c>
      <c r="N29">
        <v>215644.27476090851</v>
      </c>
      <c r="O29">
        <v>94485</v>
      </c>
      <c r="P29">
        <v>127719</v>
      </c>
      <c r="Q29">
        <v>510734</v>
      </c>
      <c r="R29">
        <f t="shared" si="0"/>
        <v>1</v>
      </c>
      <c r="S29">
        <v>6468</v>
      </c>
      <c r="T29">
        <v>6646</v>
      </c>
      <c r="U29">
        <v>258506</v>
      </c>
      <c r="V29">
        <v>9900</v>
      </c>
      <c r="W29">
        <v>18183</v>
      </c>
      <c r="X29">
        <v>1770</v>
      </c>
      <c r="Y29">
        <v>41132</v>
      </c>
      <c r="Z29">
        <v>70985</v>
      </c>
      <c r="AA29">
        <v>2897</v>
      </c>
      <c r="AB29">
        <v>27202</v>
      </c>
      <c r="AC29">
        <v>110504</v>
      </c>
      <c r="AD29">
        <v>140603</v>
      </c>
      <c r="AE29">
        <v>1762</v>
      </c>
      <c r="AF29">
        <v>41460</v>
      </c>
      <c r="AG29">
        <v>72010</v>
      </c>
      <c r="AH29">
        <v>80491</v>
      </c>
      <c r="AI29">
        <v>115041</v>
      </c>
      <c r="AJ29">
        <v>34430</v>
      </c>
      <c r="AK29">
        <v>2541</v>
      </c>
      <c r="AL29">
        <v>1626</v>
      </c>
      <c r="AM29">
        <v>4167</v>
      </c>
      <c r="AN29">
        <v>4167</v>
      </c>
      <c r="AO29">
        <v>0</v>
      </c>
      <c r="AP29">
        <v>85</v>
      </c>
      <c r="AQ29">
        <v>885</v>
      </c>
      <c r="AR29">
        <v>5977</v>
      </c>
      <c r="AS29">
        <v>6947</v>
      </c>
      <c r="AT29">
        <v>0</v>
      </c>
      <c r="AU29">
        <v>0</v>
      </c>
      <c r="AV29">
        <v>0</v>
      </c>
      <c r="AW29">
        <v>1090941</v>
      </c>
      <c r="AX29">
        <v>1090941</v>
      </c>
      <c r="AY29">
        <v>274961</v>
      </c>
      <c r="AZ29">
        <v>337743</v>
      </c>
      <c r="BA29">
        <v>1123438</v>
      </c>
      <c r="BB29">
        <v>97902.838480103965</v>
      </c>
      <c r="BC29">
        <v>217738</v>
      </c>
      <c r="BD29">
        <v>421253.88675898762</v>
      </c>
      <c r="BE29">
        <v>446893.27476090851</v>
      </c>
      <c r="BF29">
        <v>1183788</v>
      </c>
    </row>
    <row r="30" spans="1:58" x14ac:dyDescent="0.25">
      <c r="A30" s="20" t="s">
        <v>1661</v>
      </c>
      <c r="B30" s="1" t="s">
        <v>61</v>
      </c>
      <c r="C30">
        <v>201.5</v>
      </c>
      <c r="D30">
        <v>301725</v>
      </c>
      <c r="E30">
        <v>0</v>
      </c>
      <c r="F30">
        <v>659</v>
      </c>
      <c r="G30">
        <v>59679</v>
      </c>
      <c r="H30">
        <v>230799</v>
      </c>
      <c r="I30">
        <v>36841</v>
      </c>
      <c r="J30">
        <v>8444</v>
      </c>
      <c r="K30">
        <v>1710</v>
      </c>
      <c r="L30">
        <v>111978</v>
      </c>
      <c r="M30">
        <v>267120</v>
      </c>
      <c r="N30">
        <v>232947</v>
      </c>
      <c r="O30">
        <v>60765</v>
      </c>
      <c r="P30">
        <v>68195</v>
      </c>
      <c r="Q30">
        <v>302149</v>
      </c>
      <c r="R30">
        <f t="shared" si="0"/>
        <v>1</v>
      </c>
      <c r="S30">
        <v>196</v>
      </c>
      <c r="T30">
        <v>3142</v>
      </c>
      <c r="U30">
        <v>89315</v>
      </c>
      <c r="V30">
        <v>0</v>
      </c>
      <c r="W30">
        <v>9127</v>
      </c>
      <c r="X30">
        <v>0</v>
      </c>
      <c r="Y30">
        <v>50552</v>
      </c>
      <c r="Z30">
        <v>59679</v>
      </c>
      <c r="AA30">
        <v>0</v>
      </c>
      <c r="AB30">
        <v>117013</v>
      </c>
      <c r="AC30">
        <v>113786</v>
      </c>
      <c r="AD30">
        <v>230799</v>
      </c>
      <c r="AE30">
        <v>1842</v>
      </c>
      <c r="AF30">
        <v>16415</v>
      </c>
      <c r="AG30">
        <v>18584</v>
      </c>
      <c r="AH30">
        <v>22350</v>
      </c>
      <c r="AI30">
        <v>36841</v>
      </c>
      <c r="AJ30">
        <v>14136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5331</v>
      </c>
      <c r="AR30">
        <v>3113</v>
      </c>
      <c r="AS30">
        <v>8444</v>
      </c>
      <c r="AT30">
        <v>659</v>
      </c>
      <c r="AU30">
        <v>0</v>
      </c>
      <c r="AV30">
        <v>659</v>
      </c>
      <c r="AW30">
        <v>732781.5</v>
      </c>
      <c r="AX30">
        <v>732781.5</v>
      </c>
      <c r="AY30">
        <v>92854.5</v>
      </c>
      <c r="AZ30">
        <v>336422</v>
      </c>
      <c r="BA30">
        <v>731425.5</v>
      </c>
      <c r="BB30">
        <v>3552</v>
      </c>
      <c r="BC30">
        <v>260523</v>
      </c>
      <c r="BD30">
        <v>267120</v>
      </c>
      <c r="BE30">
        <v>418982</v>
      </c>
      <c r="BF30">
        <v>950177</v>
      </c>
    </row>
    <row r="31" spans="1:58" x14ac:dyDescent="0.25">
      <c r="A31" s="21"/>
      <c r="B31" s="1" t="s">
        <v>207</v>
      </c>
      <c r="C31">
        <v>1870</v>
      </c>
      <c r="D31">
        <v>145235</v>
      </c>
      <c r="E31">
        <v>0</v>
      </c>
      <c r="F31">
        <v>5</v>
      </c>
      <c r="G31">
        <v>44257</v>
      </c>
      <c r="H31">
        <v>174337</v>
      </c>
      <c r="I31">
        <v>50114</v>
      </c>
      <c r="J31">
        <v>3758</v>
      </c>
      <c r="K31">
        <v>14733</v>
      </c>
      <c r="L31">
        <v>30546</v>
      </c>
      <c r="M31">
        <v>0</v>
      </c>
      <c r="N31">
        <v>120651</v>
      </c>
      <c r="O31">
        <v>38458</v>
      </c>
      <c r="P31">
        <v>18451</v>
      </c>
      <c r="Q31">
        <v>145199</v>
      </c>
      <c r="R31">
        <f t="shared" si="0"/>
        <v>0</v>
      </c>
      <c r="S31">
        <v>321</v>
      </c>
      <c r="T31">
        <v>5627</v>
      </c>
      <c r="U31">
        <v>145683</v>
      </c>
      <c r="V31">
        <v>676</v>
      </c>
      <c r="W31">
        <v>16585</v>
      </c>
      <c r="X31">
        <v>0</v>
      </c>
      <c r="Y31">
        <v>26996</v>
      </c>
      <c r="Z31">
        <v>44257</v>
      </c>
      <c r="AA31">
        <v>0</v>
      </c>
      <c r="AB31">
        <v>5952</v>
      </c>
      <c r="AC31">
        <v>168385</v>
      </c>
      <c r="AD31">
        <v>174337</v>
      </c>
      <c r="AE31">
        <v>536</v>
      </c>
      <c r="AF31">
        <v>887</v>
      </c>
      <c r="AG31">
        <v>48691</v>
      </c>
      <c r="AH31">
        <v>26489</v>
      </c>
      <c r="AI31">
        <v>50114</v>
      </c>
      <c r="AJ31">
        <v>23639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40</v>
      </c>
      <c r="AR31">
        <v>3718</v>
      </c>
      <c r="AS31">
        <v>3758</v>
      </c>
      <c r="AT31">
        <v>0</v>
      </c>
      <c r="AU31">
        <v>5</v>
      </c>
      <c r="AV31">
        <v>5</v>
      </c>
      <c r="AW31">
        <v>588295</v>
      </c>
      <c r="AX31">
        <v>588295</v>
      </c>
      <c r="AY31">
        <v>153501</v>
      </c>
      <c r="AZ31">
        <v>272471</v>
      </c>
      <c r="BA31">
        <v>571171</v>
      </c>
      <c r="BB31">
        <v>15945</v>
      </c>
      <c r="BC31">
        <v>54010</v>
      </c>
      <c r="BD31">
        <v>0</v>
      </c>
      <c r="BE31">
        <v>368446</v>
      </c>
      <c r="BF31">
        <v>438401</v>
      </c>
    </row>
    <row r="32" spans="1:58" x14ac:dyDescent="0.25">
      <c r="A32" s="22"/>
      <c r="B32" s="1" t="s">
        <v>359</v>
      </c>
      <c r="C32">
        <v>1565</v>
      </c>
      <c r="D32">
        <v>221034</v>
      </c>
      <c r="E32">
        <v>0</v>
      </c>
      <c r="F32">
        <v>0</v>
      </c>
      <c r="G32">
        <v>34489</v>
      </c>
      <c r="H32">
        <v>166716</v>
      </c>
      <c r="I32">
        <v>44606</v>
      </c>
      <c r="J32">
        <v>4172</v>
      </c>
      <c r="K32">
        <v>65853</v>
      </c>
      <c r="L32">
        <v>21513.881909547741</v>
      </c>
      <c r="M32">
        <v>0</v>
      </c>
      <c r="N32">
        <v>172784.11809045219</v>
      </c>
      <c r="O32">
        <v>46663</v>
      </c>
      <c r="P32">
        <v>29335</v>
      </c>
      <c r="Q32">
        <v>220966</v>
      </c>
      <c r="R32">
        <f t="shared" si="0"/>
        <v>0</v>
      </c>
      <c r="S32">
        <v>803</v>
      </c>
      <c r="T32">
        <v>4133</v>
      </c>
      <c r="U32">
        <v>172023</v>
      </c>
      <c r="V32">
        <v>98</v>
      </c>
      <c r="W32">
        <v>4370</v>
      </c>
      <c r="X32">
        <v>0</v>
      </c>
      <c r="Y32">
        <v>30071</v>
      </c>
      <c r="Z32">
        <v>34539</v>
      </c>
      <c r="AA32">
        <v>0</v>
      </c>
      <c r="AB32">
        <v>22567</v>
      </c>
      <c r="AC32">
        <v>144148</v>
      </c>
      <c r="AD32">
        <v>166716</v>
      </c>
      <c r="AE32">
        <v>153</v>
      </c>
      <c r="AF32">
        <v>7556</v>
      </c>
      <c r="AG32">
        <v>36866</v>
      </c>
      <c r="AH32">
        <v>23838</v>
      </c>
      <c r="AI32">
        <v>44606</v>
      </c>
      <c r="AJ32">
        <v>18447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26</v>
      </c>
      <c r="AQ32">
        <v>0</v>
      </c>
      <c r="AR32">
        <v>4146</v>
      </c>
      <c r="AS32">
        <v>4172</v>
      </c>
      <c r="AT32">
        <v>0</v>
      </c>
      <c r="AU32">
        <v>0</v>
      </c>
      <c r="AV32">
        <v>0</v>
      </c>
      <c r="AW32">
        <v>652468</v>
      </c>
      <c r="AX32">
        <v>652468</v>
      </c>
      <c r="AY32">
        <v>178524</v>
      </c>
      <c r="AZ32">
        <v>250033</v>
      </c>
      <c r="BA32">
        <v>649523</v>
      </c>
      <c r="BB32">
        <v>66130</v>
      </c>
      <c r="BC32">
        <v>56006.881909547737</v>
      </c>
      <c r="BD32">
        <v>0</v>
      </c>
      <c r="BE32">
        <v>388015.11809045228</v>
      </c>
      <c r="BF32">
        <v>510152</v>
      </c>
    </row>
    <row r="33" spans="1:58" x14ac:dyDescent="0.25">
      <c r="A33" s="20" t="s">
        <v>1946</v>
      </c>
      <c r="B33" s="1" t="s">
        <v>61</v>
      </c>
      <c r="C33">
        <v>9263</v>
      </c>
      <c r="D33">
        <v>25367</v>
      </c>
      <c r="E33">
        <v>0</v>
      </c>
      <c r="F33">
        <v>0</v>
      </c>
      <c r="G33">
        <v>59720</v>
      </c>
      <c r="H33">
        <v>136897</v>
      </c>
      <c r="I33">
        <v>44909</v>
      </c>
      <c r="J33">
        <v>13118</v>
      </c>
      <c r="K33">
        <v>58929.547624788996</v>
      </c>
      <c r="L33">
        <v>0</v>
      </c>
      <c r="M33">
        <v>89516.452375210996</v>
      </c>
      <c r="N33">
        <v>36189</v>
      </c>
      <c r="O33">
        <v>53141</v>
      </c>
      <c r="P33">
        <v>23954</v>
      </c>
      <c r="Q33">
        <v>31473</v>
      </c>
      <c r="R33">
        <f t="shared" si="0"/>
        <v>0</v>
      </c>
      <c r="S33">
        <v>701</v>
      </c>
      <c r="T33">
        <v>7841</v>
      </c>
      <c r="U33">
        <v>245814</v>
      </c>
      <c r="V33">
        <v>23801</v>
      </c>
      <c r="W33">
        <v>5166</v>
      </c>
      <c r="X33">
        <v>3170</v>
      </c>
      <c r="Y33">
        <v>47284</v>
      </c>
      <c r="Z33">
        <v>79421</v>
      </c>
      <c r="AA33">
        <v>0</v>
      </c>
      <c r="AB33">
        <v>170183</v>
      </c>
      <c r="AC33">
        <v>299550</v>
      </c>
      <c r="AD33">
        <v>469733</v>
      </c>
      <c r="AE33">
        <v>1250</v>
      </c>
      <c r="AF33">
        <v>24489</v>
      </c>
      <c r="AG33">
        <v>49830</v>
      </c>
      <c r="AH33">
        <v>32720.400000000001</v>
      </c>
      <c r="AI33">
        <v>75150</v>
      </c>
      <c r="AJ33">
        <v>42848.6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460</v>
      </c>
      <c r="AR33">
        <v>20855</v>
      </c>
      <c r="AS33">
        <v>21315</v>
      </c>
      <c r="AT33">
        <v>0</v>
      </c>
      <c r="AU33">
        <v>0</v>
      </c>
      <c r="AV33">
        <v>0</v>
      </c>
      <c r="AW33">
        <v>949879</v>
      </c>
      <c r="AX33">
        <v>949879</v>
      </c>
      <c r="AY33">
        <v>263619</v>
      </c>
      <c r="AZ33">
        <v>645619</v>
      </c>
      <c r="BA33">
        <v>940711</v>
      </c>
      <c r="BB33">
        <v>83980.547624789004</v>
      </c>
      <c r="BC33">
        <v>200298</v>
      </c>
      <c r="BD33">
        <v>92686.452375210996</v>
      </c>
      <c r="BE33">
        <v>453708</v>
      </c>
      <c r="BF33">
        <v>830673</v>
      </c>
    </row>
    <row r="34" spans="1:58" x14ac:dyDescent="0.25">
      <c r="A34" s="22"/>
      <c r="B34" s="1" t="s">
        <v>207</v>
      </c>
      <c r="C34">
        <v>1367</v>
      </c>
      <c r="D34">
        <v>135058</v>
      </c>
      <c r="E34">
        <v>0</v>
      </c>
      <c r="F34">
        <v>0</v>
      </c>
      <c r="G34">
        <v>40683</v>
      </c>
      <c r="H34">
        <v>93884</v>
      </c>
      <c r="I34">
        <v>47049</v>
      </c>
      <c r="J34">
        <v>9431</v>
      </c>
      <c r="K34">
        <v>79794</v>
      </c>
      <c r="L34">
        <v>0</v>
      </c>
      <c r="M34">
        <v>0</v>
      </c>
      <c r="N34">
        <v>70218</v>
      </c>
      <c r="O34">
        <v>35119</v>
      </c>
      <c r="P34">
        <v>16689</v>
      </c>
      <c r="Q34">
        <v>152335</v>
      </c>
      <c r="R34">
        <f t="shared" si="0"/>
        <v>0</v>
      </c>
      <c r="S34">
        <v>884</v>
      </c>
      <c r="T34">
        <v>3849</v>
      </c>
      <c r="U34">
        <v>127177</v>
      </c>
      <c r="V34">
        <v>18271</v>
      </c>
      <c r="W34">
        <v>575</v>
      </c>
      <c r="X34">
        <v>0</v>
      </c>
      <c r="Y34">
        <v>22534</v>
      </c>
      <c r="Z34">
        <v>41030</v>
      </c>
      <c r="AA34">
        <v>0</v>
      </c>
      <c r="AB34">
        <v>60122</v>
      </c>
      <c r="AC34">
        <v>68997</v>
      </c>
      <c r="AD34">
        <v>129119</v>
      </c>
      <c r="AE34">
        <v>1784</v>
      </c>
      <c r="AF34">
        <v>2098</v>
      </c>
      <c r="AG34">
        <v>51063</v>
      </c>
      <c r="AH34">
        <v>28603</v>
      </c>
      <c r="AI34">
        <v>54284</v>
      </c>
      <c r="AJ34">
        <v>26046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1276</v>
      </c>
      <c r="AR34">
        <v>8655</v>
      </c>
      <c r="AS34">
        <v>9931</v>
      </c>
      <c r="AT34">
        <v>0</v>
      </c>
      <c r="AU34">
        <v>0</v>
      </c>
      <c r="AV34">
        <v>0</v>
      </c>
      <c r="AW34">
        <v>536325</v>
      </c>
      <c r="AX34">
        <v>536325</v>
      </c>
      <c r="AY34">
        <v>133277</v>
      </c>
      <c r="AZ34">
        <v>234364</v>
      </c>
      <c r="BA34">
        <v>519976</v>
      </c>
      <c r="BB34">
        <v>99849</v>
      </c>
      <c r="BC34">
        <v>64071</v>
      </c>
      <c r="BD34">
        <v>0</v>
      </c>
      <c r="BE34">
        <v>221467</v>
      </c>
      <c r="BF34">
        <v>385387</v>
      </c>
    </row>
    <row r="35" spans="1:58" x14ac:dyDescent="0.25">
      <c r="A35" s="20" t="s">
        <v>2090</v>
      </c>
      <c r="B35" s="1" t="s">
        <v>61</v>
      </c>
      <c r="C35">
        <v>1677</v>
      </c>
      <c r="D35">
        <v>166494</v>
      </c>
      <c r="E35">
        <v>850</v>
      </c>
      <c r="F35">
        <v>0</v>
      </c>
      <c r="G35">
        <v>34785</v>
      </c>
      <c r="H35">
        <v>62597</v>
      </c>
      <c r="I35">
        <v>17890</v>
      </c>
      <c r="J35">
        <v>5429</v>
      </c>
      <c r="K35">
        <v>123110.5333333333</v>
      </c>
      <c r="L35">
        <v>83808</v>
      </c>
      <c r="M35">
        <v>90711</v>
      </c>
      <c r="N35">
        <v>67028.466666666674</v>
      </c>
      <c r="O35">
        <v>39078</v>
      </c>
      <c r="P35">
        <v>40603</v>
      </c>
      <c r="Q35">
        <v>166494</v>
      </c>
      <c r="R35">
        <f t="shared" si="0"/>
        <v>1</v>
      </c>
      <c r="S35">
        <v>186.5</v>
      </c>
      <c r="T35">
        <v>2434</v>
      </c>
      <c r="U35">
        <v>50365</v>
      </c>
      <c r="V35">
        <v>0</v>
      </c>
      <c r="W35">
        <v>2972</v>
      </c>
      <c r="X35">
        <v>0</v>
      </c>
      <c r="Y35">
        <v>31813</v>
      </c>
      <c r="Z35">
        <v>34785</v>
      </c>
      <c r="AA35">
        <v>0</v>
      </c>
      <c r="AB35">
        <v>12380</v>
      </c>
      <c r="AC35">
        <v>50217</v>
      </c>
      <c r="AD35">
        <v>62597</v>
      </c>
      <c r="AE35">
        <v>183</v>
      </c>
      <c r="AF35">
        <v>3641</v>
      </c>
      <c r="AG35">
        <v>14066</v>
      </c>
      <c r="AH35">
        <v>7235</v>
      </c>
      <c r="AI35">
        <v>17890</v>
      </c>
      <c r="AJ35">
        <v>10655</v>
      </c>
      <c r="AK35">
        <v>850</v>
      </c>
      <c r="AL35">
        <v>0</v>
      </c>
      <c r="AM35">
        <v>850</v>
      </c>
      <c r="AN35">
        <v>850</v>
      </c>
      <c r="AO35">
        <v>0</v>
      </c>
      <c r="AP35">
        <v>0</v>
      </c>
      <c r="AQ35">
        <v>350</v>
      </c>
      <c r="AR35">
        <v>5079</v>
      </c>
      <c r="AS35">
        <v>5429</v>
      </c>
      <c r="AT35">
        <v>0</v>
      </c>
      <c r="AU35">
        <v>0</v>
      </c>
      <c r="AV35">
        <v>0</v>
      </c>
      <c r="AW35">
        <v>341619.5</v>
      </c>
      <c r="AX35">
        <v>342340.16666666669</v>
      </c>
      <c r="AY35">
        <v>54662.5</v>
      </c>
      <c r="AZ35">
        <v>121551</v>
      </c>
      <c r="BA35">
        <v>342707.5</v>
      </c>
      <c r="BB35">
        <v>123293.5333333333</v>
      </c>
      <c r="BC35">
        <v>104001</v>
      </c>
      <c r="BD35">
        <v>90711</v>
      </c>
      <c r="BE35">
        <v>168203.4666666667</v>
      </c>
      <c r="BF35">
        <v>486209</v>
      </c>
    </row>
    <row r="36" spans="1:58" x14ac:dyDescent="0.25">
      <c r="A36" s="21"/>
      <c r="B36" s="1" t="s">
        <v>207</v>
      </c>
      <c r="C36">
        <v>1031</v>
      </c>
      <c r="D36">
        <v>256768</v>
      </c>
      <c r="E36">
        <v>654</v>
      </c>
      <c r="F36">
        <v>0</v>
      </c>
      <c r="G36">
        <v>25982</v>
      </c>
      <c r="H36">
        <v>70318</v>
      </c>
      <c r="I36">
        <v>26556</v>
      </c>
      <c r="J36">
        <v>6898</v>
      </c>
      <c r="K36">
        <v>118818</v>
      </c>
      <c r="L36">
        <v>9036</v>
      </c>
      <c r="M36">
        <v>82157.643879173294</v>
      </c>
      <c r="N36">
        <v>155947.35612082671</v>
      </c>
      <c r="O36">
        <v>44552</v>
      </c>
      <c r="P36">
        <v>71864</v>
      </c>
      <c r="Q36">
        <v>260330</v>
      </c>
      <c r="R36">
        <f t="shared" si="0"/>
        <v>1</v>
      </c>
      <c r="S36">
        <v>266</v>
      </c>
      <c r="T36">
        <v>2522</v>
      </c>
      <c r="U36">
        <v>43963</v>
      </c>
      <c r="V36">
        <v>3296</v>
      </c>
      <c r="W36">
        <v>2814</v>
      </c>
      <c r="X36">
        <v>0</v>
      </c>
      <c r="Y36">
        <v>19872</v>
      </c>
      <c r="Z36">
        <v>25982</v>
      </c>
      <c r="AA36">
        <v>0</v>
      </c>
      <c r="AB36">
        <v>37691</v>
      </c>
      <c r="AC36">
        <v>32627</v>
      </c>
      <c r="AD36">
        <v>70318</v>
      </c>
      <c r="AE36">
        <v>892</v>
      </c>
      <c r="AF36">
        <v>1431</v>
      </c>
      <c r="AG36">
        <v>24233</v>
      </c>
      <c r="AH36">
        <v>11694</v>
      </c>
      <c r="AI36">
        <v>26556</v>
      </c>
      <c r="AJ36">
        <v>15108</v>
      </c>
      <c r="AK36">
        <v>654</v>
      </c>
      <c r="AL36">
        <v>0</v>
      </c>
      <c r="AM36">
        <v>654</v>
      </c>
      <c r="AN36">
        <v>654</v>
      </c>
      <c r="AO36">
        <v>0</v>
      </c>
      <c r="AP36">
        <v>45</v>
      </c>
      <c r="AQ36">
        <v>737</v>
      </c>
      <c r="AR36">
        <v>6116</v>
      </c>
      <c r="AS36">
        <v>6898</v>
      </c>
      <c r="AT36">
        <v>0</v>
      </c>
      <c r="AU36">
        <v>0</v>
      </c>
      <c r="AV36">
        <v>0</v>
      </c>
      <c r="AW36">
        <v>447345</v>
      </c>
      <c r="AX36">
        <v>447345</v>
      </c>
      <c r="AY36">
        <v>47782</v>
      </c>
      <c r="AZ36">
        <v>130408</v>
      </c>
      <c r="BA36">
        <v>438520</v>
      </c>
      <c r="BB36">
        <v>123051</v>
      </c>
      <c r="BC36">
        <v>52363</v>
      </c>
      <c r="BD36">
        <v>82157.643879173294</v>
      </c>
      <c r="BE36">
        <v>238795.35612082671</v>
      </c>
      <c r="BF36">
        <v>496367</v>
      </c>
    </row>
    <row r="37" spans="1:58" x14ac:dyDescent="0.25">
      <c r="A37" s="22"/>
      <c r="B37" s="1" t="s">
        <v>359</v>
      </c>
      <c r="C37">
        <v>348</v>
      </c>
      <c r="D37">
        <v>117030</v>
      </c>
      <c r="E37">
        <v>0</v>
      </c>
      <c r="F37">
        <v>0</v>
      </c>
      <c r="G37">
        <v>22170</v>
      </c>
      <c r="H37">
        <v>18300</v>
      </c>
      <c r="I37">
        <v>12960</v>
      </c>
      <c r="J37">
        <v>1150</v>
      </c>
      <c r="K37">
        <v>15390</v>
      </c>
      <c r="L37">
        <v>3924</v>
      </c>
      <c r="M37">
        <v>30000</v>
      </c>
      <c r="N37">
        <v>154539</v>
      </c>
      <c r="O37">
        <v>21922</v>
      </c>
      <c r="P37">
        <v>26317</v>
      </c>
      <c r="Q37">
        <v>117030</v>
      </c>
      <c r="R37">
        <f t="shared" si="0"/>
        <v>1</v>
      </c>
      <c r="S37">
        <v>444</v>
      </c>
      <c r="T37">
        <v>150</v>
      </c>
      <c r="U37">
        <v>8860</v>
      </c>
      <c r="V37">
        <v>110</v>
      </c>
      <c r="W37">
        <v>800</v>
      </c>
      <c r="X37">
        <v>0</v>
      </c>
      <c r="Y37">
        <v>21260</v>
      </c>
      <c r="Z37">
        <v>22170</v>
      </c>
      <c r="AA37">
        <v>0</v>
      </c>
      <c r="AB37">
        <v>6920</v>
      </c>
      <c r="AC37">
        <v>11380</v>
      </c>
      <c r="AD37">
        <v>18300</v>
      </c>
      <c r="AE37">
        <v>280</v>
      </c>
      <c r="AF37">
        <v>3600</v>
      </c>
      <c r="AG37">
        <v>9080</v>
      </c>
      <c r="AH37">
        <v>8800</v>
      </c>
      <c r="AI37">
        <v>12960</v>
      </c>
      <c r="AJ37">
        <v>4160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1150</v>
      </c>
      <c r="AS37">
        <v>1150</v>
      </c>
      <c r="AT37">
        <v>0</v>
      </c>
      <c r="AU37">
        <v>0</v>
      </c>
      <c r="AV37">
        <v>0</v>
      </c>
      <c r="AW37">
        <v>208912</v>
      </c>
      <c r="AX37">
        <v>208912</v>
      </c>
      <c r="AY37">
        <v>9802</v>
      </c>
      <c r="AZ37">
        <v>54580</v>
      </c>
      <c r="BA37">
        <v>181412</v>
      </c>
      <c r="BB37">
        <v>15780</v>
      </c>
      <c r="BC37">
        <v>15244</v>
      </c>
      <c r="BD37">
        <v>30000</v>
      </c>
      <c r="BE37">
        <v>197409</v>
      </c>
      <c r="BF37">
        <v>258433</v>
      </c>
    </row>
    <row r="38" spans="1:58" x14ac:dyDescent="0.25">
      <c r="A38" s="20" t="s">
        <v>2294</v>
      </c>
      <c r="B38" s="1" t="s">
        <v>61</v>
      </c>
      <c r="C38">
        <v>472</v>
      </c>
      <c r="D38">
        <v>570</v>
      </c>
      <c r="E38">
        <v>0</v>
      </c>
      <c r="F38">
        <v>0</v>
      </c>
      <c r="G38">
        <v>14257</v>
      </c>
      <c r="H38">
        <v>8857</v>
      </c>
      <c r="I38">
        <v>4358</v>
      </c>
      <c r="J38">
        <v>1860</v>
      </c>
      <c r="K38">
        <v>4248</v>
      </c>
      <c r="L38">
        <v>162</v>
      </c>
      <c r="M38">
        <v>0</v>
      </c>
      <c r="N38">
        <v>720</v>
      </c>
      <c r="O38">
        <v>4142</v>
      </c>
      <c r="P38">
        <v>570</v>
      </c>
      <c r="Q38">
        <v>570</v>
      </c>
      <c r="R38">
        <f t="shared" si="0"/>
        <v>0</v>
      </c>
      <c r="S38">
        <v>22</v>
      </c>
      <c r="T38">
        <v>350</v>
      </c>
      <c r="U38">
        <v>7717</v>
      </c>
      <c r="V38">
        <v>5334</v>
      </c>
      <c r="W38">
        <v>2972</v>
      </c>
      <c r="X38">
        <v>0</v>
      </c>
      <c r="Y38">
        <v>5951</v>
      </c>
      <c r="Z38">
        <v>14257</v>
      </c>
      <c r="AA38">
        <v>0</v>
      </c>
      <c r="AB38">
        <v>0</v>
      </c>
      <c r="AC38">
        <v>8857</v>
      </c>
      <c r="AD38">
        <v>8857</v>
      </c>
      <c r="AE38">
        <v>0</v>
      </c>
      <c r="AF38">
        <v>0</v>
      </c>
      <c r="AG38">
        <v>4358</v>
      </c>
      <c r="AH38">
        <v>2474</v>
      </c>
      <c r="AI38">
        <v>4358</v>
      </c>
      <c r="AJ38">
        <v>1884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1860</v>
      </c>
      <c r="AS38">
        <v>1860</v>
      </c>
      <c r="AT38">
        <v>0</v>
      </c>
      <c r="AU38">
        <v>0</v>
      </c>
      <c r="AV38">
        <v>0</v>
      </c>
      <c r="AW38">
        <v>38463</v>
      </c>
      <c r="AX38">
        <v>38463</v>
      </c>
      <c r="AY38">
        <v>8561</v>
      </c>
      <c r="AZ38">
        <v>29332</v>
      </c>
      <c r="BA38">
        <v>38463</v>
      </c>
      <c r="BB38">
        <v>9582</v>
      </c>
      <c r="BC38">
        <v>3134</v>
      </c>
      <c r="BD38">
        <v>0</v>
      </c>
      <c r="BE38">
        <v>21746</v>
      </c>
      <c r="BF38">
        <v>34462</v>
      </c>
    </row>
    <row r="39" spans="1:58" x14ac:dyDescent="0.25">
      <c r="A39" s="22"/>
      <c r="B39" s="1" t="s">
        <v>207</v>
      </c>
      <c r="C39">
        <v>808.7</v>
      </c>
      <c r="D39">
        <v>1976</v>
      </c>
      <c r="E39">
        <v>360</v>
      </c>
      <c r="F39">
        <v>0</v>
      </c>
      <c r="G39">
        <v>11897</v>
      </c>
      <c r="H39">
        <v>24697</v>
      </c>
      <c r="I39">
        <v>6781</v>
      </c>
      <c r="J39">
        <v>1200</v>
      </c>
      <c r="K39">
        <v>1926</v>
      </c>
      <c r="L39">
        <v>0</v>
      </c>
      <c r="M39">
        <v>0</v>
      </c>
      <c r="N39">
        <v>13905</v>
      </c>
      <c r="O39">
        <v>4767</v>
      </c>
      <c r="P39">
        <v>1759</v>
      </c>
      <c r="Q39">
        <v>935</v>
      </c>
      <c r="R39">
        <f t="shared" si="0"/>
        <v>0</v>
      </c>
      <c r="S39">
        <v>39</v>
      </c>
      <c r="T39">
        <v>564</v>
      </c>
      <c r="U39">
        <v>9511</v>
      </c>
      <c r="V39">
        <v>0</v>
      </c>
      <c r="W39">
        <v>0</v>
      </c>
      <c r="X39">
        <v>0</v>
      </c>
      <c r="Y39">
        <v>11897</v>
      </c>
      <c r="Z39">
        <v>11897</v>
      </c>
      <c r="AA39">
        <v>0</v>
      </c>
      <c r="AB39">
        <v>1526</v>
      </c>
      <c r="AC39">
        <v>19908</v>
      </c>
      <c r="AD39">
        <v>21434</v>
      </c>
      <c r="AE39">
        <v>0</v>
      </c>
      <c r="AF39">
        <v>0</v>
      </c>
      <c r="AG39">
        <v>6829</v>
      </c>
      <c r="AH39">
        <v>4576</v>
      </c>
      <c r="AI39">
        <v>6829</v>
      </c>
      <c r="AJ39">
        <v>2482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1240</v>
      </c>
      <c r="AS39">
        <v>1240</v>
      </c>
      <c r="AT39">
        <v>0</v>
      </c>
      <c r="AU39">
        <v>0</v>
      </c>
      <c r="AV39">
        <v>0</v>
      </c>
      <c r="AW39">
        <v>66059.7</v>
      </c>
      <c r="AX39">
        <v>66059.7</v>
      </c>
      <c r="AY39">
        <v>10922.7</v>
      </c>
      <c r="AZ39">
        <v>41400</v>
      </c>
      <c r="BA39">
        <v>53257.7</v>
      </c>
      <c r="BB39">
        <v>1926</v>
      </c>
      <c r="BC39">
        <v>1526</v>
      </c>
      <c r="BD39">
        <v>0</v>
      </c>
      <c r="BE39">
        <v>53779</v>
      </c>
      <c r="BF39">
        <v>57231</v>
      </c>
    </row>
    <row r="40" spans="1:58" x14ac:dyDescent="0.25">
      <c r="A40" s="20" t="s">
        <v>2359</v>
      </c>
      <c r="B40" s="1" t="s">
        <v>1135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76563.267514506268</v>
      </c>
      <c r="L40">
        <v>65702.255639097741</v>
      </c>
      <c r="M40">
        <v>43801.503759398503</v>
      </c>
      <c r="N40">
        <v>70794.973086997488</v>
      </c>
      <c r="O40">
        <v>0</v>
      </c>
      <c r="P40">
        <v>138223</v>
      </c>
      <c r="Q40">
        <v>138223</v>
      </c>
      <c r="R40">
        <f t="shared" si="0"/>
        <v>1</v>
      </c>
      <c r="S40">
        <v>0</v>
      </c>
      <c r="T40">
        <v>0</v>
      </c>
      <c r="U40">
        <v>0</v>
      </c>
      <c r="V40">
        <v>0</v>
      </c>
      <c r="W40">
        <v>1000</v>
      </c>
      <c r="X40">
        <v>3000</v>
      </c>
      <c r="Y40">
        <v>13912</v>
      </c>
      <c r="Z40">
        <v>17912</v>
      </c>
      <c r="AA40">
        <v>0</v>
      </c>
      <c r="AB40">
        <v>4776</v>
      </c>
      <c r="AC40">
        <v>52390</v>
      </c>
      <c r="AD40">
        <v>57166</v>
      </c>
      <c r="AE40">
        <v>0</v>
      </c>
      <c r="AF40">
        <v>2200</v>
      </c>
      <c r="AG40">
        <v>29664</v>
      </c>
      <c r="AH40">
        <v>0</v>
      </c>
      <c r="AI40">
        <v>31864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4000</v>
      </c>
      <c r="AR40">
        <v>6713</v>
      </c>
      <c r="AS40">
        <v>10713</v>
      </c>
      <c r="AT40">
        <v>0</v>
      </c>
      <c r="AU40">
        <v>0</v>
      </c>
      <c r="AV40">
        <v>0</v>
      </c>
      <c r="AW40">
        <v>0</v>
      </c>
      <c r="AX40">
        <v>256862</v>
      </c>
      <c r="AY40">
        <v>0</v>
      </c>
      <c r="AZ40">
        <v>117655</v>
      </c>
      <c r="BA40">
        <v>255878</v>
      </c>
      <c r="BB40">
        <v>76563.267514506268</v>
      </c>
      <c r="BC40">
        <v>77678.255639097741</v>
      </c>
      <c r="BD40">
        <v>46801.503759398503</v>
      </c>
      <c r="BE40">
        <v>173473.97308699749</v>
      </c>
      <c r="BF40">
        <v>374517</v>
      </c>
    </row>
    <row r="41" spans="1:58" x14ac:dyDescent="0.25">
      <c r="A41" s="21"/>
      <c r="B41" s="1" t="s">
        <v>1661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f t="shared" si="0"/>
        <v>0</v>
      </c>
      <c r="S41">
        <v>0</v>
      </c>
      <c r="T41">
        <v>0</v>
      </c>
      <c r="U41">
        <v>0</v>
      </c>
      <c r="V41">
        <v>0</v>
      </c>
      <c r="W41">
        <v>378</v>
      </c>
      <c r="X41">
        <v>0</v>
      </c>
      <c r="Y41">
        <v>0</v>
      </c>
      <c r="Z41">
        <v>378</v>
      </c>
      <c r="AA41">
        <v>0</v>
      </c>
      <c r="AB41">
        <v>8950</v>
      </c>
      <c r="AC41">
        <v>0</v>
      </c>
      <c r="AD41">
        <v>8950</v>
      </c>
      <c r="AE41">
        <v>0</v>
      </c>
      <c r="AF41">
        <v>2440</v>
      </c>
      <c r="AG41">
        <v>0</v>
      </c>
      <c r="AH41">
        <v>0</v>
      </c>
      <c r="AI41">
        <v>2440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1660</v>
      </c>
      <c r="AR41">
        <v>0</v>
      </c>
      <c r="AS41">
        <v>1660</v>
      </c>
      <c r="AT41">
        <v>0</v>
      </c>
      <c r="AU41">
        <v>0</v>
      </c>
      <c r="AV41">
        <v>0</v>
      </c>
      <c r="AW41">
        <v>0</v>
      </c>
      <c r="AX41">
        <v>13428</v>
      </c>
      <c r="AY41">
        <v>0</v>
      </c>
      <c r="AZ41">
        <v>13428</v>
      </c>
      <c r="BA41">
        <v>13428</v>
      </c>
      <c r="BB41">
        <v>0</v>
      </c>
      <c r="BC41">
        <v>13428</v>
      </c>
      <c r="BD41">
        <v>0</v>
      </c>
      <c r="BE41">
        <v>0</v>
      </c>
      <c r="BF41">
        <v>13428</v>
      </c>
    </row>
    <row r="42" spans="1:58" x14ac:dyDescent="0.25">
      <c r="A42" s="21"/>
      <c r="B42" s="1" t="s">
        <v>1946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f t="shared" si="0"/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750</v>
      </c>
      <c r="Z42">
        <v>750</v>
      </c>
      <c r="AA42">
        <v>0</v>
      </c>
      <c r="AB42">
        <v>0</v>
      </c>
      <c r="AC42">
        <v>7000</v>
      </c>
      <c r="AD42">
        <v>7000</v>
      </c>
      <c r="AE42">
        <v>0</v>
      </c>
      <c r="AF42">
        <v>0</v>
      </c>
      <c r="AG42">
        <v>2094</v>
      </c>
      <c r="AH42">
        <v>0</v>
      </c>
      <c r="AI42">
        <v>2094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3490</v>
      </c>
      <c r="AS42">
        <v>3490</v>
      </c>
      <c r="AT42">
        <v>0</v>
      </c>
      <c r="AU42">
        <v>0</v>
      </c>
      <c r="AV42">
        <v>0</v>
      </c>
      <c r="AW42">
        <v>0</v>
      </c>
      <c r="AX42">
        <v>13334</v>
      </c>
      <c r="AY42">
        <v>0</v>
      </c>
      <c r="AZ42">
        <v>13334</v>
      </c>
      <c r="BA42">
        <v>13334</v>
      </c>
      <c r="BB42">
        <v>0</v>
      </c>
      <c r="BC42">
        <v>0</v>
      </c>
      <c r="BD42">
        <v>0</v>
      </c>
      <c r="BE42">
        <v>13334</v>
      </c>
      <c r="BF42">
        <v>13334</v>
      </c>
    </row>
    <row r="43" spans="1:58" x14ac:dyDescent="0.25">
      <c r="A43" s="22"/>
      <c r="B43" s="1" t="s">
        <v>2090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f t="shared" si="0"/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42000</v>
      </c>
      <c r="AD43">
        <v>42000</v>
      </c>
      <c r="AE43">
        <v>0</v>
      </c>
      <c r="AF43">
        <v>0</v>
      </c>
      <c r="AG43">
        <v>12000</v>
      </c>
      <c r="AH43">
        <v>0</v>
      </c>
      <c r="AI43">
        <v>12000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54000</v>
      </c>
      <c r="AY43">
        <v>0</v>
      </c>
      <c r="AZ43">
        <v>54000</v>
      </c>
      <c r="BA43">
        <v>54000</v>
      </c>
      <c r="BB43">
        <v>0</v>
      </c>
      <c r="BC43">
        <v>0</v>
      </c>
      <c r="BD43">
        <v>0</v>
      </c>
      <c r="BE43">
        <v>54000</v>
      </c>
      <c r="BF43">
        <v>54000</v>
      </c>
    </row>
  </sheetData>
  <mergeCells count="14">
    <mergeCell ref="A33:A34"/>
    <mergeCell ref="A35:A37"/>
    <mergeCell ref="A38:A39"/>
    <mergeCell ref="A40:A43"/>
    <mergeCell ref="A18:A20"/>
    <mergeCell ref="A21:A23"/>
    <mergeCell ref="A24:A26"/>
    <mergeCell ref="A27:A29"/>
    <mergeCell ref="A30:A32"/>
    <mergeCell ref="A2:A4"/>
    <mergeCell ref="A5:A8"/>
    <mergeCell ref="A9:A12"/>
    <mergeCell ref="A13:A15"/>
    <mergeCell ref="A16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5"/>
  <sheetViews>
    <sheetView workbookViewId="0"/>
  </sheetViews>
  <sheetFormatPr defaultRowHeight="15" x14ac:dyDescent="0.25"/>
  <sheetData>
    <row r="1" spans="1:56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</row>
    <row r="2" spans="1:56" x14ac:dyDescent="0.25">
      <c r="A2" s="1" t="s">
        <v>61</v>
      </c>
      <c r="B2">
        <v>2618</v>
      </c>
      <c r="C2">
        <v>29659</v>
      </c>
      <c r="D2">
        <v>0</v>
      </c>
      <c r="E2">
        <v>0</v>
      </c>
      <c r="F2">
        <v>134095</v>
      </c>
      <c r="G2">
        <v>114486</v>
      </c>
      <c r="H2">
        <v>29201</v>
      </c>
      <c r="I2">
        <v>9424</v>
      </c>
      <c r="J2">
        <v>106533</v>
      </c>
      <c r="K2">
        <v>2187</v>
      </c>
      <c r="L2">
        <v>0</v>
      </c>
      <c r="M2">
        <v>57348</v>
      </c>
      <c r="N2">
        <v>65413</v>
      </c>
      <c r="O2">
        <v>18452</v>
      </c>
      <c r="P2">
        <v>46051</v>
      </c>
      <c r="Q2">
        <v>321</v>
      </c>
      <c r="R2">
        <v>7005</v>
      </c>
      <c r="S2">
        <v>55547</v>
      </c>
      <c r="T2">
        <v>23522</v>
      </c>
      <c r="U2">
        <v>17745</v>
      </c>
      <c r="V2">
        <v>0</v>
      </c>
      <c r="W2">
        <v>98638</v>
      </c>
      <c r="X2">
        <v>139887</v>
      </c>
      <c r="Y2">
        <v>0</v>
      </c>
      <c r="Z2">
        <v>24208</v>
      </c>
      <c r="AA2">
        <v>171734</v>
      </c>
      <c r="AB2">
        <v>195900</v>
      </c>
      <c r="AC2">
        <v>613</v>
      </c>
      <c r="AD2">
        <v>1994</v>
      </c>
      <c r="AE2">
        <v>30647</v>
      </c>
      <c r="AF2">
        <v>15296</v>
      </c>
      <c r="AG2">
        <v>33272</v>
      </c>
      <c r="AH2">
        <v>17978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1018</v>
      </c>
      <c r="AP2">
        <v>9751</v>
      </c>
      <c r="AQ2">
        <v>10769</v>
      </c>
      <c r="AR2">
        <v>0</v>
      </c>
      <c r="AS2">
        <v>0</v>
      </c>
      <c r="AT2">
        <v>0</v>
      </c>
      <c r="AU2">
        <v>491401</v>
      </c>
      <c r="AV2">
        <v>491401</v>
      </c>
      <c r="AW2">
        <v>65491</v>
      </c>
      <c r="AX2">
        <v>379828</v>
      </c>
      <c r="AY2">
        <v>491370</v>
      </c>
      <c r="AZ2">
        <v>130668</v>
      </c>
      <c r="BA2">
        <v>47152</v>
      </c>
      <c r="BB2">
        <v>0</v>
      </c>
      <c r="BC2">
        <v>368118</v>
      </c>
      <c r="BD2">
        <v>545938</v>
      </c>
    </row>
    <row r="3" spans="1:56" x14ac:dyDescent="0.25">
      <c r="A3" s="1" t="s">
        <v>207</v>
      </c>
      <c r="B3">
        <v>9782</v>
      </c>
      <c r="C3">
        <v>442451</v>
      </c>
      <c r="D3">
        <v>3262</v>
      </c>
      <c r="E3">
        <v>0</v>
      </c>
      <c r="F3">
        <v>169290</v>
      </c>
      <c r="G3">
        <v>377309</v>
      </c>
      <c r="H3">
        <v>80652</v>
      </c>
      <c r="I3">
        <v>18586</v>
      </c>
      <c r="J3">
        <v>201788.1215323646</v>
      </c>
      <c r="K3">
        <v>127827</v>
      </c>
      <c r="L3">
        <v>40951.878467635397</v>
      </c>
      <c r="M3">
        <v>262530</v>
      </c>
      <c r="N3">
        <v>121213</v>
      </c>
      <c r="O3">
        <v>98826</v>
      </c>
      <c r="P3">
        <v>453012</v>
      </c>
      <c r="Q3">
        <v>2925</v>
      </c>
      <c r="R3">
        <v>14450</v>
      </c>
      <c r="S3">
        <v>376768</v>
      </c>
      <c r="T3">
        <v>67605</v>
      </c>
      <c r="U3">
        <v>18761</v>
      </c>
      <c r="V3">
        <v>0</v>
      </c>
      <c r="W3">
        <v>94173</v>
      </c>
      <c r="X3">
        <v>180386</v>
      </c>
      <c r="Y3">
        <v>3256</v>
      </c>
      <c r="Z3">
        <v>106488</v>
      </c>
      <c r="AA3">
        <v>391626</v>
      </c>
      <c r="AB3">
        <v>501370</v>
      </c>
      <c r="AC3">
        <v>7414</v>
      </c>
      <c r="AD3">
        <v>7035</v>
      </c>
      <c r="AE3">
        <v>71753</v>
      </c>
      <c r="AF3">
        <v>45569</v>
      </c>
      <c r="AG3">
        <v>86262</v>
      </c>
      <c r="AH3">
        <v>40569</v>
      </c>
      <c r="AI3">
        <v>3262</v>
      </c>
      <c r="AJ3">
        <v>0</v>
      </c>
      <c r="AK3">
        <v>3262</v>
      </c>
      <c r="AL3">
        <v>3262</v>
      </c>
      <c r="AM3">
        <v>0</v>
      </c>
      <c r="AN3">
        <v>1457</v>
      </c>
      <c r="AO3">
        <v>2322</v>
      </c>
      <c r="AP3">
        <v>17815</v>
      </c>
      <c r="AQ3">
        <v>21594</v>
      </c>
      <c r="AR3">
        <v>0</v>
      </c>
      <c r="AS3">
        <v>0</v>
      </c>
      <c r="AT3">
        <v>0</v>
      </c>
      <c r="AU3">
        <v>1663957</v>
      </c>
      <c r="AV3">
        <v>1664318</v>
      </c>
      <c r="AW3">
        <v>403925</v>
      </c>
      <c r="AX3">
        <v>792874</v>
      </c>
      <c r="AY3">
        <v>1649811</v>
      </c>
      <c r="AZ3">
        <v>281520.12153236457</v>
      </c>
      <c r="BA3">
        <v>265695</v>
      </c>
      <c r="BB3">
        <v>40951.878467635397</v>
      </c>
      <c r="BC3">
        <v>837897</v>
      </c>
      <c r="BD3">
        <v>1426064</v>
      </c>
    </row>
    <row r="4" spans="1:56" x14ac:dyDescent="0.25">
      <c r="A4" s="1" t="s">
        <v>359</v>
      </c>
      <c r="B4">
        <v>1462</v>
      </c>
      <c r="C4">
        <v>327192</v>
      </c>
      <c r="D4">
        <v>2309</v>
      </c>
      <c r="E4">
        <v>0</v>
      </c>
      <c r="F4">
        <v>151063</v>
      </c>
      <c r="G4">
        <v>423422</v>
      </c>
      <c r="H4">
        <v>126992</v>
      </c>
      <c r="I4">
        <v>5166</v>
      </c>
      <c r="J4">
        <v>40734</v>
      </c>
      <c r="K4">
        <v>10116</v>
      </c>
      <c r="L4">
        <v>86458.942928039702</v>
      </c>
      <c r="M4">
        <v>258270.0570719603</v>
      </c>
      <c r="N4">
        <v>84942</v>
      </c>
      <c r="O4">
        <v>44824</v>
      </c>
      <c r="P4">
        <v>327541</v>
      </c>
      <c r="Q4">
        <v>901</v>
      </c>
      <c r="R4">
        <v>8756</v>
      </c>
      <c r="S4">
        <v>401331.24</v>
      </c>
      <c r="T4">
        <v>10313</v>
      </c>
      <c r="U4">
        <v>13390</v>
      </c>
      <c r="V4">
        <v>506</v>
      </c>
      <c r="W4">
        <v>126854</v>
      </c>
      <c r="X4">
        <v>150802</v>
      </c>
      <c r="Y4">
        <v>4350</v>
      </c>
      <c r="Z4">
        <v>144893</v>
      </c>
      <c r="AA4">
        <v>274179</v>
      </c>
      <c r="AB4">
        <v>423422</v>
      </c>
      <c r="AC4">
        <v>2920</v>
      </c>
      <c r="AD4">
        <v>34823</v>
      </c>
      <c r="AE4">
        <v>91299</v>
      </c>
      <c r="AF4">
        <v>68902</v>
      </c>
      <c r="AG4">
        <v>126625</v>
      </c>
      <c r="AH4">
        <v>58593</v>
      </c>
      <c r="AI4">
        <v>2309</v>
      </c>
      <c r="AJ4">
        <v>0</v>
      </c>
      <c r="AK4">
        <v>1353</v>
      </c>
      <c r="AL4">
        <v>2309</v>
      </c>
      <c r="AM4">
        <v>956</v>
      </c>
      <c r="AN4">
        <v>0</v>
      </c>
      <c r="AO4">
        <v>2376</v>
      </c>
      <c r="AP4">
        <v>2790</v>
      </c>
      <c r="AQ4">
        <v>5166</v>
      </c>
      <c r="AR4">
        <v>0</v>
      </c>
      <c r="AS4">
        <v>0</v>
      </c>
      <c r="AT4">
        <v>0</v>
      </c>
      <c r="AU4">
        <v>1464178.24</v>
      </c>
      <c r="AV4">
        <v>1464178.24</v>
      </c>
      <c r="AW4">
        <v>412450.24</v>
      </c>
      <c r="AX4">
        <v>708324</v>
      </c>
      <c r="AY4">
        <v>1448315.24</v>
      </c>
      <c r="AZ4">
        <v>58317</v>
      </c>
      <c r="BA4">
        <v>207907</v>
      </c>
      <c r="BB4">
        <v>86964.942928039702</v>
      </c>
      <c r="BC4">
        <v>753392.0570719603</v>
      </c>
      <c r="BD4">
        <v>1106581</v>
      </c>
    </row>
    <row r="5" spans="1:56" x14ac:dyDescent="0.25">
      <c r="A5" s="1" t="s">
        <v>627</v>
      </c>
      <c r="B5">
        <v>4733</v>
      </c>
      <c r="C5">
        <v>81454</v>
      </c>
      <c r="D5">
        <v>3714</v>
      </c>
      <c r="E5">
        <v>0</v>
      </c>
      <c r="F5">
        <v>52661</v>
      </c>
      <c r="G5">
        <v>252503</v>
      </c>
      <c r="H5">
        <v>26349</v>
      </c>
      <c r="I5">
        <v>8766</v>
      </c>
      <c r="J5">
        <v>69804</v>
      </c>
      <c r="K5">
        <v>1638</v>
      </c>
      <c r="L5">
        <v>55323</v>
      </c>
      <c r="M5">
        <v>145098</v>
      </c>
      <c r="N5">
        <v>50642</v>
      </c>
      <c r="O5">
        <v>30207</v>
      </c>
      <c r="P5">
        <v>118632</v>
      </c>
      <c r="Q5">
        <v>841</v>
      </c>
      <c r="R5">
        <v>12784</v>
      </c>
      <c r="S5">
        <v>192907</v>
      </c>
      <c r="T5">
        <v>6961</v>
      </c>
      <c r="U5">
        <v>6352</v>
      </c>
      <c r="V5">
        <v>0</v>
      </c>
      <c r="W5">
        <v>47353</v>
      </c>
      <c r="X5">
        <v>60994</v>
      </c>
      <c r="Y5">
        <v>785</v>
      </c>
      <c r="Z5">
        <v>136693</v>
      </c>
      <c r="AA5">
        <v>152551</v>
      </c>
      <c r="AB5">
        <v>290029</v>
      </c>
      <c r="AC5">
        <v>147</v>
      </c>
      <c r="AD5">
        <v>8320</v>
      </c>
      <c r="AE5">
        <v>27341</v>
      </c>
      <c r="AF5">
        <v>21233</v>
      </c>
      <c r="AG5">
        <v>35801</v>
      </c>
      <c r="AH5">
        <v>14550</v>
      </c>
      <c r="AI5">
        <v>300</v>
      </c>
      <c r="AJ5">
        <v>3414</v>
      </c>
      <c r="AK5">
        <v>3344</v>
      </c>
      <c r="AL5">
        <v>3714</v>
      </c>
      <c r="AM5">
        <v>0</v>
      </c>
      <c r="AN5">
        <v>58</v>
      </c>
      <c r="AO5">
        <v>3405</v>
      </c>
      <c r="AP5">
        <v>6417</v>
      </c>
      <c r="AQ5">
        <v>9880</v>
      </c>
      <c r="AR5">
        <v>0</v>
      </c>
      <c r="AS5">
        <v>0</v>
      </c>
      <c r="AT5">
        <v>0</v>
      </c>
      <c r="AU5">
        <v>731169</v>
      </c>
      <c r="AV5">
        <v>731169</v>
      </c>
      <c r="AW5">
        <v>211265</v>
      </c>
      <c r="AX5">
        <v>400418</v>
      </c>
      <c r="AY5">
        <v>730315</v>
      </c>
      <c r="AZ5">
        <v>77755</v>
      </c>
      <c r="BA5">
        <v>156708</v>
      </c>
      <c r="BB5">
        <v>55323</v>
      </c>
      <c r="BC5">
        <v>382174</v>
      </c>
      <c r="BD5">
        <v>671960</v>
      </c>
    </row>
    <row r="6" spans="1:56" x14ac:dyDescent="0.25">
      <c r="A6" s="1" t="s">
        <v>875</v>
      </c>
      <c r="B6">
        <v>4909.5</v>
      </c>
      <c r="C6">
        <v>72708</v>
      </c>
      <c r="D6">
        <v>0</v>
      </c>
      <c r="E6">
        <v>0</v>
      </c>
      <c r="F6">
        <v>69531</v>
      </c>
      <c r="G6">
        <v>181319</v>
      </c>
      <c r="H6">
        <v>38534</v>
      </c>
      <c r="I6">
        <v>6244</v>
      </c>
      <c r="J6">
        <v>58725</v>
      </c>
      <c r="K6">
        <v>65250</v>
      </c>
      <c r="L6">
        <v>0</v>
      </c>
      <c r="M6">
        <v>241362</v>
      </c>
      <c r="N6">
        <v>60496</v>
      </c>
      <c r="O6">
        <v>41049</v>
      </c>
      <c r="P6">
        <v>80442</v>
      </c>
      <c r="Q6">
        <v>836</v>
      </c>
      <c r="R6">
        <v>10815</v>
      </c>
      <c r="S6">
        <v>208712</v>
      </c>
      <c r="T6">
        <v>6911</v>
      </c>
      <c r="U6">
        <v>2719</v>
      </c>
      <c r="V6">
        <v>0</v>
      </c>
      <c r="W6">
        <v>66607</v>
      </c>
      <c r="X6">
        <v>76237</v>
      </c>
      <c r="Y6">
        <v>724</v>
      </c>
      <c r="Z6">
        <v>118200</v>
      </c>
      <c r="AA6">
        <v>122649</v>
      </c>
      <c r="AB6">
        <v>241573</v>
      </c>
      <c r="AC6">
        <v>456</v>
      </c>
      <c r="AD6">
        <v>7282</v>
      </c>
      <c r="AE6">
        <v>33464</v>
      </c>
      <c r="AF6">
        <v>21276</v>
      </c>
      <c r="AG6">
        <v>41102</v>
      </c>
      <c r="AH6">
        <v>19456</v>
      </c>
      <c r="AI6">
        <v>0</v>
      </c>
      <c r="AJ6">
        <v>0</v>
      </c>
      <c r="AK6">
        <v>0</v>
      </c>
      <c r="AL6">
        <v>0</v>
      </c>
      <c r="AM6">
        <v>0</v>
      </c>
      <c r="AN6">
        <v>40</v>
      </c>
      <c r="AO6">
        <v>1579</v>
      </c>
      <c r="AP6">
        <v>5825</v>
      </c>
      <c r="AQ6">
        <v>7444</v>
      </c>
      <c r="AR6">
        <v>0</v>
      </c>
      <c r="AS6">
        <v>0</v>
      </c>
      <c r="AT6">
        <v>0</v>
      </c>
      <c r="AU6">
        <v>675276.5</v>
      </c>
      <c r="AV6">
        <v>675276.5</v>
      </c>
      <c r="AW6">
        <v>225272.5</v>
      </c>
      <c r="AX6">
        <v>366356</v>
      </c>
      <c r="AY6">
        <v>672070.5</v>
      </c>
      <c r="AZ6">
        <v>66856</v>
      </c>
      <c r="BA6">
        <v>195030</v>
      </c>
      <c r="BB6">
        <v>0</v>
      </c>
      <c r="BC6">
        <v>469907</v>
      </c>
      <c r="BD6">
        <v>731793</v>
      </c>
    </row>
    <row r="7" spans="1:56" x14ac:dyDescent="0.25">
      <c r="A7" s="1" t="s">
        <v>1017</v>
      </c>
      <c r="B7">
        <v>4123</v>
      </c>
      <c r="C7">
        <v>150732</v>
      </c>
      <c r="D7">
        <v>5596</v>
      </c>
      <c r="E7">
        <v>5</v>
      </c>
      <c r="F7">
        <v>94481</v>
      </c>
      <c r="G7">
        <v>272622</v>
      </c>
      <c r="H7">
        <v>78434</v>
      </c>
      <c r="I7">
        <v>16462</v>
      </c>
      <c r="J7">
        <v>48348</v>
      </c>
      <c r="K7">
        <v>56493</v>
      </c>
      <c r="L7">
        <v>29227.138706889291</v>
      </c>
      <c r="M7">
        <v>162663.86129311071</v>
      </c>
      <c r="N7">
        <v>73840</v>
      </c>
      <c r="O7">
        <v>37660</v>
      </c>
      <c r="P7">
        <v>193502</v>
      </c>
      <c r="Q7">
        <v>718</v>
      </c>
      <c r="R7">
        <v>12352</v>
      </c>
      <c r="S7">
        <v>253556</v>
      </c>
      <c r="T7">
        <v>11657</v>
      </c>
      <c r="U7">
        <v>17602</v>
      </c>
      <c r="V7">
        <v>0</v>
      </c>
      <c r="W7">
        <v>78535</v>
      </c>
      <c r="X7">
        <v>107794</v>
      </c>
      <c r="Y7">
        <v>510</v>
      </c>
      <c r="Z7">
        <v>34674</v>
      </c>
      <c r="AA7">
        <v>342514</v>
      </c>
      <c r="AB7">
        <v>377698</v>
      </c>
      <c r="AC7">
        <v>1726</v>
      </c>
      <c r="AD7">
        <v>7225</v>
      </c>
      <c r="AE7">
        <v>77724</v>
      </c>
      <c r="AF7">
        <v>35168</v>
      </c>
      <c r="AG7">
        <v>85702</v>
      </c>
      <c r="AH7">
        <v>47729</v>
      </c>
      <c r="AI7">
        <v>0</v>
      </c>
      <c r="AJ7">
        <v>5596</v>
      </c>
      <c r="AK7">
        <v>1618</v>
      </c>
      <c r="AL7">
        <v>5596</v>
      </c>
      <c r="AM7">
        <v>3978</v>
      </c>
      <c r="AN7">
        <v>0</v>
      </c>
      <c r="AO7">
        <v>50</v>
      </c>
      <c r="AP7">
        <v>19277</v>
      </c>
      <c r="AQ7">
        <v>19327</v>
      </c>
      <c r="AR7">
        <v>0</v>
      </c>
      <c r="AS7">
        <v>5</v>
      </c>
      <c r="AT7">
        <v>5</v>
      </c>
      <c r="AU7">
        <v>1047181</v>
      </c>
      <c r="AV7">
        <v>1047181</v>
      </c>
      <c r="AW7">
        <v>270749</v>
      </c>
      <c r="AX7">
        <v>596122</v>
      </c>
      <c r="AY7">
        <v>1060373</v>
      </c>
      <c r="AZ7">
        <v>62241</v>
      </c>
      <c r="BA7">
        <v>116044</v>
      </c>
      <c r="BB7">
        <v>29227.138706889291</v>
      </c>
      <c r="BC7">
        <v>686314.86129311076</v>
      </c>
      <c r="BD7">
        <v>893827</v>
      </c>
    </row>
    <row r="8" spans="1:56" x14ac:dyDescent="0.25">
      <c r="A8" s="1" t="s">
        <v>1135</v>
      </c>
      <c r="B8">
        <v>3683</v>
      </c>
      <c r="C8">
        <v>2268971</v>
      </c>
      <c r="D8">
        <v>7152</v>
      </c>
      <c r="E8">
        <v>620</v>
      </c>
      <c r="F8">
        <v>182009</v>
      </c>
      <c r="G8">
        <v>363148</v>
      </c>
      <c r="H8">
        <v>87005</v>
      </c>
      <c r="I8">
        <v>27567</v>
      </c>
      <c r="J8">
        <v>219095.86268214681</v>
      </c>
      <c r="K8">
        <v>342161.14676341647</v>
      </c>
      <c r="L8">
        <v>3468149.4318312029</v>
      </c>
      <c r="M8">
        <v>533735.35872323392</v>
      </c>
      <c r="N8">
        <v>348647</v>
      </c>
      <c r="O8">
        <v>1635136</v>
      </c>
      <c r="P8">
        <v>3813246</v>
      </c>
      <c r="Q8">
        <v>1134</v>
      </c>
      <c r="R8">
        <v>14864</v>
      </c>
      <c r="S8">
        <v>420155.8</v>
      </c>
      <c r="T8">
        <v>64636</v>
      </c>
      <c r="U8">
        <v>24532</v>
      </c>
      <c r="V8">
        <v>45</v>
      </c>
      <c r="W8">
        <v>104993</v>
      </c>
      <c r="X8">
        <v>194064</v>
      </c>
      <c r="Y8">
        <v>1285</v>
      </c>
      <c r="Z8">
        <v>147945</v>
      </c>
      <c r="AA8">
        <v>234121</v>
      </c>
      <c r="AB8">
        <v>383351</v>
      </c>
      <c r="AC8">
        <v>2040</v>
      </c>
      <c r="AD8">
        <v>5491</v>
      </c>
      <c r="AE8">
        <v>88680</v>
      </c>
      <c r="AF8">
        <v>50289</v>
      </c>
      <c r="AG8">
        <v>95833</v>
      </c>
      <c r="AH8">
        <v>46182</v>
      </c>
      <c r="AI8">
        <v>6402</v>
      </c>
      <c r="AJ8">
        <v>1287</v>
      </c>
      <c r="AK8">
        <v>7689</v>
      </c>
      <c r="AL8">
        <v>7689</v>
      </c>
      <c r="AM8">
        <v>0</v>
      </c>
      <c r="AN8">
        <v>388</v>
      </c>
      <c r="AO8">
        <v>2103</v>
      </c>
      <c r="AP8">
        <v>29687</v>
      </c>
      <c r="AQ8">
        <v>32178</v>
      </c>
      <c r="AR8">
        <v>620</v>
      </c>
      <c r="AS8">
        <v>0</v>
      </c>
      <c r="AT8">
        <v>620</v>
      </c>
      <c r="AU8">
        <v>4981943.8</v>
      </c>
      <c r="AV8">
        <v>4981928.8</v>
      </c>
      <c r="AW8">
        <v>439836.8</v>
      </c>
      <c r="AX8">
        <v>713735</v>
      </c>
      <c r="AY8">
        <v>4966817.8</v>
      </c>
      <c r="AZ8">
        <v>287444.86268214678</v>
      </c>
      <c r="BA8">
        <v>529254.14676341647</v>
      </c>
      <c r="BB8">
        <v>3468194.4318312029</v>
      </c>
      <c r="BC8">
        <v>992503.35872323404</v>
      </c>
      <c r="BD8">
        <v>5277396.8</v>
      </c>
    </row>
    <row r="9" spans="1:56" x14ac:dyDescent="0.25">
      <c r="A9" s="1" t="s">
        <v>1337</v>
      </c>
      <c r="B9">
        <v>14715.5</v>
      </c>
      <c r="C9">
        <v>564778</v>
      </c>
      <c r="D9">
        <v>0</v>
      </c>
      <c r="E9">
        <v>0</v>
      </c>
      <c r="F9">
        <v>98814</v>
      </c>
      <c r="G9">
        <v>78730</v>
      </c>
      <c r="H9">
        <v>20572</v>
      </c>
      <c r="I9">
        <v>5959</v>
      </c>
      <c r="J9">
        <v>68976</v>
      </c>
      <c r="K9">
        <v>198657</v>
      </c>
      <c r="L9">
        <v>0</v>
      </c>
      <c r="M9">
        <v>368076</v>
      </c>
      <c r="N9">
        <v>107822</v>
      </c>
      <c r="O9">
        <v>71513</v>
      </c>
      <c r="P9">
        <v>696894</v>
      </c>
      <c r="Q9">
        <v>1273</v>
      </c>
      <c r="R9">
        <v>4711</v>
      </c>
      <c r="S9">
        <v>360548</v>
      </c>
      <c r="T9">
        <v>7899</v>
      </c>
      <c r="U9">
        <v>51177</v>
      </c>
      <c r="V9">
        <v>10000</v>
      </c>
      <c r="W9">
        <v>65632</v>
      </c>
      <c r="X9">
        <v>134708</v>
      </c>
      <c r="Y9">
        <v>145</v>
      </c>
      <c r="Z9">
        <v>59195</v>
      </c>
      <c r="AA9">
        <v>166117</v>
      </c>
      <c r="AB9">
        <v>225457</v>
      </c>
      <c r="AC9">
        <v>513</v>
      </c>
      <c r="AD9">
        <v>12349</v>
      </c>
      <c r="AE9">
        <v>33253</v>
      </c>
      <c r="AF9">
        <v>31806</v>
      </c>
      <c r="AG9">
        <v>46115</v>
      </c>
      <c r="AH9">
        <v>14309</v>
      </c>
      <c r="AI9">
        <v>0</v>
      </c>
      <c r="AJ9">
        <v>0</v>
      </c>
      <c r="AK9">
        <v>0</v>
      </c>
      <c r="AL9">
        <v>0</v>
      </c>
      <c r="AM9">
        <v>0</v>
      </c>
      <c r="AN9">
        <v>40</v>
      </c>
      <c r="AO9">
        <v>964</v>
      </c>
      <c r="AP9">
        <v>8550</v>
      </c>
      <c r="AQ9">
        <v>9554</v>
      </c>
      <c r="AR9">
        <v>0</v>
      </c>
      <c r="AS9">
        <v>0</v>
      </c>
      <c r="AT9">
        <v>0</v>
      </c>
      <c r="AU9">
        <v>1514860.5</v>
      </c>
      <c r="AV9">
        <v>1516010.5</v>
      </c>
      <c r="AW9">
        <v>381247.5</v>
      </c>
      <c r="AX9">
        <v>415834</v>
      </c>
      <c r="AY9">
        <v>1493975.5</v>
      </c>
      <c r="AZ9">
        <v>77573</v>
      </c>
      <c r="BA9">
        <v>322342</v>
      </c>
      <c r="BB9">
        <v>10000</v>
      </c>
      <c r="BC9">
        <v>641628</v>
      </c>
      <c r="BD9">
        <v>1051543</v>
      </c>
    </row>
    <row r="10" spans="1:56" x14ac:dyDescent="0.25">
      <c r="A10" s="1" t="s">
        <v>1451</v>
      </c>
      <c r="B10">
        <v>10580</v>
      </c>
      <c r="C10">
        <v>385804</v>
      </c>
      <c r="D10">
        <v>2500</v>
      </c>
      <c r="E10">
        <v>108</v>
      </c>
      <c r="F10">
        <v>167679</v>
      </c>
      <c r="G10">
        <v>556063</v>
      </c>
      <c r="H10">
        <v>179891</v>
      </c>
      <c r="I10">
        <v>15293</v>
      </c>
      <c r="J10">
        <v>196446.2238217695</v>
      </c>
      <c r="K10">
        <v>173475</v>
      </c>
      <c r="L10">
        <v>452558.29553496907</v>
      </c>
      <c r="M10">
        <v>1372713.480643261</v>
      </c>
      <c r="N10">
        <v>294168</v>
      </c>
      <c r="O10">
        <v>309172</v>
      </c>
      <c r="P10">
        <v>2816102</v>
      </c>
      <c r="Q10">
        <v>7925</v>
      </c>
      <c r="R10">
        <v>19856</v>
      </c>
      <c r="S10">
        <v>634196</v>
      </c>
      <c r="T10">
        <v>32798</v>
      </c>
      <c r="U10">
        <v>29365</v>
      </c>
      <c r="V10">
        <v>1770</v>
      </c>
      <c r="W10">
        <v>119168</v>
      </c>
      <c r="X10">
        <v>183101</v>
      </c>
      <c r="Y10">
        <v>2967</v>
      </c>
      <c r="Z10">
        <v>138083</v>
      </c>
      <c r="AA10">
        <v>466572</v>
      </c>
      <c r="AB10">
        <v>607622</v>
      </c>
      <c r="AC10">
        <v>4112</v>
      </c>
      <c r="AD10">
        <v>53739</v>
      </c>
      <c r="AE10">
        <v>171572</v>
      </c>
      <c r="AF10">
        <v>141776</v>
      </c>
      <c r="AG10">
        <v>229284</v>
      </c>
      <c r="AH10">
        <v>86140</v>
      </c>
      <c r="AI10">
        <v>2541</v>
      </c>
      <c r="AJ10">
        <v>4126</v>
      </c>
      <c r="AK10">
        <v>6667</v>
      </c>
      <c r="AL10">
        <v>6667</v>
      </c>
      <c r="AM10">
        <v>0</v>
      </c>
      <c r="AN10">
        <v>85</v>
      </c>
      <c r="AO10">
        <v>2834</v>
      </c>
      <c r="AP10">
        <v>17676</v>
      </c>
      <c r="AQ10">
        <v>20735</v>
      </c>
      <c r="AR10">
        <v>0</v>
      </c>
      <c r="AS10">
        <v>0</v>
      </c>
      <c r="AT10">
        <v>0</v>
      </c>
      <c r="AU10">
        <v>3945580</v>
      </c>
      <c r="AV10">
        <v>4457915</v>
      </c>
      <c r="AW10">
        <v>672557</v>
      </c>
      <c r="AX10">
        <v>1047409</v>
      </c>
      <c r="AY10">
        <v>4536068</v>
      </c>
      <c r="AZ10">
        <v>236408.2238217695</v>
      </c>
      <c r="BA10">
        <v>400037</v>
      </c>
      <c r="BB10">
        <v>454328.29553496907</v>
      </c>
      <c r="BC10">
        <v>2151827.4806432612</v>
      </c>
      <c r="BD10">
        <v>3242601</v>
      </c>
    </row>
    <row r="11" spans="1:56" x14ac:dyDescent="0.25">
      <c r="A11" s="1" t="s">
        <v>1661</v>
      </c>
      <c r="B11">
        <v>3636.5</v>
      </c>
      <c r="C11">
        <v>667994</v>
      </c>
      <c r="D11">
        <v>0</v>
      </c>
      <c r="E11">
        <v>664</v>
      </c>
      <c r="F11">
        <v>138425</v>
      </c>
      <c r="G11">
        <v>571852</v>
      </c>
      <c r="H11">
        <v>131561</v>
      </c>
      <c r="I11">
        <v>16374</v>
      </c>
      <c r="J11">
        <v>82296</v>
      </c>
      <c r="K11">
        <v>164037.88190954781</v>
      </c>
      <c r="L11">
        <v>267120</v>
      </c>
      <c r="M11">
        <v>526382.11809045228</v>
      </c>
      <c r="N11">
        <v>145886</v>
      </c>
      <c r="O11">
        <v>115981</v>
      </c>
      <c r="P11">
        <v>668314</v>
      </c>
      <c r="Q11">
        <v>1320</v>
      </c>
      <c r="R11">
        <v>12902</v>
      </c>
      <c r="S11">
        <v>407021</v>
      </c>
      <c r="T11">
        <v>774</v>
      </c>
      <c r="U11">
        <v>30082</v>
      </c>
      <c r="V11">
        <v>0</v>
      </c>
      <c r="W11">
        <v>107619</v>
      </c>
      <c r="X11">
        <v>138475</v>
      </c>
      <c r="Y11">
        <v>0</v>
      </c>
      <c r="Z11">
        <v>145532</v>
      </c>
      <c r="AA11">
        <v>426319</v>
      </c>
      <c r="AB11">
        <v>571852</v>
      </c>
      <c r="AC11">
        <v>2531</v>
      </c>
      <c r="AD11">
        <v>24858</v>
      </c>
      <c r="AE11">
        <v>104141</v>
      </c>
      <c r="AF11">
        <v>72677</v>
      </c>
      <c r="AG11">
        <v>131561</v>
      </c>
      <c r="AH11">
        <v>56222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26</v>
      </c>
      <c r="AO11">
        <v>5371</v>
      </c>
      <c r="AP11">
        <v>10977</v>
      </c>
      <c r="AQ11">
        <v>16374</v>
      </c>
      <c r="AR11">
        <v>659</v>
      </c>
      <c r="AS11">
        <v>5</v>
      </c>
      <c r="AT11">
        <v>664</v>
      </c>
      <c r="AU11">
        <v>1973544.5</v>
      </c>
      <c r="AV11">
        <v>1973544.5</v>
      </c>
      <c r="AW11">
        <v>424879.5</v>
      </c>
      <c r="AX11">
        <v>858926</v>
      </c>
      <c r="AY11">
        <v>1952119.5</v>
      </c>
      <c r="AZ11">
        <v>85627</v>
      </c>
      <c r="BA11">
        <v>370539.88190954772</v>
      </c>
      <c r="BB11">
        <v>267120</v>
      </c>
      <c r="BC11">
        <v>1175443.1180904519</v>
      </c>
      <c r="BD11">
        <v>1898730</v>
      </c>
    </row>
    <row r="12" spans="1:56" x14ac:dyDescent="0.25">
      <c r="A12" s="1" t="s">
        <v>1946</v>
      </c>
      <c r="B12">
        <v>10630</v>
      </c>
      <c r="C12">
        <v>160425</v>
      </c>
      <c r="D12">
        <v>0</v>
      </c>
      <c r="E12">
        <v>0</v>
      </c>
      <c r="F12">
        <v>100403</v>
      </c>
      <c r="G12">
        <v>230781</v>
      </c>
      <c r="H12">
        <v>91958</v>
      </c>
      <c r="I12">
        <v>22549</v>
      </c>
      <c r="J12">
        <v>138723.547624789</v>
      </c>
      <c r="K12">
        <v>0</v>
      </c>
      <c r="L12">
        <v>89516.452375210996</v>
      </c>
      <c r="M12">
        <v>106407</v>
      </c>
      <c r="N12">
        <v>88260</v>
      </c>
      <c r="O12">
        <v>40643</v>
      </c>
      <c r="P12">
        <v>183808</v>
      </c>
      <c r="Q12">
        <v>1585</v>
      </c>
      <c r="R12">
        <v>11690</v>
      </c>
      <c r="S12">
        <v>372991</v>
      </c>
      <c r="T12">
        <v>42072</v>
      </c>
      <c r="U12">
        <v>5741</v>
      </c>
      <c r="V12">
        <v>3170</v>
      </c>
      <c r="W12">
        <v>69818</v>
      </c>
      <c r="X12">
        <v>120451</v>
      </c>
      <c r="Y12">
        <v>0</v>
      </c>
      <c r="Z12">
        <v>230305</v>
      </c>
      <c r="AA12">
        <v>368547</v>
      </c>
      <c r="AB12">
        <v>598852</v>
      </c>
      <c r="AC12">
        <v>3034</v>
      </c>
      <c r="AD12">
        <v>26587</v>
      </c>
      <c r="AE12">
        <v>100893</v>
      </c>
      <c r="AF12">
        <v>61323.4</v>
      </c>
      <c r="AG12">
        <v>129434</v>
      </c>
      <c r="AH12">
        <v>68894.600000000006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1736</v>
      </c>
      <c r="AP12">
        <v>29510</v>
      </c>
      <c r="AQ12">
        <v>31246</v>
      </c>
      <c r="AR12">
        <v>0</v>
      </c>
      <c r="AS12">
        <v>0</v>
      </c>
      <c r="AT12">
        <v>0</v>
      </c>
      <c r="AU12">
        <v>1486204</v>
      </c>
      <c r="AV12">
        <v>1486204</v>
      </c>
      <c r="AW12">
        <v>396896</v>
      </c>
      <c r="AX12">
        <v>879983</v>
      </c>
      <c r="AY12">
        <v>1460687</v>
      </c>
      <c r="AZ12">
        <v>183829.547624789</v>
      </c>
      <c r="BA12">
        <v>264369</v>
      </c>
      <c r="BB12">
        <v>92686.452375210996</v>
      </c>
      <c r="BC12">
        <v>675175</v>
      </c>
      <c r="BD12">
        <v>1216060</v>
      </c>
    </row>
    <row r="13" spans="1:56" x14ac:dyDescent="0.25">
      <c r="A13" s="1" t="s">
        <v>2090</v>
      </c>
      <c r="B13">
        <v>3056</v>
      </c>
      <c r="C13">
        <v>540292</v>
      </c>
      <c r="D13">
        <v>1504</v>
      </c>
      <c r="E13">
        <v>0</v>
      </c>
      <c r="F13">
        <v>82937</v>
      </c>
      <c r="G13">
        <v>151215</v>
      </c>
      <c r="H13">
        <v>57406</v>
      </c>
      <c r="I13">
        <v>13477</v>
      </c>
      <c r="J13">
        <v>257318.5333333333</v>
      </c>
      <c r="K13">
        <v>96768</v>
      </c>
      <c r="L13">
        <v>202868.64387917329</v>
      </c>
      <c r="M13">
        <v>377514.82278749341</v>
      </c>
      <c r="N13">
        <v>105552</v>
      </c>
      <c r="O13">
        <v>138784</v>
      </c>
      <c r="P13">
        <v>543854</v>
      </c>
      <c r="Q13">
        <v>896.5</v>
      </c>
      <c r="R13">
        <v>5106</v>
      </c>
      <c r="S13">
        <v>103188</v>
      </c>
      <c r="T13">
        <v>3406</v>
      </c>
      <c r="U13">
        <v>6586</v>
      </c>
      <c r="V13">
        <v>0</v>
      </c>
      <c r="W13">
        <v>72945</v>
      </c>
      <c r="X13">
        <v>82937</v>
      </c>
      <c r="Y13">
        <v>0</v>
      </c>
      <c r="Z13">
        <v>56991</v>
      </c>
      <c r="AA13">
        <v>94224</v>
      </c>
      <c r="AB13">
        <v>151215</v>
      </c>
      <c r="AC13">
        <v>1355</v>
      </c>
      <c r="AD13">
        <v>8672</v>
      </c>
      <c r="AE13">
        <v>47379</v>
      </c>
      <c r="AF13">
        <v>27729</v>
      </c>
      <c r="AG13">
        <v>57406</v>
      </c>
      <c r="AH13">
        <v>29923</v>
      </c>
      <c r="AI13">
        <v>1504</v>
      </c>
      <c r="AJ13">
        <v>0</v>
      </c>
      <c r="AK13">
        <v>1504</v>
      </c>
      <c r="AL13">
        <v>1504</v>
      </c>
      <c r="AM13">
        <v>0</v>
      </c>
      <c r="AN13">
        <v>45</v>
      </c>
      <c r="AO13">
        <v>1087</v>
      </c>
      <c r="AP13">
        <v>12345</v>
      </c>
      <c r="AQ13">
        <v>13477</v>
      </c>
      <c r="AR13">
        <v>0</v>
      </c>
      <c r="AS13">
        <v>0</v>
      </c>
      <c r="AT13">
        <v>0</v>
      </c>
      <c r="AU13">
        <v>997876.5</v>
      </c>
      <c r="AV13">
        <v>998597.16666666674</v>
      </c>
      <c r="AW13">
        <v>112246.5</v>
      </c>
      <c r="AX13">
        <v>306539</v>
      </c>
      <c r="AY13">
        <v>962639.5</v>
      </c>
      <c r="AZ13">
        <v>262124.5333333333</v>
      </c>
      <c r="BA13">
        <v>171608</v>
      </c>
      <c r="BB13">
        <v>202868.64387917329</v>
      </c>
      <c r="BC13">
        <v>604407.82278749347</v>
      </c>
      <c r="BD13">
        <v>1241009</v>
      </c>
    </row>
    <row r="14" spans="1:56" x14ac:dyDescent="0.25">
      <c r="A14" s="1" t="s">
        <v>2294</v>
      </c>
      <c r="B14">
        <v>1280.7</v>
      </c>
      <c r="C14">
        <v>2546</v>
      </c>
      <c r="D14">
        <v>360</v>
      </c>
      <c r="E14">
        <v>0</v>
      </c>
      <c r="F14">
        <v>26154</v>
      </c>
      <c r="G14">
        <v>33554</v>
      </c>
      <c r="H14">
        <v>11139</v>
      </c>
      <c r="I14">
        <v>3060</v>
      </c>
      <c r="J14">
        <v>6174</v>
      </c>
      <c r="K14">
        <v>162</v>
      </c>
      <c r="L14">
        <v>0</v>
      </c>
      <c r="M14">
        <v>14625</v>
      </c>
      <c r="N14">
        <v>8909</v>
      </c>
      <c r="O14">
        <v>2329</v>
      </c>
      <c r="P14">
        <v>1505</v>
      </c>
      <c r="Q14">
        <v>61</v>
      </c>
      <c r="R14">
        <v>914</v>
      </c>
      <c r="S14">
        <v>17228</v>
      </c>
      <c r="T14">
        <v>5334</v>
      </c>
      <c r="U14">
        <v>2972</v>
      </c>
      <c r="V14">
        <v>0</v>
      </c>
      <c r="W14">
        <v>17848</v>
      </c>
      <c r="X14">
        <v>26154</v>
      </c>
      <c r="Y14">
        <v>0</v>
      </c>
      <c r="Z14">
        <v>1526</v>
      </c>
      <c r="AA14">
        <v>28765</v>
      </c>
      <c r="AB14">
        <v>30291</v>
      </c>
      <c r="AC14">
        <v>0</v>
      </c>
      <c r="AD14">
        <v>0</v>
      </c>
      <c r="AE14">
        <v>11187</v>
      </c>
      <c r="AF14">
        <v>7050</v>
      </c>
      <c r="AG14">
        <v>11187</v>
      </c>
      <c r="AH14">
        <v>4366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3100</v>
      </c>
      <c r="AQ14">
        <v>3100</v>
      </c>
      <c r="AR14">
        <v>0</v>
      </c>
      <c r="AS14">
        <v>0</v>
      </c>
      <c r="AT14">
        <v>0</v>
      </c>
      <c r="AU14">
        <v>104522.7</v>
      </c>
      <c r="AV14">
        <v>104522.7</v>
      </c>
      <c r="AW14">
        <v>19483.7</v>
      </c>
      <c r="AX14">
        <v>70732</v>
      </c>
      <c r="AY14">
        <v>91720.7</v>
      </c>
      <c r="AZ14">
        <v>11508</v>
      </c>
      <c r="BA14">
        <v>4660</v>
      </c>
      <c r="BB14">
        <v>0</v>
      </c>
      <c r="BC14">
        <v>75525</v>
      </c>
      <c r="BD14">
        <v>91693</v>
      </c>
    </row>
    <row r="15" spans="1:56" x14ac:dyDescent="0.25">
      <c r="A15" s="1" t="s">
        <v>2359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76563.267514506268</v>
      </c>
      <c r="K15">
        <v>65702.255639097741</v>
      </c>
      <c r="L15">
        <v>43801.503759398503</v>
      </c>
      <c r="M15">
        <v>70794.973086997488</v>
      </c>
      <c r="N15">
        <v>0</v>
      </c>
      <c r="O15">
        <v>138223</v>
      </c>
      <c r="P15">
        <v>138223</v>
      </c>
      <c r="Q15">
        <v>0</v>
      </c>
      <c r="R15">
        <v>0</v>
      </c>
      <c r="S15">
        <v>0</v>
      </c>
      <c r="T15">
        <v>0</v>
      </c>
      <c r="U15">
        <v>1378</v>
      </c>
      <c r="V15">
        <v>3000</v>
      </c>
      <c r="W15">
        <v>14662</v>
      </c>
      <c r="X15">
        <v>19040</v>
      </c>
      <c r="Y15">
        <v>0</v>
      </c>
      <c r="Z15">
        <v>13726</v>
      </c>
      <c r="AA15">
        <v>101390</v>
      </c>
      <c r="AB15">
        <v>115116</v>
      </c>
      <c r="AC15">
        <v>0</v>
      </c>
      <c r="AD15">
        <v>4640</v>
      </c>
      <c r="AE15">
        <v>43758</v>
      </c>
      <c r="AF15">
        <v>0</v>
      </c>
      <c r="AG15">
        <v>48398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5660</v>
      </c>
      <c r="AP15">
        <v>10203</v>
      </c>
      <c r="AQ15">
        <v>15863</v>
      </c>
      <c r="AR15">
        <v>0</v>
      </c>
      <c r="AS15">
        <v>0</v>
      </c>
      <c r="AT15">
        <v>0</v>
      </c>
      <c r="AU15">
        <v>0</v>
      </c>
      <c r="AV15">
        <v>337624</v>
      </c>
      <c r="AW15">
        <v>0</v>
      </c>
      <c r="AX15">
        <v>198417</v>
      </c>
      <c r="AY15">
        <v>336640</v>
      </c>
      <c r="AZ15">
        <v>76563.267514506268</v>
      </c>
      <c r="BA15">
        <v>91106.255639097741</v>
      </c>
      <c r="BB15">
        <v>46801.503759398503</v>
      </c>
      <c r="BC15">
        <v>240807.97308699749</v>
      </c>
      <c r="BD15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لکه</vt:lpstr>
      <vt:lpstr>Sheet1</vt:lpstr>
      <vt:lpstr>ناحیه</vt:lpstr>
      <vt:lpstr>منطقه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Shirazi</cp:lastModifiedBy>
  <dcterms:created xsi:type="dcterms:W3CDTF">2021-01-04T11:01:18Z</dcterms:created>
  <dcterms:modified xsi:type="dcterms:W3CDTF">2021-01-05T16:24:02Z</dcterms:modified>
</cp:coreProperties>
</file>