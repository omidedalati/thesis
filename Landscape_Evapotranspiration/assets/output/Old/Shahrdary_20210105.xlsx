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ooya\Dropbox\Hydrotech\Landscape_Evapotranspiration\assets\report\"/>
    </mc:Choice>
  </mc:AlternateContent>
  <xr:revisionPtr revIDLastSave="0" documentId="13_ncr:1_{DF00A699-3313-4283-8A31-62831D941988}" xr6:coauthVersionLast="45" xr6:coauthVersionMax="45" xr10:uidLastSave="{00000000-0000-0000-0000-000000000000}"/>
  <bookViews>
    <workbookView xWindow="22932" yWindow="-108" windowWidth="23256" windowHeight="12576" activeTab="2" xr2:uid="{219C7FA2-49D3-427B-87CF-D5B9256F5224}"/>
  </bookViews>
  <sheets>
    <sheet name="روش ها" sheetId="1" r:id="rId1"/>
    <sheet name="هیدرومدول" sheetId="3" r:id="rId2"/>
    <sheet name="نتایج" sheetId="4" r:id="rId3"/>
  </sheets>
  <externalReferences>
    <externalReference r:id="rId4"/>
    <externalReference r:id="rId5"/>
  </externalReferences>
  <definedNames>
    <definedName name="_Key1" localSheetId="2" hidden="1">'[1]ضغد ءب آظنé '!#REF!</definedName>
    <definedName name="_Key1" hidden="1">'[1]ضغد ءب آظنé '!#REF!</definedName>
    <definedName name="_Order1" hidden="1">255</definedName>
    <definedName name="_Sort" hidden="1">'[1]ضغد ءب آظنé '!#REF!</definedName>
    <definedName name="çسçر76">[2]çسçرءهآس!$C$2:$J$39</definedName>
    <definedName name="Spots">#REF!</definedName>
    <definedName name="بسوآهè">[2]çسçرءهآس!$CY$83:$DD$97</definedName>
    <definedName name="مشآسطçسçرهآèآوè">[2]çسçرءهآس!$T$6:$AA$23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5" i="3" l="1"/>
  <c r="G12" i="3"/>
  <c r="L7" i="4" l="1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F13" i="3"/>
  <c r="E7" i="4" l="1"/>
  <c r="E8" i="4"/>
  <c r="E23" i="4" s="1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6" i="4"/>
  <c r="D23" i="4"/>
  <c r="E6" i="4"/>
  <c r="Q31" i="4" l="1"/>
  <c r="U30" i="4"/>
  <c r="R29" i="4"/>
  <c r="V29" i="4" s="1"/>
  <c r="R28" i="4"/>
  <c r="V28" i="4" s="1"/>
  <c r="V30" i="4" s="1"/>
  <c r="O30" i="4"/>
  <c r="N30" i="4"/>
  <c r="M30" i="4"/>
  <c r="K30" i="4"/>
  <c r="K28" i="4"/>
  <c r="K29" i="4"/>
  <c r="L30" i="4"/>
  <c r="J31" i="4"/>
  <c r="J30" i="4" s="1"/>
  <c r="I31" i="4"/>
  <c r="H30" i="4"/>
  <c r="G30" i="4"/>
  <c r="F30" i="4"/>
  <c r="E30" i="4"/>
  <c r="L31" i="4" l="1"/>
  <c r="R30" i="4"/>
  <c r="R31" i="4" s="1"/>
  <c r="I30" i="4"/>
  <c r="J28" i="4" l="1"/>
  <c r="J29" i="4" s="1"/>
  <c r="I28" i="4"/>
  <c r="I29" i="4" s="1"/>
  <c r="P29" i="4" l="1"/>
  <c r="P28" i="4"/>
  <c r="P30" i="4" s="1"/>
  <c r="Q30" i="4" s="1"/>
  <c r="U7" i="4" l="1"/>
  <c r="U8" i="4"/>
  <c r="U9" i="4"/>
  <c r="U10" i="4"/>
  <c r="U11" i="4"/>
  <c r="U12" i="4"/>
  <c r="U13" i="4"/>
  <c r="U14" i="4"/>
  <c r="U15" i="4"/>
  <c r="U16" i="4"/>
  <c r="U17" i="4"/>
  <c r="U18" i="4"/>
  <c r="U19" i="4"/>
  <c r="U20" i="4"/>
  <c r="U21" i="4"/>
  <c r="U22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N22" i="3"/>
  <c r="K22" i="3"/>
  <c r="J22" i="3"/>
  <c r="G22" i="3"/>
  <c r="E22" i="3"/>
  <c r="D22" i="3"/>
  <c r="C22" i="3"/>
  <c r="U6" i="4"/>
  <c r="R19" i="4" l="1"/>
  <c r="S19" i="4" s="1"/>
  <c r="T19" i="4" s="1"/>
  <c r="P20" i="4"/>
  <c r="P19" i="4"/>
  <c r="P22" i="4"/>
  <c r="P21" i="4"/>
  <c r="N6" i="4"/>
  <c r="M6" i="4"/>
  <c r="L6" i="4"/>
  <c r="G23" i="4"/>
  <c r="F23" i="4"/>
  <c r="K22" i="4"/>
  <c r="K21" i="4"/>
  <c r="Q20" i="4"/>
  <c r="R20" i="4" s="1"/>
  <c r="S20" i="4" s="1"/>
  <c r="T20" i="4" s="1"/>
  <c r="K20" i="4"/>
  <c r="K19" i="4"/>
  <c r="Q7" i="4"/>
  <c r="Q8" i="4" s="1"/>
  <c r="J7" i="4"/>
  <c r="I7" i="4"/>
  <c r="O6" i="4"/>
  <c r="V19" i="4" l="1"/>
  <c r="Q9" i="4"/>
  <c r="Q10" i="4" s="1"/>
  <c r="Q11" i="4" s="1"/>
  <c r="Q12" i="4" s="1"/>
  <c r="Q13" i="4" s="1"/>
  <c r="Q14" i="4" s="1"/>
  <c r="Q15" i="4" s="1"/>
  <c r="Q16" i="4" s="1"/>
  <c r="Q17" i="4" s="1"/>
  <c r="Q18" i="4" s="1"/>
  <c r="Q28" i="4"/>
  <c r="W19" i="4"/>
  <c r="R7" i="4"/>
  <c r="S7" i="4" s="1"/>
  <c r="T7" i="4" s="1"/>
  <c r="V20" i="4"/>
  <c r="P7" i="4"/>
  <c r="W20" i="4"/>
  <c r="K6" i="4"/>
  <c r="O23" i="4"/>
  <c r="N23" i="4"/>
  <c r="H23" i="4"/>
  <c r="P6" i="4"/>
  <c r="I8" i="4"/>
  <c r="R6" i="4"/>
  <c r="K7" i="4"/>
  <c r="Q21" i="4"/>
  <c r="R21" i="4" s="1"/>
  <c r="S21" i="4" s="1"/>
  <c r="T21" i="4" s="1"/>
  <c r="W21" i="4" s="1"/>
  <c r="L23" i="4"/>
  <c r="M23" i="4"/>
  <c r="J8" i="4"/>
  <c r="Q29" i="4" l="1"/>
  <c r="V7" i="4"/>
  <c r="V21" i="4"/>
  <c r="W7" i="4"/>
  <c r="R8" i="4"/>
  <c r="P8" i="4"/>
  <c r="J9" i="4"/>
  <c r="Q22" i="4"/>
  <c r="R22" i="4" s="1"/>
  <c r="V6" i="4"/>
  <c r="S6" i="4"/>
  <c r="T6" i="4" s="1"/>
  <c r="K8" i="4"/>
  <c r="I9" i="4"/>
  <c r="S28" i="4" l="1"/>
  <c r="S29" i="4"/>
  <c r="T29" i="4" s="1"/>
  <c r="S22" i="4"/>
  <c r="T22" i="4" s="1"/>
  <c r="W22" i="4" s="1"/>
  <c r="V22" i="4"/>
  <c r="R9" i="4"/>
  <c r="P9" i="4"/>
  <c r="V8" i="4"/>
  <c r="S8" i="4"/>
  <c r="T8" i="4" s="1"/>
  <c r="W8" i="4" s="1"/>
  <c r="Q24" i="4"/>
  <c r="I10" i="4"/>
  <c r="K9" i="4"/>
  <c r="J10" i="4"/>
  <c r="W29" i="4" l="1"/>
  <c r="T28" i="4"/>
  <c r="W28" i="4" s="1"/>
  <c r="S30" i="4"/>
  <c r="R10" i="4"/>
  <c r="P10" i="4"/>
  <c r="V9" i="4"/>
  <c r="S9" i="4"/>
  <c r="T9" i="4" s="1"/>
  <c r="W9" i="4" s="1"/>
  <c r="K10" i="4"/>
  <c r="I11" i="4"/>
  <c r="J11" i="4"/>
  <c r="W6" i="4"/>
  <c r="W30" i="4" l="1"/>
  <c r="W31" i="4" s="1"/>
  <c r="T30" i="4"/>
  <c r="T31" i="4" s="1"/>
  <c r="P11" i="4"/>
  <c r="R11" i="4"/>
  <c r="S10" i="4"/>
  <c r="T10" i="4" s="1"/>
  <c r="W10" i="4" s="1"/>
  <c r="V10" i="4"/>
  <c r="J12" i="4"/>
  <c r="K11" i="4"/>
  <c r="I12" i="4"/>
  <c r="V11" i="4" l="1"/>
  <c r="S11" i="4"/>
  <c r="T11" i="4" s="1"/>
  <c r="W11" i="4" s="1"/>
  <c r="R12" i="4"/>
  <c r="P12" i="4"/>
  <c r="I13" i="4"/>
  <c r="K12" i="4"/>
  <c r="J13" i="4"/>
  <c r="V12" i="4" l="1"/>
  <c r="S12" i="4"/>
  <c r="T12" i="4" s="1"/>
  <c r="W12" i="4" s="1"/>
  <c r="R13" i="4"/>
  <c r="P13" i="4"/>
  <c r="J14" i="4"/>
  <c r="K13" i="4"/>
  <c r="I14" i="4"/>
  <c r="V13" i="4" l="1"/>
  <c r="S13" i="4"/>
  <c r="R14" i="4"/>
  <c r="P14" i="4"/>
  <c r="I15" i="4"/>
  <c r="K14" i="4"/>
  <c r="J15" i="4"/>
  <c r="T13" i="4" l="1"/>
  <c r="P15" i="4"/>
  <c r="R15" i="4"/>
  <c r="V14" i="4"/>
  <c r="S14" i="4"/>
  <c r="T14" i="4" s="1"/>
  <c r="W14" i="4" s="1"/>
  <c r="J16" i="4"/>
  <c r="I16" i="4"/>
  <c r="K15" i="4"/>
  <c r="W13" i="4" l="1"/>
  <c r="V15" i="4"/>
  <c r="S15" i="4"/>
  <c r="T15" i="4" s="1"/>
  <c r="W15" i="4" s="1"/>
  <c r="R16" i="4"/>
  <c r="P16" i="4"/>
  <c r="J17" i="4"/>
  <c r="I17" i="4"/>
  <c r="K16" i="4"/>
  <c r="V16" i="4" l="1"/>
  <c r="S16" i="4"/>
  <c r="T16" i="4" s="1"/>
  <c r="W16" i="4" s="1"/>
  <c r="R17" i="4"/>
  <c r="P17" i="4"/>
  <c r="I18" i="4"/>
  <c r="K17" i="4"/>
  <c r="J18" i="4"/>
  <c r="V17" i="4" l="1"/>
  <c r="S17" i="4"/>
  <c r="T17" i="4" s="1"/>
  <c r="W17" i="4" s="1"/>
  <c r="R18" i="4"/>
  <c r="P18" i="4"/>
  <c r="P23" i="4" s="1"/>
  <c r="Q23" i="4" s="1"/>
  <c r="K18" i="4"/>
  <c r="I24" i="4"/>
  <c r="J24" i="4"/>
  <c r="V18" i="4" l="1"/>
  <c r="S18" i="4"/>
  <c r="T18" i="4" s="1"/>
  <c r="W18" i="4" s="1"/>
  <c r="R23" i="4"/>
  <c r="R24" i="4" s="1"/>
  <c r="I23" i="4"/>
  <c r="J23" i="4" s="1"/>
  <c r="K23" i="4"/>
  <c r="U23" i="4" l="1"/>
  <c r="V23" i="4"/>
  <c r="S23" i="4"/>
  <c r="L24" i="4" l="1"/>
  <c r="W23" i="4"/>
  <c r="W24" i="4" s="1"/>
  <c r="T23" i="4"/>
  <c r="T24" i="4" s="1"/>
  <c r="F19" i="3" l="1"/>
  <c r="F20" i="3"/>
  <c r="F21" i="3"/>
  <c r="F18" i="3"/>
  <c r="I6" i="3"/>
  <c r="H6" i="3" s="1"/>
  <c r="I7" i="3"/>
  <c r="H7" i="3" s="1"/>
  <c r="I8" i="3"/>
  <c r="H8" i="3" s="1"/>
  <c r="I9" i="3"/>
  <c r="H9" i="3" s="1"/>
  <c r="I10" i="3"/>
  <c r="H10" i="3" s="1"/>
  <c r="I11" i="3"/>
  <c r="H11" i="3" s="1"/>
  <c r="I12" i="3"/>
  <c r="H12" i="3" s="1"/>
  <c r="I13" i="3"/>
  <c r="H13" i="3" s="1"/>
  <c r="I14" i="3"/>
  <c r="H14" i="3" s="1"/>
  <c r="I15" i="3"/>
  <c r="H15" i="3" s="1"/>
  <c r="I16" i="3"/>
  <c r="H16" i="3" s="1"/>
  <c r="I17" i="3"/>
  <c r="H17" i="3" s="1"/>
  <c r="I5" i="3"/>
  <c r="M6" i="3"/>
  <c r="L6" i="3" s="1"/>
  <c r="M7" i="3"/>
  <c r="L7" i="3" s="1"/>
  <c r="M8" i="3"/>
  <c r="L8" i="3" s="1"/>
  <c r="M9" i="3"/>
  <c r="L9" i="3" s="1"/>
  <c r="M10" i="3"/>
  <c r="L10" i="3" s="1"/>
  <c r="M11" i="3"/>
  <c r="L11" i="3" s="1"/>
  <c r="M12" i="3"/>
  <c r="L12" i="3" s="1"/>
  <c r="M13" i="3"/>
  <c r="L13" i="3" s="1"/>
  <c r="M14" i="3"/>
  <c r="L14" i="3" s="1"/>
  <c r="M15" i="3"/>
  <c r="L15" i="3" s="1"/>
  <c r="M16" i="3"/>
  <c r="L16" i="3" s="1"/>
  <c r="M17" i="3"/>
  <c r="L17" i="3" s="1"/>
  <c r="M5" i="3"/>
  <c r="F17" i="3"/>
  <c r="F16" i="3"/>
  <c r="F15" i="3"/>
  <c r="F14" i="3"/>
  <c r="F12" i="3"/>
  <c r="F11" i="3"/>
  <c r="F10" i="3"/>
  <c r="F9" i="3"/>
  <c r="F8" i="3"/>
  <c r="F7" i="3"/>
  <c r="F6" i="3"/>
  <c r="F5" i="3"/>
  <c r="L5" i="3" l="1"/>
  <c r="L22" i="3" s="1"/>
  <c r="M22" i="3"/>
  <c r="H5" i="3"/>
  <c r="I22" i="3"/>
  <c r="H22" i="3"/>
  <c r="F22" i="3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5" i="1"/>
  <c r="F6" i="1"/>
  <c r="F7" i="1"/>
  <c r="F8" i="1"/>
  <c r="F9" i="1"/>
  <c r="F10" i="1"/>
  <c r="F11" i="1"/>
  <c r="F12" i="1"/>
  <c r="F19" i="1" s="1"/>
  <c r="F13" i="1"/>
  <c r="F14" i="1"/>
  <c r="F15" i="1"/>
  <c r="F16" i="1"/>
  <c r="F17" i="1"/>
  <c r="F18" i="1"/>
  <c r="F5" i="1"/>
  <c r="I19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5" i="1"/>
  <c r="K19" i="1"/>
  <c r="J19" i="1"/>
  <c r="H19" i="1"/>
  <c r="G19" i="1"/>
  <c r="D19" i="1"/>
  <c r="E19" i="1"/>
  <c r="C19" i="1"/>
  <c r="L19" i="1" l="1"/>
</calcChain>
</file>

<file path=xl/sharedStrings.xml><?xml version="1.0" encoding="utf-8"?>
<sst xmlns="http://schemas.openxmlformats.org/spreadsheetml/2006/main" count="141" uniqueCount="56">
  <si>
    <t>منطقه شهرداری</t>
  </si>
  <si>
    <t>مساحت</t>
  </si>
  <si>
    <t>هکتار</t>
  </si>
  <si>
    <t>هزار متر مکعب</t>
  </si>
  <si>
    <t>نیاز آبیاری سالانه</t>
  </si>
  <si>
    <t>جمع کل</t>
  </si>
  <si>
    <t>نیاز آبیاری
 ماه اوج</t>
  </si>
  <si>
    <t>هیدرومودول
ماه اوج</t>
  </si>
  <si>
    <t>لیتر در ثانیه در هکتار</t>
  </si>
  <si>
    <t>روش دفتر محیط زیست</t>
  </si>
  <si>
    <t>روش سه ضریبی</t>
  </si>
  <si>
    <t>لکه‏های موجود</t>
  </si>
  <si>
    <t>لکه‏های طرح تفصیلی</t>
  </si>
  <si>
    <t>لکه‏های طرح توسعه</t>
  </si>
  <si>
    <t>روش دفتر محیط زیست - تغییر Kd درخت</t>
  </si>
  <si>
    <t>هیدرومدول
ماه اوج</t>
  </si>
  <si>
    <t>برآورد آب موردنیاز آبیاری و خدمات شهری در مناطق شهری</t>
  </si>
  <si>
    <t>منطقه</t>
  </si>
  <si>
    <r>
      <t xml:space="preserve">سطح کاربری فضای سبز؛ </t>
    </r>
    <r>
      <rPr>
        <b/>
        <sz val="12"/>
        <color theme="1"/>
        <rFont val="B Mitra"/>
        <charset val="178"/>
      </rPr>
      <t>هکتار</t>
    </r>
  </si>
  <si>
    <t>توسعهء تکمیلی فضای سبز</t>
  </si>
  <si>
    <t>سهم فضاهای سبز متفرقه</t>
  </si>
  <si>
    <r>
      <t xml:space="preserve">فضای سبز مبنای طراحی؛
</t>
    </r>
    <r>
      <rPr>
        <sz val="14"/>
        <color rgb="FF680000"/>
        <rFont val="B Mitra"/>
        <charset val="178"/>
      </rPr>
      <t>هکتار</t>
    </r>
  </si>
  <si>
    <t>نیاز آبیاری ماه اوج؛ لیتردرثانیه</t>
  </si>
  <si>
    <t>نیاز آبیاری؛ هزارمترمکعب</t>
  </si>
  <si>
    <t>ظرفیت واحد ماه اوج</t>
  </si>
  <si>
    <t>وضعِ موجود</t>
  </si>
  <si>
    <t>درحال توسعه‌</t>
  </si>
  <si>
    <t>طرح تفصیلی</t>
  </si>
  <si>
    <t>پهنه‌های ‌توسعه‌نیافته</t>
  </si>
  <si>
    <t>وضع موجود</t>
  </si>
  <si>
    <t>توسعه متفرقه و تکمیلی</t>
  </si>
  <si>
    <t>خدمات غیرآبیاری</t>
  </si>
  <si>
    <t>مبنای طراحی</t>
  </si>
  <si>
    <t>ماه اوج</t>
  </si>
  <si>
    <t>سالانه</t>
  </si>
  <si>
    <t>سهم ماه اوج نسبت به سال</t>
  </si>
  <si>
    <t>لیتردرثانیه
 درهکتار</t>
  </si>
  <si>
    <t>مترمکعب
 در هکتار</t>
  </si>
  <si>
    <t>-</t>
  </si>
  <si>
    <t>حجم نیاز سالانه</t>
  </si>
  <si>
    <t>میلیون مترمکعب</t>
  </si>
  <si>
    <t>سازمان پارک‏ها</t>
  </si>
  <si>
    <t>مساحت محاسبه نیاز آبیاری</t>
  </si>
  <si>
    <t>کمربند</t>
  </si>
  <si>
    <t>میادین</t>
  </si>
  <si>
    <t>لچکی ها</t>
  </si>
  <si>
    <t>آیلند های بزرگراه</t>
  </si>
  <si>
    <t>آیلند ها</t>
  </si>
  <si>
    <t>حاشیه های بزرگراه</t>
  </si>
  <si>
    <t>حاشیه معابر</t>
  </si>
  <si>
    <t>پارک های زیر 6 هکتار</t>
  </si>
  <si>
    <t>پارک های بین 6 تا 10 هکتار</t>
  </si>
  <si>
    <t>پارک های بالای 10 هکتار</t>
  </si>
  <si>
    <t>جنگل کاری داخل محدوده</t>
  </si>
  <si>
    <t>کمربند سبز حفاظتی</t>
  </si>
  <si>
    <t>هیدرومدول ماه اوج (لیتر در ثانیه در هکتار)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</si>
</sst>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.0_);_(* \(#,##0.0\);_(* &quot;-&quot;??_);_(@_)"/>
    <numFmt numFmtId="165" formatCode="_(* #,##0_);_(* \(#,##0\);_(* &quot;-&quot;??_);_(@_)"/>
    <numFmt numFmtId="166" formatCode="#,##0.0"/>
    <numFmt numFmtId="167" formatCode="0.0"/>
  </numFmts>
  <fonts count="3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B Zar"/>
      <charset val="178"/>
    </font>
    <font>
      <b/>
      <sz val="10"/>
      <color theme="1"/>
      <name val="B Zar"/>
      <charset val="178"/>
    </font>
    <font>
      <sz val="12"/>
      <color theme="1"/>
      <name val="B Zar"/>
      <charset val="178"/>
    </font>
    <font>
      <b/>
      <sz val="12"/>
      <color theme="1"/>
      <name val="B Zar"/>
      <charset val="178"/>
    </font>
    <font>
      <b/>
      <sz val="10"/>
      <color rgb="FFFF0000"/>
      <name val="B Zar"/>
      <charset val="178"/>
    </font>
    <font>
      <sz val="11"/>
      <color theme="1"/>
      <name val="B Titr"/>
      <charset val="178"/>
    </font>
    <font>
      <sz val="16"/>
      <color rgb="FFC00000"/>
      <name val="B Mitra"/>
      <charset val="178"/>
    </font>
    <font>
      <sz val="11"/>
      <color rgb="FF000000"/>
      <name val="Calibri"/>
      <family val="2"/>
      <charset val="1"/>
    </font>
    <font>
      <b/>
      <sz val="12"/>
      <color theme="1"/>
      <name val="B Mitra"/>
      <charset val="178"/>
    </font>
    <font>
      <b/>
      <sz val="14"/>
      <color theme="1"/>
      <name val="B Mitra"/>
      <charset val="178"/>
    </font>
    <font>
      <b/>
      <sz val="11"/>
      <color rgb="FF002A7E"/>
      <name val="B Mitra"/>
      <charset val="178"/>
    </font>
    <font>
      <b/>
      <sz val="14"/>
      <color rgb="FF680000"/>
      <name val="B Mitra"/>
      <charset val="178"/>
    </font>
    <font>
      <sz val="14"/>
      <color rgb="FF680000"/>
      <name val="B Mitra"/>
      <charset val="178"/>
    </font>
    <font>
      <sz val="11"/>
      <color theme="1"/>
      <name val="Calibri"/>
      <family val="2"/>
      <charset val="178"/>
      <scheme val="minor"/>
    </font>
    <font>
      <sz val="12"/>
      <color theme="1"/>
      <name val="B Mitra"/>
      <charset val="178"/>
    </font>
    <font>
      <sz val="14"/>
      <color theme="1"/>
      <name val="B Mitra"/>
      <charset val="178"/>
    </font>
    <font>
      <b/>
      <sz val="16"/>
      <color rgb="FFC00000"/>
      <name val="B Nazanin"/>
      <charset val="178"/>
    </font>
    <font>
      <b/>
      <sz val="18"/>
      <color rgb="FF0000CC"/>
      <name val="B Titr"/>
      <charset val="178"/>
    </font>
    <font>
      <b/>
      <sz val="18"/>
      <color rgb="FF680000"/>
      <name val="B Roya"/>
      <charset val="178"/>
    </font>
    <font>
      <b/>
      <sz val="16"/>
      <color rgb="FF0000CC"/>
      <name val="B Nazanin"/>
      <charset val="178"/>
    </font>
    <font>
      <sz val="16"/>
      <color rgb="FFC00000"/>
      <name val="B Titr"/>
      <charset val="178"/>
    </font>
    <font>
      <sz val="18"/>
      <color rgb="FFC00000"/>
      <name val="B Nazanin"/>
      <charset val="178"/>
    </font>
    <font>
      <sz val="18"/>
      <color rgb="FF680000"/>
      <name val="B Mitra"/>
      <charset val="178"/>
    </font>
    <font>
      <sz val="11"/>
      <color indexed="8"/>
      <name val="Calibri"/>
      <family val="2"/>
      <charset val="178"/>
    </font>
    <font>
      <sz val="18"/>
      <color rgb="FF680000"/>
      <name val="B Roya"/>
      <charset val="178"/>
    </font>
    <font>
      <b/>
      <sz val="16"/>
      <color rgb="FF680000"/>
      <name val="B Titr"/>
      <charset val="178"/>
    </font>
    <font>
      <sz val="16"/>
      <color rgb="FFC00000"/>
      <name val="B Roya"/>
      <charset val="178"/>
    </font>
    <font>
      <b/>
      <sz val="14"/>
      <color rgb="FFC00000"/>
      <name val="B Titr"/>
      <charset val="178"/>
    </font>
    <font>
      <sz val="18"/>
      <color rgb="FF540000"/>
      <name val="B Nazanin"/>
      <charset val="178"/>
    </font>
    <font>
      <b/>
      <sz val="18"/>
      <color rgb="FF540000"/>
      <name val="B Roya"/>
      <charset val="178"/>
    </font>
    <font>
      <sz val="16"/>
      <color rgb="FF680000"/>
      <name val="B Titr"/>
      <charset val="178"/>
    </font>
    <font>
      <sz val="18"/>
      <color rgb="FFC00000"/>
      <name val="B Mitra"/>
      <charset val="178"/>
    </font>
    <font>
      <sz val="14"/>
      <color rgb="FF000099"/>
      <name val="B Titr"/>
      <charset val="178"/>
    </font>
    <font>
      <sz val="18"/>
      <color rgb="FF680000"/>
      <name val="B Titr"/>
      <charset val="178"/>
    </font>
    <font>
      <sz val="18"/>
      <color theme="1"/>
      <name val="B Nazanin"/>
      <charset val="178"/>
    </font>
    <font>
      <sz val="12"/>
      <color theme="1"/>
      <name val="B Koodak"/>
      <charset val="178"/>
    </font>
  </fonts>
  <fills count="1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rgb="FFDEE6EF"/>
      </patternFill>
    </fill>
    <fill>
      <patternFill patternType="solid">
        <fgColor rgb="FFB5EEA6"/>
        <bgColor rgb="FFDEE6EF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B5EEA6"/>
        <bgColor indexed="64"/>
      </patternFill>
    </fill>
    <fill>
      <patternFill patternType="solid">
        <fgColor theme="6" tint="0.59999389629810485"/>
        <bgColor indexed="64"/>
      </patternFill>
    </fill>
  </fills>
  <borders count="5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auto="1"/>
      </top>
      <bottom style="dotted">
        <color auto="1"/>
      </bottom>
      <diagonal/>
    </border>
    <border>
      <left style="dotted">
        <color auto="1"/>
      </left>
      <right/>
      <top style="thin">
        <color auto="1"/>
      </top>
      <bottom/>
      <diagonal/>
    </border>
    <border>
      <left/>
      <right style="dotted">
        <color auto="1"/>
      </right>
      <top style="thin">
        <color auto="1"/>
      </top>
      <bottom/>
      <diagonal/>
    </border>
    <border>
      <left style="dotted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auto="1"/>
      </top>
      <bottom style="dotted">
        <color auto="1"/>
      </bottom>
      <diagonal/>
    </border>
    <border>
      <left/>
      <right style="thin">
        <color indexed="64"/>
      </right>
      <top style="thin">
        <color auto="1"/>
      </top>
      <bottom style="dotted">
        <color auto="1"/>
      </bottom>
      <diagonal/>
    </border>
    <border>
      <left/>
      <right/>
      <top style="dotted">
        <color auto="1"/>
      </top>
      <bottom style="thin">
        <color auto="1"/>
      </bottom>
      <diagonal/>
    </border>
    <border>
      <left style="dotted">
        <color indexed="64"/>
      </left>
      <right/>
      <top/>
      <bottom style="thin">
        <color indexed="64"/>
      </bottom>
      <diagonal/>
    </border>
    <border>
      <left/>
      <right style="dotted">
        <color indexed="64"/>
      </right>
      <top/>
      <bottom style="thin">
        <color indexed="64"/>
      </bottom>
      <diagonal/>
    </border>
    <border>
      <left style="dotted">
        <color auto="1"/>
      </left>
      <right style="thin">
        <color auto="1"/>
      </right>
      <top/>
      <bottom style="thin">
        <color indexed="64"/>
      </bottom>
      <diagonal/>
    </border>
    <border>
      <left style="dotted">
        <color indexed="64"/>
      </left>
      <right/>
      <top style="dotted">
        <color auto="1"/>
      </top>
      <bottom style="thin">
        <color auto="1"/>
      </bottom>
      <diagonal/>
    </border>
    <border>
      <left/>
      <right style="dotted">
        <color auto="1"/>
      </right>
      <top style="dotted">
        <color auto="1"/>
      </top>
      <bottom style="thin">
        <color indexed="64"/>
      </bottom>
      <diagonal/>
    </border>
    <border>
      <left style="thin">
        <color auto="1"/>
      </left>
      <right/>
      <top style="dotted">
        <color auto="1"/>
      </top>
      <bottom style="thin">
        <color auto="1"/>
      </bottom>
      <diagonal/>
    </border>
    <border>
      <left style="dotted">
        <color auto="1"/>
      </left>
      <right style="thin">
        <color auto="1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auto="1"/>
      </top>
      <bottom/>
      <diagonal/>
    </border>
    <border>
      <left/>
      <right/>
      <top style="dotted">
        <color auto="1"/>
      </top>
      <bottom/>
      <diagonal/>
    </border>
    <border>
      <left style="dotted">
        <color indexed="64"/>
      </left>
      <right/>
      <top style="dotted">
        <color auto="1"/>
      </top>
      <bottom/>
      <diagonal/>
    </border>
    <border>
      <left style="dotted">
        <color auto="1"/>
      </left>
      <right style="thin">
        <color auto="1"/>
      </right>
      <top style="dotted">
        <color auto="1"/>
      </top>
      <bottom/>
      <diagonal/>
    </border>
    <border>
      <left/>
      <right style="dotted">
        <color indexed="64"/>
      </right>
      <top style="dotted">
        <color auto="1"/>
      </top>
      <bottom/>
      <diagonal/>
    </border>
    <border>
      <left style="thin">
        <color indexed="64"/>
      </left>
      <right/>
      <top style="dotted">
        <color auto="1"/>
      </top>
      <bottom/>
      <diagonal/>
    </border>
    <border>
      <left style="dotted">
        <color indexed="64"/>
      </left>
      <right/>
      <top/>
      <bottom/>
      <diagonal/>
    </border>
    <border>
      <left style="dotted">
        <color auto="1"/>
      </left>
      <right style="thin">
        <color auto="1"/>
      </right>
      <top/>
      <bottom/>
      <diagonal/>
    </border>
    <border>
      <left/>
      <right style="dotted">
        <color indexed="64"/>
      </right>
      <top/>
      <bottom/>
      <diagonal/>
    </border>
    <border>
      <left/>
      <right style="thin">
        <color indexed="64"/>
      </right>
      <top/>
      <bottom style="dotted">
        <color auto="1"/>
      </bottom>
      <diagonal/>
    </border>
    <border>
      <left/>
      <right/>
      <top/>
      <bottom style="dotted">
        <color auto="1"/>
      </bottom>
      <diagonal/>
    </border>
    <border>
      <left style="dotted">
        <color indexed="64"/>
      </left>
      <right/>
      <top/>
      <bottom style="dotted">
        <color auto="1"/>
      </bottom>
      <diagonal/>
    </border>
    <border>
      <left style="dotted">
        <color auto="1"/>
      </left>
      <right style="thin">
        <color auto="1"/>
      </right>
      <top/>
      <bottom style="dotted">
        <color auto="1"/>
      </bottom>
      <diagonal/>
    </border>
    <border>
      <left/>
      <right style="dotted">
        <color indexed="64"/>
      </right>
      <top/>
      <bottom style="dotted">
        <color auto="1"/>
      </bottom>
      <diagonal/>
    </border>
    <border>
      <left style="thin">
        <color indexed="64"/>
      </left>
      <right/>
      <top/>
      <bottom style="dotted">
        <color auto="1"/>
      </bottom>
      <diagonal/>
    </border>
    <border>
      <left/>
      <right style="thin">
        <color auto="1"/>
      </right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 style="dotted">
        <color indexed="64"/>
      </left>
      <right/>
      <top style="dotted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/>
      <top style="dotted">
        <color auto="1"/>
      </top>
      <bottom style="dotted">
        <color auto="1"/>
      </bottom>
      <diagonal/>
    </border>
    <border>
      <left style="dotted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 style="thin">
        <color indexed="64"/>
      </bottom>
      <diagonal/>
    </border>
    <border>
      <left style="dotted">
        <color indexed="64"/>
      </left>
      <right/>
      <top style="thin">
        <color indexed="64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thin">
        <color indexed="64"/>
      </top>
      <bottom style="dotted">
        <color auto="1"/>
      </bottom>
      <diagonal/>
    </border>
    <border>
      <left/>
      <right style="dotted">
        <color auto="1"/>
      </right>
      <top style="thin">
        <color indexed="64"/>
      </top>
      <bottom style="dotted">
        <color auto="1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0" fontId="1" fillId="0" borderId="0"/>
    <xf numFmtId="0" fontId="9" fillId="0" borderId="0"/>
    <xf numFmtId="0" fontId="15" fillId="0" borderId="0"/>
    <xf numFmtId="9" fontId="1" fillId="0" borderId="0" applyFont="0" applyFill="0" applyBorder="0" applyAlignment="0" applyProtection="0"/>
    <xf numFmtId="9" fontId="25" fillId="0" borderId="0" applyFont="0" applyFill="0" applyBorder="0" applyAlignment="0" applyProtection="0"/>
  </cellStyleXfs>
  <cellXfs count="23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top" wrapText="1"/>
    </xf>
    <xf numFmtId="0" fontId="2" fillId="4" borderId="0" xfId="0" applyFont="1" applyFill="1" applyAlignment="1">
      <alignment horizontal="center" vertical="center"/>
    </xf>
    <xf numFmtId="165" fontId="4" fillId="4" borderId="1" xfId="1" applyNumberFormat="1" applyFont="1" applyFill="1" applyBorder="1" applyAlignment="1">
      <alignment horizontal="center" vertical="center"/>
    </xf>
    <xf numFmtId="165" fontId="5" fillId="3" borderId="2" xfId="1" applyNumberFormat="1" applyFont="1" applyFill="1" applyBorder="1" applyAlignment="1">
      <alignment horizontal="center" vertical="center"/>
    </xf>
    <xf numFmtId="164" fontId="4" fillId="4" borderId="5" xfId="1" applyNumberFormat="1" applyFont="1" applyFill="1" applyBorder="1" applyAlignment="1">
      <alignment horizontal="center" vertical="center"/>
    </xf>
    <xf numFmtId="164" fontId="4" fillId="4" borderId="6" xfId="1" applyNumberFormat="1" applyFont="1" applyFill="1" applyBorder="1" applyAlignment="1">
      <alignment horizontal="center" vertical="center"/>
    </xf>
    <xf numFmtId="164" fontId="4" fillId="4" borderId="7" xfId="1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top" wrapText="1"/>
    </xf>
    <xf numFmtId="0" fontId="2" fillId="2" borderId="7" xfId="0" applyFont="1" applyFill="1" applyBorder="1" applyAlignment="1">
      <alignment horizontal="center" vertical="center"/>
    </xf>
    <xf numFmtId="165" fontId="4" fillId="4" borderId="0" xfId="1" applyNumberFormat="1" applyFont="1" applyFill="1" applyBorder="1" applyAlignment="1">
      <alignment horizontal="center" vertical="center"/>
    </xf>
    <xf numFmtId="2" fontId="4" fillId="4" borderId="6" xfId="1" applyNumberFormat="1" applyFont="1" applyFill="1" applyBorder="1" applyAlignment="1">
      <alignment horizontal="center" vertical="center"/>
    </xf>
    <xf numFmtId="2" fontId="5" fillId="3" borderId="4" xfId="0" applyNumberFormat="1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top" wrapText="1"/>
    </xf>
    <xf numFmtId="0" fontId="2" fillId="2" borderId="9" xfId="0" applyFont="1" applyFill="1" applyBorder="1" applyAlignment="1">
      <alignment horizontal="center" vertical="center"/>
    </xf>
    <xf numFmtId="165" fontId="4" fillId="4" borderId="10" xfId="1" applyNumberFormat="1" applyFont="1" applyFill="1" applyBorder="1" applyAlignment="1">
      <alignment horizontal="center" vertical="center"/>
    </xf>
    <xf numFmtId="165" fontId="4" fillId="4" borderId="9" xfId="1" applyNumberFormat="1" applyFont="1" applyFill="1" applyBorder="1" applyAlignment="1">
      <alignment horizontal="center" vertical="center"/>
    </xf>
    <xf numFmtId="165" fontId="5" fillId="3" borderId="11" xfId="1" applyNumberFormat="1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 wrapText="1"/>
    </xf>
    <xf numFmtId="165" fontId="5" fillId="3" borderId="4" xfId="0" applyNumberFormat="1" applyFont="1" applyFill="1" applyBorder="1" applyAlignment="1">
      <alignment horizontal="center" vertical="center"/>
    </xf>
    <xf numFmtId="165" fontId="4" fillId="4" borderId="0" xfId="1" applyNumberFormat="1" applyFont="1" applyFill="1" applyBorder="1" applyAlignment="1">
      <alignment horizontal="right" vertical="center" indent="1"/>
    </xf>
    <xf numFmtId="165" fontId="4" fillId="4" borderId="1" xfId="1" applyNumberFormat="1" applyFont="1" applyFill="1" applyBorder="1" applyAlignment="1">
      <alignment horizontal="right" vertical="center" indent="1"/>
    </xf>
    <xf numFmtId="165" fontId="4" fillId="4" borderId="10" xfId="1" applyNumberFormat="1" applyFont="1" applyFill="1" applyBorder="1" applyAlignment="1">
      <alignment horizontal="right" vertical="center" indent="1"/>
    </xf>
    <xf numFmtId="165" fontId="4" fillId="4" borderId="9" xfId="1" applyNumberFormat="1" applyFont="1" applyFill="1" applyBorder="1" applyAlignment="1">
      <alignment horizontal="right" vertical="center" indent="1"/>
    </xf>
    <xf numFmtId="0" fontId="2" fillId="2" borderId="1" xfId="0" applyFont="1" applyFill="1" applyBorder="1" applyAlignment="1">
      <alignment horizontal="center" vertical="center" wrapText="1"/>
    </xf>
    <xf numFmtId="164" fontId="4" fillId="4" borderId="3" xfId="1" applyNumberFormat="1" applyFont="1" applyFill="1" applyBorder="1" applyAlignment="1">
      <alignment horizontal="center" vertical="center"/>
    </xf>
    <xf numFmtId="164" fontId="4" fillId="4" borderId="0" xfId="1" applyNumberFormat="1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 wrapText="1"/>
    </xf>
    <xf numFmtId="164" fontId="4" fillId="4" borderId="8" xfId="1" applyNumberFormat="1" applyFont="1" applyFill="1" applyBorder="1" applyAlignment="1">
      <alignment horizontal="center" vertical="center"/>
    </xf>
    <xf numFmtId="164" fontId="4" fillId="4" borderId="10" xfId="1" applyNumberFormat="1" applyFont="1" applyFill="1" applyBorder="1" applyAlignment="1">
      <alignment horizontal="center" vertical="center"/>
    </xf>
    <xf numFmtId="164" fontId="4" fillId="4" borderId="9" xfId="1" applyNumberFormat="1" applyFont="1" applyFill="1" applyBorder="1" applyAlignment="1">
      <alignment horizontal="center" vertical="center"/>
    </xf>
    <xf numFmtId="4" fontId="2" fillId="4" borderId="0" xfId="0" applyNumberFormat="1" applyFont="1" applyFill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165" fontId="4" fillId="4" borderId="3" xfId="1" applyNumberFormat="1" applyFont="1" applyFill="1" applyBorder="1" applyAlignment="1">
      <alignment horizontal="right" vertical="center" indent="1"/>
    </xf>
    <xf numFmtId="165" fontId="4" fillId="4" borderId="3" xfId="1" applyNumberFormat="1" applyFont="1" applyFill="1" applyBorder="1" applyAlignment="1">
      <alignment horizontal="center" vertical="center"/>
    </xf>
    <xf numFmtId="2" fontId="4" fillId="4" borderId="5" xfId="1" applyNumberFormat="1" applyFont="1" applyFill="1" applyBorder="1" applyAlignment="1">
      <alignment horizontal="center" vertical="center"/>
    </xf>
    <xf numFmtId="2" fontId="4" fillId="4" borderId="7" xfId="1" applyNumberFormat="1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165" fontId="5" fillId="3" borderId="1" xfId="0" applyNumberFormat="1" applyFont="1" applyFill="1" applyBorder="1" applyAlignment="1">
      <alignment horizontal="center" vertical="center"/>
    </xf>
    <xf numFmtId="165" fontId="5" fillId="3" borderId="1" xfId="1" applyNumberFormat="1" applyFont="1" applyFill="1" applyBorder="1" applyAlignment="1">
      <alignment horizontal="center" vertical="center"/>
    </xf>
    <xf numFmtId="2" fontId="5" fillId="3" borderId="7" xfId="0" applyNumberFormat="1" applyFont="1" applyFill="1" applyBorder="1" applyAlignment="1">
      <alignment horizontal="center" vertical="center"/>
    </xf>
    <xf numFmtId="165" fontId="5" fillId="3" borderId="9" xfId="0" applyNumberFormat="1" applyFont="1" applyFill="1" applyBorder="1" applyAlignment="1">
      <alignment horizontal="center" vertical="center"/>
    </xf>
    <xf numFmtId="0" fontId="1" fillId="4" borderId="0" xfId="2" applyFill="1"/>
    <xf numFmtId="0" fontId="7" fillId="4" borderId="0" xfId="2" applyFont="1" applyFill="1"/>
    <xf numFmtId="0" fontId="8" fillId="4" borderId="0" xfId="2" applyFont="1" applyFill="1" applyAlignment="1">
      <alignment horizontal="right" vertical="center" indent="1"/>
    </xf>
    <xf numFmtId="0" fontId="11" fillId="8" borderId="21" xfId="3" applyFont="1" applyFill="1" applyBorder="1" applyAlignment="1">
      <alignment horizontal="center" vertical="center" wrapText="1" readingOrder="2"/>
    </xf>
    <xf numFmtId="0" fontId="17" fillId="8" borderId="21" xfId="3" applyFont="1" applyFill="1" applyBorder="1" applyAlignment="1">
      <alignment horizontal="center" vertical="center" wrapText="1" readingOrder="2"/>
    </xf>
    <xf numFmtId="0" fontId="11" fillId="8" borderId="1" xfId="3" applyFont="1" applyFill="1" applyBorder="1" applyAlignment="1">
      <alignment horizontal="center" vertical="center" wrapText="1" readingOrder="2"/>
    </xf>
    <xf numFmtId="0" fontId="17" fillId="8" borderId="1" xfId="3" applyFont="1" applyFill="1" applyBorder="1" applyAlignment="1">
      <alignment horizontal="center" vertical="center" wrapText="1" readingOrder="2"/>
    </xf>
    <xf numFmtId="0" fontId="17" fillId="8" borderId="25" xfId="3" applyFont="1" applyFill="1" applyBorder="1" applyAlignment="1">
      <alignment horizontal="center" vertical="center" wrapText="1" readingOrder="2"/>
    </xf>
    <xf numFmtId="3" fontId="12" fillId="6" borderId="26" xfId="3" applyNumberFormat="1" applyFont="1" applyFill="1" applyBorder="1" applyAlignment="1">
      <alignment horizontal="center" vertical="center" wrapText="1"/>
    </xf>
    <xf numFmtId="0" fontId="13" fillId="9" borderId="24" xfId="3" applyFont="1" applyFill="1" applyBorder="1" applyAlignment="1">
      <alignment horizontal="center" vertical="center" wrapText="1" readingOrder="2"/>
    </xf>
    <xf numFmtId="0" fontId="17" fillId="8" borderId="27" xfId="3" applyFont="1" applyFill="1" applyBorder="1" applyAlignment="1">
      <alignment horizontal="center" vertical="center" wrapText="1" readingOrder="2"/>
    </xf>
    <xf numFmtId="0" fontId="16" fillId="8" borderId="28" xfId="4" applyFont="1" applyFill="1" applyBorder="1" applyAlignment="1">
      <alignment horizontal="center" vertical="top" wrapText="1"/>
    </xf>
    <xf numFmtId="0" fontId="16" fillId="8" borderId="29" xfId="4" applyFont="1" applyFill="1" applyBorder="1" applyAlignment="1">
      <alignment horizontal="center" vertical="top" wrapText="1"/>
    </xf>
    <xf numFmtId="9" fontId="18" fillId="4" borderId="15" xfId="5" applyFont="1" applyFill="1" applyBorder="1" applyAlignment="1">
      <alignment horizontal="center" vertical="center" readingOrder="1"/>
    </xf>
    <xf numFmtId="0" fontId="19" fillId="4" borderId="30" xfId="3" applyFont="1" applyFill="1" applyBorder="1" applyAlignment="1">
      <alignment horizontal="center" vertical="center" readingOrder="2"/>
    </xf>
    <xf numFmtId="166" fontId="20" fillId="4" borderId="31" xfId="3" applyNumberFormat="1" applyFont="1" applyFill="1" applyBorder="1" applyAlignment="1">
      <alignment horizontal="right" vertical="center" indent="1" readingOrder="2"/>
    </xf>
    <xf numFmtId="9" fontId="21" fillId="10" borderId="32" xfId="5" applyFont="1" applyFill="1" applyBorder="1" applyAlignment="1">
      <alignment horizontal="center" vertical="center" readingOrder="1"/>
    </xf>
    <xf numFmtId="9" fontId="21" fillId="10" borderId="31" xfId="5" applyFont="1" applyFill="1" applyBorder="1" applyAlignment="1">
      <alignment horizontal="center" vertical="center" readingOrder="1"/>
    </xf>
    <xf numFmtId="3" fontId="22" fillId="11" borderId="33" xfId="3" applyNumberFormat="1" applyFont="1" applyFill="1" applyBorder="1" applyAlignment="1">
      <alignment horizontal="right" vertical="center" indent="2" readingOrder="2"/>
    </xf>
    <xf numFmtId="3" fontId="20" fillId="4" borderId="31" xfId="3" applyNumberFormat="1" applyFont="1" applyFill="1" applyBorder="1" applyAlignment="1">
      <alignment horizontal="right" vertical="center" indent="1" readingOrder="2"/>
    </xf>
    <xf numFmtId="3" fontId="23" fillId="4" borderId="32" xfId="3" applyNumberFormat="1" applyFont="1" applyFill="1" applyBorder="1" applyAlignment="1">
      <alignment horizontal="center" vertical="center" readingOrder="2"/>
    </xf>
    <xf numFmtId="9" fontId="21" fillId="10" borderId="34" xfId="5" applyFont="1" applyFill="1" applyBorder="1" applyAlignment="1">
      <alignment horizontal="center" vertical="center" readingOrder="1"/>
    </xf>
    <xf numFmtId="3" fontId="22" fillId="9" borderId="33" xfId="3" applyNumberFormat="1" applyFont="1" applyFill="1" applyBorder="1" applyAlignment="1">
      <alignment horizontal="right" vertical="center" indent="1" readingOrder="2"/>
    </xf>
    <xf numFmtId="3" fontId="24" fillId="4" borderId="35" xfId="3" applyNumberFormat="1" applyFont="1" applyFill="1" applyBorder="1" applyAlignment="1">
      <alignment horizontal="right" vertical="center" indent="1" readingOrder="2"/>
    </xf>
    <xf numFmtId="3" fontId="24" fillId="4" borderId="31" xfId="3" applyNumberFormat="1" applyFont="1" applyFill="1" applyBorder="1" applyAlignment="1">
      <alignment horizontal="right" vertical="center" indent="1" readingOrder="2"/>
    </xf>
    <xf numFmtId="9" fontId="26" fillId="4" borderId="33" xfId="6" applyFont="1" applyFill="1" applyBorder="1" applyAlignment="1">
      <alignment horizontal="center" vertical="center"/>
    </xf>
    <xf numFmtId="4" fontId="27" fillId="4" borderId="31" xfId="3" applyNumberFormat="1" applyFont="1" applyFill="1" applyBorder="1" applyAlignment="1">
      <alignment horizontal="center" vertical="center" shrinkToFit="1"/>
    </xf>
    <xf numFmtId="3" fontId="28" fillId="4" borderId="31" xfId="3" applyNumberFormat="1" applyFont="1" applyFill="1" applyBorder="1" applyAlignment="1">
      <alignment horizontal="right" vertical="center" indent="1" shrinkToFit="1"/>
    </xf>
    <xf numFmtId="4" fontId="27" fillId="4" borderId="0" xfId="3" applyNumberFormat="1" applyFont="1" applyFill="1" applyAlignment="1">
      <alignment horizontal="center" vertical="center" shrinkToFit="1"/>
    </xf>
    <xf numFmtId="0" fontId="19" fillId="4" borderId="6" xfId="3" applyFont="1" applyFill="1" applyBorder="1" applyAlignment="1">
      <alignment horizontal="center" vertical="center" readingOrder="2"/>
    </xf>
    <xf numFmtId="166" fontId="20" fillId="4" borderId="0" xfId="3" applyNumberFormat="1" applyFont="1" applyFill="1" applyAlignment="1">
      <alignment horizontal="right" vertical="center" indent="1" readingOrder="2"/>
    </xf>
    <xf numFmtId="166" fontId="30" fillId="4" borderId="0" xfId="3" applyNumberFormat="1" applyFont="1" applyFill="1" applyAlignment="1">
      <alignment horizontal="right" vertical="center" indent="1" readingOrder="2"/>
    </xf>
    <xf numFmtId="3" fontId="30" fillId="4" borderId="0" xfId="3" applyNumberFormat="1" applyFont="1" applyFill="1" applyAlignment="1">
      <alignment horizontal="right" vertical="center" indent="1" readingOrder="2"/>
    </xf>
    <xf numFmtId="9" fontId="21" fillId="4" borderId="36" xfId="5" applyFont="1" applyFill="1" applyBorder="1" applyAlignment="1">
      <alignment horizontal="center" vertical="center" readingOrder="1"/>
    </xf>
    <xf numFmtId="9" fontId="21" fillId="4" borderId="0" xfId="5" applyFont="1" applyFill="1" applyBorder="1" applyAlignment="1">
      <alignment horizontal="center" vertical="center" readingOrder="1"/>
    </xf>
    <xf numFmtId="3" fontId="22" fillId="11" borderId="37" xfId="3" applyNumberFormat="1" applyFont="1" applyFill="1" applyBorder="1" applyAlignment="1">
      <alignment horizontal="right" vertical="center" indent="2" readingOrder="2"/>
    </xf>
    <xf numFmtId="3" fontId="20" fillId="4" borderId="0" xfId="3" applyNumberFormat="1" applyFont="1" applyFill="1" applyAlignment="1">
      <alignment horizontal="right" vertical="center" indent="1" readingOrder="2"/>
    </xf>
    <xf numFmtId="166" fontId="23" fillId="4" borderId="36" xfId="3" applyNumberFormat="1" applyFont="1" applyFill="1" applyBorder="1" applyAlignment="1">
      <alignment horizontal="center" vertical="center" readingOrder="2"/>
    </xf>
    <xf numFmtId="9" fontId="21" fillId="4" borderId="38" xfId="5" applyFont="1" applyFill="1" applyBorder="1" applyAlignment="1">
      <alignment horizontal="center" vertical="center" readingOrder="1"/>
    </xf>
    <xf numFmtId="3" fontId="22" fillId="9" borderId="37" xfId="3" applyNumberFormat="1" applyFont="1" applyFill="1" applyBorder="1" applyAlignment="1">
      <alignment horizontal="right" vertical="center" indent="1" readingOrder="2"/>
    </xf>
    <xf numFmtId="3" fontId="24" fillId="4" borderId="10" xfId="3" applyNumberFormat="1" applyFont="1" applyFill="1" applyBorder="1" applyAlignment="1">
      <alignment horizontal="right" vertical="center" indent="1" readingOrder="2"/>
    </xf>
    <xf numFmtId="3" fontId="24" fillId="4" borderId="0" xfId="3" applyNumberFormat="1" applyFont="1" applyFill="1" applyAlignment="1">
      <alignment horizontal="right" vertical="center" indent="1" readingOrder="2"/>
    </xf>
    <xf numFmtId="9" fontId="26" fillId="4" borderId="37" xfId="6" applyFont="1" applyFill="1" applyBorder="1" applyAlignment="1">
      <alignment horizontal="center" vertical="center"/>
    </xf>
    <xf numFmtId="3" fontId="28" fillId="4" borderId="0" xfId="3" applyNumberFormat="1" applyFont="1" applyFill="1" applyAlignment="1">
      <alignment horizontal="right" vertical="center" indent="1" shrinkToFit="1"/>
    </xf>
    <xf numFmtId="0" fontId="19" fillId="4" borderId="39" xfId="3" applyFont="1" applyFill="1" applyBorder="1" applyAlignment="1">
      <alignment horizontal="center" vertical="center" readingOrder="2"/>
    </xf>
    <xf numFmtId="166" fontId="20" fillId="4" borderId="40" xfId="3" applyNumberFormat="1" applyFont="1" applyFill="1" applyBorder="1" applyAlignment="1">
      <alignment horizontal="right" vertical="center" indent="1" readingOrder="2"/>
    </xf>
    <xf numFmtId="166" fontId="30" fillId="4" borderId="40" xfId="3" applyNumberFormat="1" applyFont="1" applyFill="1" applyBorder="1" applyAlignment="1">
      <alignment horizontal="right" vertical="center" indent="1" readingOrder="2"/>
    </xf>
    <xf numFmtId="3" fontId="30" fillId="4" borderId="40" xfId="3" applyNumberFormat="1" applyFont="1" applyFill="1" applyBorder="1" applyAlignment="1">
      <alignment horizontal="right" vertical="center" indent="1" readingOrder="2"/>
    </xf>
    <xf numFmtId="9" fontId="21" fillId="4" borderId="41" xfId="5" applyFont="1" applyFill="1" applyBorder="1" applyAlignment="1">
      <alignment horizontal="center" vertical="center" readingOrder="1"/>
    </xf>
    <xf numFmtId="9" fontId="21" fillId="4" borderId="40" xfId="5" applyFont="1" applyFill="1" applyBorder="1" applyAlignment="1">
      <alignment horizontal="center" vertical="center" readingOrder="1"/>
    </xf>
    <xf numFmtId="3" fontId="22" fillId="11" borderId="42" xfId="3" applyNumberFormat="1" applyFont="1" applyFill="1" applyBorder="1" applyAlignment="1">
      <alignment horizontal="right" vertical="center" indent="2" readingOrder="2"/>
    </xf>
    <xf numFmtId="3" fontId="20" fillId="4" borderId="40" xfId="3" applyNumberFormat="1" applyFont="1" applyFill="1" applyBorder="1" applyAlignment="1">
      <alignment horizontal="right" vertical="center" indent="1" readingOrder="2"/>
    </xf>
    <xf numFmtId="166" fontId="23" fillId="4" borderId="41" xfId="3" applyNumberFormat="1" applyFont="1" applyFill="1" applyBorder="1" applyAlignment="1">
      <alignment horizontal="center" vertical="center" readingOrder="2"/>
    </xf>
    <xf numFmtId="9" fontId="21" fillId="4" borderId="43" xfId="5" applyFont="1" applyFill="1" applyBorder="1" applyAlignment="1">
      <alignment horizontal="center" vertical="center" readingOrder="1"/>
    </xf>
    <xf numFmtId="3" fontId="22" fillId="9" borderId="42" xfId="3" applyNumberFormat="1" applyFont="1" applyFill="1" applyBorder="1" applyAlignment="1">
      <alignment horizontal="right" vertical="center" indent="1" readingOrder="2"/>
    </xf>
    <xf numFmtId="3" fontId="24" fillId="4" borderId="44" xfId="3" applyNumberFormat="1" applyFont="1" applyFill="1" applyBorder="1" applyAlignment="1">
      <alignment horizontal="right" vertical="center" indent="1" readingOrder="2"/>
    </xf>
    <xf numFmtId="3" fontId="24" fillId="4" borderId="40" xfId="3" applyNumberFormat="1" applyFont="1" applyFill="1" applyBorder="1" applyAlignment="1">
      <alignment horizontal="right" vertical="center" indent="1" readingOrder="2"/>
    </xf>
    <xf numFmtId="9" fontId="26" fillId="4" borderId="42" xfId="6" applyFont="1" applyFill="1" applyBorder="1" applyAlignment="1">
      <alignment horizontal="center" vertical="center"/>
    </xf>
    <xf numFmtId="4" fontId="27" fillId="4" borderId="40" xfId="3" applyNumberFormat="1" applyFont="1" applyFill="1" applyBorder="1" applyAlignment="1">
      <alignment horizontal="center" vertical="center" shrinkToFit="1"/>
    </xf>
    <xf numFmtId="3" fontId="28" fillId="4" borderId="40" xfId="3" applyNumberFormat="1" applyFont="1" applyFill="1" applyBorder="1" applyAlignment="1">
      <alignment horizontal="right" vertical="center" indent="1" shrinkToFit="1"/>
    </xf>
    <xf numFmtId="166" fontId="30" fillId="4" borderId="31" xfId="3" applyNumberFormat="1" applyFont="1" applyFill="1" applyBorder="1" applyAlignment="1">
      <alignment horizontal="right" vertical="center" indent="1" readingOrder="2"/>
    </xf>
    <xf numFmtId="3" fontId="30" fillId="4" borderId="31" xfId="3" applyNumberFormat="1" applyFont="1" applyFill="1" applyBorder="1" applyAlignment="1">
      <alignment horizontal="right" vertical="center" indent="1" readingOrder="2"/>
    </xf>
    <xf numFmtId="9" fontId="21" fillId="4" borderId="32" xfId="5" applyFont="1" applyFill="1" applyBorder="1" applyAlignment="1">
      <alignment horizontal="center" vertical="center" readingOrder="1"/>
    </xf>
    <xf numFmtId="9" fontId="21" fillId="4" borderId="31" xfId="5" applyFont="1" applyFill="1" applyBorder="1" applyAlignment="1">
      <alignment horizontal="center" vertical="center" readingOrder="1"/>
    </xf>
    <xf numFmtId="166" fontId="23" fillId="4" borderId="32" xfId="3" applyNumberFormat="1" applyFont="1" applyFill="1" applyBorder="1" applyAlignment="1">
      <alignment horizontal="center" vertical="center" readingOrder="2"/>
    </xf>
    <xf numFmtId="9" fontId="21" fillId="4" borderId="34" xfId="5" applyFont="1" applyFill="1" applyBorder="1" applyAlignment="1">
      <alignment horizontal="center" vertical="center" readingOrder="1"/>
    </xf>
    <xf numFmtId="0" fontId="19" fillId="4" borderId="45" xfId="3" applyFont="1" applyFill="1" applyBorder="1" applyAlignment="1">
      <alignment horizontal="center" vertical="center" readingOrder="2"/>
    </xf>
    <xf numFmtId="166" fontId="20" fillId="4" borderId="46" xfId="3" applyNumberFormat="1" applyFont="1" applyFill="1" applyBorder="1" applyAlignment="1">
      <alignment horizontal="right" vertical="center" indent="1" readingOrder="2"/>
    </xf>
    <xf numFmtId="166" fontId="30" fillId="4" borderId="46" xfId="3" applyNumberFormat="1" applyFont="1" applyFill="1" applyBorder="1" applyAlignment="1">
      <alignment horizontal="right" vertical="center" indent="1" readingOrder="2"/>
    </xf>
    <xf numFmtId="3" fontId="30" fillId="4" borderId="46" xfId="3" applyNumberFormat="1" applyFont="1" applyFill="1" applyBorder="1" applyAlignment="1">
      <alignment horizontal="right" vertical="center" indent="1" readingOrder="2"/>
    </xf>
    <xf numFmtId="9" fontId="21" fillId="4" borderId="47" xfId="5" applyFont="1" applyFill="1" applyBorder="1" applyAlignment="1">
      <alignment horizontal="center" vertical="center" readingOrder="1"/>
    </xf>
    <xf numFmtId="9" fontId="21" fillId="4" borderId="46" xfId="5" applyFont="1" applyFill="1" applyBorder="1" applyAlignment="1">
      <alignment horizontal="center" vertical="center" readingOrder="1"/>
    </xf>
    <xf numFmtId="3" fontId="22" fillId="11" borderId="48" xfId="3" applyNumberFormat="1" applyFont="1" applyFill="1" applyBorder="1" applyAlignment="1">
      <alignment horizontal="right" vertical="center" indent="2" readingOrder="2"/>
    </xf>
    <xf numFmtId="3" fontId="20" fillId="4" borderId="46" xfId="3" applyNumberFormat="1" applyFont="1" applyFill="1" applyBorder="1" applyAlignment="1">
      <alignment horizontal="right" vertical="center" indent="1" readingOrder="2"/>
    </xf>
    <xf numFmtId="166" fontId="23" fillId="4" borderId="47" xfId="3" applyNumberFormat="1" applyFont="1" applyFill="1" applyBorder="1" applyAlignment="1">
      <alignment horizontal="center" vertical="center" readingOrder="2"/>
    </xf>
    <xf numFmtId="9" fontId="21" fillId="4" borderId="49" xfId="5" applyFont="1" applyFill="1" applyBorder="1" applyAlignment="1">
      <alignment horizontal="center" vertical="center" readingOrder="1"/>
    </xf>
    <xf numFmtId="3" fontId="22" fillId="9" borderId="48" xfId="3" applyNumberFormat="1" applyFont="1" applyFill="1" applyBorder="1" applyAlignment="1">
      <alignment horizontal="right" vertical="center" indent="1" readingOrder="2"/>
    </xf>
    <xf numFmtId="3" fontId="24" fillId="4" borderId="50" xfId="3" applyNumberFormat="1" applyFont="1" applyFill="1" applyBorder="1" applyAlignment="1">
      <alignment horizontal="right" vertical="center" indent="1" readingOrder="2"/>
    </xf>
    <xf numFmtId="3" fontId="24" fillId="4" borderId="46" xfId="3" applyNumberFormat="1" applyFont="1" applyFill="1" applyBorder="1" applyAlignment="1">
      <alignment horizontal="right" vertical="center" indent="1" readingOrder="2"/>
    </xf>
    <xf numFmtId="9" fontId="26" fillId="4" borderId="48" xfId="6" applyFont="1" applyFill="1" applyBorder="1" applyAlignment="1">
      <alignment horizontal="center" vertical="center"/>
    </xf>
    <xf numFmtId="4" fontId="27" fillId="4" borderId="46" xfId="3" applyNumberFormat="1" applyFont="1" applyFill="1" applyBorder="1" applyAlignment="1">
      <alignment horizontal="center" vertical="center" shrinkToFit="1"/>
    </xf>
    <xf numFmtId="3" fontId="28" fillId="4" borderId="46" xfId="3" applyNumberFormat="1" applyFont="1" applyFill="1" applyBorder="1" applyAlignment="1">
      <alignment horizontal="right" vertical="center" indent="1" shrinkToFit="1"/>
    </xf>
    <xf numFmtId="166" fontId="22" fillId="11" borderId="37" xfId="3" applyNumberFormat="1" applyFont="1" applyFill="1" applyBorder="1" applyAlignment="1">
      <alignment horizontal="right" vertical="center" indent="2" readingOrder="2"/>
    </xf>
    <xf numFmtId="166" fontId="22" fillId="9" borderId="37" xfId="3" applyNumberFormat="1" applyFont="1" applyFill="1" applyBorder="1" applyAlignment="1">
      <alignment horizontal="right" vertical="center" indent="1" readingOrder="2"/>
    </xf>
    <xf numFmtId="166" fontId="24" fillId="4" borderId="10" xfId="3" applyNumberFormat="1" applyFont="1" applyFill="1" applyBorder="1" applyAlignment="1">
      <alignment horizontal="right" vertical="center" indent="1" readingOrder="2"/>
    </xf>
    <xf numFmtId="166" fontId="24" fillId="4" borderId="0" xfId="3" applyNumberFormat="1" applyFont="1" applyFill="1" applyAlignment="1">
      <alignment horizontal="right" vertical="center" indent="1" readingOrder="2"/>
    </xf>
    <xf numFmtId="0" fontId="19" fillId="12" borderId="4" xfId="3" applyFont="1" applyFill="1" applyBorder="1" applyAlignment="1">
      <alignment horizontal="center" vertical="center" readingOrder="2"/>
    </xf>
    <xf numFmtId="3" fontId="31" fillId="12" borderId="2" xfId="3" applyNumberFormat="1" applyFont="1" applyFill="1" applyBorder="1" applyAlignment="1">
      <alignment horizontal="center" vertical="center" shrinkToFit="1" readingOrder="2"/>
    </xf>
    <xf numFmtId="3" fontId="30" fillId="12" borderId="2" xfId="3" applyNumberFormat="1" applyFont="1" applyFill="1" applyBorder="1" applyAlignment="1">
      <alignment horizontal="center" vertical="center" shrinkToFit="1" readingOrder="2"/>
    </xf>
    <xf numFmtId="3" fontId="30" fillId="12" borderId="51" xfId="3" applyNumberFormat="1" applyFont="1" applyFill="1" applyBorder="1" applyAlignment="1">
      <alignment horizontal="center" vertical="center" shrinkToFit="1" readingOrder="2"/>
    </xf>
    <xf numFmtId="3" fontId="32" fillId="11" borderId="52" xfId="3" applyNumberFormat="1" applyFont="1" applyFill="1" applyBorder="1" applyAlignment="1">
      <alignment horizontal="center" vertical="center" readingOrder="2"/>
    </xf>
    <xf numFmtId="3" fontId="23" fillId="12" borderId="51" xfId="3" applyNumberFormat="1" applyFont="1" applyFill="1" applyBorder="1" applyAlignment="1">
      <alignment horizontal="center" vertical="center" shrinkToFit="1" readingOrder="2"/>
    </xf>
    <xf numFmtId="3" fontId="30" fillId="12" borderId="53" xfId="3" applyNumberFormat="1" applyFont="1" applyFill="1" applyBorder="1" applyAlignment="1">
      <alignment horizontal="center" vertical="center" shrinkToFit="1" readingOrder="2"/>
    </xf>
    <xf numFmtId="3" fontId="32" fillId="9" borderId="52" xfId="3" applyNumberFormat="1" applyFont="1" applyFill="1" applyBorder="1" applyAlignment="1">
      <alignment horizontal="center" vertical="center" readingOrder="2"/>
    </xf>
    <xf numFmtId="3" fontId="33" fillId="12" borderId="11" xfId="3" applyNumberFormat="1" applyFont="1" applyFill="1" applyBorder="1" applyAlignment="1">
      <alignment horizontal="right" vertical="center" indent="1" readingOrder="2"/>
    </xf>
    <xf numFmtId="3" fontId="33" fillId="12" borderId="2" xfId="3" applyNumberFormat="1" applyFont="1" applyFill="1" applyBorder="1" applyAlignment="1">
      <alignment horizontal="right" vertical="center" indent="1" readingOrder="2"/>
    </xf>
    <xf numFmtId="9" fontId="26" fillId="12" borderId="52" xfId="6" applyFont="1" applyFill="1" applyBorder="1" applyAlignment="1">
      <alignment horizontal="center" vertical="center"/>
    </xf>
    <xf numFmtId="4" fontId="27" fillId="12" borderId="2" xfId="3" applyNumberFormat="1" applyFont="1" applyFill="1" applyBorder="1" applyAlignment="1">
      <alignment horizontal="center" vertical="center" shrinkToFit="1"/>
    </xf>
    <xf numFmtId="3" fontId="29" fillId="12" borderId="2" xfId="3" applyNumberFormat="1" applyFont="1" applyFill="1" applyBorder="1" applyAlignment="1">
      <alignment horizontal="center" vertical="center" shrinkToFit="1"/>
    </xf>
    <xf numFmtId="3" fontId="36" fillId="4" borderId="31" xfId="3" applyNumberFormat="1" applyFont="1" applyFill="1" applyBorder="1" applyAlignment="1">
      <alignment horizontal="right" vertical="center" indent="1" readingOrder="2"/>
    </xf>
    <xf numFmtId="3" fontId="36" fillId="4" borderId="0" xfId="3" applyNumberFormat="1" applyFont="1" applyFill="1" applyAlignment="1">
      <alignment horizontal="right" vertical="center" indent="1" readingOrder="2"/>
    </xf>
    <xf numFmtId="3" fontId="36" fillId="4" borderId="40" xfId="3" applyNumberFormat="1" applyFont="1" applyFill="1" applyBorder="1" applyAlignment="1">
      <alignment horizontal="right" vertical="center" indent="1" readingOrder="2"/>
    </xf>
    <xf numFmtId="3" fontId="36" fillId="4" borderId="46" xfId="3" applyNumberFormat="1" applyFont="1" applyFill="1" applyBorder="1" applyAlignment="1">
      <alignment horizontal="right" vertical="center" indent="1" readingOrder="2"/>
    </xf>
    <xf numFmtId="43" fontId="5" fillId="3" borderId="7" xfId="0" applyNumberFormat="1" applyFont="1" applyFill="1" applyBorder="1" applyAlignment="1">
      <alignment horizontal="center" vertical="center"/>
    </xf>
    <xf numFmtId="0" fontId="19" fillId="4" borderId="7" xfId="3" applyFont="1" applyFill="1" applyBorder="1" applyAlignment="1">
      <alignment horizontal="center" vertical="center" readingOrder="2"/>
    </xf>
    <xf numFmtId="3" fontId="20" fillId="4" borderId="21" xfId="3" applyNumberFormat="1" applyFont="1" applyFill="1" applyBorder="1" applyAlignment="1">
      <alignment horizontal="right" vertical="center" indent="1" readingOrder="2"/>
    </xf>
    <xf numFmtId="166" fontId="30" fillId="4" borderId="21" xfId="3" applyNumberFormat="1" applyFont="1" applyFill="1" applyBorder="1" applyAlignment="1">
      <alignment horizontal="right" vertical="center" indent="1" readingOrder="2"/>
    </xf>
    <xf numFmtId="166" fontId="36" fillId="4" borderId="21" xfId="3" applyNumberFormat="1" applyFont="1" applyFill="1" applyBorder="1" applyAlignment="1">
      <alignment horizontal="right" vertical="center" indent="1" readingOrder="2"/>
    </xf>
    <xf numFmtId="9" fontId="21" fillId="4" borderId="25" xfId="5" applyFont="1" applyFill="1" applyBorder="1" applyAlignment="1">
      <alignment horizontal="center" vertical="center" readingOrder="1"/>
    </xf>
    <xf numFmtId="9" fontId="21" fillId="4" borderId="21" xfId="5" applyFont="1" applyFill="1" applyBorder="1" applyAlignment="1">
      <alignment horizontal="center" vertical="center" readingOrder="1"/>
    </xf>
    <xf numFmtId="3" fontId="22" fillId="11" borderId="54" xfId="3" applyNumberFormat="1" applyFont="1" applyFill="1" applyBorder="1" applyAlignment="1">
      <alignment horizontal="right" vertical="center" indent="2" readingOrder="2"/>
    </xf>
    <xf numFmtId="3" fontId="24" fillId="4" borderId="27" xfId="3" applyNumberFormat="1" applyFont="1" applyFill="1" applyBorder="1" applyAlignment="1">
      <alignment horizontal="right" vertical="center" indent="1" readingOrder="2"/>
    </xf>
    <xf numFmtId="3" fontId="24" fillId="4" borderId="21" xfId="3" applyNumberFormat="1" applyFont="1" applyFill="1" applyBorder="1" applyAlignment="1">
      <alignment horizontal="right" vertical="center" indent="1" readingOrder="2"/>
    </xf>
    <xf numFmtId="166" fontId="23" fillId="4" borderId="25" xfId="3" applyNumberFormat="1" applyFont="1" applyFill="1" applyBorder="1" applyAlignment="1">
      <alignment horizontal="center" vertical="center" readingOrder="2"/>
    </xf>
    <xf numFmtId="9" fontId="21" fillId="4" borderId="26" xfId="5" applyFont="1" applyFill="1" applyBorder="1" applyAlignment="1">
      <alignment horizontal="center" vertical="center" readingOrder="1"/>
    </xf>
    <xf numFmtId="3" fontId="22" fillId="9" borderId="54" xfId="3" applyNumberFormat="1" applyFont="1" applyFill="1" applyBorder="1" applyAlignment="1">
      <alignment horizontal="right" vertical="center" indent="1" readingOrder="2"/>
    </xf>
    <xf numFmtId="4" fontId="27" fillId="4" borderId="21" xfId="3" applyNumberFormat="1" applyFont="1" applyFill="1" applyBorder="1" applyAlignment="1">
      <alignment horizontal="center" vertical="center" shrinkToFit="1"/>
    </xf>
    <xf numFmtId="3" fontId="28" fillId="4" borderId="21" xfId="3" applyNumberFormat="1" applyFont="1" applyFill="1" applyBorder="1" applyAlignment="1">
      <alignment horizontal="right" vertical="center" indent="1" shrinkToFit="1"/>
    </xf>
    <xf numFmtId="0" fontId="19" fillId="4" borderId="5" xfId="3" applyFont="1" applyFill="1" applyBorder="1" applyAlignment="1">
      <alignment horizontal="center" vertical="center" readingOrder="2"/>
    </xf>
    <xf numFmtId="3" fontId="20" fillId="4" borderId="15" xfId="3" applyNumberFormat="1" applyFont="1" applyFill="1" applyBorder="1" applyAlignment="1">
      <alignment horizontal="right" vertical="center" indent="1" readingOrder="2"/>
    </xf>
    <xf numFmtId="166" fontId="30" fillId="4" borderId="15" xfId="3" applyNumberFormat="1" applyFont="1" applyFill="1" applyBorder="1" applyAlignment="1">
      <alignment horizontal="right" vertical="center" indent="1" readingOrder="2"/>
    </xf>
    <xf numFmtId="3" fontId="30" fillId="4" borderId="15" xfId="3" applyNumberFormat="1" applyFont="1" applyFill="1" applyBorder="1" applyAlignment="1">
      <alignment horizontal="right" vertical="center" indent="1" readingOrder="2"/>
    </xf>
    <xf numFmtId="166" fontId="36" fillId="4" borderId="15" xfId="3" applyNumberFormat="1" applyFont="1" applyFill="1" applyBorder="1" applyAlignment="1">
      <alignment horizontal="right" vertical="center" indent="1" readingOrder="2"/>
    </xf>
    <xf numFmtId="9" fontId="21" fillId="4" borderId="55" xfId="5" applyFont="1" applyFill="1" applyBorder="1" applyAlignment="1">
      <alignment horizontal="center" vertical="center" readingOrder="1"/>
    </xf>
    <xf numFmtId="9" fontId="21" fillId="4" borderId="15" xfId="5" applyFont="1" applyFill="1" applyBorder="1" applyAlignment="1">
      <alignment horizontal="center" vertical="center" readingOrder="1"/>
    </xf>
    <xf numFmtId="3" fontId="22" fillId="11" borderId="56" xfId="3" applyNumberFormat="1" applyFont="1" applyFill="1" applyBorder="1" applyAlignment="1">
      <alignment horizontal="right" vertical="center" indent="2" readingOrder="2"/>
    </xf>
    <xf numFmtId="3" fontId="24" fillId="4" borderId="19" xfId="3" applyNumberFormat="1" applyFont="1" applyFill="1" applyBorder="1" applyAlignment="1">
      <alignment horizontal="right" vertical="center" indent="1" readingOrder="2"/>
    </xf>
    <xf numFmtId="3" fontId="24" fillId="4" borderId="15" xfId="3" applyNumberFormat="1" applyFont="1" applyFill="1" applyBorder="1" applyAlignment="1">
      <alignment horizontal="right" vertical="center" indent="1" readingOrder="2"/>
    </xf>
    <xf numFmtId="166" fontId="23" fillId="4" borderId="55" xfId="3" applyNumberFormat="1" applyFont="1" applyFill="1" applyBorder="1" applyAlignment="1">
      <alignment horizontal="center" vertical="center" readingOrder="2"/>
    </xf>
    <xf numFmtId="9" fontId="21" fillId="4" borderId="57" xfId="5" applyFont="1" applyFill="1" applyBorder="1" applyAlignment="1">
      <alignment horizontal="center" vertical="center" readingOrder="1"/>
    </xf>
    <xf numFmtId="3" fontId="22" fillId="9" borderId="56" xfId="3" applyNumberFormat="1" applyFont="1" applyFill="1" applyBorder="1" applyAlignment="1">
      <alignment horizontal="right" vertical="center" indent="1" readingOrder="2"/>
    </xf>
    <xf numFmtId="4" fontId="27" fillId="4" borderId="15" xfId="3" applyNumberFormat="1" applyFont="1" applyFill="1" applyBorder="1" applyAlignment="1">
      <alignment horizontal="center" vertical="center" shrinkToFit="1"/>
    </xf>
    <xf numFmtId="3" fontId="28" fillId="4" borderId="15" xfId="3" applyNumberFormat="1" applyFont="1" applyFill="1" applyBorder="1" applyAlignment="1">
      <alignment horizontal="right" vertical="center" indent="1" shrinkToFit="1"/>
    </xf>
    <xf numFmtId="0" fontId="19" fillId="12" borderId="2" xfId="3" applyFont="1" applyFill="1" applyBorder="1" applyAlignment="1">
      <alignment horizontal="center" vertical="center" readingOrder="2"/>
    </xf>
    <xf numFmtId="0" fontId="19" fillId="4" borderId="3" xfId="3" applyFont="1" applyFill="1" applyBorder="1" applyAlignment="1">
      <alignment horizontal="center" vertical="center" readingOrder="2"/>
    </xf>
    <xf numFmtId="0" fontId="19" fillId="4" borderId="1" xfId="3" applyFont="1" applyFill="1" applyBorder="1" applyAlignment="1">
      <alignment horizontal="center" vertical="center" readingOrder="2"/>
    </xf>
    <xf numFmtId="0" fontId="1" fillId="4" borderId="2" xfId="2" applyFill="1" applyBorder="1" applyAlignment="1">
      <alignment shrinkToFit="1"/>
    </xf>
    <xf numFmtId="167" fontId="34" fillId="4" borderId="2" xfId="0" applyNumberFormat="1" applyFont="1" applyFill="1" applyBorder="1" applyAlignment="1">
      <alignment horizontal="right" vertical="center" indent="1"/>
    </xf>
    <xf numFmtId="9" fontId="18" fillId="4" borderId="51" xfId="5" applyFont="1" applyFill="1" applyBorder="1" applyAlignment="1">
      <alignment horizontal="center" vertical="center" readingOrder="1"/>
    </xf>
    <xf numFmtId="3" fontId="35" fillId="12" borderId="2" xfId="3" applyNumberFormat="1" applyFont="1" applyFill="1" applyBorder="1" applyAlignment="1">
      <alignment horizontal="right" vertical="center" shrinkToFit="1" readingOrder="2"/>
    </xf>
    <xf numFmtId="166" fontId="23" fillId="4" borderId="2" xfId="3" applyNumberFormat="1" applyFont="1" applyFill="1" applyBorder="1" applyAlignment="1">
      <alignment horizontal="center" vertical="center" shrinkToFit="1" readingOrder="2"/>
    </xf>
    <xf numFmtId="9" fontId="26" fillId="4" borderId="18" xfId="6" applyFont="1" applyFill="1" applyBorder="1" applyAlignment="1">
      <alignment horizontal="center" vertical="center"/>
    </xf>
    <xf numFmtId="9" fontId="26" fillId="4" borderId="54" xfId="6" applyFont="1" applyFill="1" applyBorder="1" applyAlignment="1">
      <alignment horizontal="center" vertical="center"/>
    </xf>
    <xf numFmtId="0" fontId="15" fillId="4" borderId="0" xfId="4" applyFill="1"/>
    <xf numFmtId="0" fontId="1" fillId="4" borderId="0" xfId="2" applyFill="1" applyAlignment="1">
      <alignment shrinkToFi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right" vertical="center" inden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6" fillId="5" borderId="0" xfId="0" applyFont="1" applyFill="1" applyBorder="1" applyAlignment="1">
      <alignment horizontal="center" vertical="center"/>
    </xf>
    <xf numFmtId="0" fontId="11" fillId="8" borderId="19" xfId="4" applyFont="1" applyFill="1" applyBorder="1" applyAlignment="1">
      <alignment horizontal="center" vertical="center" wrapText="1"/>
    </xf>
    <xf numFmtId="0" fontId="11" fillId="8" borderId="15" xfId="4" applyFont="1" applyFill="1" applyBorder="1" applyAlignment="1">
      <alignment horizontal="center" vertical="center" wrapText="1"/>
    </xf>
    <xf numFmtId="0" fontId="11" fillId="8" borderId="20" xfId="4" applyFont="1" applyFill="1" applyBorder="1" applyAlignment="1">
      <alignment horizontal="center" vertical="center" wrapText="1"/>
    </xf>
    <xf numFmtId="3" fontId="11" fillId="6" borderId="15" xfId="3" applyNumberFormat="1" applyFont="1" applyFill="1" applyBorder="1" applyAlignment="1">
      <alignment horizontal="center" vertical="center" wrapText="1"/>
    </xf>
    <xf numFmtId="3" fontId="11" fillId="6" borderId="19" xfId="3" applyNumberFormat="1" applyFont="1" applyFill="1" applyBorder="1" applyAlignment="1">
      <alignment horizontal="center" vertical="center" wrapText="1"/>
    </xf>
    <xf numFmtId="3" fontId="11" fillId="6" borderId="57" xfId="3" applyNumberFormat="1" applyFont="1" applyFill="1" applyBorder="1" applyAlignment="1">
      <alignment horizontal="center" vertical="center" wrapText="1"/>
    </xf>
    <xf numFmtId="166" fontId="20" fillId="4" borderId="35" xfId="3" applyNumberFormat="1" applyFont="1" applyFill="1" applyBorder="1" applyAlignment="1">
      <alignment horizontal="right" vertical="center" indent="1" readingOrder="2"/>
    </xf>
    <xf numFmtId="166" fontId="20" fillId="4" borderId="10" xfId="3" applyNumberFormat="1" applyFont="1" applyFill="1" applyBorder="1" applyAlignment="1">
      <alignment horizontal="right" vertical="center" indent="1" readingOrder="2"/>
    </xf>
    <xf numFmtId="166" fontId="20" fillId="4" borderId="9" xfId="3" applyNumberFormat="1" applyFont="1" applyFill="1" applyBorder="1" applyAlignment="1">
      <alignment horizontal="right" vertical="center" indent="1" readingOrder="2"/>
    </xf>
    <xf numFmtId="0" fontId="37" fillId="4" borderId="0" xfId="2" applyFont="1" applyFill="1" applyAlignment="1">
      <alignment horizontal="center" vertical="center" textRotation="180"/>
    </xf>
    <xf numFmtId="0" fontId="11" fillId="8" borderId="19" xfId="4" applyFont="1" applyFill="1" applyBorder="1" applyAlignment="1">
      <alignment horizontal="center" vertical="center"/>
    </xf>
    <xf numFmtId="0" fontId="11" fillId="8" borderId="15" xfId="4" applyFont="1" applyFill="1" applyBorder="1" applyAlignment="1">
      <alignment horizontal="center" vertical="center"/>
    </xf>
    <xf numFmtId="0" fontId="11" fillId="8" borderId="20" xfId="4" applyFont="1" applyFill="1" applyBorder="1" applyAlignment="1">
      <alignment horizontal="center" vertical="center"/>
    </xf>
    <xf numFmtId="3" fontId="10" fillId="6" borderId="5" xfId="3" applyNumberFormat="1" applyFont="1" applyFill="1" applyBorder="1" applyAlignment="1">
      <alignment horizontal="center" vertical="center" wrapText="1"/>
    </xf>
    <xf numFmtId="3" fontId="10" fillId="6" borderId="7" xfId="3" applyNumberFormat="1" applyFont="1" applyFill="1" applyBorder="1" applyAlignment="1">
      <alignment horizontal="center" vertical="center" wrapText="1"/>
    </xf>
    <xf numFmtId="3" fontId="12" fillId="6" borderId="16" xfId="3" applyNumberFormat="1" applyFont="1" applyFill="1" applyBorder="1" applyAlignment="1">
      <alignment horizontal="center" vertical="center" wrapText="1"/>
    </xf>
    <xf numFmtId="3" fontId="12" fillId="6" borderId="22" xfId="3" applyNumberFormat="1" applyFont="1" applyFill="1" applyBorder="1" applyAlignment="1">
      <alignment horizontal="center" vertical="center" wrapText="1"/>
    </xf>
    <xf numFmtId="3" fontId="12" fillId="6" borderId="17" xfId="3" applyNumberFormat="1" applyFont="1" applyFill="1" applyBorder="1" applyAlignment="1">
      <alignment horizontal="center" vertical="center" wrapText="1"/>
    </xf>
    <xf numFmtId="3" fontId="12" fillId="6" borderId="23" xfId="3" applyNumberFormat="1" applyFont="1" applyFill="1" applyBorder="1" applyAlignment="1">
      <alignment horizontal="center" vertical="center" wrapText="1"/>
    </xf>
    <xf numFmtId="3" fontId="13" fillId="7" borderId="18" xfId="3" applyNumberFormat="1" applyFont="1" applyFill="1" applyBorder="1" applyAlignment="1">
      <alignment horizontal="center" vertical="center" wrapText="1"/>
    </xf>
    <xf numFmtId="3" fontId="13" fillId="7" borderId="24" xfId="3" applyNumberFormat="1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43" fontId="2" fillId="4" borderId="0" xfId="1" applyFont="1" applyFill="1" applyAlignment="1">
      <alignment horizontal="center" vertical="center"/>
    </xf>
    <xf numFmtId="43" fontId="2" fillId="4" borderId="9" xfId="1" applyFont="1" applyFill="1" applyBorder="1" applyAlignment="1">
      <alignment horizontal="center" vertical="center"/>
    </xf>
    <xf numFmtId="43" fontId="2" fillId="4" borderId="1" xfId="1" applyFont="1" applyFill="1" applyBorder="1" applyAlignment="1">
      <alignment horizontal="center" vertical="center"/>
    </xf>
    <xf numFmtId="43" fontId="2" fillId="4" borderId="10" xfId="1" applyFont="1" applyFill="1" applyBorder="1" applyAlignment="1">
      <alignment horizontal="center" vertical="center"/>
    </xf>
    <xf numFmtId="43" fontId="2" fillId="4" borderId="0" xfId="1" applyFont="1" applyFill="1" applyBorder="1" applyAlignment="1">
      <alignment horizontal="center" vertical="center"/>
    </xf>
    <xf numFmtId="43" fontId="2" fillId="4" borderId="5" xfId="1" applyFont="1" applyFill="1" applyBorder="1" applyAlignment="1">
      <alignment horizontal="center" vertical="center"/>
    </xf>
    <xf numFmtId="43" fontId="2" fillId="4" borderId="6" xfId="1" applyFont="1" applyFill="1" applyBorder="1" applyAlignment="1">
      <alignment horizontal="center" vertical="center"/>
    </xf>
    <xf numFmtId="43" fontId="2" fillId="4" borderId="7" xfId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2" fontId="5" fillId="3" borderId="11" xfId="0" applyNumberFormat="1" applyFont="1" applyFill="1" applyBorder="1" applyAlignment="1">
      <alignment horizontal="center" vertical="center"/>
    </xf>
    <xf numFmtId="2" fontId="5" fillId="3" borderId="2" xfId="0" applyNumberFormat="1" applyFont="1" applyFill="1" applyBorder="1" applyAlignment="1">
      <alignment horizontal="center" vertical="center"/>
    </xf>
    <xf numFmtId="0" fontId="6" fillId="4" borderId="0" xfId="0" applyFont="1" applyFill="1" applyBorder="1" applyAlignment="1">
      <alignment horizontal="right" vertical="center" indent="1"/>
    </xf>
    <xf numFmtId="0" fontId="6" fillId="4" borderId="1" xfId="0" applyFont="1" applyFill="1" applyBorder="1" applyAlignment="1">
      <alignment horizontal="right" vertical="center" indent="1"/>
    </xf>
  </cellXfs>
  <cellStyles count="7">
    <cellStyle name="Comma" xfId="1" builtinId="3"/>
    <cellStyle name="Normal" xfId="0" builtinId="0"/>
    <cellStyle name="Normal 2 2" xfId="3" xr:uid="{5366C649-9A0D-4B10-ADF4-51CBD874BEC1}"/>
    <cellStyle name="Normal 4 2" xfId="4" xr:uid="{B583C205-759A-4461-B182-5957958A3B8A}"/>
    <cellStyle name="Normal 6 3" xfId="2" xr:uid="{87681260-4797-49F2-9D0F-E52D409325C0}"/>
    <cellStyle name="Percent 2" xfId="6" xr:uid="{4966D635-4207-436F-9FB3-E3D2A26DDC6C}"/>
    <cellStyle name="Percent 5 2 2" xfId="5" xr:uid="{2FB2DC56-71FA-467A-963C-3A131623D3E2}"/>
  </cellStyles>
  <dxfs count="250"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1602;&#1585;&#1607;%20&#1576;&#1575;&#1594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0.19\(9700)_12-SABAK_Fazaye-Sabz$\02_%20Old%20in%20LapTop\_0%200000%20%200_Courses%2093-94\1393%2004-Irrigation\07%2093.08.10_Soil-Prpperties\0_13-Spring%201386\0_Drought%20Project\0_MEHDI_1\EXCEL\OMOUR\DATAENTR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àسه 5"/>
      <sheetName val="àسه 7"/>
      <sheetName val="àسه 8"/>
      <sheetName val="ءوآنéش لسè بآك"/>
      <sheetName val="حرçن ءوآنéش 81"/>
      <sheetName val="حرçن ءوآنéش حرéر"/>
      <sheetName val="ضغد ءب آظنé "/>
      <sheetName val="Chart4"/>
      <sheetName val="Chart1"/>
      <sheetName val="Chart2"/>
      <sheetName val="ضغد ءب لسè بآك  بآ دآèèآé دزàé"/>
      <sheetName val="Sheet1"/>
      <sheetName val="Chart3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Adv-Re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/>
      <sheetData sheetId="1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çسçرءهآس"/>
      <sheetName val="àسه هآèآوè"/>
      <sheetName val="هطذظآت خآèèآé هطآèرè آé "/>
    </sheetNames>
    <sheetDataSet>
      <sheetData sheetId="0">
        <row r="2">
          <cell r="C2" t="str">
            <v>ظçست هلآéضè ءهآس خآèèآ رس ضآن 73 ç çسçر بè سآéآوè تآ تéسهآè  77</v>
          </cell>
        </row>
        <row r="3">
          <cell r="C3" t="str">
            <v>ظàدè  1</v>
          </cell>
        </row>
        <row r="4">
          <cell r="C4" t="str">
            <v>هنآدفآت</v>
          </cell>
          <cell r="D4" t="str">
            <v>âوتسن</v>
          </cell>
          <cell r="E4" t="str">
            <v xml:space="preserve">çآسر âوورè </v>
          </cell>
          <cell r="F4" t="str">
            <v xml:space="preserve">çآسر سآéآوè طرè رس ضآن 76 </v>
          </cell>
          <cell r="G4" t="str">
            <v>ءهآسبسرآسé  ضآن 73</v>
          </cell>
          <cell r="H4" t="str">
            <v>âر رطت</v>
          </cell>
          <cell r="I4" t="str">
            <v>وآه رطت</v>
          </cell>
          <cell r="J4" t="str">
            <v xml:space="preserve"> سرéà</v>
          </cell>
        </row>
        <row r="5">
          <cell r="E5" t="str">
            <v>تçâنé</v>
          </cell>
          <cell r="F5">
            <v>589</v>
          </cell>
          <cell r="G5">
            <v>591</v>
          </cell>
          <cell r="H5">
            <v>2423</v>
          </cell>
          <cell r="I5" t="str">
            <v>وçسءبآر</v>
          </cell>
          <cell r="J5">
            <v>1</v>
          </cell>
        </row>
        <row r="6">
          <cell r="E6" t="str">
            <v>تçâنé</v>
          </cell>
          <cell r="F6">
            <v>248</v>
          </cell>
          <cell r="G6">
            <v>248</v>
          </cell>
          <cell r="H6">
            <v>2422</v>
          </cell>
          <cell r="I6" t="str">
            <v>àèنéآو</v>
          </cell>
          <cell r="J6">
            <v>2</v>
          </cell>
          <cell r="T6" t="str">
            <v>مشآسط زذéسè ءهآس هوآبق ءب رس سآéآوè آهçس هغآ نقآت تçضغ èهâآسآو رس هآè                          ضآن         13.</v>
          </cell>
          <cell r="U6" t="str">
            <v xml:space="preserve">مسآط </v>
          </cell>
          <cell r="V6">
            <v>37</v>
          </cell>
        </row>
        <row r="7">
          <cell r="E7" t="str">
            <v>تçâنé</v>
          </cell>
          <cell r="F7">
            <v>513</v>
          </cell>
          <cell r="G7">
            <v>513</v>
          </cell>
          <cell r="H7">
            <v>2424</v>
          </cell>
          <cell r="I7" t="str">
            <v>هسآضذçو</v>
          </cell>
          <cell r="J7">
            <v>3</v>
          </cell>
          <cell r="T7" t="str">
            <v>هنآدفآت</v>
          </cell>
          <cell r="U7" t="str">
            <v>آçش</v>
          </cell>
          <cell r="V7">
            <v>38</v>
          </cell>
          <cell r="W7" t="str">
            <v>سله هآè لبن</v>
          </cell>
          <cell r="X7" t="str">
            <v>âر رطت</v>
          </cell>
          <cell r="Y7" t="str">
            <v>وآه رطت</v>
          </cell>
          <cell r="Z7" t="str">
            <v>وآه ذآوçآرمé</v>
          </cell>
          <cell r="AA7" t="str">
            <v>سرéà</v>
          </cell>
        </row>
        <row r="8">
          <cell r="C8" t="str">
            <v>çسçر وآتهآه</v>
          </cell>
          <cell r="E8" t="str">
            <v>تçâنé</v>
          </cell>
          <cell r="F8">
            <v>1076</v>
          </cell>
          <cell r="G8">
            <v>1076</v>
          </cell>
          <cell r="H8">
            <v>2733</v>
          </cell>
          <cell r="I8" t="str">
            <v xml:space="preserve">رآسآب çلنقè بéآبآو </v>
          </cell>
          <cell r="J8">
            <v>4</v>
          </cell>
          <cell r="T8">
            <v>2645</v>
          </cell>
          <cell r="U8" t="str">
            <v xml:space="preserve">ذوح </v>
          </cell>
          <cell r="V8">
            <v>39</v>
          </cell>
          <cell r="AA8">
            <v>1</v>
          </cell>
        </row>
        <row r="9">
          <cell r="E9" t="str">
            <v>آضàورéآسé</v>
          </cell>
          <cell r="F9">
            <v>292</v>
          </cell>
          <cell r="G9">
            <v>284</v>
          </cell>
          <cell r="H9">
            <v>2421</v>
          </cell>
          <cell r="I9" t="str">
            <v>èهآéحآو ضةéرآو</v>
          </cell>
          <cell r="J9">
            <v>5</v>
          </cell>
          <cell r="T9">
            <v>2644</v>
          </cell>
          <cell r="U9" t="str">
            <v>èçرçبéرطèس</v>
          </cell>
          <cell r="V9">
            <v>40</v>
          </cell>
          <cell r="AA9">
            <v>2</v>
          </cell>
        </row>
        <row r="10">
          <cell r="E10" t="str">
            <v>آضàورéآسé</v>
          </cell>
          <cell r="F10">
            <v>1145</v>
          </cell>
          <cell r="G10">
            <v>1295</v>
          </cell>
          <cell r="H10">
            <v>2615</v>
          </cell>
          <cell r="I10" t="str">
            <v>âçآس</v>
          </cell>
          <cell r="J10">
            <v>6</v>
          </cell>
          <cell r="T10">
            <v>2633</v>
          </cell>
          <cell r="U10" t="str">
            <v xml:space="preserve">رèâçéè ç âçسرè </v>
          </cell>
          <cell r="V10">
            <v>41</v>
          </cell>
          <cell r="AA10">
            <v>3</v>
          </cell>
        </row>
        <row r="11">
          <cell r="C11" t="str">
            <v>çسçر وآتهآه</v>
          </cell>
          <cell r="E11" t="str">
            <v>آضàورéآسé</v>
          </cell>
          <cell r="F11">
            <v>1380</v>
          </cell>
          <cell r="G11">
            <v>1449</v>
          </cell>
          <cell r="H11">
            <v>4331</v>
          </cell>
          <cell r="I11" t="str">
            <v>طéسآش</v>
          </cell>
          <cell r="J11">
            <v>7</v>
          </cell>
          <cell r="T11">
            <v>2633</v>
          </cell>
          <cell r="U11" t="str">
            <v xml:space="preserve">àéرçéè ç مسهطت </v>
          </cell>
          <cell r="V11">
            <v>42</v>
          </cell>
          <cell r="AA11">
            <v>4</v>
          </cell>
        </row>
        <row r="12">
          <cell r="E12" t="str">
            <v>آبسآèéهé</v>
          </cell>
          <cell r="F12">
            <v>684</v>
          </cell>
          <cell r="G12">
            <v>614</v>
          </cell>
          <cell r="H12">
            <v>2534</v>
          </cell>
          <cell r="I12" t="str">
            <v>àسآطبور</v>
          </cell>
          <cell r="J12">
            <v>8</v>
          </cell>
          <cell r="T12">
            <v>4323</v>
          </cell>
          <cell r="U12" t="str">
            <v>وé سéش</v>
          </cell>
          <cell r="V12">
            <v>43</v>
          </cell>
          <cell r="AA12">
            <v>5</v>
          </cell>
        </row>
        <row r="13">
          <cell r="E13" t="str">
            <v>آبسآèéهé</v>
          </cell>
          <cell r="F13">
            <v>242</v>
          </cell>
          <cell r="G13">
            <v>249</v>
          </cell>
          <cell r="H13">
            <v>2535</v>
          </cell>
          <cell r="I13" t="str">
            <v>ذآوéâ çوçحéو</v>
          </cell>
          <cell r="J13">
            <v>9</v>
          </cell>
          <cell r="T13">
            <v>4931</v>
          </cell>
          <cell r="U13" t="str">
            <v xml:space="preserve">ةطتâçè </v>
          </cell>
          <cell r="V13">
            <v>44</v>
          </cell>
          <cell r="AA13">
            <v>6</v>
          </cell>
        </row>
        <row r="14">
          <cell r="E14" t="str">
            <v>آبسآèéهé</v>
          </cell>
          <cell r="F14">
            <v>558</v>
          </cell>
          <cell r="G14">
            <v>496</v>
          </cell>
          <cell r="H14">
            <v>4313</v>
          </cell>
          <cell r="I14" t="str">
            <v>ضقآرت طèس</v>
          </cell>
          <cell r="J14">
            <v>10</v>
          </cell>
          <cell r="T14">
            <v>4932</v>
          </cell>
          <cell r="U14" t="str">
            <v xml:space="preserve">لغسçéè </v>
          </cell>
          <cell r="V14">
            <v>45</v>
          </cell>
          <cell r="AA14">
            <v>7</v>
          </cell>
        </row>
        <row r="15">
          <cell r="E15" t="str">
            <v>èçطéآس</v>
          </cell>
          <cell r="F15">
            <v>2045</v>
          </cell>
          <cell r="G15">
            <v>3687</v>
          </cell>
          <cell r="H15">
            <v>4319</v>
          </cell>
          <cell r="I15" t="str">
            <v>هسçرطت çâسبآن</v>
          </cell>
          <cell r="J15">
            <v>11</v>
          </cell>
          <cell r="T15">
            <v>2722</v>
          </cell>
          <cell r="U15" t="str">
            <v>نآهسر ç منè رآس</v>
          </cell>
          <cell r="V15">
            <v>46</v>
          </cell>
          <cell r="AA15">
            <v>8</v>
          </cell>
        </row>
        <row r="16">
          <cell r="C16" t="str">
            <v>çسçر وآتهآه</v>
          </cell>
          <cell r="E16" t="str">
            <v>èçطéآس</v>
          </cell>
          <cell r="F16">
            <v>1809</v>
          </cell>
          <cell r="G16">
            <v>1967</v>
          </cell>
          <cell r="H16">
            <v>4321</v>
          </cell>
          <cell r="I16" t="str">
            <v>آسضوحآو çتçآبق</v>
          </cell>
          <cell r="J16">
            <v>12</v>
          </cell>
          <cell r="T16">
            <v>2634</v>
          </cell>
          <cell r="U16" t="str">
            <v xml:space="preserve">قنآأهسçرطت ç àرآك ç بéسه ç رآسآنهéشآو  </v>
          </cell>
          <cell r="V16">
            <v>47</v>
          </cell>
          <cell r="AA16">
            <v>9</v>
          </cell>
        </row>
        <row r="17">
          <cell r="E17" t="str">
            <v>àآذسé</v>
          </cell>
          <cell r="F17">
            <v>1839</v>
          </cell>
          <cell r="G17">
            <v>1837</v>
          </cell>
          <cell r="H17">
            <v>2523</v>
          </cell>
          <cell r="I17" t="str">
            <v>âآشسçو</v>
          </cell>
          <cell r="J17">
            <v>14</v>
          </cell>
          <cell r="T17">
            <v>4911</v>
          </cell>
          <cell r="U17" t="str">
            <v xml:space="preserve">ءبآرè </v>
          </cell>
          <cell r="V17">
            <v>48</v>
          </cell>
          <cell r="AA17">
            <v>10</v>
          </cell>
        </row>
        <row r="18">
          <cell r="C18" t="str">
            <v>çسçر وآتهآه</v>
          </cell>
          <cell r="E18" t="str">
            <v>àآذسé</v>
          </cell>
          <cell r="F18">
            <v>764</v>
          </cell>
          <cell r="G18">
            <v>764</v>
          </cell>
          <cell r="H18">
            <v>4322</v>
          </cell>
          <cell r="I18" t="str">
            <v>ءبآرè غطâ</v>
          </cell>
          <cell r="J18">
            <v>15</v>
          </cell>
          <cell r="T18">
            <v>4312</v>
          </cell>
          <cell r="U18" t="str">
            <v>رè بéر</v>
          </cell>
          <cell r="V18">
            <v>49</v>
          </cell>
          <cell r="AA18">
            <v>11</v>
          </cell>
        </row>
        <row r="19">
          <cell r="C19" t="str">
            <v>çسçر وآتهآه</v>
          </cell>
          <cell r="E19" t="str">
            <v>لèسهآوé</v>
          </cell>
          <cell r="F19">
            <v>1303</v>
          </cell>
          <cell r="G19">
            <v>1351</v>
          </cell>
          <cell r="H19">
            <v>4311</v>
          </cell>
          <cell r="I19" t="str">
            <v>وهرآو</v>
          </cell>
          <cell r="J19">
            <v>16</v>
          </cell>
          <cell r="T19">
            <v>4333</v>
          </cell>
          <cell r="U19" t="str">
            <v xml:space="preserve">ضسçضتآو </v>
          </cell>
          <cell r="V19">
            <v>50</v>
          </cell>
          <cell r="AA19">
            <v>12</v>
          </cell>
        </row>
        <row r="20">
          <cell r="C20" t="str">
            <v>çسçر وآتهآه</v>
          </cell>
          <cell r="E20" t="str">
            <v>قغآسشآرè</v>
          </cell>
          <cell r="F20">
            <v>394</v>
          </cell>
          <cell r="G20">
            <v>393</v>
          </cell>
          <cell r="H20">
            <v>2737</v>
          </cell>
          <cell r="I20" t="str">
            <v>رسشç ضآéبآو</v>
          </cell>
          <cell r="J20">
            <v>17</v>
          </cell>
          <cell r="T20">
            <v>4332</v>
          </cell>
          <cell r="U20" t="str">
            <v xml:space="preserve">لسè بآك </v>
          </cell>
          <cell r="V20">
            <v>51</v>
          </cell>
          <cell r="AA20">
            <v>13</v>
          </cell>
        </row>
        <row r="21">
          <cell r="E21" t="str">
            <v>قغآسشآرè</v>
          </cell>
          <cell r="F21">
            <v>319</v>
          </cell>
          <cell r="G21">
            <v>318</v>
          </cell>
          <cell r="H21">
            <v>2738</v>
          </cell>
          <cell r="I21" t="str">
            <v>ظدسآé بآك</v>
          </cell>
          <cell r="J21">
            <v>18</v>
          </cell>
          <cell r="T21">
            <v>2614</v>
          </cell>
          <cell r="U21" t="str">
            <v xml:space="preserve">ضéذ ç رآسومçو </v>
          </cell>
          <cell r="V21">
            <v>52</v>
          </cell>
          <cell r="AA21">
            <v>14</v>
          </cell>
        </row>
        <row r="22">
          <cell r="E22" t="str">
            <v>قغآسشآرè</v>
          </cell>
          <cell r="F22">
            <v>341</v>
          </cell>
          <cell r="G22">
            <v>341</v>
          </cell>
          <cell r="H22">
            <v>2731</v>
          </cell>
          <cell r="I22" t="str">
            <v>âèوè çةèوآçè</v>
          </cell>
          <cell r="J22">
            <v>19</v>
          </cell>
          <cell r="T22">
            <v>2510</v>
          </cell>
          <cell r="U22" t="str">
            <v xml:space="preserve">رطت آسصو </v>
          </cell>
          <cell r="V22">
            <v>53</v>
          </cell>
          <cell r="AA22">
            <v>15</v>
          </cell>
        </row>
        <row r="23">
          <cell r="C23" t="str">
            <v>çسçر وآتهآه</v>
          </cell>
          <cell r="E23" t="str">
            <v>قغآسشآرè</v>
          </cell>
          <cell r="F23">
            <v>445</v>
          </cell>
          <cell r="G23">
            <v>339</v>
          </cell>
          <cell r="H23">
            <v>2739</v>
          </cell>
          <cell r="I23" t="str">
            <v>نآس</v>
          </cell>
          <cell r="J23">
            <v>20</v>
          </cell>
          <cell r="T23">
            <v>4313</v>
          </cell>
          <cell r="U23" t="str">
            <v xml:space="preserve">ضسةوéسآو </v>
          </cell>
          <cell r="V23">
            <v>54</v>
          </cell>
          <cell r="AA23" t="str">
            <v>حهق</v>
          </cell>
        </row>
        <row r="24">
          <cell r="C24" t="str">
            <v>çسçر وآتهآه</v>
          </cell>
          <cell r="E24" t="str">
            <v>آهéس قعرé</v>
          </cell>
          <cell r="F24">
            <v>175</v>
          </cell>
          <cell r="G24">
            <v>175</v>
          </cell>
          <cell r="H24">
            <v>2521</v>
          </cell>
          <cell r="I24" t="str">
            <v>رطت بسه</v>
          </cell>
          <cell r="J24">
            <v>21</v>
          </cell>
        </row>
        <row r="25">
          <cell r="E25" t="str">
            <v>آهéس قعرé</v>
          </cell>
          <cell r="F25">
            <v>169</v>
          </cell>
          <cell r="G25">
            <v>171</v>
          </cell>
          <cell r="H25">
            <v>2522</v>
          </cell>
          <cell r="I25" t="str">
            <v>لآ اهéè</v>
          </cell>
          <cell r="J25">
            <v>22</v>
          </cell>
        </row>
        <row r="26">
          <cell r="E26" t="str">
            <v>آهéس قعرé</v>
          </cell>
          <cell r="F26">
            <v>316</v>
          </cell>
          <cell r="G26">
            <v>215</v>
          </cell>
          <cell r="H26">
            <v>2526</v>
          </cell>
          <cell r="I26" t="str">
            <v>ذطت</v>
          </cell>
          <cell r="J26">
            <v>23</v>
          </cell>
        </row>
        <row r="27">
          <cell r="E27" t="str">
            <v>آهéس قعرé</v>
          </cell>
          <cell r="F27">
            <v>11</v>
          </cell>
          <cell r="G27">
            <v>11</v>
          </cell>
          <cell r="H27">
            <v>2536</v>
          </cell>
          <cell r="I27" t="str">
            <v>حسè بآنآرè</v>
          </cell>
          <cell r="J27">
            <v>24</v>
          </cell>
        </row>
        <row r="28">
          <cell r="E28" t="str">
            <v>آهéس قعرé</v>
          </cell>
          <cell r="F28">
            <v>99</v>
          </cell>
          <cell r="G28">
            <v>99</v>
          </cell>
          <cell r="H28">
            <v>2537</v>
          </cell>
          <cell r="I28" t="str">
            <v>رآرéو</v>
          </cell>
          <cell r="J28">
            <v>25</v>
          </cell>
        </row>
        <row r="29">
          <cell r="E29" t="str">
            <v>آهéس قعرé</v>
          </cell>
          <cell r="F29">
            <v>85</v>
          </cell>
          <cell r="G29">
            <v>82</v>
          </cell>
          <cell r="H29">
            <v>2533</v>
          </cell>
          <cell r="I29" t="str">
            <v>بنبنâ çرسçوâ</v>
          </cell>
          <cell r="J29">
            <v>26</v>
          </cell>
        </row>
        <row r="30">
          <cell r="E30" t="str">
            <v>آهéس قعرé</v>
          </cell>
          <cell r="F30">
            <v>9</v>
          </cell>
          <cell r="G30">
            <v>9</v>
          </cell>
          <cell r="H30">
            <v>2525</v>
          </cell>
          <cell r="I30" t="str">
            <v>âهآسح</v>
          </cell>
          <cell r="J30">
            <v>27</v>
          </cell>
        </row>
        <row r="31">
          <cell r="C31" t="str">
            <v>çسçر وآتهآه</v>
          </cell>
          <cell r="E31" t="str">
            <v>آهéس قعرé</v>
          </cell>
          <cell r="F31">
            <v>1137</v>
          </cell>
          <cell r="G31">
            <v>1195</v>
          </cell>
          <cell r="H31">
            <v>4316</v>
          </cell>
          <cell r="I31" t="str">
            <v>ذàسâ ضéرآو</v>
          </cell>
          <cell r="J31">
            <v>28</v>
          </cell>
        </row>
        <row r="32">
          <cell r="C32" t="str">
            <v>çسçر وآتهآه</v>
          </cell>
          <cell r="E32" t="str">
            <v>ءظàé</v>
          </cell>
          <cell r="F32">
            <v>255</v>
          </cell>
          <cell r="G32">
            <v>1195</v>
          </cell>
          <cell r="H32">
            <v>2612</v>
          </cell>
          <cell r="I32" t="str">
            <v>ذغéسé</v>
          </cell>
          <cell r="J32">
            <v>29</v>
          </cell>
        </row>
        <row r="33">
          <cell r="E33" t="str">
            <v>ءظàé</v>
          </cell>
          <cell r="F33">
            <v>221</v>
          </cell>
          <cell r="H33">
            <v>2613</v>
          </cell>
          <cell r="I33" t="str">
            <v>ذآوè ذبéض</v>
          </cell>
          <cell r="J33">
            <v>30</v>
          </cell>
        </row>
        <row r="34">
          <cell r="E34" t="str">
            <v>ءظàé</v>
          </cell>
          <cell r="F34">
            <v>604</v>
          </cell>
          <cell r="G34">
            <v>493</v>
          </cell>
          <cell r="H34">
            <v>4317</v>
          </cell>
          <cell r="I34" t="str">
            <v>ءضةآض</v>
          </cell>
          <cell r="J34">
            <v>31</v>
          </cell>
        </row>
        <row r="35">
          <cell r="E35" t="str">
            <v>ءظàé</v>
          </cell>
          <cell r="F35">
            <v>187</v>
          </cell>
          <cell r="G35">
            <v>187</v>
          </cell>
          <cell r="H35">
            <v>4922</v>
          </cell>
          <cell r="I35" t="str">
            <v>ضسخآèآو</v>
          </cell>
          <cell r="J35">
            <v>32</v>
          </cell>
        </row>
        <row r="36">
          <cell r="E36" t="str">
            <v>ءظàé</v>
          </cell>
          <cell r="F36">
            <v>94</v>
          </cell>
          <cell r="G36">
            <v>94</v>
          </cell>
          <cell r="H36">
            <v>4921</v>
          </cell>
          <cell r="I36" t="str">
            <v>بçآوآت</v>
          </cell>
          <cell r="J36">
            <v>33</v>
          </cell>
        </row>
        <row r="37">
          <cell r="C37" t="str">
            <v>çسçر وآتهآه</v>
          </cell>
          <cell r="E37" t="str">
            <v>ءظàé</v>
          </cell>
          <cell r="F37">
            <v>387</v>
          </cell>
          <cell r="G37">
            <v>393</v>
          </cell>
          <cell r="H37">
            <v>2642</v>
          </cell>
          <cell r="I37" t="str">
            <v>حçéه çبوآسçéè</v>
          </cell>
          <cell r="J37">
            <v>34</v>
          </cell>
        </row>
        <row r="38">
          <cell r="C38" t="str">
            <v>çسçر وآتهآه</v>
          </cell>
          <cell r="E38" t="str">
            <v>حهق âن تآ 76/6/13</v>
          </cell>
          <cell r="F38">
            <v>0</v>
          </cell>
          <cell r="G38">
            <v>2631</v>
          </cell>
          <cell r="H38">
            <v>2631</v>
          </cell>
          <cell r="I38" t="str">
            <v>ضéà ءبآرçنآكس</v>
          </cell>
          <cell r="J38">
            <v>35</v>
          </cell>
        </row>
        <row r="39">
          <cell r="E39" t="str">
            <v>حهق âن تآ 76/6/13</v>
          </cell>
          <cell r="F39">
            <v>19735</v>
          </cell>
          <cell r="G39">
            <v>25208</v>
          </cell>
          <cell r="J39">
            <v>35</v>
          </cell>
        </row>
        <row r="83">
          <cell r="CY83" t="str">
            <v xml:space="preserve">بسوآ هè  èàتمé  çسçر ءهآس ضغد ءب خآ èèآé  هطآ èرè آé  ç ءهآس  هوآبق  ءب  شéس شهéوé </v>
          </cell>
        </row>
        <row r="87">
          <cell r="CY87" t="str">
            <v xml:space="preserve"> آش 15 طèسéçس هآè 1376</v>
          </cell>
        </row>
        <row r="90">
          <cell r="CY90" t="str">
            <v>17.30 تآ 18.45</v>
          </cell>
          <cell r="CZ90" t="str">
            <v>16.15 تآ 17.30</v>
          </cell>
          <cell r="DA90" t="str">
            <v>15 تآ 16.15</v>
          </cell>
          <cell r="DB90" t="str">
            <v xml:space="preserve"> 11 تآ 12</v>
          </cell>
          <cell r="DC90" t="str">
            <v>10  تآ 11</v>
          </cell>
          <cell r="DD90" t="str">
            <v>سçشèآé èàتـè</v>
          </cell>
        </row>
        <row r="91">
          <cell r="CY91" t="str">
            <v>آبسآèéهé</v>
          </cell>
          <cell r="CZ91" t="str">
            <v>حèآومéسé</v>
          </cell>
          <cell r="DA91" t="str">
            <v>آضàورéآسحèسهé</v>
          </cell>
          <cell r="DB91" t="str">
            <v>حèآومéسé</v>
          </cell>
          <cell r="DC91" t="str">
            <v>آضàورéآس حèسهé</v>
          </cell>
          <cell r="DD91" t="str">
            <v>طوبè</v>
          </cell>
        </row>
        <row r="92">
          <cell r="CY92" t="str">
            <v>ءظàé</v>
          </cell>
          <cell r="CZ92" t="str">
            <v>آ هéس قعرé</v>
          </cell>
          <cell r="DA92" t="str">
            <v>قغآسشآرè</v>
          </cell>
          <cell r="DB92" t="str">
            <v>آ هéس قعرé</v>
          </cell>
          <cell r="DC92" t="str">
            <v>ءظàé</v>
          </cell>
          <cell r="DD92" t="str">
            <v>éâ طوبè</v>
          </cell>
        </row>
        <row r="93">
          <cell r="CY93" t="str">
            <v>ءظàé</v>
          </cell>
          <cell r="CZ93" t="str">
            <v>èçطéآس</v>
          </cell>
          <cell r="DA93" t="str">
            <v>àآذسé</v>
          </cell>
          <cell r="DB93" t="str">
            <v>èçطéآس</v>
          </cell>
          <cell r="DC93" t="str">
            <v>طéبآوé</v>
          </cell>
          <cell r="DD93" t="str">
            <v>رç طوبè</v>
          </cell>
        </row>
        <row r="94">
          <cell r="CZ94" t="str">
            <v>èçطéآس</v>
          </cell>
          <cell r="DA94" t="str">
            <v>àآذسé</v>
          </cell>
          <cell r="DB94" t="str">
            <v>قغآسشآرè</v>
          </cell>
          <cell r="DC94" t="str">
            <v>آبسآèéهé</v>
          </cell>
          <cell r="DD94" t="str">
            <v>ضè طوبè</v>
          </cell>
        </row>
        <row r="95">
          <cell r="DB95" t="str">
            <v>قغآسشآرè</v>
          </cell>
          <cell r="DC95" t="str">
            <v>آبسآèéهé</v>
          </cell>
          <cell r="DD95" t="str">
            <v>خèآس طوبè</v>
          </cell>
        </row>
        <row r="96">
          <cell r="CZ96" t="str">
            <v>تــçâــنé</v>
          </cell>
          <cell r="DA96" t="str">
            <v>çسشوــــرè</v>
          </cell>
          <cell r="DB96" t="str">
            <v>çسشوــــرè</v>
          </cell>
          <cell r="DC96" t="str">
            <v>تــçâــنé</v>
          </cell>
          <cell r="DD96" t="str">
            <v>ةوح طوبè</v>
          </cell>
        </row>
        <row r="97">
          <cell r="DB97" t="str">
            <v>çسشوــــرè</v>
          </cell>
          <cell r="DD97" t="str">
            <v>ةوح طوبè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3C869-3230-466E-B033-82F892704738}">
  <dimension ref="B2:L19"/>
  <sheetViews>
    <sheetView rightToLeft="1" zoomScale="110" zoomScaleNormal="110" workbookViewId="0">
      <selection activeCell="C23" sqref="C23"/>
    </sheetView>
  </sheetViews>
  <sheetFormatPr defaultColWidth="9.140625" defaultRowHeight="17.25" x14ac:dyDescent="0.25"/>
  <cols>
    <col min="1" max="1" width="9.140625" style="3"/>
    <col min="2" max="2" width="8.7109375" style="3" bestFit="1" customWidth="1"/>
    <col min="3" max="5" width="11.42578125" style="3" customWidth="1"/>
    <col min="6" max="12" width="14.28515625" style="3" customWidth="1"/>
    <col min="13" max="16384" width="9.140625" style="3"/>
  </cols>
  <sheetData>
    <row r="2" spans="2:12" x14ac:dyDescent="0.25">
      <c r="D2" s="195" t="s">
        <v>9</v>
      </c>
      <c r="E2" s="195"/>
      <c r="F2" s="195"/>
      <c r="G2" s="195" t="s">
        <v>14</v>
      </c>
      <c r="H2" s="195"/>
      <c r="I2" s="195"/>
      <c r="J2" s="195" t="s">
        <v>10</v>
      </c>
      <c r="K2" s="195"/>
      <c r="L2" s="195"/>
    </row>
    <row r="3" spans="2:12" ht="34.5" customHeight="1" x14ac:dyDescent="0.25">
      <c r="B3" s="193" t="s">
        <v>0</v>
      </c>
      <c r="C3" s="9" t="s">
        <v>1</v>
      </c>
      <c r="D3" s="2" t="s">
        <v>4</v>
      </c>
      <c r="E3" s="2" t="s">
        <v>6</v>
      </c>
      <c r="F3" s="9" t="s">
        <v>7</v>
      </c>
      <c r="G3" s="14" t="s">
        <v>4</v>
      </c>
      <c r="H3" s="2" t="s">
        <v>6</v>
      </c>
      <c r="I3" s="9" t="s">
        <v>7</v>
      </c>
      <c r="J3" s="14" t="s">
        <v>4</v>
      </c>
      <c r="K3" s="2" t="s">
        <v>6</v>
      </c>
      <c r="L3" s="9" t="s">
        <v>7</v>
      </c>
    </row>
    <row r="4" spans="2:12" x14ac:dyDescent="0.25">
      <c r="B4" s="194"/>
      <c r="C4" s="22" t="s">
        <v>2</v>
      </c>
      <c r="D4" s="1" t="s">
        <v>3</v>
      </c>
      <c r="E4" s="1" t="s">
        <v>3</v>
      </c>
      <c r="F4" s="10" t="s">
        <v>8</v>
      </c>
      <c r="G4" s="15" t="s">
        <v>3</v>
      </c>
      <c r="H4" s="1" t="s">
        <v>3</v>
      </c>
      <c r="I4" s="10" t="s">
        <v>8</v>
      </c>
      <c r="J4" s="15" t="s">
        <v>3</v>
      </c>
      <c r="K4" s="1" t="s">
        <v>3</v>
      </c>
      <c r="L4" s="10" t="s">
        <v>8</v>
      </c>
    </row>
    <row r="5" spans="2:12" ht="18" customHeight="1" x14ac:dyDescent="0.25">
      <c r="B5" s="19">
        <v>1</v>
      </c>
      <c r="C5" s="6">
        <v>44.961444338682611</v>
      </c>
      <c r="D5" s="24">
        <v>670.09819960421942</v>
      </c>
      <c r="E5" s="11">
        <v>155.7128352221537</v>
      </c>
      <c r="F5" s="12">
        <f>E5*1000*1000/31/24/3600/C5</f>
        <v>1.2930303598600439</v>
      </c>
      <c r="G5" s="26">
        <v>731.06466714200292</v>
      </c>
      <c r="H5" s="11">
        <v>170.31078277623709</v>
      </c>
      <c r="I5" s="12">
        <f>H5*1000*1000/31/24/3600/C5</f>
        <v>1.414250870373162</v>
      </c>
      <c r="J5" s="16">
        <v>740.45978969811961</v>
      </c>
      <c r="K5" s="11">
        <v>158.290046745815</v>
      </c>
      <c r="L5" s="12">
        <f>K5*1000*1000/31/24/3600/C5</f>
        <v>1.3144313749987182</v>
      </c>
    </row>
    <row r="6" spans="2:12" ht="18" customHeight="1" x14ac:dyDescent="0.25">
      <c r="B6" s="19">
        <v>2</v>
      </c>
      <c r="C6" s="7">
        <v>128.31015849339019</v>
      </c>
      <c r="D6" s="24">
        <v>1557.870222979881</v>
      </c>
      <c r="E6" s="11">
        <v>358.37944927314419</v>
      </c>
      <c r="F6" s="12">
        <f t="shared" ref="F6:F18" si="0">E6*1000*1000/31/24/3600/C6</f>
        <v>1.0428134404486815</v>
      </c>
      <c r="G6" s="26">
        <v>1653.22997362259</v>
      </c>
      <c r="H6" s="11">
        <v>381.07759277402181</v>
      </c>
      <c r="I6" s="12">
        <f t="shared" ref="I6:I18" si="1">H6*1000*1000/31/24/3600/C6</f>
        <v>1.1088605566099314</v>
      </c>
      <c r="J6" s="16">
        <v>1773.5423719973569</v>
      </c>
      <c r="K6" s="11">
        <v>380.50878734517607</v>
      </c>
      <c r="L6" s="12">
        <f t="shared" ref="L6:L18" si="2">K6*1000*1000/31/24/3600/C6</f>
        <v>1.1072054451145497</v>
      </c>
    </row>
    <row r="7" spans="2:12" ht="18" customHeight="1" x14ac:dyDescent="0.25">
      <c r="B7" s="19">
        <v>3</v>
      </c>
      <c r="C7" s="7">
        <v>103.6064933887299</v>
      </c>
      <c r="D7" s="24">
        <v>1273.667573627454</v>
      </c>
      <c r="E7" s="11">
        <v>292.22915010810681</v>
      </c>
      <c r="F7" s="12">
        <f t="shared" si="0"/>
        <v>1.0530794153321448</v>
      </c>
      <c r="G7" s="26">
        <v>1329.5414536698099</v>
      </c>
      <c r="H7" s="11">
        <v>305.51059925743999</v>
      </c>
      <c r="I7" s="12">
        <f t="shared" si="1"/>
        <v>1.1009405568362327</v>
      </c>
      <c r="J7" s="16">
        <v>1057.72702230236</v>
      </c>
      <c r="K7" s="11">
        <v>227.82645297857181</v>
      </c>
      <c r="L7" s="12">
        <f t="shared" si="2"/>
        <v>0.82099731601421488</v>
      </c>
    </row>
    <row r="8" spans="2:12" ht="18" customHeight="1" x14ac:dyDescent="0.25">
      <c r="B8" s="19">
        <v>4</v>
      </c>
      <c r="C8" s="7">
        <v>61.494784349558167</v>
      </c>
      <c r="D8" s="24">
        <v>738.81076482225808</v>
      </c>
      <c r="E8" s="11">
        <v>167.9369343330666</v>
      </c>
      <c r="F8" s="12">
        <f t="shared" si="0"/>
        <v>1.0196062800693029</v>
      </c>
      <c r="G8" s="26">
        <v>778.47479338041398</v>
      </c>
      <c r="H8" s="11">
        <v>177.3939683526043</v>
      </c>
      <c r="I8" s="12">
        <f t="shared" si="1"/>
        <v>1.0770233772399938</v>
      </c>
      <c r="J8" s="16">
        <v>699.62421014254596</v>
      </c>
      <c r="K8" s="11">
        <v>149.06105393423539</v>
      </c>
      <c r="L8" s="12">
        <f t="shared" si="2"/>
        <v>0.90500393679730295</v>
      </c>
    </row>
    <row r="9" spans="2:12" ht="18" customHeight="1" x14ac:dyDescent="0.25">
      <c r="B9" s="19">
        <v>5</v>
      </c>
      <c r="C9" s="7">
        <v>55.680299853927153</v>
      </c>
      <c r="D9" s="24">
        <v>676.97690305441472</v>
      </c>
      <c r="E9" s="11">
        <v>154.89246966053079</v>
      </c>
      <c r="F9" s="12">
        <f t="shared" si="0"/>
        <v>1.0386119200613535</v>
      </c>
      <c r="G9" s="26">
        <v>776.74719216827998</v>
      </c>
      <c r="H9" s="11">
        <v>178.75511958598599</v>
      </c>
      <c r="I9" s="12">
        <f t="shared" si="1"/>
        <v>1.1986199095468766</v>
      </c>
      <c r="J9" s="16">
        <v>837.49634036270595</v>
      </c>
      <c r="K9" s="11">
        <v>180.97723939681589</v>
      </c>
      <c r="L9" s="12">
        <f t="shared" si="2"/>
        <v>1.2135200536816466</v>
      </c>
    </row>
    <row r="10" spans="2:12" ht="18" customHeight="1" x14ac:dyDescent="0.25">
      <c r="B10" s="19">
        <v>6</v>
      </c>
      <c r="C10" s="7">
        <v>84.709248549526109</v>
      </c>
      <c r="D10" s="24">
        <v>1097.526326113373</v>
      </c>
      <c r="E10" s="11">
        <v>250.7048826734719</v>
      </c>
      <c r="F10" s="12">
        <f t="shared" si="0"/>
        <v>1.1049853669216492</v>
      </c>
      <c r="G10" s="26">
        <v>1134.9298245184741</v>
      </c>
      <c r="H10" s="11">
        <v>259.5609258982667</v>
      </c>
      <c r="I10" s="12">
        <f t="shared" si="1"/>
        <v>1.1440185044811169</v>
      </c>
      <c r="J10" s="16">
        <v>902.3762978602723</v>
      </c>
      <c r="K10" s="11">
        <v>191.53170536113831</v>
      </c>
      <c r="L10" s="12">
        <f t="shared" si="2"/>
        <v>0.84417873903658547</v>
      </c>
    </row>
    <row r="11" spans="2:12" ht="18" customHeight="1" x14ac:dyDescent="0.25">
      <c r="B11" s="19">
        <v>7</v>
      </c>
      <c r="C11" s="7">
        <v>340.59345198686083</v>
      </c>
      <c r="D11" s="24">
        <v>2507.5441934295</v>
      </c>
      <c r="E11" s="11">
        <v>594.47383384119325</v>
      </c>
      <c r="F11" s="12">
        <f t="shared" si="0"/>
        <v>0.65165992341662127</v>
      </c>
      <c r="G11" s="26">
        <v>4122.1605690377919</v>
      </c>
      <c r="H11" s="11">
        <v>977.81544045879798</v>
      </c>
      <c r="I11" s="12">
        <f t="shared" si="1"/>
        <v>1.0718775138136549</v>
      </c>
      <c r="J11" s="16">
        <v>6419.1371952955533</v>
      </c>
      <c r="K11" s="11">
        <v>1472.194808930416</v>
      </c>
      <c r="L11" s="12">
        <f t="shared" si="2"/>
        <v>1.6138142704161929</v>
      </c>
    </row>
    <row r="12" spans="2:12" ht="18" customHeight="1" x14ac:dyDescent="0.25">
      <c r="B12" s="19">
        <v>8</v>
      </c>
      <c r="C12" s="7">
        <v>95.76985784994099</v>
      </c>
      <c r="D12" s="24">
        <v>886.4395131414899</v>
      </c>
      <c r="E12" s="11">
        <v>206.91407058727029</v>
      </c>
      <c r="F12" s="12">
        <f t="shared" si="0"/>
        <v>0.80665112806418826</v>
      </c>
      <c r="G12" s="26">
        <v>948.58555088551952</v>
      </c>
      <c r="H12" s="11">
        <v>221.65282940005741</v>
      </c>
      <c r="I12" s="12">
        <f t="shared" si="1"/>
        <v>0.86410993881039277</v>
      </c>
      <c r="J12" s="16">
        <v>1002.054464582636</v>
      </c>
      <c r="K12" s="11">
        <v>222.25402516462569</v>
      </c>
      <c r="L12" s="12">
        <f t="shared" si="2"/>
        <v>0.86645369068913158</v>
      </c>
    </row>
    <row r="13" spans="2:12" ht="18" customHeight="1" x14ac:dyDescent="0.25">
      <c r="B13" s="19">
        <v>9</v>
      </c>
      <c r="C13" s="7">
        <v>293.21437845798607</v>
      </c>
      <c r="D13" s="24">
        <v>2562.613916954771</v>
      </c>
      <c r="E13" s="11">
        <v>596.7673079520946</v>
      </c>
      <c r="F13" s="12">
        <f t="shared" si="0"/>
        <v>0.75987879293876848</v>
      </c>
      <c r="G13" s="26">
        <v>2842.456149670893</v>
      </c>
      <c r="H13" s="11">
        <v>662.82329664283975</v>
      </c>
      <c r="I13" s="12">
        <f t="shared" si="1"/>
        <v>0.84398954143963956</v>
      </c>
      <c r="J13" s="16">
        <v>3264.7562667241868</v>
      </c>
      <c r="K13" s="11">
        <v>730.25004107683571</v>
      </c>
      <c r="L13" s="12">
        <f t="shared" si="2"/>
        <v>0.929845707636345</v>
      </c>
    </row>
    <row r="14" spans="2:12" ht="18" customHeight="1" x14ac:dyDescent="0.25">
      <c r="B14" s="19">
        <v>10</v>
      </c>
      <c r="C14" s="7">
        <v>154.71294295589769</v>
      </c>
      <c r="D14" s="24">
        <v>1733.449188145876</v>
      </c>
      <c r="E14" s="11">
        <v>396.80206811250122</v>
      </c>
      <c r="F14" s="12">
        <f t="shared" si="0"/>
        <v>0.95757289249633371</v>
      </c>
      <c r="G14" s="26">
        <v>1974.5434373260821</v>
      </c>
      <c r="H14" s="11">
        <v>454.41135777547328</v>
      </c>
      <c r="I14" s="12">
        <f t="shared" si="1"/>
        <v>1.096597102726989</v>
      </c>
      <c r="J14" s="16">
        <v>2238.201077199757</v>
      </c>
      <c r="K14" s="11">
        <v>488.61358743500239</v>
      </c>
      <c r="L14" s="12">
        <f t="shared" si="2"/>
        <v>1.1791347975043602</v>
      </c>
    </row>
    <row r="15" spans="2:12" ht="18" customHeight="1" x14ac:dyDescent="0.25">
      <c r="B15" s="19">
        <v>11</v>
      </c>
      <c r="C15" s="7">
        <v>129.3502296792675</v>
      </c>
      <c r="D15" s="24">
        <v>1642.915414675716</v>
      </c>
      <c r="E15" s="11">
        <v>374.4435477886318</v>
      </c>
      <c r="F15" s="12">
        <f t="shared" si="0"/>
        <v>1.0807959557927584</v>
      </c>
      <c r="G15" s="26">
        <v>1609.7845049728101</v>
      </c>
      <c r="H15" s="11">
        <v>366.18752905811488</v>
      </c>
      <c r="I15" s="12">
        <f t="shared" si="1"/>
        <v>1.0569657370385852</v>
      </c>
      <c r="J15" s="16">
        <v>1350.810268087529</v>
      </c>
      <c r="K15" s="11">
        <v>283.44532871264278</v>
      </c>
      <c r="L15" s="12">
        <f t="shared" si="2"/>
        <v>0.81813818603679556</v>
      </c>
    </row>
    <row r="16" spans="2:12" ht="18" customHeight="1" x14ac:dyDescent="0.25">
      <c r="B16" s="19">
        <v>12</v>
      </c>
      <c r="C16" s="7">
        <v>95.023303678645789</v>
      </c>
      <c r="D16" s="24">
        <v>835.99398416044392</v>
      </c>
      <c r="E16" s="11">
        <v>196.42041259584391</v>
      </c>
      <c r="F16" s="12">
        <f t="shared" si="0"/>
        <v>0.77175785274625264</v>
      </c>
      <c r="G16" s="26">
        <v>1041.537928938734</v>
      </c>
      <c r="H16" s="11">
        <v>245.40422508799659</v>
      </c>
      <c r="I16" s="12">
        <f t="shared" si="1"/>
        <v>0.96422075132519958</v>
      </c>
      <c r="J16" s="16">
        <v>1295.079072188842</v>
      </c>
      <c r="K16" s="11">
        <v>294.33443420944087</v>
      </c>
      <c r="L16" s="12">
        <f t="shared" si="2"/>
        <v>1.1564730362427091</v>
      </c>
    </row>
    <row r="17" spans="2:12" ht="18" customHeight="1" x14ac:dyDescent="0.25">
      <c r="B17" s="19">
        <v>13</v>
      </c>
      <c r="C17" s="7">
        <v>8.4318874727844921</v>
      </c>
      <c r="D17" s="24">
        <v>122.990918979971</v>
      </c>
      <c r="E17" s="11">
        <v>28.741801236499239</v>
      </c>
      <c r="F17" s="12">
        <f t="shared" si="0"/>
        <v>1.2726639530774255</v>
      </c>
      <c r="G17" s="26">
        <v>127.6684186876679</v>
      </c>
      <c r="H17" s="11">
        <v>29.859665948490449</v>
      </c>
      <c r="I17" s="12">
        <f t="shared" si="1"/>
        <v>1.3221621077568146</v>
      </c>
      <c r="J17" s="16">
        <v>111.4872164173663</v>
      </c>
      <c r="K17" s="11">
        <v>23.942188993663461</v>
      </c>
      <c r="L17" s="12">
        <f t="shared" si="2"/>
        <v>1.0601409646973772</v>
      </c>
    </row>
    <row r="18" spans="2:12" ht="18" customHeight="1" x14ac:dyDescent="0.25">
      <c r="B18" s="20">
        <v>16</v>
      </c>
      <c r="C18" s="8">
        <v>45.527900000000002</v>
      </c>
      <c r="D18" s="25">
        <v>421.73667928470832</v>
      </c>
      <c r="E18" s="4">
        <v>97.316457737346141</v>
      </c>
      <c r="F18" s="12">
        <f t="shared" si="0"/>
        <v>0.79805576182215054</v>
      </c>
      <c r="G18" s="27">
        <v>459.76580565310252</v>
      </c>
      <c r="H18" s="4">
        <v>105.93603235982199</v>
      </c>
      <c r="I18" s="12">
        <f t="shared" si="1"/>
        <v>0.86874165968424466</v>
      </c>
      <c r="J18" s="17">
        <v>329.82544640091078</v>
      </c>
      <c r="K18" s="4">
        <v>74.605931358822588</v>
      </c>
      <c r="L18" s="12">
        <f t="shared" si="2"/>
        <v>0.61181525480214127</v>
      </c>
    </row>
    <row r="19" spans="2:12" ht="18" customHeight="1" x14ac:dyDescent="0.25">
      <c r="B19" s="21" t="s">
        <v>5</v>
      </c>
      <c r="C19" s="23">
        <f>SUM(C5:C18)</f>
        <v>1641.3863810551977</v>
      </c>
      <c r="D19" s="5">
        <f t="shared" ref="D19:E19" si="3">SUM(D5:D18)</f>
        <v>16728.633798974079</v>
      </c>
      <c r="E19" s="5">
        <f t="shared" si="3"/>
        <v>3871.7352211218549</v>
      </c>
      <c r="F19" s="13">
        <f>SUMPRODUCT(F5:F18,C5:C18)/C19</f>
        <v>0.88068254199681373</v>
      </c>
      <c r="G19" s="18">
        <f t="shared" ref="G19" si="4">SUM(G5:G18)</f>
        <v>19530.490269674174</v>
      </c>
      <c r="H19" s="5">
        <f t="shared" ref="H19" si="5">SUM(H5:H18)</f>
        <v>4536.6993653761474</v>
      </c>
      <c r="I19" s="13">
        <f>SUMPRODUCT(I5:I18,C5:C18)/C19</f>
        <v>1.0319383173669383</v>
      </c>
      <c r="J19" s="18">
        <f t="shared" ref="J19" si="6">SUM(J5:J18)</f>
        <v>22022.577039260137</v>
      </c>
      <c r="K19" s="5">
        <f t="shared" ref="K19" si="7">SUM(K5:K18)</f>
        <v>4877.8356316432019</v>
      </c>
      <c r="L19" s="13">
        <f>SUMPRODUCT(L5:L18,C5:C18)/C19</f>
        <v>1.1095347274996332</v>
      </c>
    </row>
  </sheetData>
  <mergeCells count="4">
    <mergeCell ref="B3:B4"/>
    <mergeCell ref="D2:F2"/>
    <mergeCell ref="G2:I2"/>
    <mergeCell ref="J2:L2"/>
  </mergeCells>
  <pageMargins left="0.7" right="0.7" top="0.75" bottom="0.75" header="0.3" footer="0.3"/>
  <ignoredErrors>
    <ignoredError sqref="F19 I19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2BF0E-80F9-45EE-8598-28C146232AA7}">
  <dimension ref="B1:Y41"/>
  <sheetViews>
    <sheetView rightToLeft="1" topLeftCell="A4" zoomScale="110" zoomScaleNormal="110" workbookViewId="0">
      <selection activeCell="B2" sqref="B2:N22"/>
    </sheetView>
  </sheetViews>
  <sheetFormatPr defaultColWidth="9.140625" defaultRowHeight="17.25" x14ac:dyDescent="0.25"/>
  <cols>
    <col min="1" max="1" width="9.140625" style="3"/>
    <col min="2" max="2" width="8.7109375" style="3" bestFit="1" customWidth="1"/>
    <col min="3" max="5" width="11.42578125" style="3" customWidth="1"/>
    <col min="6" max="6" width="14.28515625" style="3" customWidth="1"/>
    <col min="7" max="7" width="11.42578125" style="3" customWidth="1"/>
    <col min="8" max="10" width="14.28515625" style="3" customWidth="1"/>
    <col min="11" max="11" width="11.42578125" style="3" customWidth="1"/>
    <col min="12" max="14" width="14.28515625" style="3" customWidth="1"/>
    <col min="15" max="25" width="10" style="3" customWidth="1"/>
    <col min="26" max="16384" width="9.140625" style="3"/>
  </cols>
  <sheetData>
    <row r="1" spans="2:25" x14ac:dyDescent="0.25">
      <c r="C1" s="198" t="s">
        <v>9</v>
      </c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</row>
    <row r="2" spans="2:25" x14ac:dyDescent="0.25">
      <c r="C2" s="234" t="s">
        <v>11</v>
      </c>
      <c r="D2" s="234"/>
      <c r="E2" s="234"/>
      <c r="F2" s="234"/>
      <c r="G2" s="235" t="s">
        <v>12</v>
      </c>
      <c r="H2" s="235"/>
      <c r="I2" s="235"/>
      <c r="J2" s="235"/>
      <c r="K2" s="235" t="s">
        <v>13</v>
      </c>
      <c r="L2" s="235"/>
      <c r="M2" s="235"/>
      <c r="N2" s="235"/>
    </row>
    <row r="3" spans="2:25" ht="34.5" customHeight="1" x14ac:dyDescent="0.25">
      <c r="B3" s="196" t="s">
        <v>0</v>
      </c>
      <c r="C3" s="2" t="s">
        <v>1</v>
      </c>
      <c r="D3" s="2" t="s">
        <v>4</v>
      </c>
      <c r="E3" s="2" t="s">
        <v>6</v>
      </c>
      <c r="F3" s="9" t="s">
        <v>15</v>
      </c>
      <c r="G3" s="14" t="s">
        <v>1</v>
      </c>
      <c r="H3" s="2" t="s">
        <v>4</v>
      </c>
      <c r="I3" s="2" t="s">
        <v>6</v>
      </c>
      <c r="J3" s="9" t="s">
        <v>15</v>
      </c>
      <c r="K3" s="14" t="s">
        <v>1</v>
      </c>
      <c r="L3" s="2" t="s">
        <v>4</v>
      </c>
      <c r="M3" s="2" t="s">
        <v>6</v>
      </c>
      <c r="N3" s="9" t="s">
        <v>15</v>
      </c>
      <c r="O3" s="220" t="s">
        <v>55</v>
      </c>
      <c r="P3" s="221"/>
      <c r="Q3" s="221"/>
      <c r="R3" s="221"/>
      <c r="S3" s="221"/>
      <c r="T3" s="221"/>
      <c r="U3" s="221"/>
      <c r="V3" s="221"/>
      <c r="W3" s="221"/>
      <c r="X3" s="221"/>
      <c r="Y3" s="222"/>
    </row>
    <row r="4" spans="2:25" ht="34.5" x14ac:dyDescent="0.25">
      <c r="B4" s="197"/>
      <c r="C4" s="28" t="s">
        <v>2</v>
      </c>
      <c r="D4" s="1" t="s">
        <v>3</v>
      </c>
      <c r="E4" s="1" t="s">
        <v>3</v>
      </c>
      <c r="F4" s="10" t="s">
        <v>8</v>
      </c>
      <c r="G4" s="33" t="s">
        <v>2</v>
      </c>
      <c r="H4" s="1" t="s">
        <v>3</v>
      </c>
      <c r="I4" s="1" t="s">
        <v>3</v>
      </c>
      <c r="J4" s="10" t="s">
        <v>8</v>
      </c>
      <c r="K4" s="33" t="s">
        <v>2</v>
      </c>
      <c r="L4" s="1" t="s">
        <v>3</v>
      </c>
      <c r="M4" s="1" t="s">
        <v>3</v>
      </c>
      <c r="N4" s="10" t="s">
        <v>8</v>
      </c>
      <c r="O4" s="33" t="s">
        <v>44</v>
      </c>
      <c r="P4" s="28" t="s">
        <v>45</v>
      </c>
      <c r="Q4" s="28" t="s">
        <v>46</v>
      </c>
      <c r="R4" s="28" t="s">
        <v>47</v>
      </c>
      <c r="S4" s="28" t="s">
        <v>48</v>
      </c>
      <c r="T4" s="28" t="s">
        <v>49</v>
      </c>
      <c r="U4" s="28" t="s">
        <v>50</v>
      </c>
      <c r="V4" s="28" t="s">
        <v>51</v>
      </c>
      <c r="W4" s="28" t="s">
        <v>52</v>
      </c>
      <c r="X4" s="28" t="s">
        <v>53</v>
      </c>
      <c r="Y4" s="22" t="s">
        <v>54</v>
      </c>
    </row>
    <row r="5" spans="2:25" ht="18" customHeight="1" x14ac:dyDescent="0.25">
      <c r="B5" s="38">
        <v>1</v>
      </c>
      <c r="C5" s="29">
        <v>44.961444338682611</v>
      </c>
      <c r="D5" s="39">
        <v>670.09819960421942</v>
      </c>
      <c r="E5" s="40">
        <v>155.7128352221537</v>
      </c>
      <c r="F5" s="41">
        <f>E5*1000*1000/31/24/3600/C5</f>
        <v>1.2930303598600439</v>
      </c>
      <c r="G5" s="34">
        <v>10.386438</v>
      </c>
      <c r="H5" s="39">
        <f>I5/(E5/D5)</f>
        <v>147.01866730485466</v>
      </c>
      <c r="I5" s="40">
        <f>J5*G5*31*24*3600/1000/1000</f>
        <v>34.163192096535397</v>
      </c>
      <c r="J5" s="41">
        <v>1.228050916732746</v>
      </c>
      <c r="K5" s="34">
        <v>1.15334</v>
      </c>
      <c r="L5" s="40">
        <f>M5/(E5/D5)</f>
        <v>16.325376394619703</v>
      </c>
      <c r="M5" s="40">
        <f>N5*K5*31*24*3600/1000/1000</f>
        <v>3.7935792783452942</v>
      </c>
      <c r="N5" s="41">
        <v>1.228050916732746</v>
      </c>
      <c r="O5" s="223">
        <v>1.4485577961246738</v>
      </c>
      <c r="P5" s="223">
        <v>1.2605522904261424</v>
      </c>
      <c r="Q5" s="223" t="s">
        <v>38</v>
      </c>
      <c r="R5" s="223">
        <v>1.3613486658327512</v>
      </c>
      <c r="S5" s="223" t="s">
        <v>38</v>
      </c>
      <c r="T5" s="223">
        <v>1.3013488142959637</v>
      </c>
      <c r="U5" s="223">
        <v>1.24630123289207</v>
      </c>
      <c r="V5" s="223" t="s">
        <v>38</v>
      </c>
      <c r="W5" s="223">
        <v>1.217750948015496</v>
      </c>
      <c r="X5" s="223" t="s">
        <v>38</v>
      </c>
      <c r="Y5" s="228" t="s">
        <v>38</v>
      </c>
    </row>
    <row r="6" spans="2:25" ht="18" customHeight="1" x14ac:dyDescent="0.25">
      <c r="B6" s="31">
        <v>2</v>
      </c>
      <c r="C6" s="30">
        <v>128.31015849339019</v>
      </c>
      <c r="D6" s="24">
        <v>1557.870222979881</v>
      </c>
      <c r="E6" s="11">
        <v>358.37944927314419</v>
      </c>
      <c r="F6" s="12">
        <f t="shared" ref="F6:F21" si="0">E6*1000*1000/31/24/3600/C6</f>
        <v>1.0428134404486815</v>
      </c>
      <c r="G6" s="35">
        <v>112.97669599999999</v>
      </c>
      <c r="H6" s="24">
        <f t="shared" ref="H6:H17" si="1">I6/(E6/D6)</f>
        <v>1594.9486727273743</v>
      </c>
      <c r="I6" s="11">
        <f t="shared" ref="I6:I17" si="2">J6*G6*31*24*3600/1000/1000</f>
        <v>366.90914205781735</v>
      </c>
      <c r="J6" s="12">
        <v>1.2125348423931279</v>
      </c>
      <c r="K6" s="35">
        <v>23.272729999999999</v>
      </c>
      <c r="L6" s="11">
        <f t="shared" ref="L6:L17" si="3">M6/(E6/D6)</f>
        <v>328.55280016546561</v>
      </c>
      <c r="M6" s="11">
        <f t="shared" ref="M6:M17" si="4">N6*K6*31*24*3600/1000/1000</f>
        <v>75.581758893384787</v>
      </c>
      <c r="N6" s="12">
        <v>1.2125348423931279</v>
      </c>
      <c r="O6" s="223">
        <v>1.1019996001970376</v>
      </c>
      <c r="P6" s="223">
        <v>1.136957497202677</v>
      </c>
      <c r="Q6" s="223">
        <v>0.57534695519526069</v>
      </c>
      <c r="R6" s="223">
        <v>1.3810882238654292</v>
      </c>
      <c r="S6" s="223">
        <v>0.71126887454262366</v>
      </c>
      <c r="T6" s="223">
        <v>1.0264216499576642</v>
      </c>
      <c r="U6" s="223">
        <v>1.2458085792430356</v>
      </c>
      <c r="V6" s="223">
        <v>1.1023783992749201</v>
      </c>
      <c r="W6" s="223">
        <v>1.197987672080211</v>
      </c>
      <c r="X6" s="223">
        <v>0.4371819309091951</v>
      </c>
      <c r="Y6" s="229" t="s">
        <v>38</v>
      </c>
    </row>
    <row r="7" spans="2:25" ht="18" customHeight="1" x14ac:dyDescent="0.25">
      <c r="B7" s="31">
        <v>3</v>
      </c>
      <c r="C7" s="30">
        <v>103.6064933887299</v>
      </c>
      <c r="D7" s="24">
        <v>1273.667573627454</v>
      </c>
      <c r="E7" s="11">
        <v>292.22915010810681</v>
      </c>
      <c r="F7" s="12">
        <f t="shared" si="0"/>
        <v>1.0530794153321448</v>
      </c>
      <c r="G7" s="35">
        <v>147.784863</v>
      </c>
      <c r="H7" s="24">
        <f t="shared" si="1"/>
        <v>1732.271963160857</v>
      </c>
      <c r="I7" s="11">
        <f t="shared" si="2"/>
        <v>397.45093149295144</v>
      </c>
      <c r="J7" s="12">
        <v>1.004102687608148</v>
      </c>
      <c r="K7" s="35">
        <v>0</v>
      </c>
      <c r="L7" s="11">
        <f t="shared" si="3"/>
        <v>0</v>
      </c>
      <c r="M7" s="11">
        <f t="shared" si="4"/>
        <v>0</v>
      </c>
      <c r="N7" s="12">
        <v>1.004102687608148</v>
      </c>
      <c r="O7" s="223">
        <v>1.3399429455525631</v>
      </c>
      <c r="P7" s="223">
        <v>0.91597057068419518</v>
      </c>
      <c r="Q7" s="223">
        <v>1.2518700929712678</v>
      </c>
      <c r="R7" s="223">
        <v>1.1962444358273823</v>
      </c>
      <c r="S7" s="223">
        <v>1.3173854306923169</v>
      </c>
      <c r="T7" s="223">
        <v>0.98103344179684071</v>
      </c>
      <c r="U7" s="223">
        <v>1.1357666585965609</v>
      </c>
      <c r="V7" s="223" t="s">
        <v>38</v>
      </c>
      <c r="W7" s="223">
        <v>0.89457834063117025</v>
      </c>
      <c r="X7" s="223">
        <v>0.43781104492960349</v>
      </c>
      <c r="Y7" s="229" t="s">
        <v>38</v>
      </c>
    </row>
    <row r="8" spans="2:25" ht="18" customHeight="1" x14ac:dyDescent="0.25">
      <c r="B8" s="31">
        <v>4</v>
      </c>
      <c r="C8" s="30">
        <v>61.494784349558167</v>
      </c>
      <c r="D8" s="24">
        <v>738.81076482225808</v>
      </c>
      <c r="E8" s="11">
        <v>167.9369343330666</v>
      </c>
      <c r="F8" s="12">
        <f t="shared" si="0"/>
        <v>1.0196062800693029</v>
      </c>
      <c r="G8" s="35">
        <v>67.013599999999997</v>
      </c>
      <c r="H8" s="24">
        <f t="shared" si="1"/>
        <v>802.79667207972159</v>
      </c>
      <c r="I8" s="11">
        <f t="shared" si="2"/>
        <v>182.48138552000009</v>
      </c>
      <c r="J8" s="12">
        <v>1.016670411604534</v>
      </c>
      <c r="K8" s="35">
        <v>12.292321000000001</v>
      </c>
      <c r="L8" s="11">
        <f t="shared" si="3"/>
        <v>147.25718945013665</v>
      </c>
      <c r="M8" s="11">
        <f t="shared" si="4"/>
        <v>33.47260507324772</v>
      </c>
      <c r="N8" s="12">
        <v>1.016670411604534</v>
      </c>
      <c r="O8" s="223">
        <v>1.3343749714243778</v>
      </c>
      <c r="P8" s="223">
        <v>1.3153397604596389</v>
      </c>
      <c r="Q8" s="223">
        <v>0.82300135637884453</v>
      </c>
      <c r="R8" s="223">
        <v>1.2350820046128863</v>
      </c>
      <c r="S8" s="223">
        <v>0.69116295980643871</v>
      </c>
      <c r="T8" s="223">
        <v>0.99767677852706349</v>
      </c>
      <c r="U8" s="223">
        <v>1.1667090594950036</v>
      </c>
      <c r="V8" s="223" t="s">
        <v>38</v>
      </c>
      <c r="W8" s="223">
        <v>1.0066944208370836</v>
      </c>
      <c r="X8" s="223" t="s">
        <v>38</v>
      </c>
      <c r="Y8" s="229" t="s">
        <v>38</v>
      </c>
    </row>
    <row r="9" spans="2:25" ht="18" customHeight="1" x14ac:dyDescent="0.25">
      <c r="B9" s="31">
        <v>5</v>
      </c>
      <c r="C9" s="30">
        <v>55.680299853927153</v>
      </c>
      <c r="D9" s="24">
        <v>676.97690305441472</v>
      </c>
      <c r="E9" s="11">
        <v>154.89246966053079</v>
      </c>
      <c r="F9" s="12">
        <f t="shared" si="0"/>
        <v>1.0386119200613535</v>
      </c>
      <c r="G9" s="35">
        <v>46.409067999999998</v>
      </c>
      <c r="H9" s="24">
        <f t="shared" si="1"/>
        <v>599.6014537731661</v>
      </c>
      <c r="I9" s="11">
        <f t="shared" si="2"/>
        <v>137.18894923584295</v>
      </c>
      <c r="J9" s="12">
        <v>1.103674088559752</v>
      </c>
      <c r="K9" s="35">
        <v>65.252418999999989</v>
      </c>
      <c r="L9" s="11">
        <f t="shared" si="3"/>
        <v>843.05604444837718</v>
      </c>
      <c r="M9" s="11">
        <f t="shared" si="4"/>
        <v>192.8914150507602</v>
      </c>
      <c r="N9" s="12">
        <v>1.103674088559752</v>
      </c>
      <c r="O9" s="223">
        <v>1.375642006329663</v>
      </c>
      <c r="P9" s="223">
        <v>1.2065423966273885</v>
      </c>
      <c r="Q9" s="223">
        <v>0.71418747809765848</v>
      </c>
      <c r="R9" s="223">
        <v>1.1932119470106584</v>
      </c>
      <c r="S9" s="223">
        <v>1.0406012552490864</v>
      </c>
      <c r="T9" s="223">
        <v>0.9502547621116082</v>
      </c>
      <c r="U9" s="223">
        <v>1.1246390803529605</v>
      </c>
      <c r="V9" s="223" t="s">
        <v>38</v>
      </c>
      <c r="W9" s="223">
        <v>1.0633515188436571</v>
      </c>
      <c r="X9" s="223" t="s">
        <v>38</v>
      </c>
      <c r="Y9" s="229" t="s">
        <v>38</v>
      </c>
    </row>
    <row r="10" spans="2:25" ht="18" customHeight="1" x14ac:dyDescent="0.25">
      <c r="B10" s="31">
        <v>6</v>
      </c>
      <c r="C10" s="30">
        <v>84.709248549526109</v>
      </c>
      <c r="D10" s="24">
        <v>1097.526326113373</v>
      </c>
      <c r="E10" s="11">
        <v>250.7048826734719</v>
      </c>
      <c r="F10" s="12">
        <f t="shared" si="0"/>
        <v>1.1049853669216492</v>
      </c>
      <c r="G10" s="35">
        <v>150.22808899999998</v>
      </c>
      <c r="H10" s="24">
        <f t="shared" si="1"/>
        <v>1974.1000034890449</v>
      </c>
      <c r="I10" s="11">
        <f t="shared" si="2"/>
        <v>450.93816702607029</v>
      </c>
      <c r="J10" s="12">
        <v>1.1207026944781979</v>
      </c>
      <c r="K10" s="35">
        <v>5.1571319999999998</v>
      </c>
      <c r="L10" s="11">
        <f t="shared" si="3"/>
        <v>67.768247382774518</v>
      </c>
      <c r="M10" s="11">
        <f t="shared" si="4"/>
        <v>15.48011205275661</v>
      </c>
      <c r="N10" s="12">
        <v>1.1207026944781979</v>
      </c>
      <c r="O10" s="223">
        <v>1.512197116977092</v>
      </c>
      <c r="P10" s="223">
        <v>1.2279780076202411</v>
      </c>
      <c r="Q10" s="223">
        <v>0.85804848208875151</v>
      </c>
      <c r="R10" s="223">
        <v>1.256125477637225</v>
      </c>
      <c r="S10" s="223">
        <v>0.46958913503797578</v>
      </c>
      <c r="T10" s="223">
        <v>1.0009806878495204</v>
      </c>
      <c r="U10" s="223">
        <v>1.1463819979648449</v>
      </c>
      <c r="V10" s="223">
        <v>1.2695044685402781</v>
      </c>
      <c r="W10" s="223">
        <v>1.0408476741970323</v>
      </c>
      <c r="X10" s="223" t="s">
        <v>38</v>
      </c>
      <c r="Y10" s="229" t="s">
        <v>38</v>
      </c>
    </row>
    <row r="11" spans="2:25" ht="18" customHeight="1" x14ac:dyDescent="0.25">
      <c r="B11" s="31">
        <v>7</v>
      </c>
      <c r="C11" s="30">
        <v>340.59345198686083</v>
      </c>
      <c r="D11" s="24">
        <v>2507.5441934295</v>
      </c>
      <c r="E11" s="11">
        <v>594.47383384119325</v>
      </c>
      <c r="F11" s="12">
        <f t="shared" si="0"/>
        <v>0.65165992341662127</v>
      </c>
      <c r="G11" s="35">
        <v>285.43950599999999</v>
      </c>
      <c r="H11" s="24">
        <f t="shared" si="1"/>
        <v>2158.5753160222648</v>
      </c>
      <c r="I11" s="11">
        <f t="shared" si="2"/>
        <v>511.74234420798012</v>
      </c>
      <c r="J11" s="12">
        <v>0.66936320715179143</v>
      </c>
      <c r="K11" s="35">
        <v>0</v>
      </c>
      <c r="L11" s="11">
        <f t="shared" si="3"/>
        <v>0</v>
      </c>
      <c r="M11" s="11">
        <f t="shared" si="4"/>
        <v>0</v>
      </c>
      <c r="N11" s="12">
        <v>0.66936320715179143</v>
      </c>
      <c r="O11" s="223">
        <v>1.2700737086566813</v>
      </c>
      <c r="P11" s="223">
        <v>0.99179720411883998</v>
      </c>
      <c r="Q11" s="223">
        <v>0.92378179337129995</v>
      </c>
      <c r="R11" s="223">
        <v>1.1172130879964333</v>
      </c>
      <c r="S11" s="223">
        <v>0.69651809486625837</v>
      </c>
      <c r="T11" s="223">
        <v>0.76007888755519859</v>
      </c>
      <c r="U11" s="223">
        <v>0.99963849053895204</v>
      </c>
      <c r="V11" s="223">
        <v>0.69102497238801808</v>
      </c>
      <c r="W11" s="223">
        <v>0.47098026882489086</v>
      </c>
      <c r="X11" s="223">
        <v>0.43079187160235693</v>
      </c>
      <c r="Y11" s="229">
        <v>0.29747728011455482</v>
      </c>
    </row>
    <row r="12" spans="2:25" ht="18" customHeight="1" x14ac:dyDescent="0.25">
      <c r="B12" s="31">
        <v>8</v>
      </c>
      <c r="C12" s="30">
        <v>95.76985784994099</v>
      </c>
      <c r="D12" s="24">
        <v>886.4395131414899</v>
      </c>
      <c r="E12" s="11">
        <v>206.91407058727029</v>
      </c>
      <c r="F12" s="12">
        <f t="shared" si="0"/>
        <v>0.80665112806418826</v>
      </c>
      <c r="G12" s="35">
        <f>162.436147+42.376</f>
        <v>204.81214700000001</v>
      </c>
      <c r="H12" s="24">
        <f t="shared" si="1"/>
        <v>1960.2032130674986</v>
      </c>
      <c r="I12" s="11">
        <f t="shared" si="2"/>
        <v>457.55364013122824</v>
      </c>
      <c r="J12" s="12">
        <v>0.83408607024834824</v>
      </c>
      <c r="K12" s="35">
        <v>0</v>
      </c>
      <c r="L12" s="11">
        <f t="shared" si="3"/>
        <v>0</v>
      </c>
      <c r="M12" s="11">
        <f t="shared" si="4"/>
        <v>0</v>
      </c>
      <c r="N12" s="12">
        <v>0.83408607024834824</v>
      </c>
      <c r="O12" s="223">
        <v>1.5046242657612818</v>
      </c>
      <c r="P12" s="223">
        <v>1.3539142468498369</v>
      </c>
      <c r="Q12" s="223">
        <v>1.4259378371293581</v>
      </c>
      <c r="R12" s="223">
        <v>1.1978493363525959</v>
      </c>
      <c r="S12" s="223">
        <v>0.47926005189378418</v>
      </c>
      <c r="T12" s="223">
        <v>1.1733159295084892</v>
      </c>
      <c r="U12" s="223">
        <v>0.92169525964291876</v>
      </c>
      <c r="V12" s="223" t="s">
        <v>38</v>
      </c>
      <c r="W12" s="223">
        <v>0.82434689914033776</v>
      </c>
      <c r="X12" s="223">
        <v>0.42142614682895257</v>
      </c>
      <c r="Y12" s="229">
        <v>0.30816711678530079</v>
      </c>
    </row>
    <row r="13" spans="2:25" ht="18" customHeight="1" x14ac:dyDescent="0.25">
      <c r="B13" s="31">
        <v>9</v>
      </c>
      <c r="C13" s="30">
        <v>293.21437845798607</v>
      </c>
      <c r="D13" s="24">
        <v>2562.613916954771</v>
      </c>
      <c r="E13" s="11">
        <v>596.7673079520946</v>
      </c>
      <c r="F13" s="12">
        <f t="shared" si="0"/>
        <v>0.75987879293876848</v>
      </c>
      <c r="G13" s="35">
        <v>357.86856899999998</v>
      </c>
      <c r="H13" s="24">
        <f t="shared" si="1"/>
        <v>3606.6318689116733</v>
      </c>
      <c r="I13" s="11">
        <f t="shared" si="2"/>
        <v>839.89241490669644</v>
      </c>
      <c r="J13" s="12">
        <v>0.87624321098832469</v>
      </c>
      <c r="K13" s="35">
        <v>0</v>
      </c>
      <c r="L13" s="11">
        <f t="shared" si="3"/>
        <v>0</v>
      </c>
      <c r="M13" s="11">
        <f t="shared" si="4"/>
        <v>0</v>
      </c>
      <c r="N13" s="12">
        <v>0.87624321098832469</v>
      </c>
      <c r="O13" s="223">
        <v>1.4609665190061392</v>
      </c>
      <c r="P13" s="223">
        <v>1.039850554850287</v>
      </c>
      <c r="Q13" s="223">
        <v>0.90626092964210236</v>
      </c>
      <c r="R13" s="223">
        <v>1.0939073898726337</v>
      </c>
      <c r="S13" s="223">
        <v>1.1094536257665379</v>
      </c>
      <c r="T13" s="223">
        <v>0.93517368626378772</v>
      </c>
      <c r="U13" s="223">
        <v>1.0406419911592786</v>
      </c>
      <c r="V13" s="223">
        <v>1.156717187036423</v>
      </c>
      <c r="W13" s="223">
        <v>0.77345448649857329</v>
      </c>
      <c r="X13" s="223">
        <v>0.39372635746566265</v>
      </c>
      <c r="Y13" s="229" t="s">
        <v>38</v>
      </c>
    </row>
    <row r="14" spans="2:25" ht="18" customHeight="1" x14ac:dyDescent="0.25">
      <c r="B14" s="31">
        <v>10</v>
      </c>
      <c r="C14" s="30">
        <v>154.71294295589769</v>
      </c>
      <c r="D14" s="24">
        <v>1733.449188145876</v>
      </c>
      <c r="E14" s="11">
        <v>396.80206811250122</v>
      </c>
      <c r="F14" s="12">
        <f t="shared" si="0"/>
        <v>0.95757289249633371</v>
      </c>
      <c r="G14" s="35">
        <v>39.023783999999999</v>
      </c>
      <c r="H14" s="24">
        <f t="shared" si="1"/>
        <v>518.382171954059</v>
      </c>
      <c r="I14" s="11">
        <f t="shared" si="2"/>
        <v>118.66232902046326</v>
      </c>
      <c r="J14" s="12">
        <v>1.135293242048351</v>
      </c>
      <c r="K14" s="35">
        <v>0</v>
      </c>
      <c r="L14" s="11">
        <f t="shared" si="3"/>
        <v>0</v>
      </c>
      <c r="M14" s="11">
        <f t="shared" si="4"/>
        <v>0</v>
      </c>
      <c r="N14" s="12">
        <v>1.135293242048351</v>
      </c>
      <c r="O14" s="223">
        <v>1.2746713451450578</v>
      </c>
      <c r="P14" s="223">
        <v>0.8234138273937468</v>
      </c>
      <c r="Q14" s="223">
        <v>1.2507503341992818</v>
      </c>
      <c r="R14" s="223">
        <v>1.3116049144176507</v>
      </c>
      <c r="S14" s="223">
        <v>0.56131919918807183</v>
      </c>
      <c r="T14" s="223">
        <v>0.78444660486769724</v>
      </c>
      <c r="U14" s="223">
        <v>1.1308141381142987</v>
      </c>
      <c r="V14" s="223" t="s">
        <v>38</v>
      </c>
      <c r="W14" s="223" t="s">
        <v>38</v>
      </c>
      <c r="X14" s="223">
        <v>0.36122241156767371</v>
      </c>
      <c r="Y14" s="229" t="s">
        <v>38</v>
      </c>
    </row>
    <row r="15" spans="2:25" ht="18" customHeight="1" x14ac:dyDescent="0.25">
      <c r="B15" s="31">
        <v>11</v>
      </c>
      <c r="C15" s="30">
        <v>129.3502296792675</v>
      </c>
      <c r="D15" s="24">
        <v>1642.915414675716</v>
      </c>
      <c r="E15" s="11">
        <v>374.4435477886318</v>
      </c>
      <c r="F15" s="12">
        <f t="shared" si="0"/>
        <v>1.0807959557927584</v>
      </c>
      <c r="G15" s="35">
        <f>152.2125+8.5</f>
        <v>160.71250000000001</v>
      </c>
      <c r="H15" s="24">
        <f t="shared" si="1"/>
        <v>1916.9582337657018</v>
      </c>
      <c r="I15" s="11">
        <f t="shared" si="2"/>
        <v>436.90176353694937</v>
      </c>
      <c r="J15" s="12">
        <v>1.014982850917461</v>
      </c>
      <c r="K15" s="35">
        <v>0</v>
      </c>
      <c r="L15" s="11">
        <f t="shared" si="3"/>
        <v>0</v>
      </c>
      <c r="M15" s="11">
        <f t="shared" si="4"/>
        <v>0</v>
      </c>
      <c r="N15" s="12">
        <v>1.014982850917461</v>
      </c>
      <c r="O15" s="223">
        <v>1.4535614528696317</v>
      </c>
      <c r="P15" s="223">
        <v>1.2583403233917956</v>
      </c>
      <c r="Q15" s="223">
        <v>1.4030800494128419</v>
      </c>
      <c r="R15" s="223">
        <v>1.497593524051573</v>
      </c>
      <c r="S15" s="223">
        <v>1.4190343724946515</v>
      </c>
      <c r="T15" s="223">
        <v>1.1038660259846049</v>
      </c>
      <c r="U15" s="223">
        <v>1.1941724604271891</v>
      </c>
      <c r="V15" s="223" t="s">
        <v>38</v>
      </c>
      <c r="W15" s="223">
        <v>0.94200613340748207</v>
      </c>
      <c r="X15" s="223">
        <v>0.43415154259114341</v>
      </c>
      <c r="Y15" s="229" t="s">
        <v>38</v>
      </c>
    </row>
    <row r="16" spans="2:25" ht="18" customHeight="1" x14ac:dyDescent="0.25">
      <c r="B16" s="31">
        <v>12</v>
      </c>
      <c r="C16" s="30">
        <v>95.023303678645789</v>
      </c>
      <c r="D16" s="24">
        <v>835.99398416044392</v>
      </c>
      <c r="E16" s="11">
        <v>196.42041259584391</v>
      </c>
      <c r="F16" s="12">
        <f t="shared" si="0"/>
        <v>0.77175785274625264</v>
      </c>
      <c r="G16" s="35">
        <v>344.33337699999998</v>
      </c>
      <c r="H16" s="24">
        <f t="shared" si="1"/>
        <v>4294.4565495261104</v>
      </c>
      <c r="I16" s="11">
        <f t="shared" si="2"/>
        <v>1009.0011929690569</v>
      </c>
      <c r="J16" s="12">
        <v>1.0940498767080651</v>
      </c>
      <c r="K16" s="35">
        <v>56.337606999999991</v>
      </c>
      <c r="L16" s="11">
        <f t="shared" si="3"/>
        <v>702.63129143527078</v>
      </c>
      <c r="M16" s="11">
        <f t="shared" si="4"/>
        <v>165.08626949638366</v>
      </c>
      <c r="N16" s="12">
        <v>1.0940498767080651</v>
      </c>
      <c r="O16" s="223">
        <v>1.479814718791137</v>
      </c>
      <c r="P16" s="223">
        <v>1.2310897325531398</v>
      </c>
      <c r="Q16" s="223">
        <v>0.77981011022595548</v>
      </c>
      <c r="R16" s="223">
        <v>0.8484296103866481</v>
      </c>
      <c r="S16" s="223">
        <v>0.66366931603526957</v>
      </c>
      <c r="T16" s="223">
        <v>0.54861350598397995</v>
      </c>
      <c r="U16" s="223">
        <v>1.0680700638894007</v>
      </c>
      <c r="V16" s="223" t="s">
        <v>38</v>
      </c>
      <c r="W16" s="223" t="s">
        <v>38</v>
      </c>
      <c r="X16" s="223">
        <v>0.43438389187126769</v>
      </c>
      <c r="Y16" s="229" t="s">
        <v>38</v>
      </c>
    </row>
    <row r="17" spans="2:25" ht="18" customHeight="1" x14ac:dyDescent="0.25">
      <c r="B17" s="31">
        <v>13</v>
      </c>
      <c r="C17" s="30">
        <v>8.4318874727844921</v>
      </c>
      <c r="D17" s="24">
        <v>122.990918979971</v>
      </c>
      <c r="E17" s="11">
        <v>28.741801236499239</v>
      </c>
      <c r="F17" s="42">
        <f t="shared" si="0"/>
        <v>1.2726639530774255</v>
      </c>
      <c r="G17" s="35">
        <v>0</v>
      </c>
      <c r="H17" s="24">
        <f t="shared" si="1"/>
        <v>0</v>
      </c>
      <c r="I17" s="11">
        <f t="shared" si="2"/>
        <v>0</v>
      </c>
      <c r="J17" s="12">
        <v>1.1614772426822531</v>
      </c>
      <c r="K17" s="35">
        <v>1.2316750000000001</v>
      </c>
      <c r="L17" s="11">
        <f t="shared" si="3"/>
        <v>16.396129222300484</v>
      </c>
      <c r="M17" s="11">
        <f t="shared" si="4"/>
        <v>3.8316185541475698</v>
      </c>
      <c r="N17" s="12">
        <v>1.1614772426822531</v>
      </c>
      <c r="O17" s="224">
        <v>1.3044816563660255</v>
      </c>
      <c r="P17" s="225">
        <v>1.507560696711733</v>
      </c>
      <c r="Q17" s="225" t="s">
        <v>38</v>
      </c>
      <c r="R17" s="225">
        <v>1.4867223247446506</v>
      </c>
      <c r="S17" s="225" t="s">
        <v>38</v>
      </c>
      <c r="T17" s="225">
        <v>1.3168967368595044</v>
      </c>
      <c r="U17" s="225">
        <v>1.1933528315080479</v>
      </c>
      <c r="V17" s="225" t="s">
        <v>38</v>
      </c>
      <c r="W17" s="225" t="s">
        <v>38</v>
      </c>
      <c r="X17" s="225" t="s">
        <v>38</v>
      </c>
      <c r="Y17" s="230" t="s">
        <v>38</v>
      </c>
    </row>
    <row r="18" spans="2:25" ht="18" customHeight="1" x14ac:dyDescent="0.25">
      <c r="B18" s="38">
        <v>7</v>
      </c>
      <c r="C18" s="34">
        <v>37.451700000000002</v>
      </c>
      <c r="D18" s="39">
        <v>297.98852439490832</v>
      </c>
      <c r="E18" s="40">
        <v>69.815794890889222</v>
      </c>
      <c r="F18" s="12">
        <f t="shared" si="0"/>
        <v>0.69599595384878454</v>
      </c>
      <c r="G18" s="34"/>
      <c r="H18" s="39"/>
      <c r="I18" s="40"/>
      <c r="J18" s="41"/>
      <c r="K18" s="34"/>
      <c r="L18" s="40"/>
      <c r="M18" s="40"/>
      <c r="N18" s="41"/>
      <c r="O18" s="223" t="s">
        <v>38</v>
      </c>
      <c r="P18" s="223" t="s">
        <v>38</v>
      </c>
      <c r="Q18" s="223" t="s">
        <v>38</v>
      </c>
      <c r="R18" s="223" t="s">
        <v>38</v>
      </c>
      <c r="S18" s="223" t="s">
        <v>38</v>
      </c>
      <c r="T18" s="223" t="s">
        <v>38</v>
      </c>
      <c r="U18" s="223">
        <v>1.253472227572777</v>
      </c>
      <c r="V18" s="223">
        <v>0.64542423543395711</v>
      </c>
      <c r="W18" s="223">
        <v>0.71564092236327315</v>
      </c>
      <c r="X18" s="223" t="s">
        <v>38</v>
      </c>
      <c r="Y18" s="229" t="s">
        <v>38</v>
      </c>
    </row>
    <row r="19" spans="2:25" ht="18" customHeight="1" x14ac:dyDescent="0.25">
      <c r="B19" s="31">
        <v>10</v>
      </c>
      <c r="C19" s="35">
        <v>1.3428</v>
      </c>
      <c r="D19" s="24">
        <v>18.725313915703381</v>
      </c>
      <c r="E19" s="11">
        <v>4.1792022436193328</v>
      </c>
      <c r="F19" s="12">
        <f t="shared" si="0"/>
        <v>1.1620013149746491</v>
      </c>
      <c r="G19" s="35"/>
      <c r="H19" s="24"/>
      <c r="I19" s="11"/>
      <c r="J19" s="12"/>
      <c r="K19" s="35"/>
      <c r="L19" s="11"/>
      <c r="M19" s="11"/>
      <c r="N19" s="12"/>
      <c r="O19" s="223"/>
      <c r="P19" s="223"/>
      <c r="Q19" s="223"/>
      <c r="R19" s="223"/>
      <c r="S19" s="223"/>
      <c r="T19" s="223"/>
      <c r="U19" s="223"/>
      <c r="V19" s="223"/>
      <c r="W19" s="223"/>
      <c r="X19" s="223"/>
      <c r="Y19" s="229"/>
    </row>
    <row r="20" spans="2:25" ht="18" customHeight="1" x14ac:dyDescent="0.25">
      <c r="B20" s="31">
        <v>11</v>
      </c>
      <c r="C20" s="35">
        <v>1.3333999999999999</v>
      </c>
      <c r="D20" s="24">
        <v>20.565599356689169</v>
      </c>
      <c r="E20" s="11">
        <v>4.6758370819804282</v>
      </c>
      <c r="F20" s="12">
        <f t="shared" si="0"/>
        <v>1.3092527166821624</v>
      </c>
      <c r="G20" s="35"/>
      <c r="H20" s="24"/>
      <c r="I20" s="11"/>
      <c r="J20" s="12"/>
      <c r="K20" s="35"/>
      <c r="L20" s="11"/>
      <c r="M20" s="11"/>
      <c r="N20" s="12"/>
      <c r="O20" s="226"/>
      <c r="P20" s="227"/>
      <c r="Q20" s="227"/>
      <c r="R20" s="227"/>
      <c r="S20" s="227"/>
      <c r="T20" s="227"/>
      <c r="U20" s="227"/>
      <c r="V20" s="227"/>
      <c r="W20" s="227"/>
      <c r="X20" s="227"/>
      <c r="Y20" s="229"/>
    </row>
    <row r="21" spans="2:25" ht="18" customHeight="1" x14ac:dyDescent="0.25">
      <c r="B21" s="32">
        <v>12</v>
      </c>
      <c r="C21" s="36">
        <v>5.4</v>
      </c>
      <c r="D21" s="25">
        <v>84.457241617407462</v>
      </c>
      <c r="E21" s="4">
        <v>18.64562352085715</v>
      </c>
      <c r="F21" s="42">
        <f t="shared" si="0"/>
        <v>1.2891626510615202</v>
      </c>
      <c r="G21" s="36"/>
      <c r="H21" s="25"/>
      <c r="I21" s="4"/>
      <c r="J21" s="42"/>
      <c r="K21" s="36"/>
      <c r="L21" s="4"/>
      <c r="M21" s="4"/>
      <c r="N21" s="42"/>
      <c r="O21" s="226"/>
      <c r="P21" s="227"/>
      <c r="Q21" s="227"/>
      <c r="R21" s="227"/>
      <c r="S21" s="227"/>
      <c r="T21" s="227"/>
      <c r="U21" s="227"/>
      <c r="V21" s="227"/>
      <c r="W21" s="227"/>
      <c r="X21" s="227"/>
      <c r="Y21" s="229"/>
    </row>
    <row r="22" spans="2:25" ht="18" customHeight="1" x14ac:dyDescent="0.25">
      <c r="B22" s="43" t="s">
        <v>5</v>
      </c>
      <c r="C22" s="44">
        <f>SUM(C5:C21)</f>
        <v>1641.3863810551977</v>
      </c>
      <c r="D22" s="45">
        <f>SUM(D5:D21)</f>
        <v>16728.633798974079</v>
      </c>
      <c r="E22" s="45">
        <f>SUM(E5:E21)</f>
        <v>3871.7352211218545</v>
      </c>
      <c r="F22" s="46">
        <f>SUMPRODUCT(F5:F21,C5:C21)/C22</f>
        <v>0.88068254199681373</v>
      </c>
      <c r="G22" s="47">
        <f>SUM(G5:G21)</f>
        <v>1926.9886369999999</v>
      </c>
      <c r="H22" s="45">
        <f>SUM(H5:H21)</f>
        <v>21305.944785782325</v>
      </c>
      <c r="I22" s="45">
        <f>SUM(I5:I21)</f>
        <v>4942.8854522015927</v>
      </c>
      <c r="J22" s="151">
        <f>SUMPRODUCT(J5:J21,C5:C21)/C22</f>
        <v>0.92556415268477388</v>
      </c>
      <c r="K22" s="47">
        <f>SUM(K5:K21)</f>
        <v>164.69722399999998</v>
      </c>
      <c r="L22" s="45">
        <f>SUM(L5:L21)</f>
        <v>2121.9870784989448</v>
      </c>
      <c r="M22" s="45">
        <f>SUM(M5:M21)</f>
        <v>490.13735839902586</v>
      </c>
      <c r="N22" s="231">
        <f>SUMPRODUCT(N5:N21,C5:C21)/C22</f>
        <v>0.92556415268477388</v>
      </c>
      <c r="O22" s="232"/>
      <c r="P22" s="233"/>
      <c r="Q22" s="233"/>
      <c r="R22" s="233"/>
      <c r="S22" s="233"/>
      <c r="T22" s="233"/>
      <c r="U22" s="233"/>
      <c r="V22" s="233"/>
      <c r="W22" s="233"/>
      <c r="X22" s="233"/>
      <c r="Y22" s="13"/>
    </row>
    <row r="27" spans="2:25" x14ac:dyDescent="0.25">
      <c r="O27" s="37"/>
    </row>
    <row r="28" spans="2:25" x14ac:dyDescent="0.25">
      <c r="M28" s="37"/>
      <c r="O28" s="37"/>
      <c r="R28" s="37"/>
    </row>
    <row r="29" spans="2:25" x14ac:dyDescent="0.25">
      <c r="M29" s="37"/>
      <c r="O29" s="37"/>
      <c r="R29" s="37"/>
    </row>
    <row r="30" spans="2:25" x14ac:dyDescent="0.25">
      <c r="M30" s="37"/>
      <c r="O30" s="37"/>
      <c r="R30" s="37"/>
    </row>
    <row r="31" spans="2:25" x14ac:dyDescent="0.25">
      <c r="M31" s="37"/>
      <c r="O31" s="37"/>
      <c r="R31" s="37"/>
    </row>
    <row r="32" spans="2:25" x14ac:dyDescent="0.25">
      <c r="M32" s="37"/>
      <c r="O32" s="37"/>
      <c r="R32" s="37"/>
    </row>
    <row r="33" spans="13:18" x14ac:dyDescent="0.25">
      <c r="M33" s="37"/>
      <c r="O33" s="37"/>
      <c r="R33" s="37"/>
    </row>
    <row r="34" spans="13:18" x14ac:dyDescent="0.25">
      <c r="M34" s="37"/>
      <c r="O34" s="37"/>
      <c r="R34" s="37"/>
    </row>
    <row r="35" spans="13:18" x14ac:dyDescent="0.25">
      <c r="O35" s="37"/>
      <c r="R35" s="37"/>
    </row>
    <row r="36" spans="13:18" x14ac:dyDescent="0.25">
      <c r="O36" s="37"/>
      <c r="R36" s="37"/>
    </row>
    <row r="37" spans="13:18" x14ac:dyDescent="0.25">
      <c r="O37" s="37"/>
      <c r="R37" s="37"/>
    </row>
    <row r="38" spans="13:18" x14ac:dyDescent="0.25">
      <c r="O38" s="37"/>
      <c r="R38" s="37"/>
    </row>
    <row r="39" spans="13:18" x14ac:dyDescent="0.25">
      <c r="R39" s="37"/>
    </row>
    <row r="40" spans="13:18" x14ac:dyDescent="0.25">
      <c r="R40" s="37"/>
    </row>
    <row r="41" spans="13:18" x14ac:dyDescent="0.25">
      <c r="R41" s="37"/>
    </row>
  </sheetData>
  <mergeCells count="6">
    <mergeCell ref="O3:Y3"/>
    <mergeCell ref="B3:B4"/>
    <mergeCell ref="C2:F2"/>
    <mergeCell ref="C1:N1"/>
    <mergeCell ref="G2:J2"/>
    <mergeCell ref="K2:N2"/>
  </mergeCells>
  <pageMargins left="0.7" right="0.7" top="0.75" bottom="0.75" header="0.3" footer="0.3"/>
  <pageSetup orientation="portrait" r:id="rId1"/>
  <ignoredErrors>
    <ignoredError sqref="F22 J22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AAE07-82BA-4169-A86F-7D42BB7E1BDE}">
  <sheetPr>
    <tabColor rgb="FF00B0F0"/>
    <pageSetUpPr fitToPage="1"/>
  </sheetPr>
  <dimension ref="B1:W31"/>
  <sheetViews>
    <sheetView rightToLeft="1" tabSelected="1" zoomScale="85" zoomScaleNormal="85" workbookViewId="0">
      <pane ySplit="4" topLeftCell="A16" activePane="bottomLeft" state="frozen"/>
      <selection activeCell="C1" sqref="C1"/>
      <selection pane="bottomLeft" activeCell="C2" sqref="C2:W31"/>
    </sheetView>
  </sheetViews>
  <sheetFormatPr defaultColWidth="9.140625" defaultRowHeight="15" x14ac:dyDescent="0.25"/>
  <cols>
    <col min="1" max="1" width="9.140625" style="48"/>
    <col min="2" max="2" width="3" style="48" customWidth="1"/>
    <col min="3" max="3" width="8.140625" style="48" customWidth="1"/>
    <col min="4" max="8" width="11.42578125" style="48" customWidth="1"/>
    <col min="9" max="9" width="8.5703125" style="48" customWidth="1"/>
    <col min="10" max="10" width="10" style="48" customWidth="1"/>
    <col min="11" max="11" width="15.5703125" style="48" customWidth="1"/>
    <col min="12" max="12" width="10.28515625" style="48" customWidth="1"/>
    <col min="13" max="14" width="8.42578125" style="48" customWidth="1"/>
    <col min="15" max="15" width="9.7109375" style="48" customWidth="1"/>
    <col min="16" max="16" width="11.85546875" style="48" customWidth="1"/>
    <col min="17" max="17" width="9.42578125" style="48" bestFit="1" customWidth="1"/>
    <col min="18" max="18" width="11.28515625" style="48" customWidth="1"/>
    <col min="19" max="19" width="10.5703125" style="48" customWidth="1"/>
    <col min="20" max="20" width="11.5703125" style="48" customWidth="1"/>
    <col min="21" max="22" width="10.5703125" style="48" customWidth="1"/>
    <col min="23" max="23" width="12.7109375" style="48" customWidth="1"/>
    <col min="24" max="16384" width="9.140625" style="48"/>
  </cols>
  <sheetData>
    <row r="1" spans="3:23" ht="10.5" customHeight="1" x14ac:dyDescent="0.25"/>
    <row r="2" spans="3:23" ht="24.75" customHeight="1" x14ac:dyDescent="0.6">
      <c r="C2" s="49"/>
      <c r="D2" s="49"/>
      <c r="E2" s="50" t="s">
        <v>16</v>
      </c>
      <c r="I2" s="49"/>
      <c r="J2" s="49"/>
    </row>
    <row r="3" spans="3:23" ht="24" customHeight="1" x14ac:dyDescent="0.25">
      <c r="C3" s="212" t="s">
        <v>17</v>
      </c>
      <c r="D3" s="203" t="s">
        <v>18</v>
      </c>
      <c r="E3" s="202"/>
      <c r="F3" s="202"/>
      <c r="G3" s="202"/>
      <c r="H3" s="204"/>
      <c r="I3" s="214" t="s">
        <v>19</v>
      </c>
      <c r="J3" s="216" t="s">
        <v>20</v>
      </c>
      <c r="K3" s="218" t="s">
        <v>21</v>
      </c>
      <c r="L3" s="209" t="s">
        <v>22</v>
      </c>
      <c r="M3" s="210"/>
      <c r="N3" s="210"/>
      <c r="O3" s="210"/>
      <c r="P3" s="210"/>
      <c r="Q3" s="210"/>
      <c r="R3" s="211"/>
      <c r="S3" s="199" t="s">
        <v>23</v>
      </c>
      <c r="T3" s="200"/>
      <c r="U3" s="201"/>
      <c r="V3" s="202" t="s">
        <v>24</v>
      </c>
      <c r="W3" s="202"/>
    </row>
    <row r="4" spans="3:23" ht="41.25" customHeight="1" x14ac:dyDescent="0.25">
      <c r="C4" s="213"/>
      <c r="D4" s="51" t="s">
        <v>25</v>
      </c>
      <c r="E4" s="51" t="s">
        <v>42</v>
      </c>
      <c r="F4" s="52" t="s">
        <v>26</v>
      </c>
      <c r="G4" s="52" t="s">
        <v>27</v>
      </c>
      <c r="H4" s="52" t="s">
        <v>28</v>
      </c>
      <c r="I4" s="215"/>
      <c r="J4" s="217"/>
      <c r="K4" s="219"/>
      <c r="L4" s="53" t="s">
        <v>29</v>
      </c>
      <c r="M4" s="54" t="s">
        <v>26</v>
      </c>
      <c r="N4" s="54" t="s">
        <v>27</v>
      </c>
      <c r="O4" s="54" t="s">
        <v>28</v>
      </c>
      <c r="P4" s="55" t="s">
        <v>30</v>
      </c>
      <c r="Q4" s="56" t="s">
        <v>31</v>
      </c>
      <c r="R4" s="57" t="s">
        <v>32</v>
      </c>
      <c r="S4" s="58" t="s">
        <v>33</v>
      </c>
      <c r="T4" s="52" t="s">
        <v>34</v>
      </c>
      <c r="U4" s="59" t="s">
        <v>35</v>
      </c>
      <c r="V4" s="60" t="s">
        <v>36</v>
      </c>
      <c r="W4" s="60" t="s">
        <v>37</v>
      </c>
    </row>
    <row r="5" spans="3:23" ht="19.5" customHeight="1" x14ac:dyDescent="0.6">
      <c r="C5" s="49"/>
      <c r="D5" s="49"/>
      <c r="E5" s="50"/>
      <c r="I5" s="49"/>
      <c r="J5" s="49"/>
      <c r="T5" s="61"/>
    </row>
    <row r="6" spans="3:23" ht="22.5" customHeight="1" x14ac:dyDescent="0.25">
      <c r="C6" s="62">
        <v>1</v>
      </c>
      <c r="D6" s="63">
        <v>42.587899999999998</v>
      </c>
      <c r="E6" s="63">
        <f>هیدرومدول!C5</f>
        <v>44.961444338682611</v>
      </c>
      <c r="F6" s="108">
        <f>هیدرومدول!K5</f>
        <v>1.15334</v>
      </c>
      <c r="G6" s="109">
        <f>هیدرومدول!G5</f>
        <v>10.386438</v>
      </c>
      <c r="H6" s="147">
        <v>0</v>
      </c>
      <c r="I6" s="64">
        <v>0.1</v>
      </c>
      <c r="J6" s="65">
        <v>0.05</v>
      </c>
      <c r="K6" s="66">
        <f>SUM(E6:H6)*(1+I6)*(1+J6)</f>
        <v>65.258911801178428</v>
      </c>
      <c r="L6" s="67">
        <f>هیدرومدول!E5*1000/31/24/3600*1000</f>
        <v>58.136512553074105</v>
      </c>
      <c r="M6" s="71">
        <f>F6*هیدرومدول!N5</f>
        <v>1.4163602443045453</v>
      </c>
      <c r="N6" s="72">
        <f>G6*هیدرومدول!J5</f>
        <v>12.755074707487829</v>
      </c>
      <c r="O6" s="72">
        <f>H6*هیدرومدول!N5</f>
        <v>0</v>
      </c>
      <c r="P6" s="68">
        <f t="shared" ref="P6:P22" si="0">SUM(L6:O6)*(J6+I6)</f>
        <v>10.846192125729972</v>
      </c>
      <c r="Q6" s="69">
        <v>0.05</v>
      </c>
      <c r="R6" s="70">
        <f t="shared" ref="R6:R22" si="1">SUM(L6:O6)*(1+J6)*(1+Q6)*(1+I6)</f>
        <v>87.691463336526837</v>
      </c>
      <c r="S6" s="71">
        <f>R6*3600*24*31/1000/1000</f>
        <v>234.87281540055349</v>
      </c>
      <c r="T6" s="72">
        <f>S6/U6</f>
        <v>1010.7570805665548</v>
      </c>
      <c r="U6" s="73">
        <f>(هیدرومدول!E5/هیدرومدول!D5)</f>
        <v>0.23237315861186089</v>
      </c>
      <c r="V6" s="74">
        <f t="shared" ref="V6:V22" si="2">R6/K6</f>
        <v>1.3437469445352186</v>
      </c>
      <c r="W6" s="75">
        <f t="shared" ref="W6:W22" si="3">T6*1000/K6</f>
        <v>15488.414573108203</v>
      </c>
    </row>
    <row r="7" spans="3:23" ht="22.5" customHeight="1" x14ac:dyDescent="0.25">
      <c r="C7" s="77">
        <v>2</v>
      </c>
      <c r="D7" s="78">
        <v>124.5886</v>
      </c>
      <c r="E7" s="78">
        <f>هیدرومدول!C6</f>
        <v>128.31015849339019</v>
      </c>
      <c r="F7" s="79">
        <f>هیدرومدول!K6</f>
        <v>23.272729999999999</v>
      </c>
      <c r="G7" s="80">
        <f>هیدرومدول!G6</f>
        <v>112.97669599999999</v>
      </c>
      <c r="H7" s="148">
        <v>0</v>
      </c>
      <c r="I7" s="81">
        <f t="shared" ref="I7:J18" si="4">I6</f>
        <v>0.1</v>
      </c>
      <c r="J7" s="82">
        <f>J6</f>
        <v>0.05</v>
      </c>
      <c r="K7" s="83">
        <f t="shared" ref="K7:K22" si="5">SUM(E7:H7)*(1+I7)*(1+J7)</f>
        <v>305.56632008986571</v>
      </c>
      <c r="L7" s="84">
        <f>هیدرومدول!E6*1000/31/24/3600*1000</f>
        <v>133.80355782300785</v>
      </c>
      <c r="M7" s="88">
        <f>F7*هیدرومدول!N6</f>
        <v>28.21899600260782</v>
      </c>
      <c r="N7" s="89">
        <f>G7*هیدرومدول!J6</f>
        <v>136.98818027845633</v>
      </c>
      <c r="O7" s="89">
        <f>H7*هیدرومدول!N6</f>
        <v>0</v>
      </c>
      <c r="P7" s="85">
        <f t="shared" si="0"/>
        <v>44.851610115610804</v>
      </c>
      <c r="Q7" s="86">
        <f t="shared" ref="Q7:Q18" si="6">Q6</f>
        <v>0.05</v>
      </c>
      <c r="R7" s="87">
        <f t="shared" si="1"/>
        <v>362.62526778471334</v>
      </c>
      <c r="S7" s="88">
        <f t="shared" ref="S7:S22" si="7">R7*3600*24*31/1000/1000</f>
        <v>971.25551723457613</v>
      </c>
      <c r="T7" s="89">
        <f t="shared" ref="T7:T22" si="8">S7/U7</f>
        <v>4222.033524169643</v>
      </c>
      <c r="U7" s="90">
        <f>(هیدرومدول!E6/هیدرومدول!D6)</f>
        <v>0.23004448251641849</v>
      </c>
      <c r="V7" s="76">
        <f t="shared" si="2"/>
        <v>1.186731795827717</v>
      </c>
      <c r="W7" s="91">
        <f t="shared" si="3"/>
        <v>13817.077493776022</v>
      </c>
    </row>
    <row r="8" spans="3:23" ht="22.5" customHeight="1" x14ac:dyDescent="0.25">
      <c r="C8" s="77">
        <v>3</v>
      </c>
      <c r="D8" s="78">
        <v>103.5865</v>
      </c>
      <c r="E8" s="78">
        <f>هیدرومدول!C7</f>
        <v>103.6064933887299</v>
      </c>
      <c r="F8" s="79">
        <f>هیدرومدول!K7</f>
        <v>0</v>
      </c>
      <c r="G8" s="80">
        <f>هیدرومدول!G7</f>
        <v>147.784863</v>
      </c>
      <c r="H8" s="148">
        <v>10</v>
      </c>
      <c r="I8" s="81">
        <f t="shared" si="4"/>
        <v>0.1</v>
      </c>
      <c r="J8" s="82">
        <f t="shared" si="4"/>
        <v>0.05</v>
      </c>
      <c r="K8" s="83">
        <f t="shared" si="5"/>
        <v>301.90701662898306</v>
      </c>
      <c r="L8" s="84">
        <f>هیدرومدول!E7*1000/31/24/3600*1000</f>
        <v>109.10586548241743</v>
      </c>
      <c r="M8" s="88">
        <f>F8*هیدرومدول!N7</f>
        <v>0</v>
      </c>
      <c r="N8" s="89">
        <f>G8*هیدرومدول!J7</f>
        <v>148.39117812610195</v>
      </c>
      <c r="O8" s="89">
        <f>H8*هیدرومدول!N7</f>
        <v>10.04102687608148</v>
      </c>
      <c r="P8" s="85">
        <f t="shared" si="0"/>
        <v>40.130710572690141</v>
      </c>
      <c r="Q8" s="86">
        <f t="shared" si="6"/>
        <v>0.05</v>
      </c>
      <c r="R8" s="87">
        <f t="shared" si="1"/>
        <v>324.45679498019979</v>
      </c>
      <c r="S8" s="88">
        <f t="shared" si="7"/>
        <v>869.02507967496706</v>
      </c>
      <c r="T8" s="89">
        <f t="shared" si="8"/>
        <v>3787.6066239167249</v>
      </c>
      <c r="U8" s="90">
        <f>(هیدرومدول!E7/هیدرومدول!D7)</f>
        <v>0.22943910652905058</v>
      </c>
      <c r="V8" s="76">
        <f t="shared" si="2"/>
        <v>1.0746911370361703</v>
      </c>
      <c r="W8" s="91">
        <f t="shared" si="3"/>
        <v>12545.60647913446</v>
      </c>
    </row>
    <row r="9" spans="3:23" ht="22.5" customHeight="1" x14ac:dyDescent="0.25">
      <c r="C9" s="92">
        <v>4</v>
      </c>
      <c r="D9" s="93">
        <v>51.905000000000001</v>
      </c>
      <c r="E9" s="93">
        <f>هیدرومدول!C8</f>
        <v>61.494784349558167</v>
      </c>
      <c r="F9" s="94">
        <f>هیدرومدول!K8</f>
        <v>12.292321000000001</v>
      </c>
      <c r="G9" s="95">
        <f>هیدرومدول!G8</f>
        <v>67.013599999999997</v>
      </c>
      <c r="H9" s="149">
        <v>0</v>
      </c>
      <c r="I9" s="96">
        <f t="shared" si="4"/>
        <v>0.1</v>
      </c>
      <c r="J9" s="97">
        <f t="shared" si="4"/>
        <v>0.05</v>
      </c>
      <c r="K9" s="98">
        <f t="shared" si="5"/>
        <v>162.62481467873971</v>
      </c>
      <c r="L9" s="99">
        <f>هیدرومدول!E8*1000/31/24/3600*1000</f>
        <v>62.700468314316986</v>
      </c>
      <c r="M9" s="103">
        <f>F9*هیدرومدول!N8</f>
        <v>12.497239050645058</v>
      </c>
      <c r="N9" s="104">
        <f>G9*هیدرومدول!J8</f>
        <v>68.130744295101593</v>
      </c>
      <c r="O9" s="104">
        <f>H9*هیدرومدول!N8</f>
        <v>0</v>
      </c>
      <c r="P9" s="100">
        <f t="shared" si="0"/>
        <v>21.499267749009551</v>
      </c>
      <c r="Q9" s="101">
        <f t="shared" si="6"/>
        <v>0.05</v>
      </c>
      <c r="R9" s="102">
        <f t="shared" si="1"/>
        <v>173.82157975074222</v>
      </c>
      <c r="S9" s="103">
        <f t="shared" si="7"/>
        <v>465.56371920438789</v>
      </c>
      <c r="T9" s="104">
        <f t="shared" si="8"/>
        <v>2048.1705756085294</v>
      </c>
      <c r="U9" s="105">
        <f>(هیدرومدول!E8/هیدرومدول!D8)</f>
        <v>0.2273071026157403</v>
      </c>
      <c r="V9" s="106">
        <f t="shared" si="2"/>
        <v>1.0688502864345848</v>
      </c>
      <c r="W9" s="107">
        <f t="shared" si="3"/>
        <v>12594.452941604435</v>
      </c>
    </row>
    <row r="10" spans="3:23" ht="22.5" customHeight="1" x14ac:dyDescent="0.25">
      <c r="C10" s="62">
        <v>5</v>
      </c>
      <c r="D10" s="63">
        <v>44.6798</v>
      </c>
      <c r="E10" s="63">
        <f>هیدرومدول!C9</f>
        <v>55.680299853927153</v>
      </c>
      <c r="F10" s="108">
        <f>هیدرومدول!K9</f>
        <v>65.252418999999989</v>
      </c>
      <c r="G10" s="109">
        <f>هیدرومدول!G9</f>
        <v>46.409067999999998</v>
      </c>
      <c r="H10" s="147">
        <v>23.8</v>
      </c>
      <c r="I10" s="110">
        <f t="shared" si="4"/>
        <v>0.1</v>
      </c>
      <c r="J10" s="111">
        <f t="shared" si="4"/>
        <v>0.05</v>
      </c>
      <c r="K10" s="66">
        <f t="shared" si="5"/>
        <v>220.76876381628591</v>
      </c>
      <c r="L10" s="67">
        <f>هیدرومدول!E9*1000/31/24/3600*1000</f>
        <v>57.830223140879177</v>
      </c>
      <c r="M10" s="71">
        <f>F10*هیدرومدول!N9</f>
        <v>72.017404066144039</v>
      </c>
      <c r="N10" s="72">
        <f>G10*هیدرومدول!J9</f>
        <v>51.22048582580755</v>
      </c>
      <c r="O10" s="72">
        <f>H10*هیدرومدول!N9</f>
        <v>26.2674433077221</v>
      </c>
      <c r="P10" s="112">
        <f t="shared" si="0"/>
        <v>31.100333451082932</v>
      </c>
      <c r="Q10" s="113">
        <f t="shared" si="6"/>
        <v>0.05</v>
      </c>
      <c r="R10" s="70">
        <f t="shared" si="1"/>
        <v>251.4461959520055</v>
      </c>
      <c r="S10" s="71">
        <f t="shared" si="7"/>
        <v>673.4734912378517</v>
      </c>
      <c r="T10" s="72">
        <f t="shared" si="8"/>
        <v>2943.5000900087202</v>
      </c>
      <c r="U10" s="73">
        <f>(هیدرومدول!E9/هیدرومدول!D9)</f>
        <v>0.22880022783891149</v>
      </c>
      <c r="V10" s="74">
        <f t="shared" si="2"/>
        <v>1.1389573035850669</v>
      </c>
      <c r="W10" s="75">
        <f t="shared" si="3"/>
        <v>13332.955437745586</v>
      </c>
    </row>
    <row r="11" spans="3:23" ht="22.5" customHeight="1" x14ac:dyDescent="0.25">
      <c r="C11" s="77">
        <v>6</v>
      </c>
      <c r="D11" s="78">
        <v>78.962400000000002</v>
      </c>
      <c r="E11" s="78">
        <f>هیدرومدول!C10</f>
        <v>84.709248549526109</v>
      </c>
      <c r="F11" s="79">
        <f>هیدرومدول!K10</f>
        <v>5.1571319999999998</v>
      </c>
      <c r="G11" s="80">
        <f>هیدرومدول!G10</f>
        <v>150.22808899999998</v>
      </c>
      <c r="H11" s="148">
        <v>0</v>
      </c>
      <c r="I11" s="81">
        <f t="shared" si="4"/>
        <v>0.1</v>
      </c>
      <c r="J11" s="82">
        <f t="shared" si="4"/>
        <v>0.05</v>
      </c>
      <c r="K11" s="83">
        <f t="shared" si="5"/>
        <v>277.30911232970266</v>
      </c>
      <c r="L11" s="84">
        <f>هیدرومدول!E10*1000/31/24/3600*1000</f>
        <v>93.602480090155282</v>
      </c>
      <c r="M11" s="88">
        <f>F11*هیدرومدول!N10</f>
        <v>5.7796117281797379</v>
      </c>
      <c r="N11" s="89">
        <f>G11*هیدرومدول!J10</f>
        <v>168.3610241286105</v>
      </c>
      <c r="O11" s="89">
        <f>H11*هیدرومدول!N10</f>
        <v>0</v>
      </c>
      <c r="P11" s="85">
        <f t="shared" si="0"/>
        <v>40.161467392041835</v>
      </c>
      <c r="Q11" s="86">
        <f t="shared" si="6"/>
        <v>0.05</v>
      </c>
      <c r="R11" s="87">
        <f t="shared" si="1"/>
        <v>324.70546386465827</v>
      </c>
      <c r="S11" s="88">
        <f t="shared" si="7"/>
        <v>869.69111441510063</v>
      </c>
      <c r="T11" s="89">
        <f t="shared" si="8"/>
        <v>3807.3007732387932</v>
      </c>
      <c r="U11" s="90">
        <f>(هیدرومدول!E10/هیدرومدول!D10)</f>
        <v>0.2284272155559888</v>
      </c>
      <c r="V11" s="76">
        <f t="shared" si="2"/>
        <v>1.1709152329570924</v>
      </c>
      <c r="W11" s="91">
        <f t="shared" si="3"/>
        <v>13729.44704648637</v>
      </c>
    </row>
    <row r="12" spans="3:23" ht="22.5" customHeight="1" x14ac:dyDescent="0.25">
      <c r="C12" s="77">
        <v>7</v>
      </c>
      <c r="D12" s="78">
        <v>452.69810000000001</v>
      </c>
      <c r="E12" s="78">
        <f>هیدرومدول!C11</f>
        <v>340.59345198686083</v>
      </c>
      <c r="F12" s="79">
        <f>هیدرومدول!K11</f>
        <v>0</v>
      </c>
      <c r="G12" s="80">
        <f>هیدرومدول!G11</f>
        <v>285.43950599999999</v>
      </c>
      <c r="H12" s="148">
        <v>0</v>
      </c>
      <c r="I12" s="81">
        <f t="shared" si="4"/>
        <v>0.1</v>
      </c>
      <c r="J12" s="82">
        <f t="shared" si="4"/>
        <v>0.05</v>
      </c>
      <c r="K12" s="83">
        <f t="shared" si="5"/>
        <v>723.06806647482426</v>
      </c>
      <c r="L12" s="84">
        <f>هیدرومدول!E11*1000/31/24/3600*1000</f>
        <v>221.95110283796046</v>
      </c>
      <c r="M12" s="88">
        <f>F12*هیدرومدول!N11</f>
        <v>0</v>
      </c>
      <c r="N12" s="89">
        <f>G12*هیدرومدول!J11</f>
        <v>191.06270318398302</v>
      </c>
      <c r="O12" s="89">
        <f>H12*هیدرومدول!N11</f>
        <v>0</v>
      </c>
      <c r="P12" s="85">
        <f t="shared" si="0"/>
        <v>61.952070903291528</v>
      </c>
      <c r="Q12" s="86">
        <f t="shared" si="6"/>
        <v>0.05</v>
      </c>
      <c r="R12" s="87">
        <f t="shared" si="1"/>
        <v>500.88249325311205</v>
      </c>
      <c r="S12" s="88">
        <f t="shared" si="7"/>
        <v>1341.5636699291354</v>
      </c>
      <c r="T12" s="89">
        <f t="shared" si="8"/>
        <v>5658.8364350876291</v>
      </c>
      <c r="U12" s="90">
        <f>(هیدرومدول!E11/هیدرومدول!D11)</f>
        <v>0.23707412032812375</v>
      </c>
      <c r="V12" s="76">
        <f t="shared" si="2"/>
        <v>0.69271831584966248</v>
      </c>
      <c r="W12" s="91">
        <f t="shared" si="3"/>
        <v>7826.1462474427472</v>
      </c>
    </row>
    <row r="13" spans="3:23" s="191" customFormat="1" ht="22.5" customHeight="1" x14ac:dyDescent="0.25">
      <c r="C13" s="92">
        <v>8</v>
      </c>
      <c r="D13" s="93">
        <v>111.2728</v>
      </c>
      <c r="E13" s="93">
        <f>هیدرومدول!C12</f>
        <v>95.76985784994099</v>
      </c>
      <c r="F13" s="94">
        <f>هیدرومدول!K12</f>
        <v>0</v>
      </c>
      <c r="G13" s="95">
        <f>هیدرومدول!G12</f>
        <v>204.81214700000001</v>
      </c>
      <c r="H13" s="149">
        <v>0</v>
      </c>
      <c r="I13" s="96">
        <f t="shared" si="4"/>
        <v>0.1</v>
      </c>
      <c r="J13" s="97">
        <f t="shared" si="4"/>
        <v>0.05</v>
      </c>
      <c r="K13" s="98">
        <f t="shared" si="5"/>
        <v>347.1722156016819</v>
      </c>
      <c r="L13" s="99">
        <f>هیدرومدول!E12*1000/31/24/3600*1000</f>
        <v>77.25286386920186</v>
      </c>
      <c r="M13" s="103">
        <f>F13*هیدرومدول!N12</f>
        <v>0</v>
      </c>
      <c r="N13" s="104">
        <f>G13*هیدرومدول!J12</f>
        <v>170.83095883035705</v>
      </c>
      <c r="O13" s="104">
        <f>H13*هیدرومدول!N12</f>
        <v>0</v>
      </c>
      <c r="P13" s="100">
        <f t="shared" si="0"/>
        <v>37.212573404933842</v>
      </c>
      <c r="Q13" s="101">
        <f t="shared" si="6"/>
        <v>0.05</v>
      </c>
      <c r="R13" s="102">
        <f t="shared" si="1"/>
        <v>300.86365597889005</v>
      </c>
      <c r="S13" s="103">
        <f t="shared" si="7"/>
        <v>805.833216173859</v>
      </c>
      <c r="T13" s="104">
        <f t="shared" si="8"/>
        <v>3452.2659662099504</v>
      </c>
      <c r="U13" s="105">
        <f>(هیدرومدول!E12/هیدرومدول!D12)</f>
        <v>0.23342153358437159</v>
      </c>
      <c r="V13" s="106">
        <f t="shared" si="2"/>
        <v>0.86661213789088853</v>
      </c>
      <c r="W13" s="107">
        <f t="shared" si="3"/>
        <v>9943.9581022543844</v>
      </c>
    </row>
    <row r="14" spans="3:23" s="191" customFormat="1" ht="22.5" customHeight="1" x14ac:dyDescent="0.25">
      <c r="C14" s="62">
        <v>9</v>
      </c>
      <c r="D14" s="63">
        <v>386.35109999999997</v>
      </c>
      <c r="E14" s="63">
        <f>هیدرومدول!C13</f>
        <v>293.21437845798607</v>
      </c>
      <c r="F14" s="108">
        <f>هیدرومدول!K13</f>
        <v>0</v>
      </c>
      <c r="G14" s="109">
        <f>هیدرومدول!G13</f>
        <v>357.86856899999998</v>
      </c>
      <c r="H14" s="147">
        <v>0</v>
      </c>
      <c r="I14" s="110">
        <f t="shared" si="4"/>
        <v>0.1</v>
      </c>
      <c r="J14" s="111">
        <f t="shared" si="4"/>
        <v>0.05</v>
      </c>
      <c r="K14" s="66">
        <f t="shared" si="5"/>
        <v>752.00080431397396</v>
      </c>
      <c r="L14" s="67">
        <f>هیدرومدول!E13*1000/31/24/3600*1000</f>
        <v>222.80738797494573</v>
      </c>
      <c r="M14" s="71">
        <f>F14*هیدرومدول!N13</f>
        <v>0</v>
      </c>
      <c r="N14" s="72">
        <f>G14*هیدرومدول!J13</f>
        <v>313.57990401235679</v>
      </c>
      <c r="O14" s="72">
        <f>H14*هیدرومدول!N13</f>
        <v>0</v>
      </c>
      <c r="P14" s="112">
        <f t="shared" si="0"/>
        <v>80.458093798095391</v>
      </c>
      <c r="Q14" s="113">
        <f t="shared" si="6"/>
        <v>0.05</v>
      </c>
      <c r="R14" s="70">
        <f t="shared" si="1"/>
        <v>650.50368835760116</v>
      </c>
      <c r="S14" s="71">
        <f t="shared" si="7"/>
        <v>1742.3090788969987</v>
      </c>
      <c r="T14" s="72">
        <f t="shared" si="8"/>
        <v>7481.7528268095293</v>
      </c>
      <c r="U14" s="73">
        <f>(هیدرومدول!E13/هیدرومدول!D13)</f>
        <v>0.23287445057710865</v>
      </c>
      <c r="V14" s="74">
        <f t="shared" si="2"/>
        <v>0.86503057526784788</v>
      </c>
      <c r="W14" s="75">
        <f t="shared" si="3"/>
        <v>9949.1287560987257</v>
      </c>
    </row>
    <row r="15" spans="3:23" s="191" customFormat="1" ht="22.5" customHeight="1" x14ac:dyDescent="0.25">
      <c r="C15" s="77">
        <v>10</v>
      </c>
      <c r="D15" s="78">
        <v>152.72399999999999</v>
      </c>
      <c r="E15" s="78">
        <f>هیدرومدول!C14</f>
        <v>154.71294295589769</v>
      </c>
      <c r="F15" s="79">
        <f>هیدرومدول!K14</f>
        <v>0</v>
      </c>
      <c r="G15" s="80">
        <f>هیدرومدول!G14</f>
        <v>39.023783999999999</v>
      </c>
      <c r="H15" s="148">
        <v>0</v>
      </c>
      <c r="I15" s="81">
        <f t="shared" si="4"/>
        <v>0.1</v>
      </c>
      <c r="J15" s="82">
        <f t="shared" si="4"/>
        <v>0.05</v>
      </c>
      <c r="K15" s="83">
        <f t="shared" si="5"/>
        <v>223.76591963406187</v>
      </c>
      <c r="L15" s="84">
        <f>هیدرومدول!E14*1000/31/24/3600*1000</f>
        <v>148.14892029289919</v>
      </c>
      <c r="M15" s="88">
        <f>F15*هیدرومدول!N14</f>
        <v>0</v>
      </c>
      <c r="N15" s="89">
        <f>G15*هیدرومدول!J14</f>
        <v>44.303438254354568</v>
      </c>
      <c r="O15" s="89">
        <f>H15*هیدرومدول!N14</f>
        <v>0</v>
      </c>
      <c r="P15" s="85">
        <f t="shared" si="0"/>
        <v>28.867853782088069</v>
      </c>
      <c r="Q15" s="86">
        <f t="shared" si="6"/>
        <v>0.05</v>
      </c>
      <c r="R15" s="87">
        <f t="shared" si="1"/>
        <v>233.39659782818205</v>
      </c>
      <c r="S15" s="88">
        <f t="shared" si="7"/>
        <v>625.12944762300276</v>
      </c>
      <c r="T15" s="89">
        <f t="shared" si="8"/>
        <v>2730.9084819611967</v>
      </c>
      <c r="U15" s="90">
        <f>(هیدرومدول!E14/هیدرومدول!D14)</f>
        <v>0.22890896994617238</v>
      </c>
      <c r="V15" s="76">
        <f t="shared" si="2"/>
        <v>1.0430390749845635</v>
      </c>
      <c r="W15" s="91">
        <f t="shared" si="3"/>
        <v>12204.309246140872</v>
      </c>
    </row>
    <row r="16" spans="3:23" s="191" customFormat="1" ht="22.5" customHeight="1" x14ac:dyDescent="0.25">
      <c r="C16" s="77">
        <v>11</v>
      </c>
      <c r="D16" s="78">
        <v>106.37909999999999</v>
      </c>
      <c r="E16" s="78">
        <f>هیدرومدول!C15</f>
        <v>129.3502296792675</v>
      </c>
      <c r="F16" s="79">
        <f>هیدرومدول!K15</f>
        <v>0</v>
      </c>
      <c r="G16" s="80">
        <f>هیدرومدول!G15</f>
        <v>160.71250000000001</v>
      </c>
      <c r="H16" s="148">
        <v>0</v>
      </c>
      <c r="I16" s="81">
        <f t="shared" si="4"/>
        <v>0.1</v>
      </c>
      <c r="J16" s="82">
        <f t="shared" si="4"/>
        <v>0.05</v>
      </c>
      <c r="K16" s="83">
        <f t="shared" si="5"/>
        <v>335.02245277955393</v>
      </c>
      <c r="L16" s="84">
        <f>هیدرومدول!E15*1000/31/24/3600*1000</f>
        <v>139.80120511821679</v>
      </c>
      <c r="M16" s="88">
        <f>F16*هیدرومدول!N15</f>
        <v>0</v>
      </c>
      <c r="N16" s="89">
        <f>G16*هیدرومدول!J15</f>
        <v>163.12043142807246</v>
      </c>
      <c r="O16" s="89">
        <f>H16*هیدرومدول!N15</f>
        <v>0</v>
      </c>
      <c r="P16" s="85">
        <f t="shared" si="0"/>
        <v>45.438245481943397</v>
      </c>
      <c r="Q16" s="86">
        <f t="shared" si="6"/>
        <v>0.05</v>
      </c>
      <c r="R16" s="87">
        <f t="shared" si="1"/>
        <v>367.3682147215124</v>
      </c>
      <c r="S16" s="88">
        <f t="shared" si="7"/>
        <v>983.95902631009881</v>
      </c>
      <c r="T16" s="89">
        <f t="shared" si="8"/>
        <v>4317.2367671473303</v>
      </c>
      <c r="U16" s="90">
        <f>(هیدرومدول!E15/هیدرومدول!D15)</f>
        <v>0.22791407545624659</v>
      </c>
      <c r="V16" s="76">
        <f t="shared" si="2"/>
        <v>1.0965480422986518</v>
      </c>
      <c r="W16" s="91">
        <f t="shared" si="3"/>
        <v>12886.410243041499</v>
      </c>
    </row>
    <row r="17" spans="2:23" ht="22.5" customHeight="1" x14ac:dyDescent="0.25">
      <c r="C17" s="92">
        <v>12</v>
      </c>
      <c r="D17" s="93">
        <v>85.039299999999997</v>
      </c>
      <c r="E17" s="93">
        <f>هیدرومدول!C16</f>
        <v>95.023303678645789</v>
      </c>
      <c r="F17" s="94">
        <f>هیدرومدول!K16</f>
        <v>56.337606999999991</v>
      </c>
      <c r="G17" s="95">
        <f>هیدرومدول!G16</f>
        <v>344.33337699999998</v>
      </c>
      <c r="H17" s="149">
        <v>40</v>
      </c>
      <c r="I17" s="96">
        <f t="shared" si="4"/>
        <v>0.1</v>
      </c>
      <c r="J17" s="97">
        <f t="shared" si="4"/>
        <v>0.05</v>
      </c>
      <c r="K17" s="98">
        <f>SUM(E17:H17)*(1+I17)*(1+J17)</f>
        <v>618.72690226883594</v>
      </c>
      <c r="L17" s="99">
        <f>هیدرومدول!E16*1000/31/24/3600*1000</f>
        <v>73.334980807886765</v>
      </c>
      <c r="M17" s="103">
        <f>F17*هیدرومدول!N16</f>
        <v>61.636151992377414</v>
      </c>
      <c r="N17" s="104">
        <f>G17*هیدرومدول!J16</f>
        <v>376.71788865332167</v>
      </c>
      <c r="O17" s="104">
        <f>H17*هیدرومدول!N16</f>
        <v>43.761995068322605</v>
      </c>
      <c r="P17" s="100">
        <f t="shared" si="0"/>
        <v>83.317652478286277</v>
      </c>
      <c r="Q17" s="101">
        <f t="shared" si="6"/>
        <v>0.05</v>
      </c>
      <c r="R17" s="102">
        <f t="shared" si="1"/>
        <v>673.6232202869445</v>
      </c>
      <c r="S17" s="103">
        <f t="shared" si="7"/>
        <v>1804.2324332165522</v>
      </c>
      <c r="T17" s="104">
        <f t="shared" si="8"/>
        <v>7679.0769363657901</v>
      </c>
      <c r="U17" s="105">
        <f>(هیدرومدول!E16/هیدرومدول!D16)</f>
        <v>0.23495433737253654</v>
      </c>
      <c r="V17" s="106">
        <f t="shared" si="2"/>
        <v>1.0887246341104726</v>
      </c>
      <c r="W17" s="107">
        <f t="shared" si="3"/>
        <v>12411.092694057841</v>
      </c>
    </row>
    <row r="18" spans="2:23" ht="22.5" customHeight="1" x14ac:dyDescent="0.25">
      <c r="C18" s="114">
        <v>13</v>
      </c>
      <c r="D18" s="115">
        <v>7.2237</v>
      </c>
      <c r="E18" s="115">
        <f>هیدرومدول!C17</f>
        <v>8.4318874727844921</v>
      </c>
      <c r="F18" s="116">
        <f>هیدرومدول!K17</f>
        <v>1.2316750000000001</v>
      </c>
      <c r="G18" s="117">
        <f>هیدرومدول!G17</f>
        <v>0</v>
      </c>
      <c r="H18" s="150">
        <v>0</v>
      </c>
      <c r="I18" s="118">
        <f t="shared" si="4"/>
        <v>0.1</v>
      </c>
      <c r="J18" s="119">
        <f t="shared" si="4"/>
        <v>0.05</v>
      </c>
      <c r="K18" s="120">
        <f t="shared" si="5"/>
        <v>11.161414656066089</v>
      </c>
      <c r="L18" s="121">
        <f>هیدرومدول!E17*1000/31/24/3600*1000</f>
        <v>10.730959243017935</v>
      </c>
      <c r="M18" s="125">
        <f>F18*هیدرومدول!N17</f>
        <v>1.430562482880664</v>
      </c>
      <c r="N18" s="126">
        <f>G18*هیدرومدول!J17</f>
        <v>0</v>
      </c>
      <c r="O18" s="126">
        <f>H18*هیدرومدول!N17</f>
        <v>0</v>
      </c>
      <c r="P18" s="122">
        <f t="shared" si="0"/>
        <v>1.82422825888479</v>
      </c>
      <c r="Q18" s="123">
        <f t="shared" si="6"/>
        <v>0.05</v>
      </c>
      <c r="R18" s="124">
        <f t="shared" si="1"/>
        <v>14.748885473083527</v>
      </c>
      <c r="S18" s="125">
        <f t="shared" si="7"/>
        <v>39.503414851106925</v>
      </c>
      <c r="T18" s="126">
        <f t="shared" si="8"/>
        <v>169.04164270730479</v>
      </c>
      <c r="U18" s="127">
        <f>(هیدرومدول!E17/هیدرومدول!D17)</f>
        <v>0.23369043401635062</v>
      </c>
      <c r="V18" s="128">
        <f t="shared" si="2"/>
        <v>1.3214172152512669</v>
      </c>
      <c r="W18" s="129">
        <f t="shared" si="3"/>
        <v>15145.180778265663</v>
      </c>
    </row>
    <row r="19" spans="2:23" ht="22.5" customHeight="1" x14ac:dyDescent="0.25">
      <c r="B19" s="208" t="s">
        <v>41</v>
      </c>
      <c r="C19" s="77">
        <v>7</v>
      </c>
      <c r="D19" s="205">
        <v>33.664000000000001</v>
      </c>
      <c r="E19" s="78">
        <f>هیدرومدول!C18</f>
        <v>37.451700000000002</v>
      </c>
      <c r="F19" s="79">
        <f>هیدرومدول!K18</f>
        <v>0</v>
      </c>
      <c r="G19" s="80">
        <f>هیدرومدول!G18</f>
        <v>0</v>
      </c>
      <c r="H19" s="148">
        <v>0</v>
      </c>
      <c r="I19" s="81">
        <v>0</v>
      </c>
      <c r="J19" s="82">
        <v>0</v>
      </c>
      <c r="K19" s="130">
        <f t="shared" si="5"/>
        <v>37.451700000000002</v>
      </c>
      <c r="L19" s="78">
        <f>هیدرومدول!E18*1000/31/24/3600*1000</f>
        <v>26.066231664758526</v>
      </c>
      <c r="M19" s="88">
        <f>F19*هیدرومدول!N18</f>
        <v>0</v>
      </c>
      <c r="N19" s="89">
        <f>G19*هیدرومدول!J18</f>
        <v>0</v>
      </c>
      <c r="O19" s="89">
        <f>H19*هیدرومدول!N18</f>
        <v>0</v>
      </c>
      <c r="P19" s="85">
        <f t="shared" si="0"/>
        <v>0</v>
      </c>
      <c r="Q19" s="86">
        <v>0.05</v>
      </c>
      <c r="R19" s="131">
        <f t="shared" si="1"/>
        <v>27.369543247996454</v>
      </c>
      <c r="S19" s="132">
        <f t="shared" si="7"/>
        <v>73.306584635433694</v>
      </c>
      <c r="T19" s="133">
        <f t="shared" si="8"/>
        <v>312.88795061465379</v>
      </c>
      <c r="U19" s="90">
        <f>(هیدرومدول!E18/هیدرومدول!D18)</f>
        <v>0.23429021313037568</v>
      </c>
      <c r="V19" s="76">
        <f t="shared" si="2"/>
        <v>0.73079575154122378</v>
      </c>
      <c r="W19" s="91">
        <f t="shared" si="3"/>
        <v>8354.4392007479964</v>
      </c>
    </row>
    <row r="20" spans="2:23" ht="22.5" customHeight="1" x14ac:dyDescent="0.25">
      <c r="B20" s="208"/>
      <c r="C20" s="77">
        <v>10</v>
      </c>
      <c r="D20" s="206"/>
      <c r="E20" s="78">
        <f>هیدرومدول!C19</f>
        <v>1.3428</v>
      </c>
      <c r="F20" s="79">
        <f>هیدرومدول!K19</f>
        <v>0</v>
      </c>
      <c r="G20" s="80">
        <f>هیدرومدول!G19</f>
        <v>0</v>
      </c>
      <c r="H20" s="148">
        <v>0</v>
      </c>
      <c r="I20" s="81">
        <v>0</v>
      </c>
      <c r="J20" s="82">
        <v>0</v>
      </c>
      <c r="K20" s="130">
        <f t="shared" si="5"/>
        <v>1.3428</v>
      </c>
      <c r="L20" s="78">
        <f>هیدرومدول!E19*1000/31/24/3600*1000</f>
        <v>1.5603353657479591</v>
      </c>
      <c r="M20" s="88">
        <f>F20*هیدرومدول!N19</f>
        <v>0</v>
      </c>
      <c r="N20" s="89">
        <f>G20*هیدرومدول!J19</f>
        <v>0</v>
      </c>
      <c r="O20" s="89">
        <f>H20*هیدرومدول!N19</f>
        <v>0</v>
      </c>
      <c r="P20" s="85">
        <f t="shared" si="0"/>
        <v>0</v>
      </c>
      <c r="Q20" s="86">
        <f t="shared" ref="Q20:Q22" si="9">Q19</f>
        <v>0.05</v>
      </c>
      <c r="R20" s="131">
        <f t="shared" si="1"/>
        <v>1.6383521340353571</v>
      </c>
      <c r="S20" s="132">
        <f t="shared" si="7"/>
        <v>4.3881623558003016</v>
      </c>
      <c r="T20" s="133">
        <f t="shared" si="8"/>
        <v>19.661579611488559</v>
      </c>
      <c r="U20" s="90">
        <f>(هیدرومدول!E19/هیدرومدول!D19)</f>
        <v>0.22318462923682039</v>
      </c>
      <c r="V20" s="76">
        <f t="shared" si="2"/>
        <v>1.2201013807233818</v>
      </c>
      <c r="W20" s="91">
        <f t="shared" si="3"/>
        <v>14642.224911743044</v>
      </c>
    </row>
    <row r="21" spans="2:23" ht="22.5" customHeight="1" x14ac:dyDescent="0.25">
      <c r="B21" s="208"/>
      <c r="C21" s="77">
        <v>11</v>
      </c>
      <c r="D21" s="206"/>
      <c r="E21" s="78">
        <f>هیدرومدول!C20</f>
        <v>1.3333999999999999</v>
      </c>
      <c r="F21" s="79">
        <f>هیدرومدول!K20</f>
        <v>0</v>
      </c>
      <c r="G21" s="80">
        <f>هیدرومدول!G20</f>
        <v>0</v>
      </c>
      <c r="H21" s="148">
        <v>0</v>
      </c>
      <c r="I21" s="81">
        <v>0</v>
      </c>
      <c r="J21" s="82">
        <v>0</v>
      </c>
      <c r="K21" s="130">
        <f t="shared" si="5"/>
        <v>1.3333999999999999</v>
      </c>
      <c r="L21" s="78">
        <f>هیدرومدول!E20*1000/31/24/3600*1000</f>
        <v>1.7457575724239951</v>
      </c>
      <c r="M21" s="88">
        <f>F21*هیدرومدول!N20</f>
        <v>0</v>
      </c>
      <c r="N21" s="89">
        <f>G21*هیدرومدول!J20</f>
        <v>0</v>
      </c>
      <c r="O21" s="89">
        <f>H21*هیدرومدول!N20</f>
        <v>0</v>
      </c>
      <c r="P21" s="85">
        <f t="shared" si="0"/>
        <v>0</v>
      </c>
      <c r="Q21" s="86">
        <f>Q20</f>
        <v>0.05</v>
      </c>
      <c r="R21" s="131">
        <f t="shared" si="1"/>
        <v>1.833045451045195</v>
      </c>
      <c r="S21" s="132">
        <f t="shared" si="7"/>
        <v>4.9096289360794501</v>
      </c>
      <c r="T21" s="133">
        <f t="shared" si="8"/>
        <v>21.59387932452363</v>
      </c>
      <c r="U21" s="90">
        <f>(هیدرومدول!E20/هیدرومدول!D20)</f>
        <v>0.22736206229066525</v>
      </c>
      <c r="V21" s="76">
        <f t="shared" si="2"/>
        <v>1.3747153525162705</v>
      </c>
      <c r="W21" s="91">
        <f t="shared" si="3"/>
        <v>16194.599763404553</v>
      </c>
    </row>
    <row r="22" spans="2:23" ht="22.5" customHeight="1" x14ac:dyDescent="0.25">
      <c r="B22" s="208"/>
      <c r="C22" s="77">
        <v>12</v>
      </c>
      <c r="D22" s="207"/>
      <c r="E22" s="78">
        <f>هیدرومدول!C21</f>
        <v>5.4</v>
      </c>
      <c r="F22" s="79">
        <f>هیدرومدول!K21</f>
        <v>0</v>
      </c>
      <c r="G22" s="80">
        <f>هیدرومدول!G21</f>
        <v>0</v>
      </c>
      <c r="H22" s="148">
        <v>0</v>
      </c>
      <c r="I22" s="81">
        <v>0</v>
      </c>
      <c r="J22" s="82">
        <v>0</v>
      </c>
      <c r="K22" s="130">
        <f t="shared" si="5"/>
        <v>5.4</v>
      </c>
      <c r="L22" s="78">
        <f>هیدرومدول!E21*1000/31/24/3600*1000</f>
        <v>6.9614783157322089</v>
      </c>
      <c r="M22" s="88">
        <f>F22*هیدرومدول!N21</f>
        <v>0</v>
      </c>
      <c r="N22" s="89">
        <f>G22*هیدرومدول!J21</f>
        <v>0</v>
      </c>
      <c r="O22" s="89">
        <f>H22*هیدرومدول!N21</f>
        <v>0</v>
      </c>
      <c r="P22" s="85">
        <f t="shared" si="0"/>
        <v>0</v>
      </c>
      <c r="Q22" s="86">
        <f t="shared" si="9"/>
        <v>0.05</v>
      </c>
      <c r="R22" s="131">
        <f t="shared" si="1"/>
        <v>7.3095522315188193</v>
      </c>
      <c r="S22" s="132">
        <f t="shared" si="7"/>
        <v>19.577904696899999</v>
      </c>
      <c r="T22" s="133">
        <f t="shared" si="8"/>
        <v>88.68010369827779</v>
      </c>
      <c r="U22" s="90">
        <f>(هیدرومدول!E21/هیدرومدول!D21)</f>
        <v>0.22076997974101614</v>
      </c>
      <c r="V22" s="76">
        <f t="shared" si="2"/>
        <v>1.3536207836145961</v>
      </c>
      <c r="W22" s="91">
        <f t="shared" si="3"/>
        <v>16422.241425606997</v>
      </c>
    </row>
    <row r="23" spans="2:23" ht="22.5" customHeight="1" x14ac:dyDescent="0.25">
      <c r="C23" s="134" t="s">
        <v>38</v>
      </c>
      <c r="D23" s="135">
        <f>SUM(D6:D22)</f>
        <v>1781.6622999999997</v>
      </c>
      <c r="E23" s="135">
        <f>SUM(E6:E22)</f>
        <v>1641.3863810551977</v>
      </c>
      <c r="F23" s="136">
        <f>SUM(F6:F22)</f>
        <v>164.69722399999998</v>
      </c>
      <c r="G23" s="136">
        <f>SUM(G6:G22)</f>
        <v>1926.9886369999999</v>
      </c>
      <c r="H23" s="136">
        <f>SUM(H6:H22)</f>
        <v>73.8</v>
      </c>
      <c r="I23" s="137">
        <f>SUM($E23:$H23)*(I24)</f>
        <v>370.12792502103127</v>
      </c>
      <c r="J23" s="136">
        <f>SUM($E23:$I23)*(J24)</f>
        <v>203.05703821279025</v>
      </c>
      <c r="K23" s="138">
        <f t="shared" ref="K23:P23" si="10">SUM(K6:K22)</f>
        <v>4389.8806150737528</v>
      </c>
      <c r="L23" s="136">
        <f t="shared" si="10"/>
        <v>1445.5403304666422</v>
      </c>
      <c r="M23" s="136">
        <f t="shared" si="10"/>
        <v>182.99632556713928</v>
      </c>
      <c r="N23" s="136">
        <f t="shared" si="10"/>
        <v>1845.4620117240115</v>
      </c>
      <c r="O23" s="136">
        <f t="shared" si="10"/>
        <v>80.070465252126183</v>
      </c>
      <c r="P23" s="139">
        <f t="shared" si="10"/>
        <v>527.66029951368853</v>
      </c>
      <c r="Q23" s="140">
        <f>SUM($L23:$P23)*(Q24)</f>
        <v>204.08647162618036</v>
      </c>
      <c r="R23" s="141">
        <f>SUM(R6:R22)</f>
        <v>4304.2840146327671</v>
      </c>
      <c r="S23" s="142">
        <f>SUM(S6:S22)</f>
        <v>11528.594304792403</v>
      </c>
      <c r="T23" s="143">
        <f>SUM(T6:T22)</f>
        <v>49751.311237046641</v>
      </c>
      <c r="U23" s="144">
        <f>SUMPRODUCT(U6:U22,K6:K22)/K23</f>
        <v>0.23218376412672734</v>
      </c>
      <c r="V23" s="145">
        <f>SUMPRODUCT(V6:V22,K6:K22)/K23</f>
        <v>0.98050138307928736</v>
      </c>
      <c r="W23" s="146">
        <f>ROUND(SUMPRODUCT(W6:W22,K6:K22)/K23,-1)</f>
        <v>11330</v>
      </c>
    </row>
    <row r="24" spans="2:23" s="192" customFormat="1" ht="22.5" customHeight="1" x14ac:dyDescent="0.25">
      <c r="C24" s="184"/>
      <c r="D24" s="184"/>
      <c r="E24" s="185" t="s">
        <v>39</v>
      </c>
      <c r="F24" s="185"/>
      <c r="G24" s="185" t="s">
        <v>40</v>
      </c>
      <c r="H24" s="185"/>
      <c r="I24" s="186">
        <f>SUMPRODUCT(I6:I22,$E6:$E22)/$E23</f>
        <v>9.7226253335260901E-2</v>
      </c>
      <c r="J24" s="186">
        <f>SUMPRODUCT(J6:J22,$E6:$E22)/$E23</f>
        <v>4.861312666763045E-2</v>
      </c>
      <c r="K24" s="184"/>
      <c r="L24" s="187">
        <f>L23/1000*3600*24*31/U23/1000/1000</f>
        <v>16.675305595479269</v>
      </c>
      <c r="M24" s="184"/>
      <c r="N24" s="184"/>
      <c r="O24" s="184"/>
      <c r="P24" s="184"/>
      <c r="Q24" s="186">
        <f>SUMPRODUCT(Q6:Q22,$E6:$E22)/$E23</f>
        <v>4.9999999999999989E-2</v>
      </c>
      <c r="R24" s="188">
        <f>R23/L23</f>
        <v>2.9776298342663878</v>
      </c>
      <c r="S24" s="184"/>
      <c r="T24" s="187">
        <f>T23/1000</f>
        <v>49.751311237046643</v>
      </c>
      <c r="U24" s="184"/>
      <c r="V24" s="184"/>
      <c r="W24" s="187">
        <f>W23*K23/1000/1000</f>
        <v>49.737347368785613</v>
      </c>
    </row>
    <row r="25" spans="2:23" ht="22.5" customHeight="1" x14ac:dyDescent="0.25"/>
    <row r="26" spans="2:23" ht="22.5" customHeight="1" x14ac:dyDescent="0.25"/>
    <row r="27" spans="2:23" ht="22.5" customHeight="1" x14ac:dyDescent="0.25"/>
    <row r="28" spans="2:23" ht="22.5" customHeight="1" x14ac:dyDescent="0.25">
      <c r="B28" s="208" t="s">
        <v>43</v>
      </c>
      <c r="C28" s="166">
        <v>14</v>
      </c>
      <c r="D28" s="182"/>
      <c r="E28" s="167">
        <v>3620.8160086580092</v>
      </c>
      <c r="F28" s="168">
        <v>0</v>
      </c>
      <c r="G28" s="169">
        <v>7000</v>
      </c>
      <c r="H28" s="170">
        <v>0</v>
      </c>
      <c r="I28" s="171">
        <f>I27</f>
        <v>0</v>
      </c>
      <c r="J28" s="172">
        <f>J27</f>
        <v>0</v>
      </c>
      <c r="K28" s="173">
        <f>SUM(E28:H28)*(1+I28)*(1+J28)</f>
        <v>10620.81600865801</v>
      </c>
      <c r="L28" s="167">
        <v>359.43083755425181</v>
      </c>
      <c r="M28" s="174">
        <v>0</v>
      </c>
      <c r="N28" s="175">
        <v>970.70663516944205</v>
      </c>
      <c r="O28" s="175">
        <v>0</v>
      </c>
      <c r="P28" s="176">
        <f t="shared" ref="P28:P29" si="11">SUM(L28:O28)*(J28+I28)</f>
        <v>0</v>
      </c>
      <c r="Q28" s="177">
        <f>Q8</f>
        <v>0.05</v>
      </c>
      <c r="R28" s="178">
        <f>SUM(L28:O28)*(1+J28)*(1+Q28)*(1+I28)</f>
        <v>1396.6443463598787</v>
      </c>
      <c r="S28" s="174">
        <f t="shared" ref="S28" si="12">R28*3600*24*31/1000/1000</f>
        <v>3740.7722172902991</v>
      </c>
      <c r="T28" s="175">
        <f t="shared" ref="T28" si="13">S28/U28</f>
        <v>16264.227031696952</v>
      </c>
      <c r="U28" s="189">
        <v>0.23</v>
      </c>
      <c r="V28" s="179">
        <f>R28/K28</f>
        <v>0.13150066296425289</v>
      </c>
      <c r="W28" s="180">
        <f>T28*1000/K28</f>
        <v>1531.3538073193693</v>
      </c>
    </row>
    <row r="29" spans="2:23" ht="22.5" customHeight="1" x14ac:dyDescent="0.25">
      <c r="B29" s="208"/>
      <c r="C29" s="152">
        <v>15</v>
      </c>
      <c r="D29" s="183"/>
      <c r="E29" s="153">
        <v>181</v>
      </c>
      <c r="F29" s="154">
        <v>0</v>
      </c>
      <c r="G29" s="154">
        <v>0</v>
      </c>
      <c r="H29" s="155">
        <v>0</v>
      </c>
      <c r="I29" s="156">
        <f t="shared" ref="I29:J29" si="14">I28</f>
        <v>0</v>
      </c>
      <c r="J29" s="157">
        <f t="shared" si="14"/>
        <v>0</v>
      </c>
      <c r="K29" s="158">
        <f>SUM(E29:H29)*(1+I29)*(1+J29)</f>
        <v>181</v>
      </c>
      <c r="L29" s="153">
        <v>17.967491704012819</v>
      </c>
      <c r="M29" s="159">
        <v>0</v>
      </c>
      <c r="N29" s="160">
        <v>0</v>
      </c>
      <c r="O29" s="160">
        <v>0</v>
      </c>
      <c r="P29" s="161">
        <f t="shared" si="11"/>
        <v>0</v>
      </c>
      <c r="Q29" s="162">
        <f>Q28</f>
        <v>0.05</v>
      </c>
      <c r="R29" s="163">
        <f>SUM(L29:O29)*(1+J29)*(1+Q29)*(1+I29)</f>
        <v>18.865866289213461</v>
      </c>
      <c r="S29" s="159">
        <f t="shared" ref="S29" si="15">R29*3600*24*31/1000/1000</f>
        <v>50.530336269029334</v>
      </c>
      <c r="T29" s="160">
        <f t="shared" ref="T29" si="16">S29/U29</f>
        <v>219.69711421317101</v>
      </c>
      <c r="U29" s="190">
        <v>0.23</v>
      </c>
      <c r="V29" s="164">
        <f>R29/K29</f>
        <v>0.10423130546526774</v>
      </c>
      <c r="W29" s="165">
        <f>T29*1000/K29</f>
        <v>1213.7962111224917</v>
      </c>
    </row>
    <row r="30" spans="2:23" ht="22.5" customHeight="1" x14ac:dyDescent="0.25">
      <c r="C30" s="134" t="s">
        <v>38</v>
      </c>
      <c r="D30" s="181"/>
      <c r="E30" s="135">
        <f>SUM(E28:E29)</f>
        <v>3801.8160086580092</v>
      </c>
      <c r="F30" s="136">
        <f>SUM(F28:F29)</f>
        <v>0</v>
      </c>
      <c r="G30" s="136">
        <f>SUM(G28:G29)</f>
        <v>7000</v>
      </c>
      <c r="H30" s="136">
        <f>SUM(H28:H29)</f>
        <v>0</v>
      </c>
      <c r="I30" s="137">
        <f>SUM($E30:$H30)*(I31)</f>
        <v>0</v>
      </c>
      <c r="J30" s="136">
        <f>SUM($E30:$I30)*(J31)</f>
        <v>0</v>
      </c>
      <c r="K30" s="138">
        <f t="shared" ref="K30:P30" si="17">SUM(K28:K29)</f>
        <v>10801.81600865801</v>
      </c>
      <c r="L30" s="136">
        <f t="shared" si="17"/>
        <v>377.39832925826465</v>
      </c>
      <c r="M30" s="136">
        <f t="shared" si="17"/>
        <v>0</v>
      </c>
      <c r="N30" s="136">
        <f t="shared" si="17"/>
        <v>970.70663516944205</v>
      </c>
      <c r="O30" s="136">
        <f t="shared" si="17"/>
        <v>0</v>
      </c>
      <c r="P30" s="139">
        <f t="shared" si="17"/>
        <v>0</v>
      </c>
      <c r="Q30" s="140">
        <f>SUM($L30:$P30)*(Q31)</f>
        <v>67.405248221385349</v>
      </c>
      <c r="R30" s="141">
        <f>SUM(R28:R29)</f>
        <v>1415.5102126490922</v>
      </c>
      <c r="S30" s="142">
        <f>SUM(S28:S29)</f>
        <v>3791.3025535593283</v>
      </c>
      <c r="T30" s="143">
        <f>SUM(T28:T29)</f>
        <v>16483.924145910121</v>
      </c>
      <c r="U30" s="144">
        <f>SUMPRODUCT(U28:U29,K28:K29)/K30</f>
        <v>0.23000000000000004</v>
      </c>
      <c r="V30" s="145">
        <f>SUMPRODUCT(V28:V29,K28:K29)/K30</f>
        <v>0.1310437255656377</v>
      </c>
      <c r="W30" s="146">
        <f>ROUND(SUMPRODUCT(W28:W29,K28:K29)/K30,-1)</f>
        <v>1530</v>
      </c>
    </row>
    <row r="31" spans="2:23" s="192" customFormat="1" ht="22.5" customHeight="1" x14ac:dyDescent="0.25">
      <c r="C31" s="184"/>
      <c r="D31" s="184"/>
      <c r="E31" s="185" t="s">
        <v>39</v>
      </c>
      <c r="F31" s="185"/>
      <c r="G31" s="185" t="s">
        <v>40</v>
      </c>
      <c r="H31" s="185"/>
      <c r="I31" s="186">
        <f>SUMPRODUCT(I28:I29,$E28:$E29)/$E30</f>
        <v>0</v>
      </c>
      <c r="J31" s="186">
        <f>SUMPRODUCT(J28:J29,$E28:$E29)/$E30</f>
        <v>0</v>
      </c>
      <c r="K31" s="184"/>
      <c r="L31" s="187">
        <f>L30/1000*3600*24*31/U30/1000/1000</f>
        <v>4.394885587327547</v>
      </c>
      <c r="M31" s="184"/>
      <c r="N31" s="184"/>
      <c r="O31" s="184"/>
      <c r="P31" s="184"/>
      <c r="Q31" s="186">
        <f>SUMPRODUCT(Q28:Q29,$E28:$E29)/$E30</f>
        <v>5.000000000000001E-2</v>
      </c>
      <c r="R31" s="188">
        <f>R30/L30</f>
        <v>3.7507060919721704</v>
      </c>
      <c r="S31" s="184"/>
      <c r="T31" s="187">
        <f>T30/1000</f>
        <v>16.48392414591012</v>
      </c>
      <c r="U31" s="184"/>
      <c r="V31" s="184"/>
      <c r="W31" s="187">
        <f>W30*K30/1000/1000</f>
        <v>16.526778493246756</v>
      </c>
    </row>
  </sheetData>
  <mergeCells count="11">
    <mergeCell ref="S3:U3"/>
    <mergeCell ref="V3:W3"/>
    <mergeCell ref="D3:H3"/>
    <mergeCell ref="D19:D22"/>
    <mergeCell ref="B28:B29"/>
    <mergeCell ref="L3:R3"/>
    <mergeCell ref="B19:B22"/>
    <mergeCell ref="C3:C4"/>
    <mergeCell ref="I3:I4"/>
    <mergeCell ref="J3:J4"/>
    <mergeCell ref="K3:K4"/>
  </mergeCells>
  <conditionalFormatting sqref="U3:W24 Q3:Q24 E4:J24 I3:J3 D3 D23">
    <cfRule type="expression" dxfId="249" priority="758">
      <formula>IF(#REF!&lt;&gt;#REF!,1,0)</formula>
    </cfRule>
  </conditionalFormatting>
  <conditionalFormatting sqref="U3:W24">
    <cfRule type="expression" dxfId="248" priority="756">
      <formula>IF(#REF!&lt;&gt;#REF!,1,0)</formula>
    </cfRule>
  </conditionalFormatting>
  <conditionalFormatting sqref="F19:K22 T18:W23 L3:S5 L23:S24 L6:L22 P6:S22 E4:E24 D3 C18:C22 C23:D24">
    <cfRule type="expression" dxfId="247" priority="759">
      <formula>IF(#REF!&lt;&gt;#REF!,1,0)</formula>
    </cfRule>
  </conditionalFormatting>
  <conditionalFormatting sqref="E4:J4 E17:G17 I17:L17 S14:V17 U4:W4 U6:V13 W6:W17 E7:L13 F6:K6 P7:Q13 P17:Q17">
    <cfRule type="expression" dxfId="246" priority="348">
      <formula>IF(#REF!&lt;&gt;#REF!,1,0)</formula>
    </cfRule>
  </conditionalFormatting>
  <conditionalFormatting sqref="S6:W17 S7:S22 U7:W22">
    <cfRule type="expression" dxfId="245" priority="347">
      <formula>IF(#REF!&lt;&gt;#REF!,1,0)</formula>
    </cfRule>
  </conditionalFormatting>
  <conditionalFormatting sqref="S14:V17 U4:W4 U6:W22">
    <cfRule type="expression" dxfId="244" priority="346">
      <formula>IF(#REF!&lt;&gt;#REF!,1,0)</formula>
    </cfRule>
  </conditionalFormatting>
  <conditionalFormatting sqref="P10:Q10">
    <cfRule type="expression" dxfId="243" priority="322">
      <formula>IF(#REF!&lt;&gt;#REF!,1,0)</formula>
    </cfRule>
  </conditionalFormatting>
  <conditionalFormatting sqref="P11:Q11">
    <cfRule type="expression" dxfId="242" priority="320">
      <formula>IF(#REF!&lt;&gt;#REF!,1,0)</formula>
    </cfRule>
  </conditionalFormatting>
  <conditionalFormatting sqref="R12">
    <cfRule type="expression" dxfId="241" priority="298">
      <formula>IF(#REF!&lt;&gt;#REF!,1,0)</formula>
    </cfRule>
  </conditionalFormatting>
  <conditionalFormatting sqref="L11 P11:Q11">
    <cfRule type="expression" dxfId="240" priority="321">
      <formula>IF(#REF!&lt;&gt;#REF!,1,0)</formula>
    </cfRule>
  </conditionalFormatting>
  <conditionalFormatting sqref="R13">
    <cfRule type="expression" dxfId="239" priority="297">
      <formula>IF(#REF!&lt;&gt;#REF!,1,0)</formula>
    </cfRule>
  </conditionalFormatting>
  <conditionalFormatting sqref="R13">
    <cfRule type="expression" dxfId="238" priority="296">
      <formula>IF(#REF!&lt;&gt;#REF!,1,0)</formula>
    </cfRule>
  </conditionalFormatting>
  <conditionalFormatting sqref="S6:U13 E6:K6 Q6 S7:S22 U7:U22">
    <cfRule type="expression" dxfId="237" priority="330">
      <formula>IF(#REF!&lt;&gt;#REF!,1,0)</formula>
    </cfRule>
  </conditionalFormatting>
  <conditionalFormatting sqref="E6:L6 L7:L22 P7:P22 P6:Q6 E7:G22 E7:E24">
    <cfRule type="expression" dxfId="236" priority="329">
      <formula>IF(#REF!&lt;&gt;#REF!,1,0)</formula>
    </cfRule>
  </conditionalFormatting>
  <conditionalFormatting sqref="S4 S6:U13 S7:S22 U7:U22">
    <cfRule type="expression" dxfId="235" priority="328">
      <formula>IF(#REF!&lt;&gt;#REF!,1,0)</formula>
    </cfRule>
  </conditionalFormatting>
  <conditionalFormatting sqref="P7:P22 P6:Q6 L6:L22">
    <cfRule type="expression" dxfId="234" priority="327">
      <formula>IF(#REF!&lt;&gt;#REF!,1,0)</formula>
    </cfRule>
  </conditionalFormatting>
  <conditionalFormatting sqref="P6:Q6 P7:P22">
    <cfRule type="expression" dxfId="233" priority="326">
      <formula>IF(#REF!&lt;&gt;#REF!,1,0)</formula>
    </cfRule>
  </conditionalFormatting>
  <conditionalFormatting sqref="S4 L4:Q4">
    <cfRule type="expression" dxfId="232" priority="325">
      <formula>IF(#REF!&lt;&gt;#REF!,1,0)</formula>
    </cfRule>
  </conditionalFormatting>
  <conditionalFormatting sqref="M4:Q4">
    <cfRule type="expression" dxfId="231" priority="324">
      <formula>IF(#REF!&lt;&gt;#REF!,1,0)</formula>
    </cfRule>
  </conditionalFormatting>
  <conditionalFormatting sqref="E4 L4">
    <cfRule type="expression" dxfId="230" priority="331">
      <formula>IF(#REF!&lt;&gt;#REF!,1,0)</formula>
    </cfRule>
  </conditionalFormatting>
  <conditionalFormatting sqref="L10 P10:Q10">
    <cfRule type="expression" dxfId="229" priority="323">
      <formula>IF(#REF!&lt;&gt;#REF!,1,0)</formula>
    </cfRule>
  </conditionalFormatting>
  <conditionalFormatting sqref="L12 P12:Q12">
    <cfRule type="expression" dxfId="228" priority="317">
      <formula>IF(#REF!&lt;&gt;#REF!,1,0)</formula>
    </cfRule>
  </conditionalFormatting>
  <conditionalFormatting sqref="P12:Q12">
    <cfRule type="expression" dxfId="227" priority="316">
      <formula>IF(#REF!&lt;&gt;#REF!,1,0)</formula>
    </cfRule>
  </conditionalFormatting>
  <conditionalFormatting sqref="L9 P9:Q9">
    <cfRule type="expression" dxfId="226" priority="319">
      <formula>IF(#REF!&lt;&gt;#REF!,1,0)</formula>
    </cfRule>
  </conditionalFormatting>
  <conditionalFormatting sqref="P9:Q9">
    <cfRule type="expression" dxfId="225" priority="318">
      <formula>IF(#REF!&lt;&gt;#REF!,1,0)</formula>
    </cfRule>
  </conditionalFormatting>
  <conditionalFormatting sqref="L13 P13:Q13">
    <cfRule type="expression" dxfId="224" priority="315">
      <formula>IF(#REF!&lt;&gt;#REF!,1,0)</formula>
    </cfRule>
  </conditionalFormatting>
  <conditionalFormatting sqref="P13:Q13">
    <cfRule type="expression" dxfId="223" priority="314">
      <formula>IF(#REF!&lt;&gt;#REF!,1,0)</formula>
    </cfRule>
  </conditionalFormatting>
  <conditionalFormatting sqref="L17 P17:Q17">
    <cfRule type="expression" dxfId="222" priority="313">
      <formula>IF(#REF!&lt;&gt;#REF!,1,0)</formula>
    </cfRule>
  </conditionalFormatting>
  <conditionalFormatting sqref="P17:Q17">
    <cfRule type="expression" dxfId="221" priority="312">
      <formula>IF(#REF!&lt;&gt;#REF!,1,0)</formula>
    </cfRule>
  </conditionalFormatting>
  <conditionalFormatting sqref="C17">
    <cfRule type="expression" dxfId="220" priority="332">
      <formula>IF(#REF!&lt;&gt;#REF!,1,0)</formula>
    </cfRule>
  </conditionalFormatting>
  <conditionalFormatting sqref="R7:R8">
    <cfRule type="expression" dxfId="219" priority="287">
      <formula>IF(#REF!&lt;&gt;#REF!,1,0)</formula>
    </cfRule>
  </conditionalFormatting>
  <conditionalFormatting sqref="R4">
    <cfRule type="expression" dxfId="218" priority="311">
      <formula>IF(#REF!&lt;&gt;#REF!,1,0)</formula>
    </cfRule>
  </conditionalFormatting>
  <conditionalFormatting sqref="R4">
    <cfRule type="expression" dxfId="217" priority="310">
      <formula>IF(#REF!&lt;&gt;#REF!,1,0)</formula>
    </cfRule>
  </conditionalFormatting>
  <conditionalFormatting sqref="R10">
    <cfRule type="expression" dxfId="216" priority="309">
      <formula>IF(#REF!&lt;&gt;#REF!,1,0)</formula>
    </cfRule>
  </conditionalFormatting>
  <conditionalFormatting sqref="R10">
    <cfRule type="expression" dxfId="215" priority="308">
      <formula>IF(#REF!&lt;&gt;#REF!,1,0)</formula>
    </cfRule>
  </conditionalFormatting>
  <conditionalFormatting sqref="R10">
    <cfRule type="expression" dxfId="214" priority="307">
      <formula>IF(#REF!&lt;&gt;#REF!,1,0)</formula>
    </cfRule>
  </conditionalFormatting>
  <conditionalFormatting sqref="R12">
    <cfRule type="expression" dxfId="213" priority="300">
      <formula>IF(#REF!&lt;&gt;#REF!,1,0)</formula>
    </cfRule>
  </conditionalFormatting>
  <conditionalFormatting sqref="R12">
    <cfRule type="expression" dxfId="212" priority="299">
      <formula>IF(#REF!&lt;&gt;#REF!,1,0)</formula>
    </cfRule>
  </conditionalFormatting>
  <conditionalFormatting sqref="R11">
    <cfRule type="expression" dxfId="211" priority="306">
      <formula>IF(#REF!&lt;&gt;#REF!,1,0)</formula>
    </cfRule>
  </conditionalFormatting>
  <conditionalFormatting sqref="R11">
    <cfRule type="expression" dxfId="210" priority="305">
      <formula>IF(#REF!&lt;&gt;#REF!,1,0)</formula>
    </cfRule>
  </conditionalFormatting>
  <conditionalFormatting sqref="R11">
    <cfRule type="expression" dxfId="209" priority="304">
      <formula>IF(#REF!&lt;&gt;#REF!,1,0)</formula>
    </cfRule>
  </conditionalFormatting>
  <conditionalFormatting sqref="R9">
    <cfRule type="expression" dxfId="208" priority="303">
      <formula>IF(#REF!&lt;&gt;#REF!,1,0)</formula>
    </cfRule>
  </conditionalFormatting>
  <conditionalFormatting sqref="R9">
    <cfRule type="expression" dxfId="207" priority="302">
      <formula>IF(#REF!&lt;&gt;#REF!,1,0)</formula>
    </cfRule>
  </conditionalFormatting>
  <conditionalFormatting sqref="R9">
    <cfRule type="expression" dxfId="206" priority="301">
      <formula>IF(#REF!&lt;&gt;#REF!,1,0)</formula>
    </cfRule>
  </conditionalFormatting>
  <conditionalFormatting sqref="R13">
    <cfRule type="expression" dxfId="205" priority="295">
      <formula>IF(#REF!&lt;&gt;#REF!,1,0)</formula>
    </cfRule>
  </conditionalFormatting>
  <conditionalFormatting sqref="R17">
    <cfRule type="expression" dxfId="204" priority="294">
      <formula>IF(#REF!&lt;&gt;#REF!,1,0)</formula>
    </cfRule>
  </conditionalFormatting>
  <conditionalFormatting sqref="R17">
    <cfRule type="expression" dxfId="203" priority="293">
      <formula>IF(#REF!&lt;&gt;#REF!,1,0)</formula>
    </cfRule>
  </conditionalFormatting>
  <conditionalFormatting sqref="R17">
    <cfRule type="expression" dxfId="202" priority="292">
      <formula>IF(#REF!&lt;&gt;#REF!,1,0)</formula>
    </cfRule>
  </conditionalFormatting>
  <conditionalFormatting sqref="L7:L8 P7:Q8">
    <cfRule type="expression" dxfId="201" priority="291">
      <formula>IF(#REF!&lt;&gt;#REF!,1,0)</formula>
    </cfRule>
  </conditionalFormatting>
  <conditionalFormatting sqref="P7:Q8">
    <cfRule type="expression" dxfId="200" priority="290">
      <formula>IF(#REF!&lt;&gt;#REF!,1,0)</formula>
    </cfRule>
  </conditionalFormatting>
  <conditionalFormatting sqref="R7:R8">
    <cfRule type="expression" dxfId="199" priority="289">
      <formula>IF(#REF!&lt;&gt;#REF!,1,0)</formula>
    </cfRule>
  </conditionalFormatting>
  <conditionalFormatting sqref="R7:R8">
    <cfRule type="expression" dxfId="198" priority="288">
      <formula>IF(#REF!&lt;&gt;#REF!,1,0)</formula>
    </cfRule>
  </conditionalFormatting>
  <conditionalFormatting sqref="E14:K16 Q14:Q16">
    <cfRule type="expression" dxfId="197" priority="284">
      <formula>IF(#REF!&lt;&gt;#REF!,1,0)</formula>
    </cfRule>
  </conditionalFormatting>
  <conditionalFormatting sqref="E14:L16 P14:Q16">
    <cfRule type="expression" dxfId="196" priority="283">
      <formula>IF(#REF!&lt;&gt;#REF!,1,0)</formula>
    </cfRule>
  </conditionalFormatting>
  <conditionalFormatting sqref="F14:K16 Q14:Q16">
    <cfRule type="expression" dxfId="195" priority="282">
      <formula>IF(#REF!&lt;&gt;#REF!,1,0)</formula>
    </cfRule>
  </conditionalFormatting>
  <conditionalFormatting sqref="L14:L16 S23:W23 P14:Q16">
    <cfRule type="expression" dxfId="194" priority="281">
      <formula>IF(#REF!&lt;&gt;#REF!,1,0)</formula>
    </cfRule>
  </conditionalFormatting>
  <conditionalFormatting sqref="P14:Q16">
    <cfRule type="expression" dxfId="193" priority="280">
      <formula>IF(#REF!&lt;&gt;#REF!,1,0)</formula>
    </cfRule>
  </conditionalFormatting>
  <conditionalFormatting sqref="R14:R16">
    <cfRule type="expression" dxfId="192" priority="279">
      <formula>IF(#REF!&lt;&gt;#REF!,1,0)</formula>
    </cfRule>
  </conditionalFormatting>
  <conditionalFormatting sqref="R14:R16">
    <cfRule type="expression" dxfId="191" priority="278">
      <formula>IF(#REF!&lt;&gt;#REF!,1,0)</formula>
    </cfRule>
  </conditionalFormatting>
  <conditionalFormatting sqref="R14:R16">
    <cfRule type="expression" dxfId="190" priority="277">
      <formula>IF(#REF!&lt;&gt;#REF!,1,0)</formula>
    </cfRule>
  </conditionalFormatting>
  <conditionalFormatting sqref="O4:Q4">
    <cfRule type="expression" dxfId="189" priority="276">
      <formula>IF(#REF!&lt;&gt;#REF!,1,0)</formula>
    </cfRule>
  </conditionalFormatting>
  <conditionalFormatting sqref="O4:Q4">
    <cfRule type="expression" dxfId="188" priority="275">
      <formula>IF(#REF!&lt;&gt;#REF!,1,0)</formula>
    </cfRule>
  </conditionalFormatting>
  <conditionalFormatting sqref="R18">
    <cfRule type="expression" dxfId="187" priority="252">
      <formula>IF(#REF!&lt;&gt;#REF!,1,0)</formula>
    </cfRule>
  </conditionalFormatting>
  <conditionalFormatting sqref="W23 L23:Q23 D23:J23">
    <cfRule type="expression" dxfId="186" priority="249">
      <formula>IF(#REF!&lt;&gt;#REF!,1,0)</formula>
    </cfRule>
  </conditionalFormatting>
  <conditionalFormatting sqref="W23:W24">
    <cfRule type="expression" dxfId="185" priority="248">
      <formula>IF(#REF!&lt;&gt;#REF!,1,0)</formula>
    </cfRule>
  </conditionalFormatting>
  <conditionalFormatting sqref="R6:R22">
    <cfRule type="expression" dxfId="184" priority="260">
      <formula>IF(#REF!&lt;&gt;#REF!,1,0)</formula>
    </cfRule>
  </conditionalFormatting>
  <conditionalFormatting sqref="R6:R22">
    <cfRule type="expression" dxfId="183" priority="259">
      <formula>IF(#REF!&lt;&gt;#REF!,1,0)</formula>
    </cfRule>
  </conditionalFormatting>
  <conditionalFormatting sqref="R6:R22">
    <cfRule type="expression" dxfId="182" priority="258">
      <formula>IF(#REF!&lt;&gt;#REF!,1,0)</formula>
    </cfRule>
  </conditionalFormatting>
  <conditionalFormatting sqref="R23:R24">
    <cfRule type="expression" dxfId="181" priority="239">
      <formula>IF(#REF!&lt;&gt;#REF!,1,0)</formula>
    </cfRule>
  </conditionalFormatting>
  <conditionalFormatting sqref="H18">
    <cfRule type="expression" dxfId="180" priority="217">
      <formula>IF(#REF!&lt;&gt;#REF!,1,0)</formula>
    </cfRule>
  </conditionalFormatting>
  <conditionalFormatting sqref="H18">
    <cfRule type="expression" dxfId="179" priority="216">
      <formula>IF(#REF!&lt;&gt;#REF!,1,0)</formula>
    </cfRule>
  </conditionalFormatting>
  <conditionalFormatting sqref="K23:K24">
    <cfRule type="expression" dxfId="178" priority="230">
      <formula>IF(#REF!&lt;&gt;#REF!,1,0)</formula>
    </cfRule>
  </conditionalFormatting>
  <conditionalFormatting sqref="K23:K24">
    <cfRule type="expression" dxfId="177" priority="232">
      <formula>IF(#REF!&lt;&gt;#REF!,1,0)</formula>
    </cfRule>
  </conditionalFormatting>
  <conditionalFormatting sqref="K23:K24">
    <cfRule type="expression" dxfId="176" priority="231">
      <formula>IF(#REF!&lt;&gt;#REF!,1,0)</formula>
    </cfRule>
  </conditionalFormatting>
  <conditionalFormatting sqref="E18:G18 I18:L18 Q22 L19:L22 P18:Q18">
    <cfRule type="expression" dxfId="175" priority="257">
      <formula>IF(#REF!&lt;&gt;#REF!,1,0)</formula>
    </cfRule>
  </conditionalFormatting>
  <conditionalFormatting sqref="R18">
    <cfRule type="expression" dxfId="174" priority="254">
      <formula>IF(#REF!&lt;&gt;#REF!,1,0)</formula>
    </cfRule>
  </conditionalFormatting>
  <conditionalFormatting sqref="R18">
    <cfRule type="expression" dxfId="173" priority="253">
      <formula>IF(#REF!&lt;&gt;#REF!,1,0)</formula>
    </cfRule>
  </conditionalFormatting>
  <conditionalFormatting sqref="W23">
    <cfRule type="expression" dxfId="172" priority="247">
      <formula>IF(#REF!&lt;&gt;#REF!,1,0)</formula>
    </cfRule>
  </conditionalFormatting>
  <conditionalFormatting sqref="L23:Q23">
    <cfRule type="expression" dxfId="171" priority="243">
      <formula>IF(#REF!&lt;&gt;#REF!,1,0)</formula>
    </cfRule>
  </conditionalFormatting>
  <conditionalFormatting sqref="M23:Q23">
    <cfRule type="expression" dxfId="170" priority="242">
      <formula>IF(#REF!&lt;&gt;#REF!,1,0)</formula>
    </cfRule>
  </conditionalFormatting>
  <conditionalFormatting sqref="C23:D23">
    <cfRule type="expression" dxfId="169" priority="244">
      <formula>IF(#REF!&lt;&gt;#REF!,1,0)</formula>
    </cfRule>
  </conditionalFormatting>
  <conditionalFormatting sqref="R23">
    <cfRule type="expression" dxfId="168" priority="241">
      <formula>IF(#REF!&lt;&gt;#REF!,1,0)</formula>
    </cfRule>
  </conditionalFormatting>
  <conditionalFormatting sqref="R23">
    <cfRule type="expression" dxfId="167" priority="240">
      <formula>IF(#REF!&lt;&gt;#REF!,1,0)</formula>
    </cfRule>
  </conditionalFormatting>
  <conditionalFormatting sqref="E6:E24">
    <cfRule type="expression" dxfId="166" priority="220">
      <formula>IF(#REF!&lt;&gt;#REF!,1,0)</formula>
    </cfRule>
  </conditionalFormatting>
  <conditionalFormatting sqref="H17">
    <cfRule type="expression" dxfId="165" priority="219">
      <formula>IF(#REF!&lt;&gt;#REF!,1,0)</formula>
    </cfRule>
  </conditionalFormatting>
  <conditionalFormatting sqref="H18">
    <cfRule type="expression" dxfId="164" priority="218">
      <formula>IF(#REF!&lt;&gt;#REF!,1,0)</formula>
    </cfRule>
  </conditionalFormatting>
  <conditionalFormatting sqref="S16">
    <cfRule type="expression" dxfId="163" priority="225">
      <formula>IF(#REF!&lt;&gt;#REF!,1,0)</formula>
    </cfRule>
  </conditionalFormatting>
  <conditionalFormatting sqref="S16">
    <cfRule type="expression" dxfId="162" priority="224">
      <formula>IF(#REF!&lt;&gt;#REF!,1,0)</formula>
    </cfRule>
  </conditionalFormatting>
  <conditionalFormatting sqref="T16">
    <cfRule type="expression" dxfId="161" priority="223">
      <formula>IF(#REF!&lt;&gt;#REF!,1,0)</formula>
    </cfRule>
  </conditionalFormatting>
  <conditionalFormatting sqref="T16">
    <cfRule type="expression" dxfId="160" priority="222">
      <formula>IF(#REF!&lt;&gt;#REF!,1,0)</formula>
    </cfRule>
  </conditionalFormatting>
  <conditionalFormatting sqref="E6:E24">
    <cfRule type="expression" dxfId="159" priority="221">
      <formula>IF(#REF!&lt;&gt;#REF!,1,0)</formula>
    </cfRule>
  </conditionalFormatting>
  <conditionalFormatting sqref="B16">
    <cfRule type="expression" dxfId="158" priority="350">
      <formula>IF(#REF!&lt;&gt;#REF!,1,0)</formula>
    </cfRule>
  </conditionalFormatting>
  <conditionalFormatting sqref="C16">
    <cfRule type="expression" dxfId="157" priority="351">
      <formula>IF(#REF!&lt;&gt;#REF!,1,0)</formula>
    </cfRule>
  </conditionalFormatting>
  <conditionalFormatting sqref="C17">
    <cfRule type="expression" dxfId="156" priority="352">
      <formula>IF(#REF!&lt;&gt;#REF!,1,0)</formula>
    </cfRule>
  </conditionalFormatting>
  <conditionalFormatting sqref="T24">
    <cfRule type="expression" dxfId="155" priority="214">
      <formula>IF(#REF!&lt;&gt;#REF!,1,0)</formula>
    </cfRule>
  </conditionalFormatting>
  <conditionalFormatting sqref="T24">
    <cfRule type="expression" dxfId="154" priority="213">
      <formula>IF(#REF!&lt;&gt;#REF!,1,0)</formula>
    </cfRule>
  </conditionalFormatting>
  <conditionalFormatting sqref="T24">
    <cfRule type="expression" dxfId="153" priority="212">
      <formula>IF(#REF!&lt;&gt;#REF!,1,0)</formula>
    </cfRule>
  </conditionalFormatting>
  <conditionalFormatting sqref="W24">
    <cfRule type="expression" dxfId="152" priority="211">
      <formula>IF(#REF!&lt;&gt;#REF!,1,0)</formula>
    </cfRule>
  </conditionalFormatting>
  <conditionalFormatting sqref="W24">
    <cfRule type="expression" dxfId="151" priority="210">
      <formula>IF(#REF!&lt;&gt;#REF!,1,0)</formula>
    </cfRule>
  </conditionalFormatting>
  <conditionalFormatting sqref="W24">
    <cfRule type="expression" dxfId="150" priority="209">
      <formula>IF(#REF!&lt;&gt;#REF!,1,0)</formula>
    </cfRule>
  </conditionalFormatting>
  <conditionalFormatting sqref="L24">
    <cfRule type="expression" dxfId="149" priority="205">
      <formula>IF(#REF!&lt;&gt;#REF!,1,0)</formula>
    </cfRule>
  </conditionalFormatting>
  <conditionalFormatting sqref="L24">
    <cfRule type="expression" dxfId="148" priority="204">
      <formula>IF(#REF!&lt;&gt;#REF!,1,0)</formula>
    </cfRule>
  </conditionalFormatting>
  <conditionalFormatting sqref="L24">
    <cfRule type="expression" dxfId="147" priority="203">
      <formula>IF(#REF!&lt;&gt;#REF!,1,0)</formula>
    </cfRule>
  </conditionalFormatting>
  <conditionalFormatting sqref="R24">
    <cfRule type="expression" dxfId="146" priority="202">
      <formula>IF(#REF!&lt;&gt;#REF!,1,0)</formula>
    </cfRule>
  </conditionalFormatting>
  <conditionalFormatting sqref="R24">
    <cfRule type="expression" dxfId="145" priority="201">
      <formula>IF(#REF!&lt;&gt;#REF!,1,0)</formula>
    </cfRule>
  </conditionalFormatting>
  <conditionalFormatting sqref="R24">
    <cfRule type="expression" dxfId="144" priority="200">
      <formula>IF(#REF!&lt;&gt;#REF!,1,0)</formula>
    </cfRule>
  </conditionalFormatting>
  <conditionalFormatting sqref="I24">
    <cfRule type="expression" dxfId="143" priority="196">
      <formula>IF(#REF!&lt;&gt;#REF!,1,0)</formula>
    </cfRule>
  </conditionalFormatting>
  <conditionalFormatting sqref="J24">
    <cfRule type="expression" dxfId="142" priority="195">
      <formula>IF(#REF!&lt;&gt;#REF!,1,0)</formula>
    </cfRule>
  </conditionalFormatting>
  <conditionalFormatting sqref="Q24">
    <cfRule type="expression" dxfId="141" priority="194">
      <formula>IF(#REF!&lt;&gt;#REF!,1,0)</formula>
    </cfRule>
  </conditionalFormatting>
  <conditionalFormatting sqref="E22 L22">
    <cfRule type="expression" dxfId="140" priority="766">
      <formula>IF(#REF!&lt;&gt;#REF!,1,0)</formula>
    </cfRule>
  </conditionalFormatting>
  <conditionalFormatting sqref="Q20:Q22">
    <cfRule type="expression" dxfId="139" priority="142">
      <formula>IF(#REF!&lt;&gt;#REF!,1,0)</formula>
    </cfRule>
  </conditionalFormatting>
  <conditionalFormatting sqref="N18:N22 M6:M22">
    <cfRule type="expression" dxfId="138" priority="137">
      <formula>IF(#REF!&lt;&gt;#REF!,1,0)</formula>
    </cfRule>
  </conditionalFormatting>
  <conditionalFormatting sqref="M14:N17">
    <cfRule type="expression" dxfId="137" priority="136">
      <formula>IF(#REF!&lt;&gt;#REF!,1,0)</formula>
    </cfRule>
  </conditionalFormatting>
  <conditionalFormatting sqref="M6:N17 M18:M22">
    <cfRule type="expression" dxfId="136" priority="135">
      <formula>IF(#REF!&lt;&gt;#REF!,1,0)</formula>
    </cfRule>
  </conditionalFormatting>
  <conditionalFormatting sqref="T5">
    <cfRule type="expression" dxfId="135" priority="149">
      <formula>IF(#REF!&lt;&gt;#REF!,1,0)</formula>
    </cfRule>
  </conditionalFormatting>
  <conditionalFormatting sqref="T5">
    <cfRule type="expression" dxfId="134" priority="150">
      <formula>IF(#REF!&lt;&gt;#REF!,1,0)</formula>
    </cfRule>
  </conditionalFormatting>
  <conditionalFormatting sqref="T5">
    <cfRule type="expression" dxfId="133" priority="148">
      <formula>IF(#REF!&lt;&gt;#REF!,1,0)</formula>
    </cfRule>
  </conditionalFormatting>
  <conditionalFormatting sqref="T5">
    <cfRule type="expression" dxfId="132" priority="147">
      <formula>IF(#REF!&lt;&gt;#REF!,1,0)</formula>
    </cfRule>
  </conditionalFormatting>
  <conditionalFormatting sqref="T5">
    <cfRule type="expression" dxfId="131" priority="146">
      <formula>IF(#REF!&lt;&gt;#REF!,1,0)</formula>
    </cfRule>
  </conditionalFormatting>
  <conditionalFormatting sqref="C6 C14 B13:C13">
    <cfRule type="expression" dxfId="130" priority="787">
      <formula>IF(#REF!&lt;&gt;#REF!,1,0)</formula>
    </cfRule>
  </conditionalFormatting>
  <conditionalFormatting sqref="C6:C13 B13">
    <cfRule type="expression" dxfId="129" priority="788">
      <formula>IF(#REF!&lt;&gt;#REF!,1,0)</formula>
    </cfRule>
  </conditionalFormatting>
  <conditionalFormatting sqref="E6:E24 L6:L22">
    <cfRule type="expression" dxfId="128" priority="790">
      <formula>IF(#REF!&lt;&gt;#REF!,1,0)</formula>
    </cfRule>
  </conditionalFormatting>
  <conditionalFormatting sqref="C7:C12">
    <cfRule type="expression" dxfId="127" priority="791">
      <formula>IF(#REF!&lt;&gt;#REF!,1,0)</formula>
    </cfRule>
  </conditionalFormatting>
  <conditionalFormatting sqref="L12 E12">
    <cfRule type="expression" dxfId="126" priority="792">
      <formula>IF(#REF!&lt;&gt;#REF!,1,0)</formula>
    </cfRule>
  </conditionalFormatting>
  <conditionalFormatting sqref="B14">
    <cfRule type="expression" dxfId="125" priority="793">
      <formula>IF(#REF!&lt;&gt;#REF!,1,0)</formula>
    </cfRule>
  </conditionalFormatting>
  <conditionalFormatting sqref="B14:B15">
    <cfRule type="expression" dxfId="124" priority="800">
      <formula>IF(#REF!&lt;&gt;#REF!,1,0)</formula>
    </cfRule>
  </conditionalFormatting>
  <conditionalFormatting sqref="C14:C15">
    <cfRule type="expression" dxfId="123" priority="801">
      <formula>IF(#REF!&lt;&gt;#REF!,1,0)</formula>
    </cfRule>
  </conditionalFormatting>
  <conditionalFormatting sqref="B15:C16">
    <cfRule type="expression" dxfId="122" priority="802">
      <formula>IF(#REF!&lt;&gt;#REF!,1,0)</formula>
    </cfRule>
  </conditionalFormatting>
  <conditionalFormatting sqref="Q20:Q22">
    <cfRule type="expression" dxfId="121" priority="145">
      <formula>IF(#REF!&lt;&gt;#REF!,1,0)</formula>
    </cfRule>
  </conditionalFormatting>
  <conditionalFormatting sqref="Q22">
    <cfRule type="expression" dxfId="120" priority="144">
      <formula>IF(#REF!&lt;&gt;#REF!,1,0)</formula>
    </cfRule>
  </conditionalFormatting>
  <conditionalFormatting sqref="Q22">
    <cfRule type="expression" dxfId="119" priority="143">
      <formula>IF(#REF!&lt;&gt;#REF!,1,0)</formula>
    </cfRule>
  </conditionalFormatting>
  <conditionalFormatting sqref="Q20:Q22">
    <cfRule type="expression" dxfId="118" priority="141">
      <formula>IF(#REF!&lt;&gt;#REF!,1,0)</formula>
    </cfRule>
  </conditionalFormatting>
  <conditionalFormatting sqref="O6:O13">
    <cfRule type="expression" dxfId="117" priority="122">
      <formula>IF(#REF!&lt;&gt;#REF!,1,0)</formula>
    </cfRule>
  </conditionalFormatting>
  <conditionalFormatting sqref="O16">
    <cfRule type="expression" dxfId="116" priority="121">
      <formula>IF(#REF!&lt;&gt;#REF!,1,0)</formula>
    </cfRule>
  </conditionalFormatting>
  <conditionalFormatting sqref="O16">
    <cfRule type="expression" dxfId="115" priority="120">
      <formula>IF(#REF!&lt;&gt;#REF!,1,0)</formula>
    </cfRule>
  </conditionalFormatting>
  <conditionalFormatting sqref="W6:W22">
    <cfRule type="colorScale" priority="80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4:W4 E4:J4 L4:S4">
    <cfRule type="expression" dxfId="114" priority="810">
      <formula>IF(#REF!&lt;&gt;#REF!,1,0)</formula>
    </cfRule>
  </conditionalFormatting>
  <conditionalFormatting sqref="M14:N17">
    <cfRule type="expression" dxfId="113" priority="134">
      <formula>IF(#REF!&lt;&gt;#REF!,1,0)</formula>
    </cfRule>
  </conditionalFormatting>
  <conditionalFormatting sqref="M6:N13 M14:M22">
    <cfRule type="expression" dxfId="112" priority="133">
      <formula>IF(#REF!&lt;&gt;#REF!,1,0)</formula>
    </cfRule>
  </conditionalFormatting>
  <conditionalFormatting sqref="M6:N13 M14:M22">
    <cfRule type="expression" dxfId="111" priority="132">
      <formula>IF(#REF!&lt;&gt;#REF!,1,0)</formula>
    </cfRule>
  </conditionalFormatting>
  <conditionalFormatting sqref="M16">
    <cfRule type="expression" dxfId="110" priority="131">
      <formula>IF(#REF!&lt;&gt;#REF!,1,0)</formula>
    </cfRule>
  </conditionalFormatting>
  <conditionalFormatting sqref="M16">
    <cfRule type="expression" dxfId="109" priority="130">
      <formula>IF(#REF!&lt;&gt;#REF!,1,0)</formula>
    </cfRule>
  </conditionalFormatting>
  <conditionalFormatting sqref="N16">
    <cfRule type="expression" dxfId="108" priority="129">
      <formula>IF(#REF!&lt;&gt;#REF!,1,0)</formula>
    </cfRule>
  </conditionalFormatting>
  <conditionalFormatting sqref="N16">
    <cfRule type="expression" dxfId="107" priority="128">
      <formula>IF(#REF!&lt;&gt;#REF!,1,0)</formula>
    </cfRule>
  </conditionalFormatting>
  <conditionalFormatting sqref="O18:O22">
    <cfRule type="expression" dxfId="106" priority="127">
      <formula>IF(#REF!&lt;&gt;#REF!,1,0)</formula>
    </cfRule>
  </conditionalFormatting>
  <conditionalFormatting sqref="O14:O17">
    <cfRule type="expression" dxfId="105" priority="126">
      <formula>IF(#REF!&lt;&gt;#REF!,1,0)</formula>
    </cfRule>
  </conditionalFormatting>
  <conditionalFormatting sqref="O6:O17">
    <cfRule type="expression" dxfId="104" priority="125">
      <formula>IF(#REF!&lt;&gt;#REF!,1,0)</formula>
    </cfRule>
  </conditionalFormatting>
  <conditionalFormatting sqref="O14:O17">
    <cfRule type="expression" dxfId="103" priority="124">
      <formula>IF(#REF!&lt;&gt;#REF!,1,0)</formula>
    </cfRule>
  </conditionalFormatting>
  <conditionalFormatting sqref="O6:O13">
    <cfRule type="expression" dxfId="102" priority="123">
      <formula>IF(#REF!&lt;&gt;#REF!,1,0)</formula>
    </cfRule>
  </conditionalFormatting>
  <conditionalFormatting sqref="E28:J28 Q28:Q29 U28:W29">
    <cfRule type="expression" dxfId="101" priority="117">
      <formula>IF(#REF!&lt;&gt;#REF!,1,0)</formula>
    </cfRule>
  </conditionalFormatting>
  <conditionalFormatting sqref="U28:W29">
    <cfRule type="expression" dxfId="100" priority="116">
      <formula>IF(#REF!&lt;&gt;#REF!,1,0)</formula>
    </cfRule>
  </conditionalFormatting>
  <conditionalFormatting sqref="E28 L28 P28:W29">
    <cfRule type="expression" dxfId="99" priority="118">
      <formula>IF(#REF!&lt;&gt;#REF!,1,0)</formula>
    </cfRule>
  </conditionalFormatting>
  <conditionalFormatting sqref="S28:S29 U28:W29">
    <cfRule type="expression" dxfId="98" priority="115">
      <formula>IF(#REF!&lt;&gt;#REF!,1,0)</formula>
    </cfRule>
  </conditionalFormatting>
  <conditionalFormatting sqref="U28:W29">
    <cfRule type="expression" dxfId="97" priority="114">
      <formula>IF(#REF!&lt;&gt;#REF!,1,0)</formula>
    </cfRule>
  </conditionalFormatting>
  <conditionalFormatting sqref="S28:S29 U28:U29">
    <cfRule type="expression" dxfId="96" priority="113">
      <formula>IF(#REF!&lt;&gt;#REF!,1,0)</formula>
    </cfRule>
  </conditionalFormatting>
  <conditionalFormatting sqref="L28 P28:P29">
    <cfRule type="expression" dxfId="95" priority="112">
      <formula>IF(#REF!&lt;&gt;#REF!,1,0)</formula>
    </cfRule>
  </conditionalFormatting>
  <conditionalFormatting sqref="S28:S29 U28:U29">
    <cfRule type="expression" dxfId="94" priority="111">
      <formula>IF(#REF!&lt;&gt;#REF!,1,0)</formula>
    </cfRule>
  </conditionalFormatting>
  <conditionalFormatting sqref="L28 P28:P29">
    <cfRule type="expression" dxfId="93" priority="110">
      <formula>IF(#REF!&lt;&gt;#REF!,1,0)</formula>
    </cfRule>
  </conditionalFormatting>
  <conditionalFormatting sqref="P28:P29">
    <cfRule type="expression" dxfId="92" priority="109">
      <formula>IF(#REF!&lt;&gt;#REF!,1,0)</formula>
    </cfRule>
  </conditionalFormatting>
  <conditionalFormatting sqref="R28:R29">
    <cfRule type="expression" dxfId="91" priority="102">
      <formula>IF(#REF!&lt;&gt;#REF!,1,0)</formula>
    </cfRule>
  </conditionalFormatting>
  <conditionalFormatting sqref="R28:R29">
    <cfRule type="expression" dxfId="90" priority="108">
      <formula>IF(#REF!&lt;&gt;#REF!,1,0)</formula>
    </cfRule>
  </conditionalFormatting>
  <conditionalFormatting sqref="R28:R29">
    <cfRule type="expression" dxfId="89" priority="107">
      <formula>IF(#REF!&lt;&gt;#REF!,1,0)</formula>
    </cfRule>
  </conditionalFormatting>
  <conditionalFormatting sqref="R28:R29">
    <cfRule type="expression" dxfId="88" priority="106">
      <formula>IF(#REF!&lt;&gt;#REF!,1,0)</formula>
    </cfRule>
  </conditionalFormatting>
  <conditionalFormatting sqref="H28">
    <cfRule type="expression" dxfId="87" priority="100">
      <formula>IF(#REF!&lt;&gt;#REF!,1,0)</formula>
    </cfRule>
  </conditionalFormatting>
  <conditionalFormatting sqref="H28">
    <cfRule type="expression" dxfId="86" priority="99">
      <formula>IF(#REF!&lt;&gt;#REF!,1,0)</formula>
    </cfRule>
  </conditionalFormatting>
  <conditionalFormatting sqref="E28:G28 I28:L28 P28:Q29">
    <cfRule type="expression" dxfId="85" priority="105">
      <formula>IF(#REF!&lt;&gt;#REF!,1,0)</formula>
    </cfRule>
  </conditionalFormatting>
  <conditionalFormatting sqref="R28:R29">
    <cfRule type="expression" dxfId="84" priority="104">
      <formula>IF(#REF!&lt;&gt;#REF!,1,0)</formula>
    </cfRule>
  </conditionalFormatting>
  <conditionalFormatting sqref="R28:R29">
    <cfRule type="expression" dxfId="83" priority="103">
      <formula>IF(#REF!&lt;&gt;#REF!,1,0)</formula>
    </cfRule>
  </conditionalFormatting>
  <conditionalFormatting sqref="H28">
    <cfRule type="expression" dxfId="82" priority="101">
      <formula>IF(#REF!&lt;&gt;#REF!,1,0)</formula>
    </cfRule>
  </conditionalFormatting>
  <conditionalFormatting sqref="M28:N28">
    <cfRule type="expression" dxfId="81" priority="98">
      <formula>IF(#REF!&lt;&gt;#REF!,1,0)</formula>
    </cfRule>
  </conditionalFormatting>
  <conditionalFormatting sqref="M28">
    <cfRule type="expression" dxfId="80" priority="97">
      <formula>IF(#REF!&lt;&gt;#REF!,1,0)</formula>
    </cfRule>
  </conditionalFormatting>
  <conditionalFormatting sqref="W28:W29">
    <cfRule type="colorScale" priority="1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8">
    <cfRule type="expression" dxfId="79" priority="96">
      <formula>IF(#REF!&lt;&gt;#REF!,1,0)</formula>
    </cfRule>
  </conditionalFormatting>
  <conditionalFormatting sqref="M28">
    <cfRule type="expression" dxfId="78" priority="95">
      <formula>IF(#REF!&lt;&gt;#REF!,1,0)</formula>
    </cfRule>
  </conditionalFormatting>
  <conditionalFormatting sqref="O28">
    <cfRule type="expression" dxfId="77" priority="94">
      <formula>IF(#REF!&lt;&gt;#REF!,1,0)</formula>
    </cfRule>
  </conditionalFormatting>
  <conditionalFormatting sqref="I29:J29">
    <cfRule type="expression" dxfId="76" priority="62">
      <formula>IF(#REF!&lt;&gt;#REF!,1,0)</formula>
    </cfRule>
  </conditionalFormatting>
  <conditionalFormatting sqref="E29:H29">
    <cfRule type="expression" dxfId="75" priority="88">
      <formula>IF(#REF!&lt;&gt;#REF!,1,0)</formula>
    </cfRule>
  </conditionalFormatting>
  <conditionalFormatting sqref="E29 L29">
    <cfRule type="expression" dxfId="74" priority="89">
      <formula>IF(#REF!&lt;&gt;#REF!,1,0)</formula>
    </cfRule>
  </conditionalFormatting>
  <conditionalFormatting sqref="I29:J29">
    <cfRule type="expression" dxfId="73" priority="63">
      <formula>IF(#REF!&lt;&gt;#REF!,1,0)</formula>
    </cfRule>
  </conditionalFormatting>
  <conditionalFormatting sqref="L29">
    <cfRule type="expression" dxfId="72" priority="83">
      <formula>IF(#REF!&lt;&gt;#REF!,1,0)</formula>
    </cfRule>
  </conditionalFormatting>
  <conditionalFormatting sqref="D6:D11 D13:D17">
    <cfRule type="expression" dxfId="71" priority="60">
      <formula>IF(#REF!&lt;&gt;#REF!,1,0)</formula>
    </cfRule>
  </conditionalFormatting>
  <conditionalFormatting sqref="L29">
    <cfRule type="expression" dxfId="70" priority="81">
      <formula>IF(#REF!&lt;&gt;#REF!,1,0)</formula>
    </cfRule>
  </conditionalFormatting>
  <conditionalFormatting sqref="D6">
    <cfRule type="expression" dxfId="69" priority="51">
      <formula>IF(#REF!&lt;&gt;#REF!,1,0)</formula>
    </cfRule>
  </conditionalFormatting>
  <conditionalFormatting sqref="D6">
    <cfRule type="expression" dxfId="68" priority="56">
      <formula>IF(#REF!&lt;&gt;#REF!,1,0)</formula>
    </cfRule>
  </conditionalFormatting>
  <conditionalFormatting sqref="D6">
    <cfRule type="expression" dxfId="67" priority="55">
      <formula>IF(#REF!&lt;&gt;#REF!,1,0)</formula>
    </cfRule>
  </conditionalFormatting>
  <conditionalFormatting sqref="H29">
    <cfRule type="expression" dxfId="66" priority="71">
      <formula>IF(#REF!&lt;&gt;#REF!,1,0)</formula>
    </cfRule>
  </conditionalFormatting>
  <conditionalFormatting sqref="H29">
    <cfRule type="expression" dxfId="65" priority="70">
      <formula>IF(#REF!&lt;&gt;#REF!,1,0)</formula>
    </cfRule>
  </conditionalFormatting>
  <conditionalFormatting sqref="E29:G29 K29:L29">
    <cfRule type="expression" dxfId="64" priority="76">
      <formula>IF(#REF!&lt;&gt;#REF!,1,0)</formula>
    </cfRule>
  </conditionalFormatting>
  <conditionalFormatting sqref="D14:D16">
    <cfRule type="expression" dxfId="63" priority="53">
      <formula>IF(#REF!&lt;&gt;#REF!,1,0)</formula>
    </cfRule>
  </conditionalFormatting>
  <conditionalFormatting sqref="D18">
    <cfRule type="expression" dxfId="62" priority="52">
      <formula>IF(#REF!&lt;&gt;#REF!,1,0)</formula>
    </cfRule>
  </conditionalFormatting>
  <conditionalFormatting sqref="H29">
    <cfRule type="expression" dxfId="61" priority="72">
      <formula>IF(#REF!&lt;&gt;#REF!,1,0)</formula>
    </cfRule>
  </conditionalFormatting>
  <conditionalFormatting sqref="M29:N29">
    <cfRule type="expression" dxfId="60" priority="69">
      <formula>IF(#REF!&lt;&gt;#REF!,1,0)</formula>
    </cfRule>
  </conditionalFormatting>
  <conditionalFormatting sqref="M29">
    <cfRule type="expression" dxfId="59" priority="68">
      <formula>IF(#REF!&lt;&gt;#REF!,1,0)</formula>
    </cfRule>
  </conditionalFormatting>
  <conditionalFormatting sqref="M29">
    <cfRule type="expression" dxfId="58" priority="67">
      <formula>IF(#REF!&lt;&gt;#REF!,1,0)</formula>
    </cfRule>
  </conditionalFormatting>
  <conditionalFormatting sqref="M29">
    <cfRule type="expression" dxfId="57" priority="66">
      <formula>IF(#REF!&lt;&gt;#REF!,1,0)</formula>
    </cfRule>
  </conditionalFormatting>
  <conditionalFormatting sqref="O29">
    <cfRule type="expression" dxfId="56" priority="65">
      <formula>IF(#REF!&lt;&gt;#REF!,1,0)</formula>
    </cfRule>
  </conditionalFormatting>
  <conditionalFormatting sqref="C28:D29">
    <cfRule type="expression" dxfId="55" priority="64">
      <formula>IF(#REF!&lt;&gt;#REF!,1,0)</formula>
    </cfRule>
  </conditionalFormatting>
  <conditionalFormatting sqref="D4">
    <cfRule type="expression" dxfId="54" priority="40">
      <formula>IF(#REF!&lt;&gt;#REF!,1,0)</formula>
    </cfRule>
  </conditionalFormatting>
  <conditionalFormatting sqref="D6:D18">
    <cfRule type="expression" dxfId="53" priority="58">
      <formula>IF(#REF!&lt;&gt;#REF!,1,0)</formula>
    </cfRule>
  </conditionalFormatting>
  <conditionalFormatting sqref="D6:D18">
    <cfRule type="expression" dxfId="52" priority="59">
      <formula>IF(#REF!&lt;&gt;#REF!,1,0)</formula>
    </cfRule>
  </conditionalFormatting>
  <conditionalFormatting sqref="D17 D7:D13">
    <cfRule type="expression" dxfId="51" priority="57">
      <formula>IF(#REF!&lt;&gt;#REF!,1,0)</formula>
    </cfRule>
  </conditionalFormatting>
  <conditionalFormatting sqref="D14:D16">
    <cfRule type="expression" dxfId="50" priority="54">
      <formula>IF(#REF!&lt;&gt;#REF!,1,0)</formula>
    </cfRule>
  </conditionalFormatting>
  <conditionalFormatting sqref="D6">
    <cfRule type="expression" dxfId="49" priority="50">
      <formula>IF(#REF!&lt;&gt;#REF!,1,0)</formula>
    </cfRule>
  </conditionalFormatting>
  <conditionalFormatting sqref="D12">
    <cfRule type="expression" dxfId="48" priority="61">
      <formula>IF(#REF!&lt;&gt;#REF!,1,0)</formula>
    </cfRule>
  </conditionalFormatting>
  <conditionalFormatting sqref="D19">
    <cfRule type="expression" dxfId="47" priority="47">
      <formula>IF(#REF!&lt;&gt;#REF!,1,0)</formula>
    </cfRule>
  </conditionalFormatting>
  <conditionalFormatting sqref="D19">
    <cfRule type="expression" dxfId="46" priority="48">
      <formula>IF(#REF!&lt;&gt;#REF!,1,0)</formula>
    </cfRule>
  </conditionalFormatting>
  <conditionalFormatting sqref="D19">
    <cfRule type="expression" dxfId="45" priority="46">
      <formula>IF(#REF!&lt;&gt;#REF!,1,0)</formula>
    </cfRule>
  </conditionalFormatting>
  <conditionalFormatting sqref="D19">
    <cfRule type="expression" dxfId="44" priority="45">
      <formula>IF(#REF!&lt;&gt;#REF!,1,0)</formula>
    </cfRule>
  </conditionalFormatting>
  <conditionalFormatting sqref="D19">
    <cfRule type="expression" dxfId="43" priority="49">
      <formula>IF(#REF!&lt;&gt;#REF!,1,0)</formula>
    </cfRule>
  </conditionalFormatting>
  <conditionalFormatting sqref="D4">
    <cfRule type="expression" dxfId="42" priority="42">
      <formula>IF(#REF!&lt;&gt;#REF!,1,0)</formula>
    </cfRule>
  </conditionalFormatting>
  <conditionalFormatting sqref="D4">
    <cfRule type="expression" dxfId="41" priority="43">
      <formula>IF(#REF!&lt;&gt;#REF!,1,0)</formula>
    </cfRule>
  </conditionalFormatting>
  <conditionalFormatting sqref="D4">
    <cfRule type="expression" dxfId="40" priority="41">
      <formula>IF(#REF!&lt;&gt;#REF!,1,0)</formula>
    </cfRule>
  </conditionalFormatting>
  <conditionalFormatting sqref="D4">
    <cfRule type="expression" dxfId="39" priority="44">
      <formula>IF(#REF!&lt;&gt;#REF!,1,0)</formula>
    </cfRule>
  </conditionalFormatting>
  <conditionalFormatting sqref="U31:W31 Q31 E31:J31">
    <cfRule type="expression" dxfId="38" priority="38">
      <formula>IF(#REF!&lt;&gt;#REF!,1,0)</formula>
    </cfRule>
  </conditionalFormatting>
  <conditionalFormatting sqref="U31:W31">
    <cfRule type="expression" dxfId="37" priority="37">
      <formula>IF(#REF!&lt;&gt;#REF!,1,0)</formula>
    </cfRule>
  </conditionalFormatting>
  <conditionalFormatting sqref="L31:S31 C31:E31">
    <cfRule type="expression" dxfId="36" priority="39">
      <formula>IF(#REF!&lt;&gt;#REF!,1,0)</formula>
    </cfRule>
  </conditionalFormatting>
  <conditionalFormatting sqref="W31">
    <cfRule type="expression" dxfId="35" priority="36">
      <formula>IF(#REF!&lt;&gt;#REF!,1,0)</formula>
    </cfRule>
  </conditionalFormatting>
  <conditionalFormatting sqref="R31">
    <cfRule type="expression" dxfId="34" priority="35">
      <formula>IF(#REF!&lt;&gt;#REF!,1,0)</formula>
    </cfRule>
  </conditionalFormatting>
  <conditionalFormatting sqref="K31">
    <cfRule type="expression" dxfId="33" priority="32">
      <formula>IF(#REF!&lt;&gt;#REF!,1,0)</formula>
    </cfRule>
  </conditionalFormatting>
  <conditionalFormatting sqref="K31">
    <cfRule type="expression" dxfId="32" priority="34">
      <formula>IF(#REF!&lt;&gt;#REF!,1,0)</formula>
    </cfRule>
  </conditionalFormatting>
  <conditionalFormatting sqref="K31">
    <cfRule type="expression" dxfId="31" priority="33">
      <formula>IF(#REF!&lt;&gt;#REF!,1,0)</formula>
    </cfRule>
  </conditionalFormatting>
  <conditionalFormatting sqref="T31">
    <cfRule type="expression" dxfId="30" priority="31">
      <formula>IF(#REF!&lt;&gt;#REF!,1,0)</formula>
    </cfRule>
  </conditionalFormatting>
  <conditionalFormatting sqref="T31">
    <cfRule type="expression" dxfId="29" priority="30">
      <formula>IF(#REF!&lt;&gt;#REF!,1,0)</formula>
    </cfRule>
  </conditionalFormatting>
  <conditionalFormatting sqref="T31">
    <cfRule type="expression" dxfId="28" priority="29">
      <formula>IF(#REF!&lt;&gt;#REF!,1,0)</formula>
    </cfRule>
  </conditionalFormatting>
  <conditionalFormatting sqref="W31">
    <cfRule type="expression" dxfId="27" priority="28">
      <formula>IF(#REF!&lt;&gt;#REF!,1,0)</formula>
    </cfRule>
  </conditionalFormatting>
  <conditionalFormatting sqref="W31">
    <cfRule type="expression" dxfId="26" priority="27">
      <formula>IF(#REF!&lt;&gt;#REF!,1,0)</formula>
    </cfRule>
  </conditionalFormatting>
  <conditionalFormatting sqref="W31">
    <cfRule type="expression" dxfId="25" priority="26">
      <formula>IF(#REF!&lt;&gt;#REF!,1,0)</formula>
    </cfRule>
  </conditionalFormatting>
  <conditionalFormatting sqref="L31">
    <cfRule type="expression" dxfId="24" priority="25">
      <formula>IF(#REF!&lt;&gt;#REF!,1,0)</formula>
    </cfRule>
  </conditionalFormatting>
  <conditionalFormatting sqref="L31">
    <cfRule type="expression" dxfId="23" priority="24">
      <formula>IF(#REF!&lt;&gt;#REF!,1,0)</formula>
    </cfRule>
  </conditionalFormatting>
  <conditionalFormatting sqref="L31">
    <cfRule type="expression" dxfId="22" priority="23">
      <formula>IF(#REF!&lt;&gt;#REF!,1,0)</formula>
    </cfRule>
  </conditionalFormatting>
  <conditionalFormatting sqref="R31">
    <cfRule type="expression" dxfId="21" priority="22">
      <formula>IF(#REF!&lt;&gt;#REF!,1,0)</formula>
    </cfRule>
  </conditionalFormatting>
  <conditionalFormatting sqref="R31">
    <cfRule type="expression" dxfId="20" priority="21">
      <formula>IF(#REF!&lt;&gt;#REF!,1,0)</formula>
    </cfRule>
  </conditionalFormatting>
  <conditionalFormatting sqref="R31">
    <cfRule type="expression" dxfId="19" priority="20">
      <formula>IF(#REF!&lt;&gt;#REF!,1,0)</formula>
    </cfRule>
  </conditionalFormatting>
  <conditionalFormatting sqref="I31">
    <cfRule type="expression" dxfId="18" priority="19">
      <formula>IF(#REF!&lt;&gt;#REF!,1,0)</formula>
    </cfRule>
  </conditionalFormatting>
  <conditionalFormatting sqref="J31">
    <cfRule type="expression" dxfId="17" priority="18">
      <formula>IF(#REF!&lt;&gt;#REF!,1,0)</formula>
    </cfRule>
  </conditionalFormatting>
  <conditionalFormatting sqref="Q31">
    <cfRule type="expression" dxfId="16" priority="17">
      <formula>IF(#REF!&lt;&gt;#REF!,1,0)</formula>
    </cfRule>
  </conditionalFormatting>
  <conditionalFormatting sqref="U30:W30 Q30 E30:J30">
    <cfRule type="expression" dxfId="15" priority="15">
      <formula>IF(#REF!&lt;&gt;#REF!,1,0)</formula>
    </cfRule>
  </conditionalFormatting>
  <conditionalFormatting sqref="U30:W30">
    <cfRule type="expression" dxfId="14" priority="14">
      <formula>IF(#REF!&lt;&gt;#REF!,1,0)</formula>
    </cfRule>
  </conditionalFormatting>
  <conditionalFormatting sqref="L30:W30 C30:E30">
    <cfRule type="expression" dxfId="13" priority="16">
      <formula>IF(#REF!&lt;&gt;#REF!,1,0)</formula>
    </cfRule>
  </conditionalFormatting>
  <conditionalFormatting sqref="S30:W30">
    <cfRule type="expression" dxfId="12" priority="13">
      <formula>IF(#REF!&lt;&gt;#REF!,1,0)</formula>
    </cfRule>
  </conditionalFormatting>
  <conditionalFormatting sqref="W30 E30:J30 L30:Q30">
    <cfRule type="expression" dxfId="11" priority="12">
      <formula>IF(#REF!&lt;&gt;#REF!,1,0)</formula>
    </cfRule>
  </conditionalFormatting>
  <conditionalFormatting sqref="W30">
    <cfRule type="expression" dxfId="10" priority="11">
      <formula>IF(#REF!&lt;&gt;#REF!,1,0)</formula>
    </cfRule>
  </conditionalFormatting>
  <conditionalFormatting sqref="R30">
    <cfRule type="expression" dxfId="9" priority="4">
      <formula>IF(#REF!&lt;&gt;#REF!,1,0)</formula>
    </cfRule>
  </conditionalFormatting>
  <conditionalFormatting sqref="K30">
    <cfRule type="expression" dxfId="8" priority="1">
      <formula>IF(#REF!&lt;&gt;#REF!,1,0)</formula>
    </cfRule>
  </conditionalFormatting>
  <conditionalFormatting sqref="K30">
    <cfRule type="expression" dxfId="7" priority="3">
      <formula>IF(#REF!&lt;&gt;#REF!,1,0)</formula>
    </cfRule>
  </conditionalFormatting>
  <conditionalFormatting sqref="K30">
    <cfRule type="expression" dxfId="6" priority="2">
      <formula>IF(#REF!&lt;&gt;#REF!,1,0)</formula>
    </cfRule>
  </conditionalFormatting>
  <conditionalFormatting sqref="W30">
    <cfRule type="expression" dxfId="5" priority="10">
      <formula>IF(#REF!&lt;&gt;#REF!,1,0)</formula>
    </cfRule>
  </conditionalFormatting>
  <conditionalFormatting sqref="L30:Q30">
    <cfRule type="expression" dxfId="4" priority="8">
      <formula>IF(#REF!&lt;&gt;#REF!,1,0)</formula>
    </cfRule>
  </conditionalFormatting>
  <conditionalFormatting sqref="M30:Q30">
    <cfRule type="expression" dxfId="3" priority="7">
      <formula>IF(#REF!&lt;&gt;#REF!,1,0)</formula>
    </cfRule>
  </conditionalFormatting>
  <conditionalFormatting sqref="C30:D30">
    <cfRule type="expression" dxfId="2" priority="9">
      <formula>IF(#REF!&lt;&gt;#REF!,1,0)</formula>
    </cfRule>
  </conditionalFormatting>
  <conditionalFormatting sqref="R30">
    <cfRule type="expression" dxfId="1" priority="6">
      <formula>IF(#REF!&lt;&gt;#REF!,1,0)</formula>
    </cfRule>
  </conditionalFormatting>
  <conditionalFormatting sqref="R30">
    <cfRule type="expression" dxfId="0" priority="5">
      <formula>IF(#REF!&lt;&gt;#REF!,1,0)</formula>
    </cfRule>
  </conditionalFormatting>
  <pageMargins left="0.7" right="0.7" top="0.75" bottom="0.75" header="0.3" footer="0.3"/>
  <pageSetup paperSize="9" scale="55" orientation="landscape" r:id="rId1"/>
  <ignoredErrors>
    <ignoredError sqref="N6 Q23 N7:N22" formula="1"/>
    <ignoredError sqref="K7:K18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روش ها</vt:lpstr>
      <vt:lpstr>هیدرومدول</vt:lpstr>
      <vt:lpstr>نتایج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Pooya Shirazi</dc:creator>
  <cp:lastModifiedBy>Pooya Shirazi</cp:lastModifiedBy>
  <cp:lastPrinted>2021-01-05T20:07:49Z</cp:lastPrinted>
  <dcterms:created xsi:type="dcterms:W3CDTF">2020-12-29T16:16:45Z</dcterms:created>
  <dcterms:modified xsi:type="dcterms:W3CDTF">2021-01-09T21:38:11Z</dcterms:modified>
</cp:coreProperties>
</file>